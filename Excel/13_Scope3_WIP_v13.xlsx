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A34231B-977B-449C-AD8F-FD0D47D8EB57}" xr6:coauthVersionLast="47" xr6:coauthVersionMax="47" xr10:uidLastSave="{00000000-0000-0000-0000-000000000000}"/>
  <bookViews>
    <workbookView xWindow="3120" yWindow="3120" windowWidth="28800" windowHeight="15345" firstSheet="22" activeTab="26" xr2:uid="{D37248E2-1193-4B5E-BE4F-D7532AB14CA0}"/>
  </bookViews>
  <sheets>
    <sheet name="Overview" sheetId="40" r:id="rId1"/>
    <sheet name="Results" sheetId="41" r:id="rId2"/>
    <sheet name="Input - Site" sheetId="55" r:id="rId3"/>
    <sheet name="Input - Fuel" sheetId="57" r:id="rId4"/>
    <sheet name="Input - Fertiliser" sheetId="56"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58" r:id="rId12"/>
    <sheet name="Input - Manure sent off-site" sheetId="50" r:id="rId13"/>
    <sheet name="Input - Electricity" sheetId="59" r:id="rId14"/>
    <sheet name="15 Scope 3" sheetId="19" r:id="rId15"/>
    <sheet name="10.1.1-2 Solid waste treatment" sheetId="62" r:id="rId16"/>
    <sheet name="Calcs - Manure sent off-site" sheetId="34" r:id="rId17"/>
    <sheet name="8.1.1.1-2 Transport fuel" sheetId="60" r:id="rId18"/>
    <sheet name="8.2.1.1-2 Stationary fuel" sheetId="61" r:id="rId19"/>
    <sheet name="Constants - Scope 3" sheetId="20" r:id="rId20"/>
    <sheet name="Constants - Solid Waste" sheetId="64" r:id="rId21"/>
    <sheet name="Constants - Fuel" sheetId="63" r:id="rId22"/>
    <sheet name="Constants - Poultry" sheetId="70" r:id="rId23"/>
    <sheet name="Constants - Swine" sheetId="69" r:id="rId24"/>
    <sheet name="Constants - Dairy" sheetId="68" r:id="rId25"/>
    <sheet name="Constants - Pasture Beef" sheetId="67" r:id="rId26"/>
    <sheet name="Constants - Common Livestock" sheetId="71" r:id="rId27"/>
    <sheet name="Constants - Fertiliser" sheetId="65" r:id="rId28"/>
    <sheet name="Constants - Electricity" sheetId="66" r:id="rId29"/>
    <sheet name="Constants - Common" sheetId="51"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ResidueCropRatio">_xlfn.LAMBDA(_xlpm.HarvestIndex, (1 - _xlpm.HarvestIndex) / _xlpm.HarvestIndex)</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J87" i="34" l="1"/>
  <c r="I69" i="34"/>
  <c r="I33" i="34"/>
  <c r="E642" i="19"/>
  <c r="E94" i="19"/>
  <c r="E93" i="19"/>
  <c r="E30" i="59"/>
  <c r="E29" i="59"/>
  <c r="E33" i="55"/>
  <c r="E32" i="55"/>
  <c r="E31" i="55"/>
  <c r="E30" i="55"/>
  <c r="E29" i="55"/>
  <c r="E13" i="55"/>
  <c r="A41" i="51"/>
  <c r="A40" i="51"/>
  <c r="A39" i="51"/>
  <c r="A38" i="51"/>
  <c r="A37" i="51"/>
  <c r="A36" i="51"/>
  <c r="A35" i="51"/>
  <c r="A34" i="51"/>
  <c r="A33" i="51"/>
  <c r="A32" i="51"/>
  <c r="A31" i="51"/>
  <c r="A27" i="51"/>
  <c r="A26" i="51"/>
  <c r="A25" i="51"/>
  <c r="A24" i="51"/>
  <c r="A23" i="51"/>
  <c r="A19" i="51"/>
  <c r="A18" i="51"/>
  <c r="A17" i="51"/>
  <c r="A16" i="51"/>
  <c r="A15" i="51"/>
  <c r="A14" i="51"/>
  <c r="A13" i="51"/>
  <c r="A12" i="51"/>
  <c r="A11" i="51"/>
  <c r="A10" i="51"/>
  <c r="A9" i="51"/>
  <c r="A8" i="51"/>
  <c r="A4" i="51"/>
  <c r="A3" i="51"/>
  <c r="A41" i="66"/>
  <c r="A40" i="66"/>
  <c r="A39" i="66"/>
  <c r="A38" i="66"/>
  <c r="A37" i="66"/>
  <c r="A36" i="66"/>
  <c r="A35" i="66"/>
  <c r="A34" i="66"/>
  <c r="A33" i="66"/>
  <c r="A32" i="66"/>
  <c r="A31" i="66"/>
  <c r="A27" i="66"/>
  <c r="A26" i="66"/>
  <c r="A25" i="66"/>
  <c r="A24" i="66"/>
  <c r="A23" i="66"/>
  <c r="A19" i="66"/>
  <c r="A18" i="66"/>
  <c r="A17" i="66"/>
  <c r="A16" i="66"/>
  <c r="A15" i="66"/>
  <c r="A14" i="66"/>
  <c r="A13" i="66"/>
  <c r="A12" i="66"/>
  <c r="A11" i="66"/>
  <c r="A10" i="66"/>
  <c r="A9" i="66"/>
  <c r="A8" i="66"/>
  <c r="A4" i="66"/>
  <c r="A3" i="66"/>
  <c r="A41" i="65"/>
  <c r="A40" i="65"/>
  <c r="A39" i="65"/>
  <c r="A38" i="65"/>
  <c r="A37" i="65"/>
  <c r="A36" i="65"/>
  <c r="A35" i="65"/>
  <c r="A34" i="65"/>
  <c r="A33" i="65"/>
  <c r="A32" i="65"/>
  <c r="A31" i="65"/>
  <c r="A27" i="65"/>
  <c r="A26" i="65"/>
  <c r="A25" i="65"/>
  <c r="A24" i="65"/>
  <c r="A23" i="65"/>
  <c r="A19" i="65"/>
  <c r="A18" i="65"/>
  <c r="A17" i="65"/>
  <c r="A16" i="65"/>
  <c r="A15" i="65"/>
  <c r="A14" i="65"/>
  <c r="A13" i="65"/>
  <c r="A12" i="65"/>
  <c r="A11" i="65"/>
  <c r="A10" i="65"/>
  <c r="A9" i="65"/>
  <c r="A8" i="65"/>
  <c r="A4" i="65"/>
  <c r="A3" i="65"/>
  <c r="A41" i="71"/>
  <c r="A40" i="71"/>
  <c r="A39" i="71"/>
  <c r="A38" i="71"/>
  <c r="A37" i="71"/>
  <c r="A36" i="71"/>
  <c r="A35" i="71"/>
  <c r="A34" i="71"/>
  <c r="A33" i="71"/>
  <c r="A32" i="71"/>
  <c r="A31" i="71"/>
  <c r="A27" i="71"/>
  <c r="A26" i="71"/>
  <c r="A25" i="71"/>
  <c r="A24" i="71"/>
  <c r="A23" i="71"/>
  <c r="A19" i="71"/>
  <c r="A18" i="71"/>
  <c r="A17" i="71"/>
  <c r="A16" i="71"/>
  <c r="A15" i="71"/>
  <c r="A14" i="71"/>
  <c r="A13" i="71"/>
  <c r="A12" i="71"/>
  <c r="A11" i="71"/>
  <c r="A10" i="71"/>
  <c r="A9" i="71"/>
  <c r="A8" i="71"/>
  <c r="A4" i="71"/>
  <c r="A3" i="71"/>
  <c r="A41" i="67"/>
  <c r="A40" i="67"/>
  <c r="A39" i="67"/>
  <c r="A38" i="67"/>
  <c r="A37" i="67"/>
  <c r="A36" i="67"/>
  <c r="A35" i="67"/>
  <c r="A34" i="67"/>
  <c r="A33" i="67"/>
  <c r="A32" i="67"/>
  <c r="A31" i="67"/>
  <c r="A27" i="67"/>
  <c r="A26" i="67"/>
  <c r="A25" i="67"/>
  <c r="A24" i="67"/>
  <c r="A23" i="67"/>
  <c r="A19" i="67"/>
  <c r="A18" i="67"/>
  <c r="A17" i="67"/>
  <c r="A16" i="67"/>
  <c r="A15" i="67"/>
  <c r="A14" i="67"/>
  <c r="A13" i="67"/>
  <c r="A12" i="67"/>
  <c r="A11" i="67"/>
  <c r="A10" i="67"/>
  <c r="A9" i="67"/>
  <c r="A8" i="67"/>
  <c r="A4" i="67"/>
  <c r="A3" i="67"/>
  <c r="A41" i="68"/>
  <c r="A40" i="68"/>
  <c r="A39" i="68"/>
  <c r="A38" i="68"/>
  <c r="A37" i="68"/>
  <c r="A36" i="68"/>
  <c r="A35" i="68"/>
  <c r="A34" i="68"/>
  <c r="A33" i="68"/>
  <c r="A32" i="68"/>
  <c r="A31" i="68"/>
  <c r="A27" i="68"/>
  <c r="A26" i="68"/>
  <c r="A25" i="68"/>
  <c r="A24" i="68"/>
  <c r="A23" i="68"/>
  <c r="A19" i="68"/>
  <c r="A18" i="68"/>
  <c r="A17" i="68"/>
  <c r="A16" i="68"/>
  <c r="A15" i="68"/>
  <c r="A14" i="68"/>
  <c r="A13" i="68"/>
  <c r="A12" i="68"/>
  <c r="A11" i="68"/>
  <c r="A10" i="68"/>
  <c r="A9" i="68"/>
  <c r="A8" i="68"/>
  <c r="A4" i="68"/>
  <c r="A3" i="68"/>
  <c r="A41" i="69"/>
  <c r="A40" i="69"/>
  <c r="A39" i="69"/>
  <c r="A38" i="69"/>
  <c r="A37" i="69"/>
  <c r="A36" i="69"/>
  <c r="A35" i="69"/>
  <c r="A34" i="69"/>
  <c r="A33" i="69"/>
  <c r="A32" i="69"/>
  <c r="A31" i="69"/>
  <c r="A27" i="69"/>
  <c r="A26" i="69"/>
  <c r="A25" i="69"/>
  <c r="A24" i="69"/>
  <c r="A23" i="69"/>
  <c r="A19" i="69"/>
  <c r="A18" i="69"/>
  <c r="A17" i="69"/>
  <c r="A16" i="69"/>
  <c r="A15" i="69"/>
  <c r="A14" i="69"/>
  <c r="A13" i="69"/>
  <c r="A12" i="69"/>
  <c r="A11" i="69"/>
  <c r="A10" i="69"/>
  <c r="A9" i="69"/>
  <c r="A8" i="69"/>
  <c r="A4" i="69"/>
  <c r="A3" i="69"/>
  <c r="A41" i="70"/>
  <c r="A40" i="70"/>
  <c r="A39" i="70"/>
  <c r="A38" i="70"/>
  <c r="A37" i="70"/>
  <c r="A36" i="70"/>
  <c r="A35" i="70"/>
  <c r="A34" i="70"/>
  <c r="A33" i="70"/>
  <c r="A32" i="70"/>
  <c r="A31" i="70"/>
  <c r="A27" i="70"/>
  <c r="A26" i="70"/>
  <c r="A25" i="70"/>
  <c r="A24" i="70"/>
  <c r="A23" i="70"/>
  <c r="A19" i="70"/>
  <c r="A18" i="70"/>
  <c r="A17" i="70"/>
  <c r="A16" i="70"/>
  <c r="A15" i="70"/>
  <c r="A14" i="70"/>
  <c r="A13" i="70"/>
  <c r="A12" i="70"/>
  <c r="A11" i="70"/>
  <c r="A10" i="70"/>
  <c r="A9" i="70"/>
  <c r="A8" i="70"/>
  <c r="A4" i="70"/>
  <c r="A3" i="70"/>
  <c r="A41" i="63"/>
  <c r="A40" i="63"/>
  <c r="A39" i="63"/>
  <c r="A38" i="63"/>
  <c r="A37" i="63"/>
  <c r="A36" i="63"/>
  <c r="A35" i="63"/>
  <c r="A34" i="63"/>
  <c r="A33" i="63"/>
  <c r="A32" i="63"/>
  <c r="A31" i="63"/>
  <c r="A27" i="63"/>
  <c r="A26" i="63"/>
  <c r="A25" i="63"/>
  <c r="A24" i="63"/>
  <c r="A23" i="63"/>
  <c r="A19" i="63"/>
  <c r="A18" i="63"/>
  <c r="A17" i="63"/>
  <c r="A16" i="63"/>
  <c r="A15" i="63"/>
  <c r="A14" i="63"/>
  <c r="A13" i="63"/>
  <c r="A12" i="63"/>
  <c r="A11" i="63"/>
  <c r="A10" i="63"/>
  <c r="A9" i="63"/>
  <c r="A8" i="63"/>
  <c r="A4" i="63"/>
  <c r="A3" i="63"/>
  <c r="A41" i="64"/>
  <c r="A40" i="64"/>
  <c r="A39" i="64"/>
  <c r="A38" i="64"/>
  <c r="A37" i="64"/>
  <c r="A36" i="64"/>
  <c r="A35" i="64"/>
  <c r="A34" i="64"/>
  <c r="A33" i="64"/>
  <c r="A32" i="64"/>
  <c r="A31" i="64"/>
  <c r="A27" i="64"/>
  <c r="A26" i="64"/>
  <c r="A25" i="64"/>
  <c r="A24" i="64"/>
  <c r="A23" i="64"/>
  <c r="A19" i="64"/>
  <c r="A18" i="64"/>
  <c r="A17" i="64"/>
  <c r="A16" i="64"/>
  <c r="A15" i="64"/>
  <c r="A14" i="64"/>
  <c r="A13" i="64"/>
  <c r="A12" i="64"/>
  <c r="A11" i="64"/>
  <c r="A10" i="64"/>
  <c r="A9" i="64"/>
  <c r="A8" i="64"/>
  <c r="A4" i="64"/>
  <c r="A3" i="64"/>
  <c r="A41" i="20"/>
  <c r="A40" i="20"/>
  <c r="A39" i="20"/>
  <c r="A38" i="20"/>
  <c r="A37" i="20"/>
  <c r="A36" i="20"/>
  <c r="A35" i="20"/>
  <c r="A34" i="20"/>
  <c r="A33" i="20"/>
  <c r="A32" i="20"/>
  <c r="A31" i="20"/>
  <c r="A27" i="20"/>
  <c r="A26" i="20"/>
  <c r="A25" i="20"/>
  <c r="A24" i="20"/>
  <c r="A23" i="20"/>
  <c r="A19" i="20"/>
  <c r="A18" i="20"/>
  <c r="A17" i="20"/>
  <c r="A16" i="20"/>
  <c r="A15" i="20"/>
  <c r="A14" i="20"/>
  <c r="A13" i="20"/>
  <c r="A12" i="20"/>
  <c r="A11" i="20"/>
  <c r="A10" i="20"/>
  <c r="A9" i="20"/>
  <c r="A8" i="20"/>
  <c r="A4" i="20"/>
  <c r="A3" i="20"/>
  <c r="A41" i="61"/>
  <c r="A40" i="61"/>
  <c r="A39" i="61"/>
  <c r="A38" i="61"/>
  <c r="A37" i="61"/>
  <c r="A36" i="61"/>
  <c r="A35" i="61"/>
  <c r="A34" i="61"/>
  <c r="A33" i="61"/>
  <c r="A32" i="61"/>
  <c r="A31" i="61"/>
  <c r="A27" i="61"/>
  <c r="A26" i="61"/>
  <c r="A25" i="61"/>
  <c r="A24" i="61"/>
  <c r="A23" i="61"/>
  <c r="A19" i="61"/>
  <c r="A18" i="61"/>
  <c r="A17" i="61"/>
  <c r="A16" i="61"/>
  <c r="A15" i="61"/>
  <c r="A14" i="61"/>
  <c r="A13" i="61"/>
  <c r="A12" i="61"/>
  <c r="A11" i="61"/>
  <c r="A10" i="61"/>
  <c r="A9" i="61"/>
  <c r="A8" i="61"/>
  <c r="A4" i="61"/>
  <c r="A3" i="61"/>
  <c r="A41" i="60"/>
  <c r="A40" i="60"/>
  <c r="A39" i="60"/>
  <c r="A38" i="60"/>
  <c r="A37" i="60"/>
  <c r="A36" i="60"/>
  <c r="A35" i="60"/>
  <c r="A34" i="60"/>
  <c r="A33" i="60"/>
  <c r="A32" i="60"/>
  <c r="A31" i="60"/>
  <c r="A27" i="60"/>
  <c r="A26" i="60"/>
  <c r="A25" i="60"/>
  <c r="A24" i="60"/>
  <c r="A23" i="60"/>
  <c r="A19" i="60"/>
  <c r="A18" i="60"/>
  <c r="A17" i="60"/>
  <c r="A16" i="60"/>
  <c r="A15" i="60"/>
  <c r="A14" i="60"/>
  <c r="A13" i="60"/>
  <c r="A12" i="60"/>
  <c r="A11" i="60"/>
  <c r="A10" i="60"/>
  <c r="A9" i="60"/>
  <c r="A8" i="60"/>
  <c r="A4" i="60"/>
  <c r="A3" i="60"/>
  <c r="A41" i="34"/>
  <c r="A40" i="34"/>
  <c r="A39" i="34"/>
  <c r="A38" i="34"/>
  <c r="A37" i="34"/>
  <c r="A36" i="34"/>
  <c r="A35" i="34"/>
  <c r="A34" i="34"/>
  <c r="A33" i="34"/>
  <c r="A32" i="34"/>
  <c r="A31" i="34"/>
  <c r="A27" i="34"/>
  <c r="A26" i="34"/>
  <c r="A25" i="34"/>
  <c r="A24" i="34"/>
  <c r="A23" i="34"/>
  <c r="A19" i="34"/>
  <c r="A18" i="34"/>
  <c r="A17" i="34"/>
  <c r="A16" i="34"/>
  <c r="A15" i="34"/>
  <c r="A14" i="34"/>
  <c r="A13" i="34"/>
  <c r="A12" i="34"/>
  <c r="A11" i="34"/>
  <c r="A10" i="34"/>
  <c r="A9" i="34"/>
  <c r="A8" i="34"/>
  <c r="A4" i="34"/>
  <c r="A3" i="34"/>
  <c r="A41" i="62"/>
  <c r="A40" i="62"/>
  <c r="A39" i="62"/>
  <c r="A38" i="62"/>
  <c r="A37" i="62"/>
  <c r="A36" i="62"/>
  <c r="A35" i="62"/>
  <c r="A34" i="62"/>
  <c r="A33" i="62"/>
  <c r="A32" i="62"/>
  <c r="A31" i="62"/>
  <c r="A27" i="62"/>
  <c r="A26" i="62"/>
  <c r="A25" i="62"/>
  <c r="A24" i="62"/>
  <c r="A23" i="62"/>
  <c r="A19" i="62"/>
  <c r="A18" i="62"/>
  <c r="A17" i="62"/>
  <c r="A16" i="62"/>
  <c r="A15" i="62"/>
  <c r="A14" i="62"/>
  <c r="A13" i="62"/>
  <c r="A12" i="62"/>
  <c r="A11" i="62"/>
  <c r="A10" i="62"/>
  <c r="A9" i="62"/>
  <c r="A8" i="62"/>
  <c r="A4" i="62"/>
  <c r="A3" i="62"/>
  <c r="A41" i="19"/>
  <c r="A40" i="19"/>
  <c r="A39" i="19"/>
  <c r="A38" i="19"/>
  <c r="A37" i="19"/>
  <c r="A36" i="19"/>
  <c r="A35" i="19"/>
  <c r="A34" i="19"/>
  <c r="A33" i="19"/>
  <c r="A32" i="19"/>
  <c r="A31" i="19"/>
  <c r="A27" i="19"/>
  <c r="A26" i="19"/>
  <c r="A25" i="19"/>
  <c r="A24" i="19"/>
  <c r="A23" i="19"/>
  <c r="A19" i="19"/>
  <c r="A18" i="19"/>
  <c r="A17" i="19"/>
  <c r="A16" i="19"/>
  <c r="A15" i="19"/>
  <c r="A14" i="19"/>
  <c r="A13" i="19"/>
  <c r="A12" i="19"/>
  <c r="A11" i="19"/>
  <c r="A10" i="19"/>
  <c r="A9" i="19"/>
  <c r="A8" i="19"/>
  <c r="A4" i="19"/>
  <c r="A3" i="19"/>
  <c r="A41" i="59"/>
  <c r="A40" i="59"/>
  <c r="A39" i="59"/>
  <c r="A38" i="59"/>
  <c r="A37" i="59"/>
  <c r="A36" i="59"/>
  <c r="A35" i="59"/>
  <c r="A34" i="59"/>
  <c r="A33" i="59"/>
  <c r="A32" i="59"/>
  <c r="A31" i="59"/>
  <c r="A27" i="59"/>
  <c r="A26" i="59"/>
  <c r="A25" i="59"/>
  <c r="A24" i="59"/>
  <c r="A23" i="59"/>
  <c r="A19" i="59"/>
  <c r="A18" i="59"/>
  <c r="A17" i="59"/>
  <c r="A16" i="59"/>
  <c r="A15" i="59"/>
  <c r="A14" i="59"/>
  <c r="A13" i="59"/>
  <c r="A12" i="59"/>
  <c r="A11" i="59"/>
  <c r="A10" i="59"/>
  <c r="A9" i="59"/>
  <c r="A8" i="59"/>
  <c r="A4" i="59"/>
  <c r="A3" i="59"/>
  <c r="A41" i="50"/>
  <c r="A40" i="50"/>
  <c r="A39" i="50"/>
  <c r="A38" i="50"/>
  <c r="A37" i="50"/>
  <c r="A36" i="50"/>
  <c r="A35" i="50"/>
  <c r="A34" i="50"/>
  <c r="A33" i="50"/>
  <c r="A32" i="50"/>
  <c r="A31" i="50"/>
  <c r="A27" i="50"/>
  <c r="A26" i="50"/>
  <c r="A25" i="50"/>
  <c r="A24" i="50"/>
  <c r="A23" i="50"/>
  <c r="A19" i="50"/>
  <c r="A18" i="50"/>
  <c r="A17" i="50"/>
  <c r="A16" i="50"/>
  <c r="A15" i="50"/>
  <c r="A14" i="50"/>
  <c r="A13" i="50"/>
  <c r="A12" i="50"/>
  <c r="A11" i="50"/>
  <c r="A10" i="50"/>
  <c r="A9" i="50"/>
  <c r="A8" i="50"/>
  <c r="A4" i="50"/>
  <c r="A3" i="50"/>
  <c r="A41" i="58"/>
  <c r="A40" i="58"/>
  <c r="A39" i="58"/>
  <c r="A38" i="58"/>
  <c r="A37" i="58"/>
  <c r="A36" i="58"/>
  <c r="A35" i="58"/>
  <c r="A34" i="58"/>
  <c r="A33" i="58"/>
  <c r="A32" i="58"/>
  <c r="A31" i="58"/>
  <c r="A27" i="58"/>
  <c r="A26" i="58"/>
  <c r="A25" i="58"/>
  <c r="A24" i="58"/>
  <c r="A23" i="58"/>
  <c r="A19" i="58"/>
  <c r="A18" i="58"/>
  <c r="A17" i="58"/>
  <c r="A16" i="58"/>
  <c r="A15" i="58"/>
  <c r="A14" i="58"/>
  <c r="A13" i="58"/>
  <c r="A12" i="58"/>
  <c r="A11" i="58"/>
  <c r="A10" i="58"/>
  <c r="A9" i="58"/>
  <c r="A8" i="58"/>
  <c r="A4" i="58"/>
  <c r="A3" i="58"/>
  <c r="A41" i="39"/>
  <c r="A40" i="39"/>
  <c r="A39" i="39"/>
  <c r="A38" i="39"/>
  <c r="A37" i="39"/>
  <c r="A36" i="39"/>
  <c r="A35" i="39"/>
  <c r="A34" i="39"/>
  <c r="A33" i="39"/>
  <c r="A32" i="39"/>
  <c r="A31" i="39"/>
  <c r="A27" i="39"/>
  <c r="A26" i="39"/>
  <c r="A25" i="39"/>
  <c r="A24" i="39"/>
  <c r="A23" i="39"/>
  <c r="A19" i="39"/>
  <c r="A18" i="39"/>
  <c r="A17" i="39"/>
  <c r="A16" i="39"/>
  <c r="A15" i="39"/>
  <c r="A14" i="39"/>
  <c r="A13" i="39"/>
  <c r="A12" i="39"/>
  <c r="A11" i="39"/>
  <c r="A10" i="39"/>
  <c r="A9" i="39"/>
  <c r="A8" i="39"/>
  <c r="A4" i="39"/>
  <c r="A3" i="39"/>
  <c r="A41" i="54"/>
  <c r="A40" i="54"/>
  <c r="A39" i="54"/>
  <c r="A38" i="54"/>
  <c r="A37" i="54"/>
  <c r="A36" i="54"/>
  <c r="A35" i="54"/>
  <c r="A34" i="54"/>
  <c r="A33" i="54"/>
  <c r="A32" i="54"/>
  <c r="A31" i="54"/>
  <c r="A27" i="54"/>
  <c r="A26" i="54"/>
  <c r="A25" i="54"/>
  <c r="A24" i="54"/>
  <c r="A23" i="54"/>
  <c r="A19" i="54"/>
  <c r="A18" i="54"/>
  <c r="A17" i="54"/>
  <c r="A16" i="54"/>
  <c r="A15" i="54"/>
  <c r="A14" i="54"/>
  <c r="A13" i="54"/>
  <c r="A12" i="54"/>
  <c r="A11" i="54"/>
  <c r="A10" i="54"/>
  <c r="A9" i="54"/>
  <c r="A8" i="54"/>
  <c r="A4" i="54"/>
  <c r="A3" i="54"/>
  <c r="A41" i="53"/>
  <c r="A40" i="53"/>
  <c r="A39" i="53"/>
  <c r="A38" i="53"/>
  <c r="A37" i="53"/>
  <c r="A36" i="53"/>
  <c r="A35" i="53"/>
  <c r="A34" i="53"/>
  <c r="A33" i="53"/>
  <c r="A32" i="53"/>
  <c r="A31" i="53"/>
  <c r="A27" i="53"/>
  <c r="A26" i="53"/>
  <c r="A25" i="53"/>
  <c r="A24" i="53"/>
  <c r="A23" i="53"/>
  <c r="A19" i="53"/>
  <c r="A18" i="53"/>
  <c r="A17" i="53"/>
  <c r="A16" i="53"/>
  <c r="A15" i="53"/>
  <c r="A14" i="53"/>
  <c r="A13" i="53"/>
  <c r="A12" i="53"/>
  <c r="A11" i="53"/>
  <c r="A10" i="53"/>
  <c r="A9" i="53"/>
  <c r="A8" i="53"/>
  <c r="A4" i="53"/>
  <c r="A3" i="53"/>
  <c r="A41" i="52"/>
  <c r="A40" i="52"/>
  <c r="A39" i="52"/>
  <c r="A38" i="52"/>
  <c r="A37" i="52"/>
  <c r="A36" i="52"/>
  <c r="A35" i="52"/>
  <c r="A34" i="52"/>
  <c r="A33" i="52"/>
  <c r="A32" i="52"/>
  <c r="A31" i="52"/>
  <c r="A27" i="52"/>
  <c r="A26" i="52"/>
  <c r="A25" i="52"/>
  <c r="A24" i="52"/>
  <c r="A23" i="52"/>
  <c r="A19" i="52"/>
  <c r="A18" i="52"/>
  <c r="A17" i="52"/>
  <c r="A16" i="52"/>
  <c r="A15" i="52"/>
  <c r="A14" i="52"/>
  <c r="A13" i="52"/>
  <c r="A12" i="52"/>
  <c r="A11" i="52"/>
  <c r="A10" i="52"/>
  <c r="A9" i="52"/>
  <c r="A8" i="52"/>
  <c r="A4" i="52"/>
  <c r="A3" i="52"/>
  <c r="A41" i="48"/>
  <c r="A40" i="48"/>
  <c r="A39" i="48"/>
  <c r="A38" i="48"/>
  <c r="A37" i="48"/>
  <c r="A36" i="48"/>
  <c r="A35" i="48"/>
  <c r="A34" i="48"/>
  <c r="A33" i="48"/>
  <c r="A32" i="48"/>
  <c r="A31" i="48"/>
  <c r="A27" i="48"/>
  <c r="A26" i="48"/>
  <c r="A25" i="48"/>
  <c r="A24" i="48"/>
  <c r="A23" i="48"/>
  <c r="A19" i="48"/>
  <c r="A18" i="48"/>
  <c r="A17" i="48"/>
  <c r="A16" i="48"/>
  <c r="A15" i="48"/>
  <c r="A14" i="48"/>
  <c r="A13" i="48"/>
  <c r="A12" i="48"/>
  <c r="A11" i="48"/>
  <c r="A10" i="48"/>
  <c r="A9" i="48"/>
  <c r="A8" i="48"/>
  <c r="A4" i="48"/>
  <c r="A3" i="48"/>
  <c r="A41" i="13"/>
  <c r="A40" i="13"/>
  <c r="A39" i="13"/>
  <c r="A38" i="13"/>
  <c r="A37" i="13"/>
  <c r="A36" i="13"/>
  <c r="A35" i="13"/>
  <c r="A34" i="13"/>
  <c r="A33" i="13"/>
  <c r="A32" i="13"/>
  <c r="A31" i="13"/>
  <c r="A27" i="13"/>
  <c r="A26" i="13"/>
  <c r="A25" i="13"/>
  <c r="A24" i="13"/>
  <c r="A23" i="13"/>
  <c r="A19" i="13"/>
  <c r="A18" i="13"/>
  <c r="A17" i="13"/>
  <c r="A16" i="13"/>
  <c r="A15" i="13"/>
  <c r="A14" i="13"/>
  <c r="A13" i="13"/>
  <c r="A12" i="13"/>
  <c r="A11" i="13"/>
  <c r="A10" i="13"/>
  <c r="A9" i="13"/>
  <c r="A8" i="13"/>
  <c r="A4" i="13"/>
  <c r="A3" i="13"/>
  <c r="A41" i="56"/>
  <c r="A40" i="56"/>
  <c r="A39" i="56"/>
  <c r="A38" i="56"/>
  <c r="A37" i="56"/>
  <c r="A36" i="56"/>
  <c r="A35" i="56"/>
  <c r="A34" i="56"/>
  <c r="A33" i="56"/>
  <c r="A32" i="56"/>
  <c r="A31" i="56"/>
  <c r="A27" i="56"/>
  <c r="A26" i="56"/>
  <c r="A25" i="56"/>
  <c r="A24" i="56"/>
  <c r="A23" i="56"/>
  <c r="A19" i="56"/>
  <c r="A18" i="56"/>
  <c r="A17" i="56"/>
  <c r="A16" i="56"/>
  <c r="A15" i="56"/>
  <c r="A14" i="56"/>
  <c r="A13" i="56"/>
  <c r="A12" i="56"/>
  <c r="A11" i="56"/>
  <c r="A10" i="56"/>
  <c r="A9" i="56"/>
  <c r="A8" i="56"/>
  <c r="A4" i="56"/>
  <c r="A3" i="56"/>
  <c r="A41" i="57"/>
  <c r="A40" i="57"/>
  <c r="A39" i="57"/>
  <c r="A38" i="57"/>
  <c r="A37" i="57"/>
  <c r="A36" i="57"/>
  <c r="A35" i="57"/>
  <c r="A34" i="57"/>
  <c r="A33" i="57"/>
  <c r="A32" i="57"/>
  <c r="A31" i="57"/>
  <c r="A27" i="57"/>
  <c r="A26" i="57"/>
  <c r="A25" i="57"/>
  <c r="A24" i="57"/>
  <c r="A23" i="57"/>
  <c r="A19" i="57"/>
  <c r="A18" i="57"/>
  <c r="A17" i="57"/>
  <c r="A16" i="57"/>
  <c r="A15" i="57"/>
  <c r="A14" i="57"/>
  <c r="A13" i="57"/>
  <c r="A12" i="57"/>
  <c r="A11" i="57"/>
  <c r="A10" i="57"/>
  <c r="A9" i="57"/>
  <c r="A8" i="57"/>
  <c r="A4" i="57"/>
  <c r="A3" i="57"/>
  <c r="A41" i="55"/>
  <c r="A40" i="55"/>
  <c r="A39" i="55"/>
  <c r="A38" i="55"/>
  <c r="A37" i="55"/>
  <c r="A36" i="55"/>
  <c r="A35" i="55"/>
  <c r="A34" i="55"/>
  <c r="A33" i="55"/>
  <c r="A32" i="55"/>
  <c r="A31" i="55"/>
  <c r="A27" i="55"/>
  <c r="A26" i="55"/>
  <c r="A25" i="55"/>
  <c r="A24" i="55"/>
  <c r="A23" i="55"/>
  <c r="A19" i="55"/>
  <c r="A18" i="55"/>
  <c r="A17" i="55"/>
  <c r="A16" i="55"/>
  <c r="A15" i="55"/>
  <c r="A14" i="55"/>
  <c r="A13" i="55"/>
  <c r="A12" i="55"/>
  <c r="A11" i="55"/>
  <c r="A10" i="55"/>
  <c r="A9" i="55"/>
  <c r="A8" i="55"/>
  <c r="A4" i="55"/>
  <c r="A3" i="55"/>
  <c r="A41" i="41"/>
  <c r="A40" i="41"/>
  <c r="A39" i="41"/>
  <c r="A38" i="41"/>
  <c r="A37" i="41"/>
  <c r="A36" i="41"/>
  <c r="A35" i="41"/>
  <c r="A34" i="41"/>
  <c r="A33" i="41"/>
  <c r="A32" i="41"/>
  <c r="A31" i="41"/>
  <c r="A27" i="41"/>
  <c r="A26" i="41"/>
  <c r="A25" i="41"/>
  <c r="A24" i="41"/>
  <c r="A23" i="41"/>
  <c r="A19" i="41"/>
  <c r="A18" i="41"/>
  <c r="A17" i="41"/>
  <c r="A16" i="41"/>
  <c r="A15" i="41"/>
  <c r="A14" i="41"/>
  <c r="A13" i="41"/>
  <c r="A12" i="41"/>
  <c r="A11" i="41"/>
  <c r="A10" i="41"/>
  <c r="A9" i="41"/>
  <c r="A8" i="41"/>
  <c r="A4" i="41"/>
  <c r="A3" i="41"/>
  <c r="A41" i="40"/>
  <c r="A40" i="40"/>
  <c r="A39" i="40"/>
  <c r="A38" i="40"/>
  <c r="A37" i="40"/>
  <c r="A36" i="40"/>
  <c r="A35" i="40"/>
  <c r="A34" i="40"/>
  <c r="A33" i="40"/>
  <c r="A32" i="40"/>
  <c r="A31" i="40"/>
  <c r="A27" i="40"/>
  <c r="A26" i="40"/>
  <c r="A25" i="40"/>
  <c r="A24" i="40"/>
  <c r="A23" i="40"/>
  <c r="A19" i="40"/>
  <c r="A18" i="40"/>
  <c r="A17" i="40"/>
  <c r="A16" i="40"/>
  <c r="A15" i="40"/>
  <c r="A14" i="40"/>
  <c r="A13" i="40"/>
  <c r="A12" i="40"/>
  <c r="A11" i="40"/>
  <c r="A10" i="40"/>
  <c r="A9" i="40"/>
  <c r="A8" i="40"/>
  <c r="A4" i="40"/>
  <c r="A3" i="40"/>
  <c r="D32" i="61"/>
  <c r="D25" i="61"/>
  <c r="M39" i="60" a="1"/>
  <c r="M39" i="60" s="1"/>
  <c r="F39" i="60"/>
  <c r="D37" i="60"/>
  <c r="D34" i="60"/>
  <c r="D33" i="60"/>
  <c r="D25" i="60"/>
  <c r="J21" i="57" a="1"/>
  <c r="J21" i="57" s="1"/>
  <c r="G21" i="57" a="1"/>
  <c r="G21" i="57" s="1"/>
  <c r="J20" i="57" a="1"/>
  <c r="J20" i="57" s="1"/>
  <c r="G20" i="57" a="1"/>
  <c r="G20" i="57" s="1"/>
  <c r="J19" i="57" a="1"/>
  <c r="J19" i="57" s="1"/>
  <c r="G19" i="57" a="1"/>
  <c r="G19" i="57" s="1"/>
  <c r="J18" i="57" a="1"/>
  <c r="J18" i="57" s="1"/>
  <c r="G18" i="57" a="1"/>
  <c r="G18" i="57" s="1"/>
  <c r="J17" i="57" a="1"/>
  <c r="J17" i="57" s="1"/>
  <c r="G17" i="57" a="1"/>
  <c r="G17" i="57"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16" i="52" a="1"/>
  <c r="H16" i="52" s="1"/>
  <c r="H15" i="52" a="1"/>
  <c r="H15" i="52" s="1"/>
  <c r="H14" i="52" a="1"/>
  <c r="H14" i="52" s="1"/>
  <c r="H13" i="52" a="1"/>
  <c r="H13" i="52" s="1"/>
  <c r="H12" i="52" a="1"/>
  <c r="H12" i="52" s="1"/>
  <c r="H11" i="52" a="1"/>
  <c r="H11" i="52" s="1"/>
  <c r="H10" i="52" a="1"/>
  <c r="H10" i="52" s="1"/>
  <c r="J17" i="48" a="1"/>
  <c r="J17" i="48" s="1"/>
  <c r="J16" i="48" a="1"/>
  <c r="J16" i="48" s="1"/>
  <c r="J15" i="48" a="1"/>
  <c r="J15" i="48" s="1"/>
  <c r="J14" i="48" a="1"/>
  <c r="J14" i="48" s="1"/>
  <c r="J13" i="48" a="1"/>
  <c r="J13" i="48" s="1"/>
  <c r="J12" i="48" a="1"/>
  <c r="J12" i="48" s="1"/>
  <c r="J11" i="48" a="1"/>
  <c r="J11" i="48" s="1"/>
  <c r="J10" i="48" a="1"/>
  <c r="J10" i="48" s="1"/>
  <c r="E65" i="71" a="1"/>
  <c r="E65" i="71" s="1"/>
  <c r="D65" i="71" a="1"/>
  <c r="D65" i="71" s="1"/>
  <c r="D63" i="71" a="1"/>
  <c r="D63" i="71" s="1"/>
  <c r="D62" i="71" a="1"/>
  <c r="D62" i="71" s="1"/>
  <c r="E60" i="71" a="1"/>
  <c r="E60" i="71" s="1"/>
  <c r="D60" i="71" a="1"/>
  <c r="D60" i="71" s="1"/>
  <c r="D58" i="71" a="1"/>
  <c r="D58" i="71" s="1"/>
  <c r="D57" i="71" a="1"/>
  <c r="D57" i="71" s="1"/>
  <c r="E55" i="71" a="1"/>
  <c r="E55" i="71" s="1"/>
  <c r="D55" i="71" a="1"/>
  <c r="D55" i="71" s="1"/>
  <c r="D53" i="71" a="1"/>
  <c r="D53" i="71" s="1"/>
  <c r="D52" i="71" a="1"/>
  <c r="D52" i="71" s="1"/>
  <c r="E50" i="71" a="1"/>
  <c r="E50" i="71" s="1"/>
  <c r="D50" i="71" a="1"/>
  <c r="D50" i="71" s="1"/>
  <c r="E49" i="71" a="1"/>
  <c r="E49" i="71" s="1"/>
  <c r="D49" i="71" a="1"/>
  <c r="D49" i="71" s="1"/>
  <c r="E48" i="71" a="1"/>
  <c r="E48" i="71" s="1"/>
  <c r="D48" i="71" a="1"/>
  <c r="D48" i="71" s="1"/>
  <c r="E47" i="71" a="1"/>
  <c r="E47" i="71" s="1"/>
  <c r="D47" i="71" a="1"/>
  <c r="D47" i="71" s="1"/>
  <c r="E46" i="71" a="1"/>
  <c r="E46" i="71" s="1"/>
  <c r="D46" i="71" a="1"/>
  <c r="D46" i="71" s="1"/>
  <c r="E45" i="71" a="1"/>
  <c r="E45" i="71" s="1"/>
  <c r="D45" i="71" a="1"/>
  <c r="D45" i="71" s="1"/>
  <c r="E44" i="71" a="1"/>
  <c r="E44" i="71" s="1"/>
  <c r="D44" i="71" a="1"/>
  <c r="D44" i="71" s="1"/>
  <c r="D42" i="71" a="1"/>
  <c r="D42" i="71" s="1"/>
  <c r="D41" i="71" a="1"/>
  <c r="D41" i="71" s="1"/>
  <c r="E39" i="71" a="1"/>
  <c r="E39" i="71" s="1"/>
  <c r="D39" i="71" a="1"/>
  <c r="D39" i="71" s="1"/>
  <c r="E38" i="71" a="1"/>
  <c r="E38" i="71" s="1"/>
  <c r="D38" i="71" a="1"/>
  <c r="D38" i="71" s="1"/>
  <c r="E37" i="71" a="1"/>
  <c r="E37" i="71" s="1"/>
  <c r="D37" i="71" a="1"/>
  <c r="D37" i="71" s="1"/>
  <c r="E36" i="71" a="1"/>
  <c r="E36" i="71" s="1"/>
  <c r="D36" i="71" a="1"/>
  <c r="D36" i="71" s="1"/>
  <c r="E35" i="71" a="1"/>
  <c r="E35" i="71" s="1"/>
  <c r="D35" i="71" a="1"/>
  <c r="D35" i="71" s="1"/>
  <c r="E34" i="71" a="1"/>
  <c r="E34" i="71" s="1"/>
  <c r="D34" i="71" a="1"/>
  <c r="D34" i="71" s="1"/>
  <c r="E33" i="71" a="1"/>
  <c r="E33" i="71" s="1"/>
  <c r="D33" i="71" a="1"/>
  <c r="D33" i="71" s="1"/>
  <c r="E32" i="71" a="1"/>
  <c r="E32" i="71" s="1"/>
  <c r="D32" i="71" a="1"/>
  <c r="D32" i="71" s="1"/>
  <c r="D30" i="71" a="1"/>
  <c r="D30" i="71" s="1"/>
  <c r="D29" i="71" a="1"/>
  <c r="D29" i="71" s="1"/>
  <c r="F27" i="71" a="1"/>
  <c r="F27" i="71" s="1"/>
  <c r="E27" i="71" a="1"/>
  <c r="E27" i="71" s="1"/>
  <c r="D27" i="71" a="1"/>
  <c r="D27" i="71" s="1"/>
  <c r="F26" i="71" a="1"/>
  <c r="F26" i="71" s="1"/>
  <c r="E26" i="71" a="1"/>
  <c r="E26" i="71" s="1"/>
  <c r="D26" i="71" a="1"/>
  <c r="D26" i="71" s="1"/>
  <c r="F25" i="71" a="1"/>
  <c r="F25" i="71" s="1"/>
  <c r="E25" i="71" a="1"/>
  <c r="E25" i="71" s="1"/>
  <c r="D25" i="71" a="1"/>
  <c r="D25" i="71" s="1"/>
  <c r="F24" i="71" a="1"/>
  <c r="F24" i="71" s="1"/>
  <c r="E24" i="71" a="1"/>
  <c r="E24" i="71" s="1"/>
  <c r="D24" i="71" a="1"/>
  <c r="D24" i="71" s="1"/>
  <c r="F23" i="71" a="1"/>
  <c r="F23" i="71" s="1"/>
  <c r="E23" i="71" a="1"/>
  <c r="E23" i="71" s="1"/>
  <c r="D23" i="71" a="1"/>
  <c r="D23" i="71" s="1"/>
  <c r="F22" i="71" a="1"/>
  <c r="F22" i="71" s="1"/>
  <c r="E22" i="71" a="1"/>
  <c r="E22" i="71" s="1"/>
  <c r="D22" i="71" a="1"/>
  <c r="D22" i="71" s="1"/>
  <c r="F21" i="71" a="1"/>
  <c r="F21" i="71" s="1"/>
  <c r="E21" i="71" a="1"/>
  <c r="E21" i="71" s="1"/>
  <c r="D21" i="71" a="1"/>
  <c r="D21" i="71" s="1"/>
  <c r="F20" i="71" a="1"/>
  <c r="F20" i="71" s="1"/>
  <c r="E20" i="71" a="1"/>
  <c r="E20" i="71" s="1"/>
  <c r="D20" i="71" a="1"/>
  <c r="D20" i="71" s="1"/>
  <c r="F19" i="71" a="1"/>
  <c r="F19" i="71" s="1"/>
  <c r="E19" i="71" a="1"/>
  <c r="E19" i="71" s="1"/>
  <c r="D19" i="71" a="1"/>
  <c r="D19" i="71" s="1"/>
  <c r="F18" i="71" a="1"/>
  <c r="F18" i="71" s="1"/>
  <c r="E18" i="71" a="1"/>
  <c r="E18" i="71" s="1"/>
  <c r="D18" i="71" a="1"/>
  <c r="D18" i="71" s="1"/>
  <c r="F17" i="71" a="1"/>
  <c r="F17" i="71" s="1"/>
  <c r="E17" i="71" a="1"/>
  <c r="E17" i="71" s="1"/>
  <c r="D17" i="71" a="1"/>
  <c r="D17" i="71" s="1"/>
  <c r="F16" i="71" a="1"/>
  <c r="F16" i="71" s="1"/>
  <c r="E16" i="71" a="1"/>
  <c r="E16" i="71" s="1"/>
  <c r="D16" i="71" a="1"/>
  <c r="D16" i="71" s="1"/>
  <c r="F15" i="71" a="1"/>
  <c r="F15" i="71" s="1"/>
  <c r="E15" i="71" a="1"/>
  <c r="E15" i="71" s="1"/>
  <c r="D15" i="71" a="1"/>
  <c r="D15" i="71" s="1"/>
  <c r="F14" i="71" a="1"/>
  <c r="F14" i="71" s="1"/>
  <c r="E14" i="71" a="1"/>
  <c r="E14" i="71" s="1"/>
  <c r="D14" i="71" a="1"/>
  <c r="D14" i="71" s="1"/>
  <c r="F13" i="71" a="1"/>
  <c r="F13" i="71" s="1"/>
  <c r="E13" i="71" a="1"/>
  <c r="E13" i="71" s="1"/>
  <c r="D13" i="71" a="1"/>
  <c r="D13" i="71" s="1"/>
  <c r="F12" i="71" a="1"/>
  <c r="F12" i="71" s="1"/>
  <c r="E12" i="71" a="1"/>
  <c r="E12" i="71" s="1"/>
  <c r="D12" i="71" a="1"/>
  <c r="D12" i="71" s="1"/>
  <c r="F11" i="71" a="1"/>
  <c r="F11" i="71" s="1"/>
  <c r="E11" i="71" a="1"/>
  <c r="E11" i="71" s="1"/>
  <c r="D11" i="71" a="1"/>
  <c r="D11" i="71" s="1"/>
  <c r="F10" i="71" a="1"/>
  <c r="F10" i="71" s="1"/>
  <c r="E10" i="71" a="1"/>
  <c r="E10" i="71" s="1"/>
  <c r="D10" i="71" a="1"/>
  <c r="D10" i="71" s="1"/>
  <c r="D8" i="71" a="1"/>
  <c r="D8" i="71" s="1"/>
  <c r="D7" i="71" a="1"/>
  <c r="D7" i="71" s="1"/>
  <c r="D6" i="71" a="1"/>
  <c r="D6" i="71" s="1"/>
  <c r="E123" i="70" a="1"/>
  <c r="E123" i="70" s="1"/>
  <c r="D123" i="70" a="1"/>
  <c r="D123" i="70" s="1"/>
  <c r="E122" i="70" a="1"/>
  <c r="E122" i="70" s="1"/>
  <c r="D122" i="70" a="1"/>
  <c r="D122" i="70" s="1"/>
  <c r="E121" i="70" a="1"/>
  <c r="E121" i="70" s="1"/>
  <c r="D121" i="70" a="1"/>
  <c r="D121" i="70" s="1"/>
  <c r="E120" i="70" a="1"/>
  <c r="E120" i="70" s="1"/>
  <c r="D120" i="70" a="1"/>
  <c r="D120" i="70" s="1"/>
  <c r="D118" i="70" a="1"/>
  <c r="D118" i="70" s="1"/>
  <c r="D117" i="70" a="1"/>
  <c r="D117" i="70" s="1"/>
  <c r="F115" i="70" a="1"/>
  <c r="F115" i="70" s="1"/>
  <c r="E115" i="70" a="1"/>
  <c r="E115" i="70" s="1"/>
  <c r="D115" i="70" a="1"/>
  <c r="D115" i="70" s="1"/>
  <c r="D114" i="70" a="1"/>
  <c r="D114" i="70" s="1"/>
  <c r="D113" i="70" a="1"/>
  <c r="D113" i="70" s="1"/>
  <c r="D112" i="70" a="1"/>
  <c r="D112" i="70" s="1"/>
  <c r="E110" i="70" a="1"/>
  <c r="E110" i="70" s="1"/>
  <c r="D110" i="70" a="1"/>
  <c r="D110" i="70" s="1"/>
  <c r="D109" i="70" a="1"/>
  <c r="D109" i="70" s="1"/>
  <c r="D108" i="70" a="1"/>
  <c r="D108" i="70" s="1"/>
  <c r="F105" i="70" a="1"/>
  <c r="F105" i="70" s="1"/>
  <c r="E105" i="70" a="1"/>
  <c r="E105" i="70" s="1"/>
  <c r="D105" i="70" a="1"/>
  <c r="D105" i="70" s="1"/>
  <c r="F104" i="70" a="1"/>
  <c r="F104" i="70" s="1"/>
  <c r="E104" i="70" a="1"/>
  <c r="E104" i="70" s="1"/>
  <c r="D104" i="70" a="1"/>
  <c r="D104" i="70" s="1"/>
  <c r="F103" i="70" a="1"/>
  <c r="F103" i="70" s="1"/>
  <c r="E103" i="70" a="1"/>
  <c r="E103" i="70" s="1"/>
  <c r="D103" i="70" a="1"/>
  <c r="D103" i="70" s="1"/>
  <c r="F102" i="70" a="1"/>
  <c r="F102" i="70" s="1"/>
  <c r="E102" i="70" a="1"/>
  <c r="E102" i="70" s="1"/>
  <c r="D102" i="70" a="1"/>
  <c r="D102" i="70" s="1"/>
  <c r="F101" i="70" a="1"/>
  <c r="F101" i="70" s="1"/>
  <c r="E101" i="70" a="1"/>
  <c r="E101" i="70" s="1"/>
  <c r="D101" i="70" a="1"/>
  <c r="D101" i="70" s="1"/>
  <c r="F100" i="70" a="1"/>
  <c r="F100" i="70" s="1"/>
  <c r="E100" i="70" a="1"/>
  <c r="E100" i="70" s="1"/>
  <c r="D100" i="70" a="1"/>
  <c r="D100" i="70" s="1"/>
  <c r="F99" i="70" a="1"/>
  <c r="F99" i="70" s="1"/>
  <c r="E99" i="70" a="1"/>
  <c r="E99" i="70" s="1"/>
  <c r="D99" i="70" a="1"/>
  <c r="D99" i="70" s="1"/>
  <c r="F98" i="70" a="1"/>
  <c r="F98" i="70" s="1"/>
  <c r="E98" i="70" a="1"/>
  <c r="E98" i="70" s="1"/>
  <c r="D98" i="70" a="1"/>
  <c r="D98" i="70" s="1"/>
  <c r="D96" i="70" a="1"/>
  <c r="D96" i="70" s="1"/>
  <c r="D95" i="70" a="1"/>
  <c r="D95" i="70" s="1"/>
  <c r="D94" i="70" a="1"/>
  <c r="D94" i="70" s="1"/>
  <c r="F91" i="70" a="1"/>
  <c r="F91" i="70" s="1"/>
  <c r="E91" i="70" a="1"/>
  <c r="E91" i="70" s="1"/>
  <c r="D91" i="70" a="1"/>
  <c r="D91" i="70" s="1"/>
  <c r="F90" i="70" a="1"/>
  <c r="F90" i="70" s="1"/>
  <c r="E90" i="70" a="1"/>
  <c r="E90" i="70" s="1"/>
  <c r="D90" i="70" a="1"/>
  <c r="D90" i="70" s="1"/>
  <c r="F89" i="70" a="1"/>
  <c r="F89" i="70" s="1"/>
  <c r="E89" i="70" a="1"/>
  <c r="E89" i="70" s="1"/>
  <c r="D89" i="70" a="1"/>
  <c r="D89" i="70" s="1"/>
  <c r="F88" i="70" a="1"/>
  <c r="F88" i="70" s="1"/>
  <c r="E88" i="70" a="1"/>
  <c r="E88" i="70" s="1"/>
  <c r="D88" i="70" a="1"/>
  <c r="D88" i="70" s="1"/>
  <c r="F87" i="70" a="1"/>
  <c r="F87" i="70" s="1"/>
  <c r="E87" i="70" a="1"/>
  <c r="E87" i="70" s="1"/>
  <c r="D87" i="70" a="1"/>
  <c r="D87" i="70" s="1"/>
  <c r="F86" i="70" a="1"/>
  <c r="F86" i="70" s="1"/>
  <c r="E86" i="70" a="1"/>
  <c r="E86" i="70" s="1"/>
  <c r="D86" i="70" a="1"/>
  <c r="D86" i="70" s="1"/>
  <c r="F85" i="70" a="1"/>
  <c r="F85" i="70" s="1"/>
  <c r="E85" i="70" a="1"/>
  <c r="E85" i="70" s="1"/>
  <c r="D85" i="70" a="1"/>
  <c r="D85" i="70" s="1"/>
  <c r="D83" i="70" a="1"/>
  <c r="D83" i="70" s="1"/>
  <c r="D82" i="70" a="1"/>
  <c r="D82" i="70" s="1"/>
  <c r="D81" i="70" a="1"/>
  <c r="D81" i="70" s="1"/>
  <c r="F78" i="70" a="1"/>
  <c r="F78" i="70" s="1"/>
  <c r="E78" i="70" a="1"/>
  <c r="E78" i="70" s="1"/>
  <c r="D78" i="70" a="1"/>
  <c r="D78" i="70" s="1"/>
  <c r="F77" i="70" a="1"/>
  <c r="F77" i="70" s="1"/>
  <c r="E77" i="70" a="1"/>
  <c r="E77" i="70" s="1"/>
  <c r="D77" i="70" a="1"/>
  <c r="D77" i="70" s="1"/>
  <c r="F76" i="70" a="1"/>
  <c r="F76" i="70" s="1"/>
  <c r="E76" i="70" a="1"/>
  <c r="E76" i="70" s="1"/>
  <c r="D76" i="70" a="1"/>
  <c r="D76" i="70" s="1"/>
  <c r="D74" i="70" a="1"/>
  <c r="D74" i="70" s="1"/>
  <c r="D73" i="70" a="1"/>
  <c r="D73" i="70" s="1"/>
  <c r="D72" i="70" a="1"/>
  <c r="D72" i="70" s="1"/>
  <c r="N68" i="70" a="1"/>
  <c r="N68" i="70" s="1"/>
  <c r="M68" i="70" a="1"/>
  <c r="M68" i="70" s="1"/>
  <c r="L68" i="70" a="1"/>
  <c r="L68" i="70" s="1"/>
  <c r="K68" i="70" a="1"/>
  <c r="K68" i="70" s="1"/>
  <c r="J68" i="70" a="1"/>
  <c r="J68" i="70" s="1"/>
  <c r="I68" i="70" a="1"/>
  <c r="I68" i="70" s="1"/>
  <c r="H68" i="70" a="1"/>
  <c r="H68" i="70" s="1"/>
  <c r="G68" i="70" a="1"/>
  <c r="G68" i="70" s="1"/>
  <c r="F68" i="70" a="1"/>
  <c r="F68" i="70" s="1"/>
  <c r="E68" i="70" a="1"/>
  <c r="E68" i="70" s="1"/>
  <c r="D68" i="70" a="1"/>
  <c r="D68" i="70" s="1"/>
  <c r="N67" i="70" a="1"/>
  <c r="N67" i="70" s="1"/>
  <c r="M67" i="70" a="1"/>
  <c r="M67" i="70" s="1"/>
  <c r="L67" i="70" a="1"/>
  <c r="L67" i="70" s="1"/>
  <c r="K67" i="70" a="1"/>
  <c r="K67" i="70" s="1"/>
  <c r="J67" i="70" a="1"/>
  <c r="J67" i="70" s="1"/>
  <c r="I67" i="70" a="1"/>
  <c r="I67" i="70" s="1"/>
  <c r="H67" i="70" a="1"/>
  <c r="H67" i="70" s="1"/>
  <c r="G67" i="70" a="1"/>
  <c r="G67" i="70" s="1"/>
  <c r="F67" i="70" a="1"/>
  <c r="F67" i="70" s="1"/>
  <c r="E67" i="70" a="1"/>
  <c r="E67" i="70" s="1"/>
  <c r="D67" i="70" a="1"/>
  <c r="D67" i="70" s="1"/>
  <c r="N66" i="70" a="1"/>
  <c r="N66" i="70" s="1"/>
  <c r="M66" i="70" a="1"/>
  <c r="M66" i="70" s="1"/>
  <c r="L66" i="70" a="1"/>
  <c r="L66" i="70" s="1"/>
  <c r="K66" i="70" a="1"/>
  <c r="K66" i="70" s="1"/>
  <c r="J66" i="70" a="1"/>
  <c r="J66" i="70" s="1"/>
  <c r="I66" i="70" a="1"/>
  <c r="I66" i="70" s="1"/>
  <c r="H66" i="70" a="1"/>
  <c r="H66" i="70" s="1"/>
  <c r="G66" i="70" a="1"/>
  <c r="G66" i="70" s="1"/>
  <c r="F66" i="70" a="1"/>
  <c r="F66" i="70" s="1"/>
  <c r="E66" i="70" a="1"/>
  <c r="E66" i="70" s="1"/>
  <c r="D66" i="70" a="1"/>
  <c r="D66" i="70" s="1"/>
  <c r="N65" i="70" a="1"/>
  <c r="N65" i="70" s="1"/>
  <c r="M65" i="70" a="1"/>
  <c r="M65" i="70" s="1"/>
  <c r="L65" i="70" a="1"/>
  <c r="L65" i="70" s="1"/>
  <c r="K65" i="70" a="1"/>
  <c r="K65" i="70" s="1"/>
  <c r="J65" i="70" a="1"/>
  <c r="J65" i="70" s="1"/>
  <c r="I65" i="70" a="1"/>
  <c r="I65" i="70" s="1"/>
  <c r="H65" i="70" a="1"/>
  <c r="H65" i="70" s="1"/>
  <c r="G65" i="70" a="1"/>
  <c r="G65" i="70" s="1"/>
  <c r="F65" i="70" a="1"/>
  <c r="F65" i="70" s="1"/>
  <c r="E65" i="70" a="1"/>
  <c r="E65" i="70" s="1"/>
  <c r="D65" i="70" a="1"/>
  <c r="D65" i="70" s="1"/>
  <c r="N64" i="70" a="1"/>
  <c r="N64" i="70" s="1"/>
  <c r="M64" i="70" a="1"/>
  <c r="M64" i="70" s="1"/>
  <c r="L64" i="70" a="1"/>
  <c r="L64" i="70" s="1"/>
  <c r="K64" i="70" a="1"/>
  <c r="K64" i="70" s="1"/>
  <c r="J64" i="70" a="1"/>
  <c r="J64" i="70" s="1"/>
  <c r="I64" i="70" a="1"/>
  <c r="I64" i="70" s="1"/>
  <c r="H64" i="70" a="1"/>
  <c r="H64" i="70" s="1"/>
  <c r="G64" i="70" a="1"/>
  <c r="G64" i="70" s="1"/>
  <c r="F64" i="70" a="1"/>
  <c r="F64" i="70" s="1"/>
  <c r="E64" i="70" a="1"/>
  <c r="E64" i="70" s="1"/>
  <c r="D64" i="70" a="1"/>
  <c r="D64" i="70" s="1"/>
  <c r="N63" i="70" a="1"/>
  <c r="N63" i="70" s="1"/>
  <c r="M63" i="70" a="1"/>
  <c r="M63" i="70" s="1"/>
  <c r="L63" i="70" a="1"/>
  <c r="L63" i="70" s="1"/>
  <c r="K63" i="70" a="1"/>
  <c r="K63" i="70" s="1"/>
  <c r="J63" i="70" a="1"/>
  <c r="J63" i="70" s="1"/>
  <c r="I63" i="70" a="1"/>
  <c r="I63" i="70" s="1"/>
  <c r="H63" i="70" a="1"/>
  <c r="H63" i="70" s="1"/>
  <c r="G63" i="70" a="1"/>
  <c r="G63" i="70" s="1"/>
  <c r="F63" i="70" a="1"/>
  <c r="F63" i="70" s="1"/>
  <c r="E63" i="70" a="1"/>
  <c r="E63" i="70" s="1"/>
  <c r="D63" i="70" a="1"/>
  <c r="D63" i="70" s="1"/>
  <c r="N62" i="70" a="1"/>
  <c r="N62" i="70" s="1"/>
  <c r="M62" i="70" a="1"/>
  <c r="M62" i="70" s="1"/>
  <c r="L62" i="70" a="1"/>
  <c r="L62" i="70" s="1"/>
  <c r="K62" i="70" a="1"/>
  <c r="K62" i="70" s="1"/>
  <c r="J62" i="70" a="1"/>
  <c r="J62" i="70" s="1"/>
  <c r="I62" i="70" a="1"/>
  <c r="I62" i="70" s="1"/>
  <c r="H62" i="70" a="1"/>
  <c r="H62" i="70" s="1"/>
  <c r="G62" i="70" a="1"/>
  <c r="G62" i="70" s="1"/>
  <c r="F62" i="70" a="1"/>
  <c r="F62" i="70" s="1"/>
  <c r="E62" i="70" a="1"/>
  <c r="E62" i="70" s="1"/>
  <c r="D62" i="70" a="1"/>
  <c r="D62" i="70" s="1"/>
  <c r="N61" i="70" a="1"/>
  <c r="N61" i="70" s="1"/>
  <c r="M61" i="70" a="1"/>
  <c r="M61" i="70" s="1"/>
  <c r="L61" i="70" a="1"/>
  <c r="L61" i="70" s="1"/>
  <c r="K61" i="70" a="1"/>
  <c r="K61" i="70" s="1"/>
  <c r="J61" i="70" a="1"/>
  <c r="J61" i="70" s="1"/>
  <c r="I61" i="70" a="1"/>
  <c r="I61" i="70" s="1"/>
  <c r="H61" i="70" a="1"/>
  <c r="H61" i="70" s="1"/>
  <c r="G61" i="70" a="1"/>
  <c r="G61" i="70" s="1"/>
  <c r="F61" i="70" a="1"/>
  <c r="F61" i="70" s="1"/>
  <c r="E61" i="70" a="1"/>
  <c r="E61" i="70" s="1"/>
  <c r="D61" i="70" a="1"/>
  <c r="D61" i="70" s="1"/>
  <c r="N60" i="70" a="1"/>
  <c r="N60" i="70" s="1"/>
  <c r="M60" i="70" a="1"/>
  <c r="M60" i="70" s="1"/>
  <c r="L60" i="70" a="1"/>
  <c r="L60" i="70" s="1"/>
  <c r="K60" i="70" a="1"/>
  <c r="K60" i="70" s="1"/>
  <c r="J60" i="70" a="1"/>
  <c r="J60" i="70" s="1"/>
  <c r="I60" i="70" a="1"/>
  <c r="I60" i="70" s="1"/>
  <c r="H60" i="70" a="1"/>
  <c r="H60" i="70" s="1"/>
  <c r="G60" i="70" a="1"/>
  <c r="G60" i="70" s="1"/>
  <c r="F60" i="70" a="1"/>
  <c r="F60" i="70" s="1"/>
  <c r="E60" i="70" a="1"/>
  <c r="E60" i="70" s="1"/>
  <c r="D60" i="70" a="1"/>
  <c r="D60" i="70" s="1"/>
  <c r="D53" i="70" a="1"/>
  <c r="D53" i="70" s="1"/>
  <c r="D52" i="70" a="1"/>
  <c r="D52" i="70" s="1"/>
  <c r="D51" i="70" a="1"/>
  <c r="D51" i="70" s="1"/>
  <c r="D47" i="70" a="1"/>
  <c r="D47" i="70" s="1"/>
  <c r="D46" i="70" a="1"/>
  <c r="D46" i="70" s="1"/>
  <c r="D45" i="70" a="1"/>
  <c r="D45" i="70" s="1"/>
  <c r="E21" i="70" a="1"/>
  <c r="E21" i="70" s="1"/>
  <c r="D21" i="70" a="1"/>
  <c r="D21" i="70" s="1"/>
  <c r="E20" i="70" a="1"/>
  <c r="E20" i="70" s="1"/>
  <c r="D20" i="70" a="1"/>
  <c r="D20" i="70" s="1"/>
  <c r="D18" i="70" a="1"/>
  <c r="D18" i="70" s="1"/>
  <c r="D17" i="70" a="1"/>
  <c r="D17" i="70" s="1"/>
  <c r="H13" i="70" a="1"/>
  <c r="H13" i="70" s="1"/>
  <c r="G13" i="70" a="1"/>
  <c r="G13" i="70" s="1"/>
  <c r="F13" i="70" a="1"/>
  <c r="F13" i="70" s="1"/>
  <c r="E13" i="70" a="1"/>
  <c r="E13" i="70" s="1"/>
  <c r="D13" i="70" a="1"/>
  <c r="D13" i="70" s="1"/>
  <c r="H12" i="70" a="1"/>
  <c r="H12" i="70" s="1"/>
  <c r="G12" i="70" a="1"/>
  <c r="G12" i="70" s="1"/>
  <c r="F12" i="70" a="1"/>
  <c r="F12" i="70" s="1"/>
  <c r="E12" i="70" a="1"/>
  <c r="E12" i="70" s="1"/>
  <c r="D12" i="70" a="1"/>
  <c r="D12" i="70" s="1"/>
  <c r="H11" i="70" a="1"/>
  <c r="H11" i="70" s="1"/>
  <c r="G11" i="70" a="1"/>
  <c r="G11" i="70" s="1"/>
  <c r="F11" i="70" a="1"/>
  <c r="F11" i="70" s="1"/>
  <c r="E11" i="70" a="1"/>
  <c r="E11" i="70" s="1"/>
  <c r="D11" i="70" a="1"/>
  <c r="D11" i="70" s="1"/>
  <c r="H10" i="70" a="1"/>
  <c r="H10" i="70" s="1"/>
  <c r="G10" i="70" a="1"/>
  <c r="G10" i="70" s="1"/>
  <c r="F10" i="70" a="1"/>
  <c r="F10" i="70" s="1"/>
  <c r="E10" i="70"/>
  <c r="E10" i="70" a="1"/>
  <c r="D10" i="70" a="1"/>
  <c r="D10" i="70" s="1"/>
  <c r="H9" i="70" a="1"/>
  <c r="H9" i="70" s="1"/>
  <c r="G9" i="70" a="1"/>
  <c r="G9" i="70" s="1"/>
  <c r="F9" i="70" a="1"/>
  <c r="F9" i="70" s="1"/>
  <c r="E9" i="70" a="1"/>
  <c r="E9" i="70" s="1"/>
  <c r="D9" i="70" a="1"/>
  <c r="D9" i="70" s="1"/>
  <c r="D6" i="70" a="1"/>
  <c r="D6" i="70" s="1"/>
  <c r="D5" i="70" a="1"/>
  <c r="D5" i="70"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F113" i="69" a="1"/>
  <c r="F113" i="69" s="1"/>
  <c r="E113" i="69" a="1"/>
  <c r="E113" i="69" s="1"/>
  <c r="D113" i="69" a="1"/>
  <c r="D113" i="69" s="1"/>
  <c r="F112" i="69" a="1"/>
  <c r="F112" i="69" s="1"/>
  <c r="E112" i="69" a="1"/>
  <c r="E112" i="69" s="1"/>
  <c r="D112" i="69" a="1"/>
  <c r="D112" i="69" s="1"/>
  <c r="D110" i="69" a="1"/>
  <c r="D110" i="69" s="1"/>
  <c r="D109" i="69" a="1"/>
  <c r="D109" i="69" s="1"/>
  <c r="D108" i="69" a="1"/>
  <c r="D108" i="69" s="1"/>
  <c r="F105" i="69" a="1"/>
  <c r="F105" i="69" s="1"/>
  <c r="E105" i="69" a="1"/>
  <c r="E105" i="69" s="1"/>
  <c r="D105" i="69" a="1"/>
  <c r="D105" i="69" s="1"/>
  <c r="F104" i="69" a="1"/>
  <c r="F104" i="69" s="1"/>
  <c r="E104" i="69" a="1"/>
  <c r="E104" i="69" s="1"/>
  <c r="D104" i="69" a="1"/>
  <c r="D104" i="69" s="1"/>
  <c r="F103" i="69" a="1"/>
  <c r="F103" i="69" s="1"/>
  <c r="E103" i="69" a="1"/>
  <c r="E103" i="69" s="1"/>
  <c r="D103" i="69" a="1"/>
  <c r="D103" i="69" s="1"/>
  <c r="F102" i="69" a="1"/>
  <c r="F102" i="69" s="1"/>
  <c r="E102" i="69" a="1"/>
  <c r="E102" i="69" s="1"/>
  <c r="D102" i="69" a="1"/>
  <c r="D102" i="69" s="1"/>
  <c r="F101" i="69" a="1"/>
  <c r="F101" i="69" s="1"/>
  <c r="E101" i="69" a="1"/>
  <c r="E101" i="69" s="1"/>
  <c r="D101" i="69" a="1"/>
  <c r="D101" i="69" s="1"/>
  <c r="F100" i="69" a="1"/>
  <c r="F100" i="69" s="1"/>
  <c r="E100" i="69" a="1"/>
  <c r="E100" i="69" s="1"/>
  <c r="D100" i="69" a="1"/>
  <c r="D100" i="69" s="1"/>
  <c r="D98" i="69" a="1"/>
  <c r="D98" i="69" s="1"/>
  <c r="D97" i="69" a="1"/>
  <c r="D97" i="69" s="1"/>
  <c r="D96" i="69" a="1"/>
  <c r="D96" i="69" s="1"/>
  <c r="G93" i="69" a="1"/>
  <c r="G93" i="69" s="1"/>
  <c r="F93" i="69" a="1"/>
  <c r="F93" i="69" s="1"/>
  <c r="E93" i="69" a="1"/>
  <c r="E93" i="69" s="1"/>
  <c r="D93" i="69" a="1"/>
  <c r="D93" i="69" s="1"/>
  <c r="G92" i="69" a="1"/>
  <c r="G92" i="69" s="1"/>
  <c r="F92" i="69" a="1"/>
  <c r="F92" i="69" s="1"/>
  <c r="E92" i="69" a="1"/>
  <c r="E92" i="69" s="1"/>
  <c r="D92" i="69" a="1"/>
  <c r="D92" i="69" s="1"/>
  <c r="G91" i="69" a="1"/>
  <c r="G91" i="69" s="1"/>
  <c r="F91" i="69" a="1"/>
  <c r="F91" i="69" s="1"/>
  <c r="E91" i="69" a="1"/>
  <c r="E91" i="69" s="1"/>
  <c r="D91" i="69" a="1"/>
  <c r="D91" i="69" s="1"/>
  <c r="G90" i="69" a="1"/>
  <c r="G90" i="69" s="1"/>
  <c r="F90" i="69" a="1"/>
  <c r="F90" i="69" s="1"/>
  <c r="E90" i="69" a="1"/>
  <c r="E90" i="69" s="1"/>
  <c r="D90" i="69" a="1"/>
  <c r="D90" i="69" s="1"/>
  <c r="D87" i="69" a="1"/>
  <c r="D87" i="69" s="1"/>
  <c r="D86" i="69" a="1"/>
  <c r="D86" i="69" s="1"/>
  <c r="D85" i="69" a="1"/>
  <c r="D85" i="69" s="1"/>
  <c r="E82" i="69" a="1"/>
  <c r="E82" i="69" s="1"/>
  <c r="D82" i="69" a="1"/>
  <c r="D82" i="69" s="1"/>
  <c r="E81" i="69" a="1"/>
  <c r="E81" i="69" s="1"/>
  <c r="D81" i="69" a="1"/>
  <c r="D81" i="69" s="1"/>
  <c r="E80" i="69" a="1"/>
  <c r="E80" i="69" s="1"/>
  <c r="D80" i="69" a="1"/>
  <c r="D80" i="69" s="1"/>
  <c r="E79" i="69" a="1"/>
  <c r="E79" i="69" s="1"/>
  <c r="D79" i="69" a="1"/>
  <c r="D79" i="69" s="1"/>
  <c r="D76" i="69" a="1"/>
  <c r="D76" i="69" s="1"/>
  <c r="D75" i="69" a="1"/>
  <c r="D75" i="69" s="1"/>
  <c r="D74" i="69" a="1"/>
  <c r="D74" i="69" s="1"/>
  <c r="E71" i="69" a="1"/>
  <c r="E71" i="69" s="1"/>
  <c r="D71" i="69" a="1"/>
  <c r="D71" i="69" s="1"/>
  <c r="E70" i="69" a="1"/>
  <c r="E70" i="69" s="1"/>
  <c r="D70" i="69" a="1"/>
  <c r="D70" i="69" s="1"/>
  <c r="E69" i="69" a="1"/>
  <c r="E69" i="69" s="1"/>
  <c r="D69" i="69" a="1"/>
  <c r="D69" i="69" s="1"/>
  <c r="E68" i="69" a="1"/>
  <c r="E68" i="69" s="1"/>
  <c r="D68" i="69" a="1"/>
  <c r="D68" i="69" s="1"/>
  <c r="D65" i="69" a="1"/>
  <c r="D65" i="69" s="1"/>
  <c r="D64" i="69" a="1"/>
  <c r="D64" i="69" s="1"/>
  <c r="D63" i="69" a="1"/>
  <c r="D63" i="69" s="1"/>
  <c r="G56" i="69" a="1"/>
  <c r="G56" i="69" s="1"/>
  <c r="G55" i="69" a="1"/>
  <c r="G55" i="69" s="1"/>
  <c r="G54" i="69" a="1"/>
  <c r="G54" i="69" s="1"/>
  <c r="M35" i="69" a="1"/>
  <c r="M35" i="69" s="1"/>
  <c r="L35" i="69" a="1"/>
  <c r="L35" i="69" s="1"/>
  <c r="K35" i="69" a="1"/>
  <c r="K35" i="69" s="1"/>
  <c r="J35" i="69" a="1"/>
  <c r="J35" i="69" s="1"/>
  <c r="I35" i="69" a="1"/>
  <c r="I35" i="69" s="1"/>
  <c r="H35" i="69" a="1"/>
  <c r="H35" i="69" s="1"/>
  <c r="G35" i="69" a="1"/>
  <c r="G35" i="69" s="1"/>
  <c r="F35" i="69" a="1"/>
  <c r="F35" i="69" s="1"/>
  <c r="E35" i="69" a="1"/>
  <c r="E35" i="69" s="1"/>
  <c r="D35" i="69" a="1"/>
  <c r="D35" i="69" s="1"/>
  <c r="M34" i="69" a="1"/>
  <c r="M34" i="69" s="1"/>
  <c r="L34" i="69" a="1"/>
  <c r="L34" i="69" s="1"/>
  <c r="K34" i="69" a="1"/>
  <c r="K34" i="69" s="1"/>
  <c r="J34" i="69" a="1"/>
  <c r="J34" i="69" s="1"/>
  <c r="I34" i="69" a="1"/>
  <c r="I34" i="69" s="1"/>
  <c r="H34" i="69" a="1"/>
  <c r="H34" i="69" s="1"/>
  <c r="G34" i="69" a="1"/>
  <c r="G34" i="69" s="1"/>
  <c r="F34" i="69" a="1"/>
  <c r="F34" i="69" s="1"/>
  <c r="E34" i="69" a="1"/>
  <c r="E34" i="69" s="1"/>
  <c r="D34" i="69" a="1"/>
  <c r="D34" i="69" s="1"/>
  <c r="M33" i="69" a="1"/>
  <c r="M33" i="69" s="1"/>
  <c r="L33" i="69" a="1"/>
  <c r="L33" i="69" s="1"/>
  <c r="K33" i="69" a="1"/>
  <c r="K33" i="69" s="1"/>
  <c r="J33" i="69" a="1"/>
  <c r="J33" i="69" s="1"/>
  <c r="I33" i="69" a="1"/>
  <c r="I33" i="69" s="1"/>
  <c r="H33" i="69" a="1"/>
  <c r="H33" i="69" s="1"/>
  <c r="G33" i="69" a="1"/>
  <c r="G33" i="69" s="1"/>
  <c r="F33" i="69" a="1"/>
  <c r="F33" i="69" s="1"/>
  <c r="E33" i="69" a="1"/>
  <c r="E33" i="69" s="1"/>
  <c r="D33" i="69" a="1"/>
  <c r="D33" i="69" s="1"/>
  <c r="M32" i="69" a="1"/>
  <c r="M32" i="69" s="1"/>
  <c r="L32" i="69" a="1"/>
  <c r="L32" i="69" s="1"/>
  <c r="K32" i="69" a="1"/>
  <c r="K32" i="69" s="1"/>
  <c r="J32" i="69" a="1"/>
  <c r="J32" i="69" s="1"/>
  <c r="I32" i="69" a="1"/>
  <c r="I32" i="69" s="1"/>
  <c r="H32" i="69" a="1"/>
  <c r="H32" i="69" s="1"/>
  <c r="G32" i="69" a="1"/>
  <c r="G32" i="69" s="1"/>
  <c r="F32" i="69" a="1"/>
  <c r="F32" i="69" s="1"/>
  <c r="E32" i="69" a="1"/>
  <c r="E32" i="69" s="1"/>
  <c r="D32" i="69" a="1"/>
  <c r="D32" i="69" s="1"/>
  <c r="M31" i="69" a="1"/>
  <c r="M31" i="69" s="1"/>
  <c r="L31" i="69" a="1"/>
  <c r="L31" i="69" s="1"/>
  <c r="K31" i="69" a="1"/>
  <c r="K31" i="69" s="1"/>
  <c r="J31" i="69" a="1"/>
  <c r="J31" i="69" s="1"/>
  <c r="I31" i="69" a="1"/>
  <c r="I31" i="69" s="1"/>
  <c r="H31" i="69" a="1"/>
  <c r="H31" i="69" s="1"/>
  <c r="G31" i="69" a="1"/>
  <c r="G31" i="69" s="1"/>
  <c r="F31" i="69" a="1"/>
  <c r="F31" i="69" s="1"/>
  <c r="E31" i="69" a="1"/>
  <c r="E31" i="69" s="1"/>
  <c r="D31" i="69" a="1"/>
  <c r="D31" i="69" s="1"/>
  <c r="M30" i="69" a="1"/>
  <c r="M30" i="69" s="1"/>
  <c r="L30" i="69" a="1"/>
  <c r="L30" i="69" s="1"/>
  <c r="K30" i="69" a="1"/>
  <c r="K30" i="69" s="1"/>
  <c r="J30" i="69" a="1"/>
  <c r="J30" i="69" s="1"/>
  <c r="I30" i="69" a="1"/>
  <c r="I30" i="69" s="1"/>
  <c r="H30" i="69" a="1"/>
  <c r="H30" i="69" s="1"/>
  <c r="G30" i="69" a="1"/>
  <c r="G30" i="69" s="1"/>
  <c r="F30" i="69" a="1"/>
  <c r="F30" i="69" s="1"/>
  <c r="E30" i="69" a="1"/>
  <c r="E30" i="69" s="1"/>
  <c r="D30" i="69" a="1"/>
  <c r="D30" i="69" s="1"/>
  <c r="M29" i="69" a="1"/>
  <c r="M29" i="69" s="1"/>
  <c r="L29" i="69" a="1"/>
  <c r="L29" i="69" s="1"/>
  <c r="K29" i="69" a="1"/>
  <c r="K29" i="69" s="1"/>
  <c r="J29" i="69" a="1"/>
  <c r="J29" i="69" s="1"/>
  <c r="I29" i="69" a="1"/>
  <c r="I29" i="69" s="1"/>
  <c r="H29" i="69" a="1"/>
  <c r="H29" i="69" s="1"/>
  <c r="G29" i="69" a="1"/>
  <c r="G29" i="69" s="1"/>
  <c r="F29" i="69" a="1"/>
  <c r="F29" i="69" s="1"/>
  <c r="E29" i="69" a="1"/>
  <c r="E29" i="69" s="1"/>
  <c r="D29" i="69" a="1"/>
  <c r="D29" i="69" s="1"/>
  <c r="D26" i="69" a="1"/>
  <c r="D26" i="69" s="1"/>
  <c r="D25" i="69" a="1"/>
  <c r="D25" i="69" s="1"/>
  <c r="D24" i="69" a="1"/>
  <c r="D24" i="69" s="1"/>
  <c r="F21" i="69" a="1"/>
  <c r="F21" i="69" s="1"/>
  <c r="E21" i="69" a="1"/>
  <c r="E21" i="69" s="1"/>
  <c r="D21" i="69" a="1"/>
  <c r="D21" i="69" s="1"/>
  <c r="D20" i="69" a="1"/>
  <c r="D20" i="69" s="1"/>
  <c r="D19" i="69" a="1"/>
  <c r="D19" i="69" s="1"/>
  <c r="F17" i="69" a="1"/>
  <c r="F17" i="69" s="1"/>
  <c r="E17" i="69" a="1"/>
  <c r="E17" i="69" s="1"/>
  <c r="D17" i="69" a="1"/>
  <c r="D17" i="69" s="1"/>
  <c r="D16" i="69" a="1"/>
  <c r="D16" i="69" s="1"/>
  <c r="D15" i="69" a="1"/>
  <c r="D15" i="69" s="1"/>
  <c r="D14" i="69" a="1"/>
  <c r="D14" i="69" s="1"/>
  <c r="D233" i="68" a="1"/>
  <c r="D233" i="68" s="1"/>
  <c r="D232" i="68" a="1"/>
  <c r="D232" i="68" s="1"/>
  <c r="D231" i="68" a="1"/>
  <c r="D231" i="68" s="1"/>
  <c r="D230" i="68" a="1"/>
  <c r="D230" i="68" s="1"/>
  <c r="D229" i="68" a="1"/>
  <c r="D229" i="68" s="1"/>
  <c r="D227" i="68" a="1"/>
  <c r="D227" i="68" s="1"/>
  <c r="D226" i="68" a="1"/>
  <c r="D226" i="68" s="1"/>
  <c r="D225" i="68" a="1"/>
  <c r="D225" i="68" s="1"/>
  <c r="D224" i="68" a="1"/>
  <c r="D224" i="68" s="1"/>
  <c r="D223" i="68" a="1"/>
  <c r="D223" i="68" s="1"/>
  <c r="D221" i="68" a="1"/>
  <c r="D221" i="68" s="1"/>
  <c r="D220" i="68" a="1"/>
  <c r="D220" i="68" s="1"/>
  <c r="D219" i="68" a="1"/>
  <c r="D219" i="68" s="1"/>
  <c r="D218" i="68" a="1"/>
  <c r="D218" i="68" s="1"/>
  <c r="D217" i="68" a="1"/>
  <c r="D217" i="68" s="1"/>
  <c r="D215" i="68" a="1"/>
  <c r="D215" i="68" s="1"/>
  <c r="A215" i="68"/>
  <c r="D214" i="68" a="1"/>
  <c r="D214" i="68" s="1"/>
  <c r="D213" i="68" a="1"/>
  <c r="D213" i="68" s="1"/>
  <c r="D212" i="68" a="1"/>
  <c r="D212" i="68" s="1"/>
  <c r="D211" i="68" a="1"/>
  <c r="D211" i="68" s="1"/>
  <c r="D209" i="68" a="1"/>
  <c r="D209" i="68" s="1"/>
  <c r="D208" i="68" a="1"/>
  <c r="D208" i="68" s="1"/>
  <c r="D207" i="68" a="1"/>
  <c r="D207" i="68" s="1"/>
  <c r="D206" i="68" a="1"/>
  <c r="D206" i="68" s="1"/>
  <c r="D205" i="68" a="1"/>
  <c r="D205" i="68" s="1"/>
  <c r="D202" i="68" a="1"/>
  <c r="D202" i="68" s="1"/>
  <c r="D201" i="68" a="1"/>
  <c r="D201" i="68" s="1"/>
  <c r="D200" i="68" a="1"/>
  <c r="D200" i="68" s="1"/>
  <c r="D199" i="68" a="1"/>
  <c r="D199" i="68" s="1"/>
  <c r="D198" i="68" a="1"/>
  <c r="D198" i="68" s="1"/>
  <c r="D195" i="68" a="1"/>
  <c r="D195" i="68" s="1"/>
  <c r="D194" i="68" a="1"/>
  <c r="D194" i="68" s="1"/>
  <c r="D193" i="68" a="1"/>
  <c r="D193" i="68" s="1"/>
  <c r="D192" i="68" a="1"/>
  <c r="D192" i="68" s="1"/>
  <c r="D191" i="68" a="1"/>
  <c r="D191" i="68" s="1"/>
  <c r="D188" i="68" a="1"/>
  <c r="D188" i="68" s="1"/>
  <c r="D187" i="68" a="1"/>
  <c r="D187" i="68" s="1"/>
  <c r="D186" i="68" a="1"/>
  <c r="D186" i="68" s="1"/>
  <c r="D185" i="68" a="1"/>
  <c r="D185" i="68" s="1"/>
  <c r="D184" i="68" a="1"/>
  <c r="D184" i="68" s="1"/>
  <c r="D181" i="68" a="1"/>
  <c r="D181" i="68" s="1"/>
  <c r="D180" i="68" a="1"/>
  <c r="D180" i="68" s="1"/>
  <c r="D179" i="68" a="1"/>
  <c r="D179" i="68" s="1"/>
  <c r="D178" i="68" a="1"/>
  <c r="D178" i="68" s="1"/>
  <c r="D177" i="68" a="1"/>
  <c r="D177" i="68" s="1"/>
  <c r="D174" i="68" a="1"/>
  <c r="D174" i="68" s="1"/>
  <c r="A174" i="68"/>
  <c r="D173" i="68" a="1"/>
  <c r="D173" i="68" s="1"/>
  <c r="D172" i="68" a="1"/>
  <c r="D172" i="68" s="1"/>
  <c r="D171" i="68" a="1"/>
  <c r="D171" i="68" s="1"/>
  <c r="D170" i="68" a="1"/>
  <c r="D170" i="68" s="1"/>
  <c r="D167" i="68" a="1"/>
  <c r="D167" i="68" s="1"/>
  <c r="D166" i="68" a="1"/>
  <c r="D166" i="68" s="1"/>
  <c r="D165" i="68" a="1"/>
  <c r="D165" i="68" s="1"/>
  <c r="D164" i="68" a="1"/>
  <c r="D164" i="68" s="1"/>
  <c r="D163" i="68" a="1"/>
  <c r="D163" i="68" s="1"/>
  <c r="D160" i="68" a="1"/>
  <c r="D160" i="68" s="1"/>
  <c r="D159" i="68" a="1"/>
  <c r="D159" i="68" s="1"/>
  <c r="D158" i="68" a="1"/>
  <c r="D158" i="68" s="1"/>
  <c r="D157" i="68" a="1"/>
  <c r="D157" i="68" s="1"/>
  <c r="D156" i="68" a="1"/>
  <c r="D156" i="68" s="1"/>
  <c r="D153" i="68" a="1"/>
  <c r="D153" i="68" s="1"/>
  <c r="D152" i="68" a="1"/>
  <c r="D152" i="68" s="1"/>
  <c r="D151" i="68" a="1"/>
  <c r="D151" i="68" s="1"/>
  <c r="D150" i="68" a="1"/>
  <c r="D150" i="68" s="1"/>
  <c r="D149" i="68" a="1"/>
  <c r="D149" i="68" s="1"/>
  <c r="F146" i="68" a="1"/>
  <c r="F146" i="68" s="1"/>
  <c r="E146" i="68" a="1"/>
  <c r="E146" i="68" s="1"/>
  <c r="D146" i="68" a="1"/>
  <c r="D146" i="68" s="1"/>
  <c r="F145" i="68" a="1"/>
  <c r="F145" i="68" s="1"/>
  <c r="E145" i="68" a="1"/>
  <c r="E145" i="68" s="1"/>
  <c r="D145" i="68" a="1"/>
  <c r="D145" i="68" s="1"/>
  <c r="F144" i="68" a="1"/>
  <c r="F144" i="68" s="1"/>
  <c r="E144" i="68" a="1"/>
  <c r="E144" i="68" s="1"/>
  <c r="D144" i="68" a="1"/>
  <c r="D144" i="68" s="1"/>
  <c r="F143" i="68" a="1"/>
  <c r="F143" i="68" s="1"/>
  <c r="E143" i="68" a="1"/>
  <c r="E143" i="68" s="1"/>
  <c r="D143" i="68" a="1"/>
  <c r="D143" i="68" s="1"/>
  <c r="F142" i="68" a="1"/>
  <c r="F142" i="68" s="1"/>
  <c r="E142" i="68" a="1"/>
  <c r="E142" i="68" s="1"/>
  <c r="D142" i="68" a="1"/>
  <c r="D142" i="68" s="1"/>
  <c r="D140" i="68" a="1"/>
  <c r="D140" i="68" s="1"/>
  <c r="D139" i="68" a="1"/>
  <c r="D139" i="68" s="1"/>
  <c r="D138" i="68" a="1"/>
  <c r="D138" i="68" s="1"/>
  <c r="D137" i="68" a="1"/>
  <c r="D137" i="68" s="1"/>
  <c r="D136" i="68" a="1"/>
  <c r="D136" i="68" s="1"/>
  <c r="F133" i="68" a="1"/>
  <c r="F133" i="68" s="1"/>
  <c r="E133" i="68" a="1"/>
  <c r="E133" i="68" s="1"/>
  <c r="D133" i="68" a="1"/>
  <c r="D133" i="68" s="1"/>
  <c r="F132" i="68" a="1"/>
  <c r="F132" i="68" s="1"/>
  <c r="E132" i="68" a="1"/>
  <c r="E132" i="68" s="1"/>
  <c r="D132" i="68" a="1"/>
  <c r="D132" i="68" s="1"/>
  <c r="F131" i="68" a="1"/>
  <c r="F131" i="68" s="1"/>
  <c r="E131" i="68" a="1"/>
  <c r="E131" i="68" s="1"/>
  <c r="D131" i="68" a="1"/>
  <c r="D131" i="68" s="1"/>
  <c r="F130" i="68" a="1"/>
  <c r="F130" i="68" s="1"/>
  <c r="E130" i="68" a="1"/>
  <c r="E130" i="68" s="1"/>
  <c r="D130" i="68" a="1"/>
  <c r="D130" i="68" s="1"/>
  <c r="F129" i="68" a="1"/>
  <c r="F129" i="68" s="1"/>
  <c r="E129" i="68" a="1"/>
  <c r="E129" i="68" s="1"/>
  <c r="D129" i="68" a="1"/>
  <c r="D129" i="68" s="1"/>
  <c r="D127" i="68" a="1"/>
  <c r="D127" i="68" s="1"/>
  <c r="D126" i="68" a="1"/>
  <c r="D126" i="68" s="1"/>
  <c r="D125" i="68" a="1"/>
  <c r="D125" i="68" s="1"/>
  <c r="D124" i="68" a="1"/>
  <c r="D124" i="68" s="1"/>
  <c r="D123" i="68" a="1"/>
  <c r="D123" i="68" s="1"/>
  <c r="G120" i="68" a="1"/>
  <c r="G120" i="68" s="1"/>
  <c r="F120" i="68" a="1"/>
  <c r="F120" i="68" s="1"/>
  <c r="E120" i="68" a="1"/>
  <c r="E120" i="68" s="1"/>
  <c r="D120" i="68" a="1"/>
  <c r="D120" i="68" s="1"/>
  <c r="G119" i="68" a="1"/>
  <c r="G119" i="68" s="1"/>
  <c r="F119" i="68" a="1"/>
  <c r="F119" i="68" s="1"/>
  <c r="E119" i="68" a="1"/>
  <c r="E119" i="68" s="1"/>
  <c r="D119" i="68" a="1"/>
  <c r="D119" i="68" s="1"/>
  <c r="G118" i="68" a="1"/>
  <c r="G118" i="68" s="1"/>
  <c r="F118" i="68" a="1"/>
  <c r="F118" i="68" s="1"/>
  <c r="E118" i="68" a="1"/>
  <c r="E118" i="68" s="1"/>
  <c r="D118" i="68" a="1"/>
  <c r="D118" i="68" s="1"/>
  <c r="G117" i="68" a="1"/>
  <c r="G117" i="68" s="1"/>
  <c r="F117" i="68" a="1"/>
  <c r="F117" i="68" s="1"/>
  <c r="E117" i="68" a="1"/>
  <c r="E117" i="68" s="1"/>
  <c r="D117" i="68" a="1"/>
  <c r="D117" i="68" s="1"/>
  <c r="D115" i="68" a="1"/>
  <c r="D115" i="68" s="1"/>
  <c r="D114" i="68" a="1"/>
  <c r="D114" i="68" s="1"/>
  <c r="D113" i="68" a="1"/>
  <c r="D113" i="68" s="1"/>
  <c r="D112" i="68" a="1"/>
  <c r="D112" i="68" s="1"/>
  <c r="E109" i="68" a="1"/>
  <c r="E109" i="68" s="1"/>
  <c r="D109" i="68" a="1"/>
  <c r="D109" i="68" s="1"/>
  <c r="E108" i="68" a="1"/>
  <c r="E108" i="68" s="1"/>
  <c r="D108" i="68" a="1"/>
  <c r="D108" i="68" s="1"/>
  <c r="D106" i="68" a="1"/>
  <c r="D106" i="68" s="1"/>
  <c r="D105" i="68" a="1"/>
  <c r="D105" i="68" s="1"/>
  <c r="D104" i="68" a="1"/>
  <c r="D104" i="68" s="1"/>
  <c r="D103" i="68" a="1"/>
  <c r="D103" i="68" s="1"/>
  <c r="E100" i="68" a="1"/>
  <c r="E100" i="68" s="1"/>
  <c r="D100" i="68" a="1"/>
  <c r="D100" i="68" s="1"/>
  <c r="E99" i="68" a="1"/>
  <c r="E99" i="68" s="1"/>
  <c r="D99" i="68" a="1"/>
  <c r="D99" i="68" s="1"/>
  <c r="D97" i="68" a="1"/>
  <c r="D97" i="68" s="1"/>
  <c r="D96" i="68" a="1"/>
  <c r="D96" i="68" s="1"/>
  <c r="D95" i="68" a="1"/>
  <c r="D95" i="68" s="1"/>
  <c r="D94" i="68" a="1"/>
  <c r="D94" i="68" s="1"/>
  <c r="G91" i="68" a="1"/>
  <c r="G91" i="68" s="1"/>
  <c r="F91" i="68" a="1"/>
  <c r="F91" i="68" s="1"/>
  <c r="E91" i="68" a="1"/>
  <c r="E91" i="68" s="1"/>
  <c r="D91" i="68" a="1"/>
  <c r="D91" i="68" s="1"/>
  <c r="G90" i="68" a="1"/>
  <c r="G90" i="68" s="1"/>
  <c r="F90" i="68" a="1"/>
  <c r="F90" i="68" s="1"/>
  <c r="E90" i="68" a="1"/>
  <c r="E90" i="68" s="1"/>
  <c r="D90" i="68" a="1"/>
  <c r="D90" i="68" s="1"/>
  <c r="G89" i="68" a="1"/>
  <c r="G89" i="68" s="1"/>
  <c r="F89" i="68" a="1"/>
  <c r="F89" i="68" s="1"/>
  <c r="E89" i="68" a="1"/>
  <c r="E89" i="68" s="1"/>
  <c r="D89" i="68" a="1"/>
  <c r="D89" i="68" s="1"/>
  <c r="G88" i="68" a="1"/>
  <c r="G88" i="68" s="1"/>
  <c r="F88" i="68" a="1"/>
  <c r="F88" i="68" s="1"/>
  <c r="E88" i="68" a="1"/>
  <c r="E88" i="68" s="1"/>
  <c r="D88" i="68" a="1"/>
  <c r="D88" i="68" s="1"/>
  <c r="G87" i="68" a="1"/>
  <c r="G87" i="68" s="1"/>
  <c r="F87" i="68" a="1"/>
  <c r="F87" i="68" s="1"/>
  <c r="E87" i="68" a="1"/>
  <c r="E87" i="68" s="1"/>
  <c r="D87" i="68" a="1"/>
  <c r="D87" i="68" s="1"/>
  <c r="D85" i="68" a="1"/>
  <c r="D85" i="68" s="1"/>
  <c r="D84" i="68" a="1"/>
  <c r="D84" i="68" s="1"/>
  <c r="D83" i="68" a="1"/>
  <c r="D83" i="68" s="1"/>
  <c r="D82" i="68" a="1"/>
  <c r="D82" i="68" s="1"/>
  <c r="D81" i="68" a="1"/>
  <c r="D81" i="68" s="1"/>
  <c r="M78" i="68" a="1"/>
  <c r="M78" i="68" s="1"/>
  <c r="L78" i="68" a="1"/>
  <c r="L78" i="68" s="1"/>
  <c r="K78" i="68" a="1"/>
  <c r="K78" i="68" s="1"/>
  <c r="J78" i="68" a="1"/>
  <c r="J78" i="68" s="1"/>
  <c r="I78" i="68" a="1"/>
  <c r="I78" i="68" s="1"/>
  <c r="H78" i="68" a="1"/>
  <c r="H78" i="68" s="1"/>
  <c r="G78" i="68" a="1"/>
  <c r="G78" i="68" s="1"/>
  <c r="F78" i="68" a="1"/>
  <c r="F78" i="68" s="1"/>
  <c r="E78" i="68" a="1"/>
  <c r="E78" i="68" s="1"/>
  <c r="D78" i="68" a="1"/>
  <c r="D78" i="68" s="1"/>
  <c r="M77" i="68" a="1"/>
  <c r="M77" i="68" s="1"/>
  <c r="L77" i="68" a="1"/>
  <c r="L77" i="68" s="1"/>
  <c r="K77" i="68" a="1"/>
  <c r="K77" i="68" s="1"/>
  <c r="J77" i="68" a="1"/>
  <c r="J77" i="68" s="1"/>
  <c r="I77" i="68" a="1"/>
  <c r="I77" i="68" s="1"/>
  <c r="H77" i="68" a="1"/>
  <c r="H77" i="68" s="1"/>
  <c r="G77" i="68" a="1"/>
  <c r="G77" i="68" s="1"/>
  <c r="F77" i="68" a="1"/>
  <c r="F77" i="68" s="1"/>
  <c r="E77" i="68" a="1"/>
  <c r="E77" i="68" s="1"/>
  <c r="D77" i="68" a="1"/>
  <c r="D77" i="68" s="1"/>
  <c r="M76" i="68" a="1"/>
  <c r="M76" i="68" s="1"/>
  <c r="L76" i="68" a="1"/>
  <c r="L76" i="68" s="1"/>
  <c r="K76" i="68" a="1"/>
  <c r="K76" i="68" s="1"/>
  <c r="J76" i="68" a="1"/>
  <c r="J76" i="68" s="1"/>
  <c r="I76" i="68" a="1"/>
  <c r="I76" i="68" s="1"/>
  <c r="H76" i="68" a="1"/>
  <c r="H76" i="68" s="1"/>
  <c r="G76" i="68" a="1"/>
  <c r="G76" i="68" s="1"/>
  <c r="F76" i="68" a="1"/>
  <c r="F76" i="68" s="1"/>
  <c r="E76" i="68" a="1"/>
  <c r="E76" i="68" s="1"/>
  <c r="D76" i="68" a="1"/>
  <c r="D76" i="68" s="1"/>
  <c r="M75" i="68" a="1"/>
  <c r="M75" i="68" s="1"/>
  <c r="L75" i="68" a="1"/>
  <c r="L75" i="68" s="1"/>
  <c r="K75" i="68" a="1"/>
  <c r="K75" i="68" s="1"/>
  <c r="J75" i="68" a="1"/>
  <c r="J75" i="68" s="1"/>
  <c r="I75" i="68" a="1"/>
  <c r="I75" i="68" s="1"/>
  <c r="H75" i="68" a="1"/>
  <c r="H75" i="68" s="1"/>
  <c r="G75" i="68" a="1"/>
  <c r="G75" i="68" s="1"/>
  <c r="F75" i="68" a="1"/>
  <c r="F75" i="68" s="1"/>
  <c r="E75" i="68" a="1"/>
  <c r="E75" i="68" s="1"/>
  <c r="D75" i="68" a="1"/>
  <c r="D75" i="68" s="1"/>
  <c r="M74" i="68" a="1"/>
  <c r="M74" i="68" s="1"/>
  <c r="L74" i="68" a="1"/>
  <c r="L74" i="68" s="1"/>
  <c r="K74" i="68" a="1"/>
  <c r="K74" i="68" s="1"/>
  <c r="J74" i="68" a="1"/>
  <c r="J74" i="68" s="1"/>
  <c r="I74" i="68" a="1"/>
  <c r="I74" i="68" s="1"/>
  <c r="H74" i="68" a="1"/>
  <c r="H74" i="68" s="1"/>
  <c r="G74" i="68" a="1"/>
  <c r="G74" i="68" s="1"/>
  <c r="F74" i="68" a="1"/>
  <c r="F74" i="68" s="1"/>
  <c r="E74" i="68" a="1"/>
  <c r="E74" i="68" s="1"/>
  <c r="D74" i="68" a="1"/>
  <c r="D74" i="68" s="1"/>
  <c r="M73" i="68" a="1"/>
  <c r="M73" i="68" s="1"/>
  <c r="L73" i="68" a="1"/>
  <c r="L73" i="68" s="1"/>
  <c r="K73" i="68" a="1"/>
  <c r="K73" i="68" s="1"/>
  <c r="J73" i="68" a="1"/>
  <c r="J73" i="68" s="1"/>
  <c r="I73" i="68" a="1"/>
  <c r="I73" i="68" s="1"/>
  <c r="H73" i="68" a="1"/>
  <c r="H73" i="68" s="1"/>
  <c r="G73" i="68" a="1"/>
  <c r="G73" i="68" s="1"/>
  <c r="F73" i="68" a="1"/>
  <c r="F73" i="68" s="1"/>
  <c r="E73" i="68" a="1"/>
  <c r="E73" i="68" s="1"/>
  <c r="D73" i="68" a="1"/>
  <c r="D73" i="68" s="1"/>
  <c r="D71" i="68" a="1"/>
  <c r="D71" i="68" s="1"/>
  <c r="D70" i="68" a="1"/>
  <c r="D70" i="68" s="1"/>
  <c r="D69" i="68" a="1"/>
  <c r="D69" i="68" s="1"/>
  <c r="D68" i="68" a="1"/>
  <c r="D68" i="68" s="1"/>
  <c r="D67" i="68" a="1"/>
  <c r="D67" i="68" s="1"/>
  <c r="G64" i="68" a="1"/>
  <c r="G64" i="68" s="1"/>
  <c r="F64" i="68" a="1"/>
  <c r="F64" i="68" s="1"/>
  <c r="E64" i="68" a="1"/>
  <c r="E64" i="68" s="1"/>
  <c r="D64" i="68" a="1"/>
  <c r="D64" i="68" s="1"/>
  <c r="G63" i="68" a="1"/>
  <c r="G63" i="68" s="1"/>
  <c r="F63" i="68" a="1"/>
  <c r="F63" i="68" s="1"/>
  <c r="E63" i="68" a="1"/>
  <c r="E63" i="68" s="1"/>
  <c r="D63" i="68" a="1"/>
  <c r="D63" i="68" s="1"/>
  <c r="D61" i="68" a="1"/>
  <c r="D61" i="68" s="1"/>
  <c r="D60" i="68" a="1"/>
  <c r="D60" i="68" s="1"/>
  <c r="D59" i="68" a="1"/>
  <c r="D59" i="68" s="1"/>
  <c r="D58" i="68" a="1"/>
  <c r="D58" i="68" s="1"/>
  <c r="H55" i="68" a="1"/>
  <c r="H55" i="68" s="1"/>
  <c r="G55" i="68" a="1"/>
  <c r="G55" i="68" s="1"/>
  <c r="F55" i="68" a="1"/>
  <c r="F55" i="68" s="1"/>
  <c r="E55" i="68" a="1"/>
  <c r="E55" i="68" s="1"/>
  <c r="D55" i="68" a="1"/>
  <c r="D55" i="68" s="1"/>
  <c r="D53" i="68" a="1"/>
  <c r="D53" i="68" s="1"/>
  <c r="D52" i="68" a="1"/>
  <c r="D52" i="68" s="1"/>
  <c r="D51" i="68" a="1"/>
  <c r="D51" i="68" s="1"/>
  <c r="D50" i="68" a="1"/>
  <c r="D50" i="68" s="1"/>
  <c r="H47" i="68" a="1"/>
  <c r="H47" i="68" s="1"/>
  <c r="G47" i="68" a="1"/>
  <c r="G47" i="68" s="1"/>
  <c r="F47" i="68" a="1"/>
  <c r="F47" i="68" s="1"/>
  <c r="E47" i="68" a="1"/>
  <c r="E47" i="68" s="1"/>
  <c r="D47" i="68" a="1"/>
  <c r="D47" i="68" s="1"/>
  <c r="D45" i="68" a="1"/>
  <c r="D45" i="68" s="1"/>
  <c r="D44" i="68" a="1"/>
  <c r="D44" i="68" s="1"/>
  <c r="D43" i="68" a="1"/>
  <c r="D43" i="68" s="1"/>
  <c r="D42" i="68" a="1"/>
  <c r="D42" i="68" s="1"/>
  <c r="F39" i="68" a="1"/>
  <c r="F39" i="68" s="1"/>
  <c r="E39" i="68" a="1"/>
  <c r="E39" i="68" s="1"/>
  <c r="D39" i="68" a="1"/>
  <c r="D39" i="68" s="1"/>
  <c r="D37" i="68" a="1"/>
  <c r="D37" i="68" s="1"/>
  <c r="D36" i="68" a="1"/>
  <c r="D36" i="68" s="1"/>
  <c r="D35" i="68" a="1"/>
  <c r="D35" i="68" s="1"/>
  <c r="D34" i="68" a="1"/>
  <c r="D34" i="68" s="1"/>
  <c r="G31" i="68" a="1"/>
  <c r="G31" i="68" s="1"/>
  <c r="F31" i="68" a="1"/>
  <c r="F31" i="68" s="1"/>
  <c r="E31" i="68" a="1"/>
  <c r="E31" i="68" s="1"/>
  <c r="D31" i="68" a="1"/>
  <c r="D31" i="68" s="1"/>
  <c r="G30" i="68" a="1"/>
  <c r="G30" i="68" s="1"/>
  <c r="F30" i="68" a="1"/>
  <c r="F30" i="68" s="1"/>
  <c r="E30" i="68" a="1"/>
  <c r="E30" i="68" s="1"/>
  <c r="D30" i="68" a="1"/>
  <c r="D30" i="68" s="1"/>
  <c r="G29" i="68" a="1"/>
  <c r="G29" i="68" s="1"/>
  <c r="F29" i="68" a="1"/>
  <c r="F29" i="68" s="1"/>
  <c r="E29" i="68" a="1"/>
  <c r="E29" i="68" s="1"/>
  <c r="D29" i="68" a="1"/>
  <c r="D29" i="68" s="1"/>
  <c r="G28" i="68" a="1"/>
  <c r="G28" i="68" s="1"/>
  <c r="F28" i="68" a="1"/>
  <c r="F28" i="68" s="1"/>
  <c r="E28" i="68" a="1"/>
  <c r="E28" i="68" s="1"/>
  <c r="D28" i="68" a="1"/>
  <c r="D28" i="68" s="1"/>
  <c r="G27" i="68" a="1"/>
  <c r="G27" i="68" s="1"/>
  <c r="F27" i="68" a="1"/>
  <c r="F27" i="68" s="1"/>
  <c r="E27" i="68" a="1"/>
  <c r="E27" i="68" s="1"/>
  <c r="D27" i="68" a="1"/>
  <c r="D27" i="68" s="1"/>
  <c r="G26" i="68" a="1"/>
  <c r="G26" i="68" s="1"/>
  <c r="F26" i="68" a="1"/>
  <c r="F26" i="68" s="1"/>
  <c r="E26" i="68" a="1"/>
  <c r="E26" i="68" s="1"/>
  <c r="D26" i="68" a="1"/>
  <c r="D26" i="68" s="1"/>
  <c r="G25" i="68" a="1"/>
  <c r="G25" i="68" s="1"/>
  <c r="F25" i="68" a="1"/>
  <c r="F25" i="68" s="1"/>
  <c r="E25" i="68" a="1"/>
  <c r="E25" i="68" s="1"/>
  <c r="D25" i="68" a="1"/>
  <c r="D25" i="68" s="1"/>
  <c r="G24" i="68" a="1"/>
  <c r="G24" i="68" s="1"/>
  <c r="F24" i="68" a="1"/>
  <c r="F24" i="68" s="1"/>
  <c r="E24" i="68" a="1"/>
  <c r="E24" i="68" s="1"/>
  <c r="D24" i="68" a="1"/>
  <c r="D24" i="68" s="1"/>
  <c r="G23" i="68" a="1"/>
  <c r="G23" i="68" s="1"/>
  <c r="F23" i="68" a="1"/>
  <c r="F23" i="68" s="1"/>
  <c r="E23" i="68" a="1"/>
  <c r="E23" i="68" s="1"/>
  <c r="D23" i="68" a="1"/>
  <c r="D23" i="68" s="1"/>
  <c r="G22" i="68" a="1"/>
  <c r="G22" i="68" s="1"/>
  <c r="F22" i="68" a="1"/>
  <c r="F22" i="68" s="1"/>
  <c r="E22" i="68" a="1"/>
  <c r="E22" i="68" s="1"/>
  <c r="D22" i="68" a="1"/>
  <c r="D22" i="68" s="1"/>
  <c r="D20" i="68" a="1"/>
  <c r="D20" i="68" s="1"/>
  <c r="D19" i="68" a="1"/>
  <c r="D19" i="68" s="1"/>
  <c r="D18" i="68" a="1"/>
  <c r="D18" i="68" s="1"/>
  <c r="D17" i="68" a="1"/>
  <c r="D17" i="68" s="1"/>
  <c r="D16" i="68" a="1"/>
  <c r="D16" i="68" s="1"/>
  <c r="I483" i="67" a="1"/>
  <c r="I483" i="67" s="1"/>
  <c r="H483" i="67" a="1"/>
  <c r="H483" i="67" s="1"/>
  <c r="G483" i="67" a="1"/>
  <c r="G483" i="67" s="1"/>
  <c r="F483" i="67" a="1"/>
  <c r="F483" i="67" s="1"/>
  <c r="E483" i="67" a="1"/>
  <c r="E483" i="67" s="1"/>
  <c r="D483" i="67" a="1"/>
  <c r="D483" i="67" s="1"/>
  <c r="I482" i="67" a="1"/>
  <c r="I482" i="67" s="1"/>
  <c r="H482" i="67" a="1"/>
  <c r="H482" i="67" s="1"/>
  <c r="G482" i="67" a="1"/>
  <c r="G482" i="67" s="1"/>
  <c r="F482" i="67" a="1"/>
  <c r="F482" i="67" s="1"/>
  <c r="E482" i="67" a="1"/>
  <c r="E482" i="67" s="1"/>
  <c r="D482" i="67" a="1"/>
  <c r="D482" i="67" s="1"/>
  <c r="I481" i="67" a="1"/>
  <c r="I481" i="67" s="1"/>
  <c r="H481" i="67" a="1"/>
  <c r="H481" i="67" s="1"/>
  <c r="G481" i="67" a="1"/>
  <c r="G481" i="67" s="1"/>
  <c r="F481" i="67" a="1"/>
  <c r="F481" i="67" s="1"/>
  <c r="E481" i="67" a="1"/>
  <c r="E481" i="67" s="1"/>
  <c r="D481" i="67" a="1"/>
  <c r="D481" i="67" s="1"/>
  <c r="I480" i="67" a="1"/>
  <c r="I480" i="67" s="1"/>
  <c r="H480" i="67" a="1"/>
  <c r="H480" i="67" s="1"/>
  <c r="G480" i="67" a="1"/>
  <c r="G480" i="67" s="1"/>
  <c r="F480" i="67" a="1"/>
  <c r="F480" i="67" s="1"/>
  <c r="E480" i="67" a="1"/>
  <c r="E480" i="67" s="1"/>
  <c r="D480" i="67" a="1"/>
  <c r="D480" i="67" s="1"/>
  <c r="I479" i="67" a="1"/>
  <c r="I479" i="67" s="1"/>
  <c r="H479" i="67" a="1"/>
  <c r="H479" i="67" s="1"/>
  <c r="G479" i="67" a="1"/>
  <c r="G479" i="67" s="1"/>
  <c r="F479" i="67" a="1"/>
  <c r="F479" i="67" s="1"/>
  <c r="E479" i="67" a="1"/>
  <c r="E479" i="67" s="1"/>
  <c r="D479" i="67" a="1"/>
  <c r="D479" i="67" s="1"/>
  <c r="I478" i="67" a="1"/>
  <c r="I478" i="67" s="1"/>
  <c r="H478" i="67" a="1"/>
  <c r="H478" i="67" s="1"/>
  <c r="G478" i="67" a="1"/>
  <c r="G478" i="67" s="1"/>
  <c r="F478" i="67" a="1"/>
  <c r="F478" i="67" s="1"/>
  <c r="E478" i="67" a="1"/>
  <c r="E478" i="67" s="1"/>
  <c r="D478" i="67" a="1"/>
  <c r="D478" i="67" s="1"/>
  <c r="I477" i="67" a="1"/>
  <c r="I477" i="67" s="1"/>
  <c r="H477" i="67" a="1"/>
  <c r="H477" i="67" s="1"/>
  <c r="G477" i="67" a="1"/>
  <c r="G477" i="67" s="1"/>
  <c r="F477" i="67" a="1"/>
  <c r="F477" i="67" s="1"/>
  <c r="E477" i="67" a="1"/>
  <c r="E477" i="67" s="1"/>
  <c r="D477" i="67" a="1"/>
  <c r="D477" i="67" s="1"/>
  <c r="I476" i="67" a="1"/>
  <c r="I476" i="67" s="1"/>
  <c r="H476" i="67" a="1"/>
  <c r="H476" i="67" s="1"/>
  <c r="G476" i="67" a="1"/>
  <c r="G476" i="67" s="1"/>
  <c r="F476" i="67" a="1"/>
  <c r="F476" i="67" s="1"/>
  <c r="E476" i="67" a="1"/>
  <c r="E476" i="67" s="1"/>
  <c r="D476" i="67" a="1"/>
  <c r="D476" i="67" s="1"/>
  <c r="I475" i="67" a="1"/>
  <c r="I475" i="67" s="1"/>
  <c r="H475" i="67" a="1"/>
  <c r="H475" i="67" s="1"/>
  <c r="G475" i="67" a="1"/>
  <c r="G475" i="67" s="1"/>
  <c r="F475" i="67" a="1"/>
  <c r="F475" i="67" s="1"/>
  <c r="E475" i="67" a="1"/>
  <c r="E475" i="67" s="1"/>
  <c r="D475" i="67" a="1"/>
  <c r="D475" i="67" s="1"/>
  <c r="I474" i="67" a="1"/>
  <c r="I474" i="67" s="1"/>
  <c r="H474" i="67" a="1"/>
  <c r="H474" i="67" s="1"/>
  <c r="G474" i="67" a="1"/>
  <c r="G474" i="67" s="1"/>
  <c r="F474" i="67" a="1"/>
  <c r="F474" i="67" s="1"/>
  <c r="E474" i="67" a="1"/>
  <c r="E474" i="67" s="1"/>
  <c r="D474" i="67" a="1"/>
  <c r="D474" i="67" s="1"/>
  <c r="I473" i="67" a="1"/>
  <c r="I473" i="67" s="1"/>
  <c r="H473" i="67" a="1"/>
  <c r="H473" i="67" s="1"/>
  <c r="G473" i="67" a="1"/>
  <c r="G473" i="67" s="1"/>
  <c r="F473" i="67" a="1"/>
  <c r="F473" i="67" s="1"/>
  <c r="E473" i="67" a="1"/>
  <c r="E473" i="67" s="1"/>
  <c r="D473" i="67" a="1"/>
  <c r="D473" i="67" s="1"/>
  <c r="I472" i="67" a="1"/>
  <c r="I472" i="67" s="1"/>
  <c r="H472" i="67" a="1"/>
  <c r="H472" i="67" s="1"/>
  <c r="G472" i="67" a="1"/>
  <c r="G472" i="67" s="1"/>
  <c r="F472" i="67" a="1"/>
  <c r="F472" i="67" s="1"/>
  <c r="E472" i="67" a="1"/>
  <c r="E472" i="67" s="1"/>
  <c r="D472" i="67" a="1"/>
  <c r="D472" i="67" s="1"/>
  <c r="I471" i="67" a="1"/>
  <c r="I471" i="67" s="1"/>
  <c r="H471" i="67" a="1"/>
  <c r="H471" i="67" s="1"/>
  <c r="G471" i="67" a="1"/>
  <c r="G471" i="67" s="1"/>
  <c r="F471" i="67" a="1"/>
  <c r="F471" i="67" s="1"/>
  <c r="E471" i="67" a="1"/>
  <c r="E471" i="67" s="1"/>
  <c r="D471" i="67" a="1"/>
  <c r="D471" i="67" s="1"/>
  <c r="I470" i="67" a="1"/>
  <c r="I470" i="67" s="1"/>
  <c r="H470" i="67" a="1"/>
  <c r="H470" i="67" s="1"/>
  <c r="G470" i="67" a="1"/>
  <c r="G470" i="67" s="1"/>
  <c r="F470" i="67" a="1"/>
  <c r="F470" i="67" s="1"/>
  <c r="E470" i="67" a="1"/>
  <c r="E470" i="67" s="1"/>
  <c r="D470" i="67" a="1"/>
  <c r="D470" i="67" s="1"/>
  <c r="I469" i="67" a="1"/>
  <c r="I469" i="67" s="1"/>
  <c r="H469" i="67" a="1"/>
  <c r="H469" i="67" s="1"/>
  <c r="G469" i="67" a="1"/>
  <c r="G469" i="67" s="1"/>
  <c r="F469" i="67" a="1"/>
  <c r="F469" i="67" s="1"/>
  <c r="E469" i="67" a="1"/>
  <c r="E469" i="67" s="1"/>
  <c r="D469" i="67" a="1"/>
  <c r="D469" i="67" s="1"/>
  <c r="I468" i="67" a="1"/>
  <c r="I468" i="67" s="1"/>
  <c r="H468" i="67" a="1"/>
  <c r="H468" i="67" s="1"/>
  <c r="G468" i="67" a="1"/>
  <c r="G468" i="67" s="1"/>
  <c r="F468" i="67" a="1"/>
  <c r="F468" i="67" s="1"/>
  <c r="E468" i="67" a="1"/>
  <c r="E468" i="67" s="1"/>
  <c r="D468" i="67" a="1"/>
  <c r="D468" i="67" s="1"/>
  <c r="I467" i="67" a="1"/>
  <c r="I467" i="67" s="1"/>
  <c r="H467" i="67" a="1"/>
  <c r="H467" i="67" s="1"/>
  <c r="G467" i="67" a="1"/>
  <c r="G467" i="67" s="1"/>
  <c r="F467" i="67" a="1"/>
  <c r="F467" i="67" s="1"/>
  <c r="E467" i="67" a="1"/>
  <c r="E467" i="67" s="1"/>
  <c r="D467" i="67" a="1"/>
  <c r="D467" i="67" s="1"/>
  <c r="I466" i="67" a="1"/>
  <c r="I466" i="67" s="1"/>
  <c r="H466" i="67" a="1"/>
  <c r="H466" i="67" s="1"/>
  <c r="G466" i="67" a="1"/>
  <c r="G466" i="67" s="1"/>
  <c r="F466" i="67" a="1"/>
  <c r="F466" i="67" s="1"/>
  <c r="E466" i="67" a="1"/>
  <c r="E466" i="67" s="1"/>
  <c r="D466" i="67" a="1"/>
  <c r="D466" i="67" s="1"/>
  <c r="I465" i="67" a="1"/>
  <c r="I465" i="67" s="1"/>
  <c r="H465" i="67" a="1"/>
  <c r="H465" i="67" s="1"/>
  <c r="G465" i="67" a="1"/>
  <c r="G465" i="67" s="1"/>
  <c r="F465" i="67" a="1"/>
  <c r="F465" i="67" s="1"/>
  <c r="E465" i="67" a="1"/>
  <c r="E465" i="67" s="1"/>
  <c r="D465" i="67" a="1"/>
  <c r="D465" i="67" s="1"/>
  <c r="I464" i="67" a="1"/>
  <c r="I464" i="67" s="1"/>
  <c r="H464" i="67" a="1"/>
  <c r="H464" i="67" s="1"/>
  <c r="G464" i="67" a="1"/>
  <c r="G464" i="67" s="1"/>
  <c r="F464" i="67" a="1"/>
  <c r="F464" i="67" s="1"/>
  <c r="E464" i="67" a="1"/>
  <c r="E464" i="67" s="1"/>
  <c r="D464" i="67" a="1"/>
  <c r="D464" i="67" s="1"/>
  <c r="I463" i="67" a="1"/>
  <c r="I463" i="67" s="1"/>
  <c r="H463" i="67" a="1"/>
  <c r="H463" i="67" s="1"/>
  <c r="G463" i="67" a="1"/>
  <c r="G463" i="67" s="1"/>
  <c r="F463" i="67" a="1"/>
  <c r="F463" i="67" s="1"/>
  <c r="E463" i="67" a="1"/>
  <c r="E463" i="67" s="1"/>
  <c r="D463" i="67" a="1"/>
  <c r="D463" i="67" s="1"/>
  <c r="I462" i="67" a="1"/>
  <c r="I462" i="67" s="1"/>
  <c r="H462" i="67" a="1"/>
  <c r="H462" i="67" s="1"/>
  <c r="G462" i="67" a="1"/>
  <c r="G462" i="67" s="1"/>
  <c r="F462" i="67" a="1"/>
  <c r="F462" i="67" s="1"/>
  <c r="E462" i="67" a="1"/>
  <c r="E462" i="67" s="1"/>
  <c r="D462" i="67" a="1"/>
  <c r="D462" i="67" s="1"/>
  <c r="I461" i="67" a="1"/>
  <c r="I461" i="67" s="1"/>
  <c r="H461" i="67" a="1"/>
  <c r="H461" i="67" s="1"/>
  <c r="G461" i="67" a="1"/>
  <c r="G461" i="67" s="1"/>
  <c r="F461" i="67" a="1"/>
  <c r="F461" i="67" s="1"/>
  <c r="E461" i="67" a="1"/>
  <c r="E461" i="67" s="1"/>
  <c r="D461" i="67" a="1"/>
  <c r="D461" i="67" s="1"/>
  <c r="I460" i="67" a="1"/>
  <c r="I460" i="67" s="1"/>
  <c r="H460" i="67" a="1"/>
  <c r="H460" i="67" s="1"/>
  <c r="G460" i="67" a="1"/>
  <c r="G460" i="67" s="1"/>
  <c r="F460" i="67" a="1"/>
  <c r="F460" i="67" s="1"/>
  <c r="E460" i="67" a="1"/>
  <c r="E460" i="67" s="1"/>
  <c r="D460" i="67" a="1"/>
  <c r="D460" i="67" s="1"/>
  <c r="I459" i="67" a="1"/>
  <c r="I459" i="67" s="1"/>
  <c r="H459" i="67" a="1"/>
  <c r="H459" i="67" s="1"/>
  <c r="G459" i="67" a="1"/>
  <c r="G459" i="67" s="1"/>
  <c r="F459" i="67" a="1"/>
  <c r="F459" i="67" s="1"/>
  <c r="E459" i="67" a="1"/>
  <c r="E459" i="67" s="1"/>
  <c r="D459" i="67" a="1"/>
  <c r="D459" i="67" s="1"/>
  <c r="I458" i="67" a="1"/>
  <c r="I458" i="67" s="1"/>
  <c r="H458" i="67" a="1"/>
  <c r="H458" i="67" s="1"/>
  <c r="G458" i="67" a="1"/>
  <c r="G458" i="67" s="1"/>
  <c r="F458" i="67" a="1"/>
  <c r="F458" i="67" s="1"/>
  <c r="E458" i="67" a="1"/>
  <c r="E458" i="67" s="1"/>
  <c r="D458" i="67" a="1"/>
  <c r="D458" i="67" s="1"/>
  <c r="I457" i="67" a="1"/>
  <c r="I457" i="67" s="1"/>
  <c r="H457" i="67" a="1"/>
  <c r="H457" i="67" s="1"/>
  <c r="G457" i="67" a="1"/>
  <c r="G457" i="67" s="1"/>
  <c r="F457" i="67" a="1"/>
  <c r="F457" i="67" s="1"/>
  <c r="E457" i="67" a="1"/>
  <c r="E457" i="67" s="1"/>
  <c r="D457" i="67" a="1"/>
  <c r="D457" i="67" s="1"/>
  <c r="I456" i="67" a="1"/>
  <c r="I456" i="67" s="1"/>
  <c r="H456" i="67" a="1"/>
  <c r="H456" i="67" s="1"/>
  <c r="G456" i="67" a="1"/>
  <c r="G456" i="67" s="1"/>
  <c r="F456" i="67" a="1"/>
  <c r="F456" i="67" s="1"/>
  <c r="E456" i="67" a="1"/>
  <c r="E456" i="67" s="1"/>
  <c r="D456" i="67" a="1"/>
  <c r="D456" i="67" s="1"/>
  <c r="I455" i="67" a="1"/>
  <c r="I455" i="67" s="1"/>
  <c r="H455" i="67" a="1"/>
  <c r="H455" i="67" s="1"/>
  <c r="G455" i="67" a="1"/>
  <c r="G455" i="67" s="1"/>
  <c r="F455" i="67" a="1"/>
  <c r="F455" i="67" s="1"/>
  <c r="E455" i="67" a="1"/>
  <c r="E455" i="67" s="1"/>
  <c r="D455" i="67" a="1"/>
  <c r="D455" i="67" s="1"/>
  <c r="I454" i="67" a="1"/>
  <c r="I454" i="67" s="1"/>
  <c r="H454" i="67" a="1"/>
  <c r="H454" i="67" s="1"/>
  <c r="G454" i="67" a="1"/>
  <c r="G454" i="67" s="1"/>
  <c r="F454" i="67" a="1"/>
  <c r="F454" i="67" s="1"/>
  <c r="E454" i="67" a="1"/>
  <c r="E454" i="67" s="1"/>
  <c r="D454" i="67" a="1"/>
  <c r="D454" i="67" s="1"/>
  <c r="I453" i="67" a="1"/>
  <c r="I453" i="67" s="1"/>
  <c r="H453" i="67" a="1"/>
  <c r="H453" i="67" s="1"/>
  <c r="G453" i="67" a="1"/>
  <c r="G453" i="67" s="1"/>
  <c r="F453" i="67" a="1"/>
  <c r="F453" i="67" s="1"/>
  <c r="E453" i="67" a="1"/>
  <c r="E453" i="67" s="1"/>
  <c r="D453" i="67" a="1"/>
  <c r="D453" i="67" s="1"/>
  <c r="I452" i="67" a="1"/>
  <c r="I452" i="67" s="1"/>
  <c r="H452" i="67" a="1"/>
  <c r="H452" i="67" s="1"/>
  <c r="G452" i="67" a="1"/>
  <c r="G452" i="67" s="1"/>
  <c r="F452" i="67" a="1"/>
  <c r="F452" i="67" s="1"/>
  <c r="E452" i="67" a="1"/>
  <c r="E452" i="67" s="1"/>
  <c r="D452" i="67" a="1"/>
  <c r="D452" i="67" s="1"/>
  <c r="I451" i="67" a="1"/>
  <c r="I451" i="67" s="1"/>
  <c r="H451" i="67" a="1"/>
  <c r="H451" i="67" s="1"/>
  <c r="G451" i="67" a="1"/>
  <c r="G451" i="67" s="1"/>
  <c r="F451" i="67" a="1"/>
  <c r="F451" i="67" s="1"/>
  <c r="E451" i="67" a="1"/>
  <c r="E451" i="67" s="1"/>
  <c r="D451" i="67" a="1"/>
  <c r="D451" i="67" s="1"/>
  <c r="I450" i="67" a="1"/>
  <c r="I450" i="67" s="1"/>
  <c r="H450" i="67" a="1"/>
  <c r="H450" i="67" s="1"/>
  <c r="G450" i="67" a="1"/>
  <c r="G450" i="67" s="1"/>
  <c r="F450" i="67" a="1"/>
  <c r="F450" i="67" s="1"/>
  <c r="E450" i="67" a="1"/>
  <c r="E450" i="67" s="1"/>
  <c r="D450" i="67" a="1"/>
  <c r="D450" i="67" s="1"/>
  <c r="I449" i="67" a="1"/>
  <c r="I449" i="67" s="1"/>
  <c r="H449" i="67" a="1"/>
  <c r="H449" i="67" s="1"/>
  <c r="G449" i="67" a="1"/>
  <c r="G449" i="67" s="1"/>
  <c r="F449" i="67" a="1"/>
  <c r="F449" i="67" s="1"/>
  <c r="E449" i="67" a="1"/>
  <c r="E449" i="67" s="1"/>
  <c r="D449" i="67" a="1"/>
  <c r="D449" i="67" s="1"/>
  <c r="I448" i="67" a="1"/>
  <c r="I448" i="67" s="1"/>
  <c r="H448" i="67" a="1"/>
  <c r="H448" i="67" s="1"/>
  <c r="G448" i="67" a="1"/>
  <c r="G448" i="67" s="1"/>
  <c r="F448" i="67" a="1"/>
  <c r="F448" i="67" s="1"/>
  <c r="E448" i="67" a="1"/>
  <c r="E448" i="67" s="1"/>
  <c r="D448" i="67" a="1"/>
  <c r="D448" i="67" s="1"/>
  <c r="I447" i="67" a="1"/>
  <c r="I447" i="67" s="1"/>
  <c r="H447" i="67" a="1"/>
  <c r="H447" i="67" s="1"/>
  <c r="G447" i="67" a="1"/>
  <c r="G447" i="67" s="1"/>
  <c r="F447" i="67" a="1"/>
  <c r="F447" i="67" s="1"/>
  <c r="E447" i="67" a="1"/>
  <c r="E447" i="67" s="1"/>
  <c r="D447" i="67" a="1"/>
  <c r="D447" i="67" s="1"/>
  <c r="I446" i="67" a="1"/>
  <c r="I446" i="67" s="1"/>
  <c r="H446" i="67" a="1"/>
  <c r="H446" i="67" s="1"/>
  <c r="G446" i="67" a="1"/>
  <c r="G446" i="67" s="1"/>
  <c r="F446" i="67" a="1"/>
  <c r="F446" i="67" s="1"/>
  <c r="E446" i="67" a="1"/>
  <c r="E446" i="67" s="1"/>
  <c r="D446" i="67" a="1"/>
  <c r="D446" i="67" s="1"/>
  <c r="I445" i="67" a="1"/>
  <c r="I445" i="67" s="1"/>
  <c r="H445" i="67" a="1"/>
  <c r="H445" i="67" s="1"/>
  <c r="G445" i="67" a="1"/>
  <c r="G445" i="67" s="1"/>
  <c r="F445" i="67" a="1"/>
  <c r="F445" i="67" s="1"/>
  <c r="E445" i="67" a="1"/>
  <c r="E445" i="67" s="1"/>
  <c r="D445" i="67" a="1"/>
  <c r="D445" i="67" s="1"/>
  <c r="I444" i="67" a="1"/>
  <c r="I444" i="67" s="1"/>
  <c r="H444" i="67" a="1"/>
  <c r="H444" i="67" s="1"/>
  <c r="G444" i="67" a="1"/>
  <c r="G444" i="67" s="1"/>
  <c r="F444" i="67" a="1"/>
  <c r="F444" i="67" s="1"/>
  <c r="E444" i="67" a="1"/>
  <c r="E444" i="67" s="1"/>
  <c r="D444" i="67" a="1"/>
  <c r="D444" i="67" s="1"/>
  <c r="I443" i="67" a="1"/>
  <c r="I443" i="67" s="1"/>
  <c r="H443" i="67" a="1"/>
  <c r="H443" i="67" s="1"/>
  <c r="G443" i="67" a="1"/>
  <c r="G443" i="67" s="1"/>
  <c r="F443" i="67" a="1"/>
  <c r="F443" i="67" s="1"/>
  <c r="E443" i="67" a="1"/>
  <c r="E443" i="67" s="1"/>
  <c r="D443" i="67" a="1"/>
  <c r="D443" i="67" s="1"/>
  <c r="D440" i="67" a="1"/>
  <c r="D440" i="67" s="1"/>
  <c r="D439" i="67" a="1"/>
  <c r="D439" i="67" s="1"/>
  <c r="D438" i="67" a="1"/>
  <c r="D438" i="67" s="1"/>
  <c r="D437" i="67" a="1"/>
  <c r="D437" i="67" s="1"/>
  <c r="D436" i="67" a="1"/>
  <c r="D436" i="67" s="1"/>
  <c r="D434" i="67" a="1"/>
  <c r="D434" i="67" s="1"/>
  <c r="D433" i="67" a="1"/>
  <c r="D433" i="67" s="1"/>
  <c r="D432" i="67" a="1"/>
  <c r="D432" i="67" s="1"/>
  <c r="D431" i="67" a="1"/>
  <c r="D431" i="67" s="1"/>
  <c r="D430" i="67" a="1"/>
  <c r="D430" i="67" s="1"/>
  <c r="D428" i="67" a="1"/>
  <c r="D428" i="67" s="1"/>
  <c r="D427" i="67" a="1"/>
  <c r="D427" i="67" s="1"/>
  <c r="D426" i="67" a="1"/>
  <c r="D426" i="67" s="1"/>
  <c r="D425" i="67" a="1"/>
  <c r="D425" i="67" s="1"/>
  <c r="D424" i="67" a="1"/>
  <c r="D424" i="67" s="1"/>
  <c r="D422" i="67" a="1"/>
  <c r="D422" i="67" s="1"/>
  <c r="D421" i="67" a="1"/>
  <c r="D421" i="67" s="1"/>
  <c r="D420" i="67" a="1"/>
  <c r="D420" i="67" s="1"/>
  <c r="D419" i="67" a="1"/>
  <c r="D419" i="67" s="1"/>
  <c r="D418" i="67" a="1"/>
  <c r="D418" i="67" s="1"/>
  <c r="G415" i="67" a="1"/>
  <c r="G415" i="67" s="1"/>
  <c r="F415" i="67" a="1"/>
  <c r="F415" i="67" s="1"/>
  <c r="E415" i="67" a="1"/>
  <c r="E415" i="67" s="1"/>
  <c r="D415" i="67" a="1"/>
  <c r="D415" i="67" s="1"/>
  <c r="G414" i="67" a="1"/>
  <c r="G414" i="67" s="1"/>
  <c r="F414" i="67" a="1"/>
  <c r="F414" i="67" s="1"/>
  <c r="E414" i="67" a="1"/>
  <c r="E414" i="67" s="1"/>
  <c r="D414" i="67" a="1"/>
  <c r="D414" i="67" s="1"/>
  <c r="G413" i="67" a="1"/>
  <c r="G413" i="67" s="1"/>
  <c r="F413" i="67" a="1"/>
  <c r="F413" i="67" s="1"/>
  <c r="E413" i="67" a="1"/>
  <c r="E413" i="67" s="1"/>
  <c r="D413" i="67" a="1"/>
  <c r="D413" i="67" s="1"/>
  <c r="G412" i="67" a="1"/>
  <c r="G412" i="67" s="1"/>
  <c r="F412" i="67" a="1"/>
  <c r="F412" i="67" s="1"/>
  <c r="E412" i="67" a="1"/>
  <c r="E412" i="67" s="1"/>
  <c r="D412" i="67" a="1"/>
  <c r="D412" i="67" s="1"/>
  <c r="G411" i="67" a="1"/>
  <c r="G411" i="67" s="1"/>
  <c r="F411" i="67" a="1"/>
  <c r="F411" i="67" s="1"/>
  <c r="E411" i="67" a="1"/>
  <c r="E411" i="67" s="1"/>
  <c r="D411" i="67" a="1"/>
  <c r="D411" i="67" s="1"/>
  <c r="G410" i="67" a="1"/>
  <c r="G410" i="67" s="1"/>
  <c r="F410" i="67" a="1"/>
  <c r="F410" i="67" s="1"/>
  <c r="E410" i="67" a="1"/>
  <c r="E410" i="67" s="1"/>
  <c r="D410" i="67" a="1"/>
  <c r="D410" i="67" s="1"/>
  <c r="G409" i="67" a="1"/>
  <c r="G409" i="67" s="1"/>
  <c r="F409" i="67" a="1"/>
  <c r="F409" i="67" s="1"/>
  <c r="E409" i="67" a="1"/>
  <c r="E409" i="67" s="1"/>
  <c r="D409" i="67" a="1"/>
  <c r="D409" i="67" s="1"/>
  <c r="G408" i="67" a="1"/>
  <c r="G408" i="67" s="1"/>
  <c r="F408" i="67" a="1"/>
  <c r="F408" i="67" s="1"/>
  <c r="E408" i="67" a="1"/>
  <c r="E408" i="67" s="1"/>
  <c r="D408" i="67" a="1"/>
  <c r="D408" i="67" s="1"/>
  <c r="G407" i="67" a="1"/>
  <c r="G407" i="67" s="1"/>
  <c r="F407" i="67" a="1"/>
  <c r="F407" i="67" s="1"/>
  <c r="E407" i="67" a="1"/>
  <c r="E407" i="67" s="1"/>
  <c r="D407" i="67" a="1"/>
  <c r="D407" i="67" s="1"/>
  <c r="G406" i="67" a="1"/>
  <c r="G406" i="67" s="1"/>
  <c r="F406" i="67" a="1"/>
  <c r="F406" i="67" s="1"/>
  <c r="E406" i="67" a="1"/>
  <c r="E406" i="67" s="1"/>
  <c r="D406" i="67" a="1"/>
  <c r="D406" i="67" s="1"/>
  <c r="G405" i="67" a="1"/>
  <c r="G405" i="67" s="1"/>
  <c r="F405" i="67" a="1"/>
  <c r="F405" i="67" s="1"/>
  <c r="E405" i="67" a="1"/>
  <c r="E405" i="67" s="1"/>
  <c r="D405" i="67" a="1"/>
  <c r="D405" i="67" s="1"/>
  <c r="G404" i="67" a="1"/>
  <c r="G404" i="67" s="1"/>
  <c r="F404" i="67" a="1"/>
  <c r="F404" i="67" s="1"/>
  <c r="E404" i="67" a="1"/>
  <c r="E404" i="67" s="1"/>
  <c r="D404" i="67" a="1"/>
  <c r="D404" i="67" s="1"/>
  <c r="G403" i="67" a="1"/>
  <c r="G403" i="67" s="1"/>
  <c r="F403" i="67" a="1"/>
  <c r="F403" i="67" s="1"/>
  <c r="E403" i="67" a="1"/>
  <c r="E403" i="67" s="1"/>
  <c r="D403" i="67" a="1"/>
  <c r="D403" i="67" s="1"/>
  <c r="G402" i="67" a="1"/>
  <c r="G402" i="67" s="1"/>
  <c r="F402" i="67" a="1"/>
  <c r="F402" i="67" s="1"/>
  <c r="E402" i="67" a="1"/>
  <c r="E402" i="67" s="1"/>
  <c r="D402" i="67" a="1"/>
  <c r="D402" i="67" s="1"/>
  <c r="G401" i="67" a="1"/>
  <c r="G401" i="67" s="1"/>
  <c r="F401" i="67" a="1"/>
  <c r="F401" i="67" s="1"/>
  <c r="E401" i="67" a="1"/>
  <c r="E401" i="67" s="1"/>
  <c r="D401" i="67" a="1"/>
  <c r="D401" i="67" s="1"/>
  <c r="D399" i="67" a="1"/>
  <c r="D399" i="67" s="1"/>
  <c r="D398" i="67" a="1"/>
  <c r="D398" i="67" s="1"/>
  <c r="D397" i="67" a="1"/>
  <c r="D397" i="67" s="1"/>
  <c r="D396" i="67" a="1"/>
  <c r="D396" i="67" s="1"/>
  <c r="D395" i="67" a="1"/>
  <c r="D395" i="67" s="1"/>
  <c r="G392" i="67" a="1"/>
  <c r="G392" i="67" s="1"/>
  <c r="F392" i="67" a="1"/>
  <c r="F392" i="67" s="1"/>
  <c r="E392" i="67" a="1"/>
  <c r="E392" i="67" s="1"/>
  <c r="D392" i="67" a="1"/>
  <c r="D392" i="67" s="1"/>
  <c r="G391" i="67" a="1"/>
  <c r="G391" i="67" s="1"/>
  <c r="F391" i="67" a="1"/>
  <c r="F391" i="67" s="1"/>
  <c r="E391" i="67" a="1"/>
  <c r="E391" i="67" s="1"/>
  <c r="D391" i="67" a="1"/>
  <c r="D391" i="67" s="1"/>
  <c r="G390" i="67" a="1"/>
  <c r="G390" i="67" s="1"/>
  <c r="F390" i="67" a="1"/>
  <c r="F390" i="67" s="1"/>
  <c r="E390" i="67" a="1"/>
  <c r="E390" i="67" s="1"/>
  <c r="D390" i="67" a="1"/>
  <c r="D390" i="67" s="1"/>
  <c r="G389" i="67" a="1"/>
  <c r="G389" i="67" s="1"/>
  <c r="F389" i="67" a="1"/>
  <c r="F389" i="67" s="1"/>
  <c r="E389" i="67" a="1"/>
  <c r="E389" i="67" s="1"/>
  <c r="D389" i="67" a="1"/>
  <c r="D389" i="67" s="1"/>
  <c r="G388" i="67" a="1"/>
  <c r="G388" i="67" s="1"/>
  <c r="F388" i="67" a="1"/>
  <c r="F388" i="67" s="1"/>
  <c r="E388" i="67" a="1"/>
  <c r="E388" i="67" s="1"/>
  <c r="D388" i="67" a="1"/>
  <c r="D388" i="67" s="1"/>
  <c r="G387" i="67" a="1"/>
  <c r="G387" i="67" s="1"/>
  <c r="F387" i="67" a="1"/>
  <c r="F387" i="67" s="1"/>
  <c r="E387" i="67" a="1"/>
  <c r="E387" i="67" s="1"/>
  <c r="D387" i="67" a="1"/>
  <c r="D387" i="67" s="1"/>
  <c r="G386" i="67" a="1"/>
  <c r="G386" i="67" s="1"/>
  <c r="F386" i="67" a="1"/>
  <c r="F386" i="67" s="1"/>
  <c r="E386" i="67" a="1"/>
  <c r="E386" i="67" s="1"/>
  <c r="D386" i="67" a="1"/>
  <c r="D386" i="67" s="1"/>
  <c r="G385" i="67" a="1"/>
  <c r="G385" i="67" s="1"/>
  <c r="F385" i="67" a="1"/>
  <c r="F385" i="67" s="1"/>
  <c r="E385" i="67" a="1"/>
  <c r="E385" i="67" s="1"/>
  <c r="D385" i="67" a="1"/>
  <c r="D385" i="67" s="1"/>
  <c r="G384" i="67" a="1"/>
  <c r="G384" i="67" s="1"/>
  <c r="F384" i="67" a="1"/>
  <c r="F384" i="67" s="1"/>
  <c r="E384" i="67" a="1"/>
  <c r="E384" i="67" s="1"/>
  <c r="D384" i="67" a="1"/>
  <c r="D384" i="67" s="1"/>
  <c r="G383" i="67" a="1"/>
  <c r="G383" i="67" s="1"/>
  <c r="F383" i="67" a="1"/>
  <c r="F383" i="67" s="1"/>
  <c r="E383" i="67" a="1"/>
  <c r="E383" i="67" s="1"/>
  <c r="D383" i="67" a="1"/>
  <c r="D383" i="67" s="1"/>
  <c r="G382" i="67" a="1"/>
  <c r="G382" i="67" s="1"/>
  <c r="F382" i="67" a="1"/>
  <c r="F382" i="67" s="1"/>
  <c r="E382" i="67" a="1"/>
  <c r="E382" i="67" s="1"/>
  <c r="D382" i="67" a="1"/>
  <c r="D382" i="67" s="1"/>
  <c r="G381" i="67" a="1"/>
  <c r="G381" i="67" s="1"/>
  <c r="F381" i="67" a="1"/>
  <c r="F381" i="67" s="1"/>
  <c r="E381" i="67" a="1"/>
  <c r="E381" i="67" s="1"/>
  <c r="D381" i="67" a="1"/>
  <c r="D381" i="67" s="1"/>
  <c r="G380" i="67" a="1"/>
  <c r="G380" i="67" s="1"/>
  <c r="F380" i="67" a="1"/>
  <c r="F380" i="67" s="1"/>
  <c r="E380" i="67" a="1"/>
  <c r="E380" i="67" s="1"/>
  <c r="D380" i="67" a="1"/>
  <c r="D380" i="67" s="1"/>
  <c r="G379" i="67" a="1"/>
  <c r="G379" i="67" s="1"/>
  <c r="F379" i="67" a="1"/>
  <c r="F379" i="67" s="1"/>
  <c r="E379" i="67" a="1"/>
  <c r="E379" i="67" s="1"/>
  <c r="D379" i="67" a="1"/>
  <c r="D379" i="67" s="1"/>
  <c r="G378" i="67" a="1"/>
  <c r="G378" i="67" s="1"/>
  <c r="F378" i="67" a="1"/>
  <c r="F378" i="67" s="1"/>
  <c r="E378" i="67" a="1"/>
  <c r="E378" i="67" s="1"/>
  <c r="D378" i="67" a="1"/>
  <c r="D378" i="67" s="1"/>
  <c r="D376" i="67" a="1"/>
  <c r="D376" i="67" s="1"/>
  <c r="D375" i="67" a="1"/>
  <c r="D375" i="67" s="1"/>
  <c r="D374" i="67" a="1"/>
  <c r="D374" i="67" s="1"/>
  <c r="D373" i="67" a="1"/>
  <c r="D373" i="67" s="1"/>
  <c r="D372" i="67" a="1"/>
  <c r="D372" i="67" s="1"/>
  <c r="L358" i="67" a="1"/>
  <c r="L358" i="67" s="1"/>
  <c r="O369" i="67" s="1"/>
  <c r="K358" i="67" a="1"/>
  <c r="K358" i="67" s="1"/>
  <c r="N369" i="67" s="1"/>
  <c r="J358" i="67" a="1"/>
  <c r="J358" i="67" s="1"/>
  <c r="K369" i="67" s="1"/>
  <c r="I358" i="67" a="1"/>
  <c r="I358" i="67" s="1"/>
  <c r="H358" i="67" a="1"/>
  <c r="H358" i="67" s="1"/>
  <c r="H369" i="67" s="1"/>
  <c r="G358" i="67" a="1"/>
  <c r="G358" i="67" s="1"/>
  <c r="G369" i="67" s="1"/>
  <c r="F358" i="67" a="1"/>
  <c r="F358" i="67" s="1"/>
  <c r="F369" i="67" s="1"/>
  <c r="E358" i="67" a="1"/>
  <c r="E358" i="67" s="1"/>
  <c r="E369" i="67" s="1"/>
  <c r="D358" i="67" a="1"/>
  <c r="D358" i="67" s="1"/>
  <c r="D369" i="67" s="1"/>
  <c r="L357" i="67" a="1"/>
  <c r="L357" i="67" s="1"/>
  <c r="O368" i="67" s="1"/>
  <c r="K357" i="67" a="1"/>
  <c r="K357" i="67" s="1"/>
  <c r="J357" i="67" a="1"/>
  <c r="J357" i="67" s="1"/>
  <c r="K368" i="67" s="1"/>
  <c r="I357" i="67" a="1"/>
  <c r="I357" i="67" s="1"/>
  <c r="I368" i="67" s="1"/>
  <c r="H357" i="67" a="1"/>
  <c r="H357" i="67" s="1"/>
  <c r="H368" i="67" s="1"/>
  <c r="G357" i="67" a="1"/>
  <c r="G357" i="67" s="1"/>
  <c r="G368" i="67" s="1"/>
  <c r="F357" i="67" a="1"/>
  <c r="F357" i="67" s="1"/>
  <c r="F368" i="67" s="1"/>
  <c r="E357" i="67" a="1"/>
  <c r="E357" i="67" s="1"/>
  <c r="E368" i="67" s="1"/>
  <c r="D357" i="67" a="1"/>
  <c r="D357" i="67" s="1"/>
  <c r="D368" i="67" s="1"/>
  <c r="L356" i="67" a="1"/>
  <c r="L356" i="67" s="1"/>
  <c r="O367" i="67" s="1"/>
  <c r="K356" i="67" a="1"/>
  <c r="K356" i="67" s="1"/>
  <c r="J356" i="67" a="1"/>
  <c r="J356" i="67" s="1"/>
  <c r="K367" i="67" s="1"/>
  <c r="I356" i="67" a="1"/>
  <c r="I356" i="67" s="1"/>
  <c r="H356" i="67" a="1"/>
  <c r="H356" i="67" s="1"/>
  <c r="H367" i="67" s="1"/>
  <c r="G356" i="67" a="1"/>
  <c r="G356" i="67" s="1"/>
  <c r="G367" i="67" s="1"/>
  <c r="F356" i="67" a="1"/>
  <c r="F356" i="67" s="1"/>
  <c r="F367" i="67" s="1"/>
  <c r="E356" i="67" a="1"/>
  <c r="E356" i="67" s="1"/>
  <c r="E367" i="67" s="1"/>
  <c r="D356" i="67" a="1"/>
  <c r="D356" i="67" s="1"/>
  <c r="D367" i="67" s="1"/>
  <c r="L355" i="67" a="1"/>
  <c r="L355" i="67" s="1"/>
  <c r="O366" i="67" s="1"/>
  <c r="K355" i="67" a="1"/>
  <c r="K355" i="67" s="1"/>
  <c r="L366" i="67" s="1"/>
  <c r="J355" i="67" a="1"/>
  <c r="J355" i="67" s="1"/>
  <c r="K366" i="67" s="1"/>
  <c r="I355" i="67" a="1"/>
  <c r="I355" i="67" s="1"/>
  <c r="I366" i="67" s="1"/>
  <c r="H355" i="67" a="1"/>
  <c r="H355" i="67" s="1"/>
  <c r="H366" i="67" s="1"/>
  <c r="G355" i="67" a="1"/>
  <c r="G355" i="67" s="1"/>
  <c r="G366" i="67" s="1"/>
  <c r="F355" i="67" a="1"/>
  <c r="F355" i="67" s="1"/>
  <c r="F366" i="67" s="1"/>
  <c r="E355" i="67" a="1"/>
  <c r="E355" i="67" s="1"/>
  <c r="E366" i="67" s="1"/>
  <c r="D355" i="67" a="1"/>
  <c r="D355" i="67" s="1"/>
  <c r="D366" i="67" s="1"/>
  <c r="L354" i="67" a="1"/>
  <c r="L354" i="67" s="1"/>
  <c r="O365" i="67" s="1"/>
  <c r="K354" i="67" a="1"/>
  <c r="K354" i="67" s="1"/>
  <c r="J354" i="67" a="1"/>
  <c r="J354" i="67" s="1"/>
  <c r="K365" i="67" s="1"/>
  <c r="I354" i="67" a="1"/>
  <c r="I354" i="67" s="1"/>
  <c r="I365" i="67" s="1"/>
  <c r="H354" i="67" a="1"/>
  <c r="H354" i="67" s="1"/>
  <c r="H365" i="67" s="1"/>
  <c r="G354" i="67" a="1"/>
  <c r="G354" i="67" s="1"/>
  <c r="G365" i="67" s="1"/>
  <c r="F354" i="67" a="1"/>
  <c r="F354" i="67" s="1"/>
  <c r="F365" i="67" s="1"/>
  <c r="E354" i="67" a="1"/>
  <c r="E354" i="67" s="1"/>
  <c r="E365" i="67" s="1"/>
  <c r="D354" i="67" a="1"/>
  <c r="D354" i="67" s="1"/>
  <c r="D365" i="67" s="1"/>
  <c r="L353" i="67" a="1"/>
  <c r="L353" i="67" s="1"/>
  <c r="O364" i="67" s="1"/>
  <c r="K353" i="67" a="1"/>
  <c r="K353" i="67" s="1"/>
  <c r="M364" i="67" s="1"/>
  <c r="J353" i="67" a="1"/>
  <c r="J353" i="67" s="1"/>
  <c r="K364" i="67" s="1"/>
  <c r="I353" i="67" a="1"/>
  <c r="I353" i="67" s="1"/>
  <c r="H353" i="67" a="1"/>
  <c r="H353" i="67" s="1"/>
  <c r="H364" i="67" s="1"/>
  <c r="G353" i="67" a="1"/>
  <c r="G353" i="67" s="1"/>
  <c r="G364" i="67" s="1"/>
  <c r="F353" i="67" a="1"/>
  <c r="F353" i="67" s="1"/>
  <c r="F364" i="67" s="1"/>
  <c r="E353" i="67" a="1"/>
  <c r="E353" i="67" s="1"/>
  <c r="E364" i="67" s="1"/>
  <c r="D353" i="67" a="1"/>
  <c r="D353" i="67" s="1"/>
  <c r="D364" i="67" s="1"/>
  <c r="L352" i="67" a="1"/>
  <c r="L352" i="67" s="1"/>
  <c r="O363" i="67" s="1"/>
  <c r="K352" i="67" a="1"/>
  <c r="K352" i="67" s="1"/>
  <c r="J352" i="67" a="1"/>
  <c r="J352" i="67" s="1"/>
  <c r="K363" i="67" s="1"/>
  <c r="I352" i="67" a="1"/>
  <c r="I352" i="67" s="1"/>
  <c r="I363" i="67" s="1"/>
  <c r="H352" i="67" a="1"/>
  <c r="H352" i="67" s="1"/>
  <c r="H363" i="67" s="1"/>
  <c r="G352" i="67" a="1"/>
  <c r="G352" i="67" s="1"/>
  <c r="G363" i="67" s="1"/>
  <c r="F352" i="67" a="1"/>
  <c r="F352" i="67" s="1"/>
  <c r="F363" i="67" s="1"/>
  <c r="E352" i="67" a="1"/>
  <c r="E352" i="67" s="1"/>
  <c r="E363" i="67" s="1"/>
  <c r="D352" i="67" a="1"/>
  <c r="D352" i="67" s="1"/>
  <c r="D363" i="67" s="1"/>
  <c r="L351" i="67" a="1"/>
  <c r="L351" i="67" s="1"/>
  <c r="O362" i="67" s="1"/>
  <c r="K351" i="67" a="1"/>
  <c r="K351" i="67" s="1"/>
  <c r="J351" i="67" a="1"/>
  <c r="J351" i="67" s="1"/>
  <c r="K362" i="67" s="1"/>
  <c r="I351" i="67" a="1"/>
  <c r="I351" i="67" s="1"/>
  <c r="H351" i="67" a="1"/>
  <c r="H351" i="67" s="1"/>
  <c r="H362" i="67" s="1"/>
  <c r="G351" i="67" a="1"/>
  <c r="G351" i="67" s="1"/>
  <c r="G362" i="67" s="1"/>
  <c r="F351" i="67" a="1"/>
  <c r="F351" i="67" s="1"/>
  <c r="F362" i="67" s="1"/>
  <c r="E351" i="67" a="1"/>
  <c r="E351" i="67" s="1"/>
  <c r="E362" i="67" s="1"/>
  <c r="D351" i="67" a="1"/>
  <c r="D351" i="67" s="1"/>
  <c r="D362" i="67" s="1"/>
  <c r="D349" i="67" a="1"/>
  <c r="D349" i="67" s="1"/>
  <c r="D348" i="67" a="1"/>
  <c r="D348" i="67" s="1"/>
  <c r="D347" i="67" a="1"/>
  <c r="D347" i="67" s="1"/>
  <c r="D346" i="67" a="1"/>
  <c r="D346" i="67" s="1"/>
  <c r="D345" i="67" a="1"/>
  <c r="D345" i="67" s="1"/>
  <c r="G342" i="67" a="1"/>
  <c r="G342" i="67" s="1"/>
  <c r="F342" i="67" a="1"/>
  <c r="F342" i="67" s="1"/>
  <c r="E342" i="67" a="1"/>
  <c r="E342" i="67" s="1"/>
  <c r="D342" i="67" a="1"/>
  <c r="D342" i="67" s="1"/>
  <c r="G341" i="67" a="1"/>
  <c r="G341" i="67" s="1"/>
  <c r="L338" i="67" s="1"/>
  <c r="F341" i="67" a="1"/>
  <c r="F341" i="67" s="1"/>
  <c r="K338" i="67" s="1"/>
  <c r="E341" i="67" a="1"/>
  <c r="E341" i="67" s="1"/>
  <c r="D341" i="67" a="1"/>
  <c r="D341" i="67" s="1"/>
  <c r="I338" i="67" s="1"/>
  <c r="G340" i="67" a="1"/>
  <c r="G340" i="67" s="1"/>
  <c r="L337" i="67" s="1"/>
  <c r="F340" i="67" a="1"/>
  <c r="F340" i="67" s="1"/>
  <c r="K337" i="67" s="1"/>
  <c r="E340" i="67" a="1"/>
  <c r="E340" i="67" s="1"/>
  <c r="D340" i="67" a="1"/>
  <c r="D340" i="67" s="1"/>
  <c r="I337" i="67" s="1"/>
  <c r="G339" i="67" a="1"/>
  <c r="G339" i="67" s="1"/>
  <c r="F339" i="67" a="1"/>
  <c r="F339" i="67" s="1"/>
  <c r="E339" i="67" a="1"/>
  <c r="E339" i="67" s="1"/>
  <c r="D339" i="67" a="1"/>
  <c r="D339" i="67" s="1"/>
  <c r="G338" i="67" a="1"/>
  <c r="G338" i="67" s="1"/>
  <c r="F338" i="67" a="1"/>
  <c r="F338" i="67" s="1"/>
  <c r="E338" i="67" a="1"/>
  <c r="E338" i="67" s="1"/>
  <c r="D338" i="67" a="1"/>
  <c r="D338" i="67" s="1"/>
  <c r="G337" i="67" a="1"/>
  <c r="G337" i="67" s="1"/>
  <c r="F337" i="67" a="1"/>
  <c r="F337" i="67" s="1"/>
  <c r="E337" i="67" a="1"/>
  <c r="E337" i="67" s="1"/>
  <c r="D337" i="67" a="1"/>
  <c r="D337" i="67" s="1"/>
  <c r="G336" i="67" a="1"/>
  <c r="G336" i="67" s="1"/>
  <c r="L336" i="67" s="1"/>
  <c r="F336" i="67" a="1"/>
  <c r="F336" i="67" s="1"/>
  <c r="K336" i="67" s="1"/>
  <c r="E336" i="67" a="1"/>
  <c r="E336" i="67" s="1"/>
  <c r="D336" i="67" a="1"/>
  <c r="D336" i="67" s="1"/>
  <c r="I336" i="67" s="1"/>
  <c r="G335" i="67" a="1"/>
  <c r="G335" i="67" s="1"/>
  <c r="L335" i="67" s="1"/>
  <c r="F335" i="67" a="1"/>
  <c r="F335" i="67" s="1"/>
  <c r="K335" i="67" s="1"/>
  <c r="E335" i="67" a="1"/>
  <c r="E335" i="67" s="1"/>
  <c r="D335" i="67" a="1"/>
  <c r="D335" i="67" s="1"/>
  <c r="I335" i="67" s="1"/>
  <c r="D333" i="67" a="1"/>
  <c r="D333" i="67" s="1"/>
  <c r="D332" i="67" a="1"/>
  <c r="D332" i="67" s="1"/>
  <c r="D331" i="67" a="1"/>
  <c r="D331" i="67" s="1"/>
  <c r="I328" i="67" a="1"/>
  <c r="I328" i="67" s="1"/>
  <c r="H328" i="67" a="1"/>
  <c r="H328" i="67" s="1"/>
  <c r="G328" i="67" a="1"/>
  <c r="G328" i="67" s="1"/>
  <c r="F328" i="67" a="1"/>
  <c r="F328" i="67" s="1"/>
  <c r="E328" i="67" a="1"/>
  <c r="E328" i="67" s="1"/>
  <c r="D328" i="67" a="1"/>
  <c r="D328" i="67" s="1"/>
  <c r="I327" i="67" a="1"/>
  <c r="I327" i="67" s="1"/>
  <c r="H327" i="67" a="1"/>
  <c r="H327" i="67" s="1"/>
  <c r="G327" i="67" a="1"/>
  <c r="G327" i="67" s="1"/>
  <c r="F327" i="67" a="1"/>
  <c r="F327" i="67" s="1"/>
  <c r="E327" i="67" a="1"/>
  <c r="E327" i="67" s="1"/>
  <c r="D327" i="67" a="1"/>
  <c r="D327" i="67" s="1"/>
  <c r="I326" i="67" a="1"/>
  <c r="I326" i="67" s="1"/>
  <c r="H326" i="67" a="1"/>
  <c r="H326" i="67" s="1"/>
  <c r="G326" i="67" a="1"/>
  <c r="G326" i="67" s="1"/>
  <c r="F326" i="67" a="1"/>
  <c r="F326" i="67" s="1"/>
  <c r="E326" i="67" a="1"/>
  <c r="E326" i="67" s="1"/>
  <c r="D326" i="67" a="1"/>
  <c r="D326" i="67" s="1"/>
  <c r="I325" i="67" a="1"/>
  <c r="I325" i="67" s="1"/>
  <c r="H325" i="67" a="1"/>
  <c r="H325" i="67" s="1"/>
  <c r="G325" i="67" a="1"/>
  <c r="G325" i="67" s="1"/>
  <c r="F325" i="67" a="1"/>
  <c r="F325" i="67" s="1"/>
  <c r="E325" i="67" a="1"/>
  <c r="E325" i="67" s="1"/>
  <c r="D325" i="67" a="1"/>
  <c r="D325" i="67" s="1"/>
  <c r="I324" i="67" a="1"/>
  <c r="I324" i="67" s="1"/>
  <c r="H324" i="67" a="1"/>
  <c r="H324" i="67" s="1"/>
  <c r="G324" i="67" a="1"/>
  <c r="G324" i="67" s="1"/>
  <c r="F324" i="67" a="1"/>
  <c r="F324" i="67" s="1"/>
  <c r="E324" i="67" a="1"/>
  <c r="E324" i="67" s="1"/>
  <c r="D324" i="67" a="1"/>
  <c r="D324" i="67" s="1"/>
  <c r="I323" i="67" a="1"/>
  <c r="I323" i="67" s="1"/>
  <c r="H323" i="67" a="1"/>
  <c r="H323" i="67" s="1"/>
  <c r="G323" i="67" a="1"/>
  <c r="G323" i="67" s="1"/>
  <c r="F323" i="67" a="1"/>
  <c r="F323" i="67" s="1"/>
  <c r="E323" i="67" a="1"/>
  <c r="E323" i="67" s="1"/>
  <c r="D323" i="67" a="1"/>
  <c r="D323" i="67" s="1"/>
  <c r="I322" i="67" a="1"/>
  <c r="I322" i="67" s="1"/>
  <c r="H322" i="67" a="1"/>
  <c r="H322" i="67" s="1"/>
  <c r="G322" i="67" a="1"/>
  <c r="G322" i="67" s="1"/>
  <c r="F322" i="67" a="1"/>
  <c r="F322" i="67" s="1"/>
  <c r="E322" i="67" a="1"/>
  <c r="E322" i="67" s="1"/>
  <c r="D322" i="67" a="1"/>
  <c r="D322" i="67" s="1"/>
  <c r="I321" i="67" a="1"/>
  <c r="I321" i="67" s="1"/>
  <c r="H321" i="67" a="1"/>
  <c r="H321" i="67" s="1"/>
  <c r="G321" i="67" a="1"/>
  <c r="G321" i="67" s="1"/>
  <c r="F321" i="67" a="1"/>
  <c r="F321" i="67" s="1"/>
  <c r="E321" i="67" a="1"/>
  <c r="E321" i="67" s="1"/>
  <c r="D321" i="67" a="1"/>
  <c r="D321" i="67" s="1"/>
  <c r="I320" i="67" a="1"/>
  <c r="I320" i="67" s="1"/>
  <c r="H320" i="67" a="1"/>
  <c r="H320" i="67" s="1"/>
  <c r="G320" i="67" a="1"/>
  <c r="G320" i="67" s="1"/>
  <c r="F320" i="67" a="1"/>
  <c r="F320" i="67" s="1"/>
  <c r="E320" i="67" a="1"/>
  <c r="E320" i="67" s="1"/>
  <c r="D320" i="67" a="1"/>
  <c r="D320" i="67" s="1"/>
  <c r="I319" i="67" a="1"/>
  <c r="I319" i="67" s="1"/>
  <c r="H319" i="67" a="1"/>
  <c r="H319" i="67" s="1"/>
  <c r="G319" i="67" a="1"/>
  <c r="G319" i="67" s="1"/>
  <c r="F319" i="67" a="1"/>
  <c r="F319" i="67" s="1"/>
  <c r="E319" i="67" a="1"/>
  <c r="E319" i="67" s="1"/>
  <c r="D319" i="67" a="1"/>
  <c r="D319" i="67" s="1"/>
  <c r="I318" i="67" a="1"/>
  <c r="I318" i="67" s="1"/>
  <c r="H318" i="67" a="1"/>
  <c r="H318" i="67" s="1"/>
  <c r="G318" i="67" a="1"/>
  <c r="G318" i="67" s="1"/>
  <c r="F318" i="67" a="1"/>
  <c r="F318" i="67" s="1"/>
  <c r="E318" i="67" a="1"/>
  <c r="E318" i="67" s="1"/>
  <c r="D318" i="67" a="1"/>
  <c r="D318" i="67" s="1"/>
  <c r="I317" i="67" a="1"/>
  <c r="I317" i="67" s="1"/>
  <c r="H317" i="67" a="1"/>
  <c r="H317" i="67" s="1"/>
  <c r="G317" i="67" a="1"/>
  <c r="G317" i="67" s="1"/>
  <c r="F317" i="67" a="1"/>
  <c r="F317" i="67" s="1"/>
  <c r="E317" i="67" a="1"/>
  <c r="E317" i="67" s="1"/>
  <c r="D317" i="67" a="1"/>
  <c r="D317" i="67" s="1"/>
  <c r="I316" i="67" a="1"/>
  <c r="I316" i="67" s="1"/>
  <c r="H316" i="67" a="1"/>
  <c r="H316" i="67" s="1"/>
  <c r="G316" i="67" a="1"/>
  <c r="G316" i="67" s="1"/>
  <c r="F316" i="67" a="1"/>
  <c r="F316" i="67" s="1"/>
  <c r="E316" i="67" a="1"/>
  <c r="E316" i="67" s="1"/>
  <c r="D316" i="67" a="1"/>
  <c r="D316" i="67" s="1"/>
  <c r="I315" i="67" a="1"/>
  <c r="I315" i="67" s="1"/>
  <c r="H315" i="67" a="1"/>
  <c r="H315" i="67" s="1"/>
  <c r="G315" i="67" a="1"/>
  <c r="G315" i="67" s="1"/>
  <c r="F315" i="67" a="1"/>
  <c r="F315" i="67" s="1"/>
  <c r="E315" i="67" a="1"/>
  <c r="E315" i="67" s="1"/>
  <c r="D315" i="67" a="1"/>
  <c r="D315" i="67" s="1"/>
  <c r="I314" i="67" a="1"/>
  <c r="I314" i="67" s="1"/>
  <c r="H314" i="67" a="1"/>
  <c r="H314" i="67" s="1"/>
  <c r="G314" i="67" a="1"/>
  <c r="G314" i="67" s="1"/>
  <c r="F314" i="67" a="1"/>
  <c r="F314" i="67" s="1"/>
  <c r="E314" i="67" a="1"/>
  <c r="E314" i="67" s="1"/>
  <c r="D314" i="67" a="1"/>
  <c r="D314" i="67" s="1"/>
  <c r="D312" i="67" a="1"/>
  <c r="D312" i="67" s="1"/>
  <c r="D311" i="67" a="1"/>
  <c r="D311" i="67" s="1"/>
  <c r="D310" i="67" a="1"/>
  <c r="D310" i="67" s="1"/>
  <c r="D309" i="67" a="1"/>
  <c r="D309" i="67" s="1"/>
  <c r="D308" i="67" a="1"/>
  <c r="D308" i="67" s="1"/>
  <c r="I305" i="67" a="1"/>
  <c r="I305" i="67" s="1"/>
  <c r="H305" i="67" a="1"/>
  <c r="H305" i="67" s="1"/>
  <c r="G305" i="67" a="1"/>
  <c r="G305" i="67" s="1"/>
  <c r="F305" i="67" a="1"/>
  <c r="F305" i="67" s="1"/>
  <c r="E305" i="67" a="1"/>
  <c r="E305" i="67" s="1"/>
  <c r="D305" i="67" a="1"/>
  <c r="D305" i="67" s="1"/>
  <c r="I304" i="67" a="1"/>
  <c r="I304" i="67" s="1"/>
  <c r="H304" i="67" a="1"/>
  <c r="H304" i="67" s="1"/>
  <c r="G304" i="67" a="1"/>
  <c r="G304" i="67" s="1"/>
  <c r="F304" i="67" a="1"/>
  <c r="F304" i="67" s="1"/>
  <c r="E304" i="67" a="1"/>
  <c r="E304" i="67" s="1"/>
  <c r="D304" i="67" a="1"/>
  <c r="D304" i="67" s="1"/>
  <c r="I303" i="67" a="1"/>
  <c r="I303" i="67" s="1"/>
  <c r="H303" i="67" a="1"/>
  <c r="H303" i="67" s="1"/>
  <c r="G303" i="67" a="1"/>
  <c r="G303" i="67" s="1"/>
  <c r="F303" i="67" a="1"/>
  <c r="F303" i="67" s="1"/>
  <c r="E303" i="67" a="1"/>
  <c r="E303" i="67" s="1"/>
  <c r="D303" i="67" a="1"/>
  <c r="D303" i="67" s="1"/>
  <c r="I302" i="67" a="1"/>
  <c r="I302" i="67" s="1"/>
  <c r="H302" i="67" a="1"/>
  <c r="H302" i="67" s="1"/>
  <c r="G302" i="67" a="1"/>
  <c r="G302" i="67" s="1"/>
  <c r="F302" i="67" a="1"/>
  <c r="F302" i="67" s="1"/>
  <c r="E302" i="67" a="1"/>
  <c r="E302" i="67" s="1"/>
  <c r="D302" i="67" a="1"/>
  <c r="D302" i="67" s="1"/>
  <c r="I301" i="67" a="1"/>
  <c r="I301" i="67" s="1"/>
  <c r="H301" i="67" a="1"/>
  <c r="H301" i="67" s="1"/>
  <c r="G301" i="67" a="1"/>
  <c r="G301" i="67" s="1"/>
  <c r="F301" i="67" a="1"/>
  <c r="F301" i="67" s="1"/>
  <c r="E301" i="67" a="1"/>
  <c r="E301" i="67" s="1"/>
  <c r="D301" i="67" a="1"/>
  <c r="D301" i="67" s="1"/>
  <c r="I300" i="67" a="1"/>
  <c r="I300" i="67" s="1"/>
  <c r="H300" i="67" a="1"/>
  <c r="H300" i="67" s="1"/>
  <c r="G300" i="67" a="1"/>
  <c r="G300" i="67" s="1"/>
  <c r="F300" i="67" a="1"/>
  <c r="F300" i="67" s="1"/>
  <c r="E300" i="67" a="1"/>
  <c r="E300" i="67" s="1"/>
  <c r="D300" i="67" a="1"/>
  <c r="D300" i="67" s="1"/>
  <c r="I299" i="67" a="1"/>
  <c r="I299" i="67" s="1"/>
  <c r="H299" i="67" a="1"/>
  <c r="H299" i="67" s="1"/>
  <c r="G299" i="67" a="1"/>
  <c r="G299" i="67" s="1"/>
  <c r="F299" i="67" a="1"/>
  <c r="F299" i="67" s="1"/>
  <c r="E299" i="67" a="1"/>
  <c r="E299" i="67" s="1"/>
  <c r="D299" i="67" a="1"/>
  <c r="D299" i="67" s="1"/>
  <c r="I298" i="67" a="1"/>
  <c r="I298" i="67" s="1"/>
  <c r="H298" i="67" a="1"/>
  <c r="H298" i="67" s="1"/>
  <c r="G298" i="67" a="1"/>
  <c r="G298" i="67" s="1"/>
  <c r="F298" i="67" a="1"/>
  <c r="F298" i="67" s="1"/>
  <c r="E298" i="67" a="1"/>
  <c r="E298" i="67" s="1"/>
  <c r="D298" i="67" a="1"/>
  <c r="D298" i="67" s="1"/>
  <c r="I297" i="67" a="1"/>
  <c r="I297" i="67" s="1"/>
  <c r="H297" i="67" a="1"/>
  <c r="H297" i="67" s="1"/>
  <c r="G297" i="67" a="1"/>
  <c r="G297" i="67" s="1"/>
  <c r="F297" i="67" a="1"/>
  <c r="F297" i="67" s="1"/>
  <c r="E297" i="67" a="1"/>
  <c r="E297" i="67" s="1"/>
  <c r="D297" i="67" a="1"/>
  <c r="D297" i="67" s="1"/>
  <c r="I296" i="67" a="1"/>
  <c r="I296" i="67" s="1"/>
  <c r="H296" i="67" a="1"/>
  <c r="H296" i="67" s="1"/>
  <c r="G296" i="67" a="1"/>
  <c r="G296" i="67" s="1"/>
  <c r="F296" i="67" a="1"/>
  <c r="F296" i="67" s="1"/>
  <c r="E296" i="67" a="1"/>
  <c r="E296" i="67" s="1"/>
  <c r="D296" i="67" a="1"/>
  <c r="D296" i="67" s="1"/>
  <c r="I295" i="67" a="1"/>
  <c r="I295" i="67" s="1"/>
  <c r="H295" i="67" a="1"/>
  <c r="H295" i="67" s="1"/>
  <c r="G295" i="67" a="1"/>
  <c r="G295" i="67" s="1"/>
  <c r="F295" i="67" a="1"/>
  <c r="F295" i="67" s="1"/>
  <c r="E295" i="67" a="1"/>
  <c r="E295" i="67" s="1"/>
  <c r="D295" i="67" a="1"/>
  <c r="D295" i="67" s="1"/>
  <c r="I294" i="67" a="1"/>
  <c r="I294" i="67" s="1"/>
  <c r="H294" i="67" a="1"/>
  <c r="H294" i="67" s="1"/>
  <c r="G294" i="67" a="1"/>
  <c r="G294" i="67" s="1"/>
  <c r="F294" i="67" a="1"/>
  <c r="F294" i="67" s="1"/>
  <c r="E294" i="67" a="1"/>
  <c r="E294" i="67" s="1"/>
  <c r="D294" i="67" a="1"/>
  <c r="D294" i="67" s="1"/>
  <c r="I293" i="67" a="1"/>
  <c r="I293" i="67" s="1"/>
  <c r="H293" i="67" a="1"/>
  <c r="H293" i="67" s="1"/>
  <c r="G293" i="67" a="1"/>
  <c r="G293" i="67" s="1"/>
  <c r="F293" i="67" a="1"/>
  <c r="F293" i="67" s="1"/>
  <c r="E293" i="67" a="1"/>
  <c r="E293" i="67" s="1"/>
  <c r="D293" i="67" a="1"/>
  <c r="D293" i="67" s="1"/>
  <c r="I292" i="67" a="1"/>
  <c r="I292" i="67" s="1"/>
  <c r="H292" i="67" a="1"/>
  <c r="H292" i="67" s="1"/>
  <c r="G292" i="67" a="1"/>
  <c r="G292" i="67" s="1"/>
  <c r="F292" i="67" a="1"/>
  <c r="F292" i="67" s="1"/>
  <c r="E292" i="67" a="1"/>
  <c r="E292" i="67" s="1"/>
  <c r="D292" i="67" a="1"/>
  <c r="D292" i="67" s="1"/>
  <c r="I291" i="67" a="1"/>
  <c r="I291" i="67" s="1"/>
  <c r="H291" i="67" a="1"/>
  <c r="H291" i="67" s="1"/>
  <c r="G291" i="67" a="1"/>
  <c r="G291" i="67" s="1"/>
  <c r="F291" i="67" a="1"/>
  <c r="F291" i="67" s="1"/>
  <c r="E291" i="67" a="1"/>
  <c r="E291" i="67" s="1"/>
  <c r="D291" i="67" a="1"/>
  <c r="D291" i="67" s="1"/>
  <c r="D289" i="67" a="1"/>
  <c r="D289" i="67" s="1"/>
  <c r="D288" i="67" a="1"/>
  <c r="D288" i="67" s="1"/>
  <c r="D287" i="67" a="1"/>
  <c r="D287" i="67" s="1"/>
  <c r="D286" i="67" a="1"/>
  <c r="D286" i="67" s="1"/>
  <c r="D285" i="67" a="1"/>
  <c r="D285" i="67" s="1"/>
  <c r="P217" i="67" a="1"/>
  <c r="P217" i="67" s="1"/>
  <c r="P282" i="67" s="1"/>
  <c r="O217" i="67" a="1"/>
  <c r="O217" i="67" s="1"/>
  <c r="O282" i="67" s="1"/>
  <c r="N217" i="67" a="1"/>
  <c r="N217" i="67" s="1"/>
  <c r="N282" i="67" s="1"/>
  <c r="M217" i="67" a="1"/>
  <c r="M217" i="67" s="1"/>
  <c r="M282" i="67" s="1"/>
  <c r="L217" i="67" a="1"/>
  <c r="L217" i="67" s="1"/>
  <c r="L282" i="67" s="1"/>
  <c r="K217" i="67" a="1"/>
  <c r="K217" i="67" s="1"/>
  <c r="K282" i="67" s="1"/>
  <c r="J217" i="67" a="1"/>
  <c r="J217" i="67" s="1"/>
  <c r="J282" i="67" s="1"/>
  <c r="I217" i="67" a="1"/>
  <c r="I217" i="67" s="1"/>
  <c r="I282" i="67" s="1"/>
  <c r="H217" i="67" a="1"/>
  <c r="H217" i="67" s="1"/>
  <c r="H282" i="67" s="1"/>
  <c r="G217" i="67" a="1"/>
  <c r="G217" i="67" s="1"/>
  <c r="G282" i="67" s="1"/>
  <c r="F217" i="67" a="1"/>
  <c r="F217" i="67" s="1"/>
  <c r="F282" i="67" s="1"/>
  <c r="E217" i="67" a="1"/>
  <c r="E217" i="67" s="1"/>
  <c r="E282" i="67" s="1"/>
  <c r="D217" i="67" a="1"/>
  <c r="D217" i="67" s="1"/>
  <c r="P216" i="67" a="1"/>
  <c r="P216" i="67" s="1"/>
  <c r="P281" i="67" s="1"/>
  <c r="O216" i="67" a="1"/>
  <c r="O216" i="67" s="1"/>
  <c r="O281" i="67" s="1"/>
  <c r="N216" i="67" a="1"/>
  <c r="N216" i="67" s="1"/>
  <c r="N281" i="67" s="1"/>
  <c r="M216" i="67" a="1"/>
  <c r="M216" i="67" s="1"/>
  <c r="M281" i="67" s="1"/>
  <c r="L216" i="67" a="1"/>
  <c r="L216" i="67" s="1"/>
  <c r="L281" i="67" s="1"/>
  <c r="K216" i="67" a="1"/>
  <c r="K216" i="67" s="1"/>
  <c r="K281" i="67" s="1"/>
  <c r="J216" i="67" a="1"/>
  <c r="J216" i="67" s="1"/>
  <c r="J281" i="67" s="1"/>
  <c r="I216" i="67" a="1"/>
  <c r="I216" i="67" s="1"/>
  <c r="I281" i="67" s="1"/>
  <c r="H216" i="67" a="1"/>
  <c r="H216" i="67" s="1"/>
  <c r="H281" i="67" s="1"/>
  <c r="G216" i="67" a="1"/>
  <c r="G216" i="67" s="1"/>
  <c r="G281" i="67" s="1"/>
  <c r="F216" i="67" a="1"/>
  <c r="F216" i="67" s="1"/>
  <c r="F281" i="67" s="1"/>
  <c r="E216" i="67" a="1"/>
  <c r="E216" i="67" s="1"/>
  <c r="E281" i="67" s="1"/>
  <c r="D216" i="67" a="1"/>
  <c r="D216" i="67" s="1"/>
  <c r="P215" i="67" a="1"/>
  <c r="P215" i="67" s="1"/>
  <c r="P280" i="67" s="1"/>
  <c r="O215" i="67" a="1"/>
  <c r="O215" i="67" s="1"/>
  <c r="O280" i="67" s="1"/>
  <c r="N215" i="67" a="1"/>
  <c r="N215" i="67" s="1"/>
  <c r="N280" i="67" s="1"/>
  <c r="M215" i="67" a="1"/>
  <c r="M215" i="67" s="1"/>
  <c r="M280" i="67" s="1"/>
  <c r="L215" i="67" a="1"/>
  <c r="L215" i="67" s="1"/>
  <c r="L280" i="67" s="1"/>
  <c r="K215" i="67" a="1"/>
  <c r="K215" i="67" s="1"/>
  <c r="K280" i="67" s="1"/>
  <c r="J215" i="67" a="1"/>
  <c r="J215" i="67" s="1"/>
  <c r="J280" i="67" s="1"/>
  <c r="I215" i="67" a="1"/>
  <c r="I215" i="67" s="1"/>
  <c r="I280" i="67" s="1"/>
  <c r="H215" i="67" a="1"/>
  <c r="H215" i="67" s="1"/>
  <c r="H280" i="67" s="1"/>
  <c r="G215" i="67" a="1"/>
  <c r="G215" i="67" s="1"/>
  <c r="G280" i="67" s="1"/>
  <c r="F215" i="67" a="1"/>
  <c r="F215" i="67" s="1"/>
  <c r="F280" i="67" s="1"/>
  <c r="E215" i="67" a="1"/>
  <c r="E215" i="67" s="1"/>
  <c r="E280" i="67" s="1"/>
  <c r="D215" i="67" a="1"/>
  <c r="D215" i="67" s="1"/>
  <c r="P214" i="67" a="1"/>
  <c r="P214" i="67" s="1"/>
  <c r="P279" i="67" s="1"/>
  <c r="O214" i="67" a="1"/>
  <c r="O214" i="67" s="1"/>
  <c r="O279" i="67" s="1"/>
  <c r="N214" i="67" a="1"/>
  <c r="N214" i="67" s="1"/>
  <c r="N279" i="67" s="1"/>
  <c r="M214" i="67" a="1"/>
  <c r="M214" i="67" s="1"/>
  <c r="M279" i="67" s="1"/>
  <c r="L214" i="67" a="1"/>
  <c r="L214" i="67" s="1"/>
  <c r="L279" i="67" s="1"/>
  <c r="K214" i="67" a="1"/>
  <c r="K214" i="67" s="1"/>
  <c r="K279" i="67" s="1"/>
  <c r="J214" i="67" a="1"/>
  <c r="J214" i="67" s="1"/>
  <c r="J279" i="67" s="1"/>
  <c r="I214" i="67" a="1"/>
  <c r="I214" i="67" s="1"/>
  <c r="I279" i="67" s="1"/>
  <c r="H214" i="67" a="1"/>
  <c r="H214" i="67" s="1"/>
  <c r="H279" i="67" s="1"/>
  <c r="G214" i="67" a="1"/>
  <c r="G214" i="67" s="1"/>
  <c r="G279" i="67" s="1"/>
  <c r="F214" i="67" a="1"/>
  <c r="F214" i="67" s="1"/>
  <c r="F279" i="67" s="1"/>
  <c r="E214" i="67" a="1"/>
  <c r="E214" i="67" s="1"/>
  <c r="E279" i="67" s="1"/>
  <c r="D214" i="67" a="1"/>
  <c r="D214" i="67" s="1"/>
  <c r="P213" i="67" a="1"/>
  <c r="P213" i="67" s="1"/>
  <c r="P278" i="67" s="1"/>
  <c r="O213" i="67" a="1"/>
  <c r="O213" i="67" s="1"/>
  <c r="O278" i="67" s="1"/>
  <c r="N213" i="67" a="1"/>
  <c r="N213" i="67" s="1"/>
  <c r="N278" i="67" s="1"/>
  <c r="M213" i="67" a="1"/>
  <c r="M213" i="67" s="1"/>
  <c r="M278" i="67" s="1"/>
  <c r="L213" i="67" a="1"/>
  <c r="L213" i="67" s="1"/>
  <c r="L278" i="67" s="1"/>
  <c r="K213" i="67" a="1"/>
  <c r="K213" i="67" s="1"/>
  <c r="K278" i="67" s="1"/>
  <c r="J213" i="67" a="1"/>
  <c r="J213" i="67" s="1"/>
  <c r="J278" i="67" s="1"/>
  <c r="I213" i="67" a="1"/>
  <c r="I213" i="67" s="1"/>
  <c r="I278" i="67" s="1"/>
  <c r="H213" i="67" a="1"/>
  <c r="H213" i="67" s="1"/>
  <c r="H278" i="67" s="1"/>
  <c r="G213" i="67" a="1"/>
  <c r="G213" i="67" s="1"/>
  <c r="G278" i="67" s="1"/>
  <c r="F213" i="67" a="1"/>
  <c r="F213" i="67" s="1"/>
  <c r="F278" i="67" s="1"/>
  <c r="E213" i="67" a="1"/>
  <c r="E213" i="67" s="1"/>
  <c r="E278" i="67" s="1"/>
  <c r="D213" i="67" a="1"/>
  <c r="D213" i="67" s="1"/>
  <c r="P212" i="67" a="1"/>
  <c r="P212" i="67" s="1"/>
  <c r="P277" i="67" s="1"/>
  <c r="O212" i="67" a="1"/>
  <c r="O212" i="67" s="1"/>
  <c r="O277" i="67" s="1"/>
  <c r="N212" i="67" a="1"/>
  <c r="N212" i="67" s="1"/>
  <c r="N277" i="67" s="1"/>
  <c r="M212" i="67" a="1"/>
  <c r="M212" i="67" s="1"/>
  <c r="M277" i="67" s="1"/>
  <c r="L212" i="67" a="1"/>
  <c r="L212" i="67" s="1"/>
  <c r="L277" i="67" s="1"/>
  <c r="K212" i="67" a="1"/>
  <c r="K212" i="67" s="1"/>
  <c r="K277" i="67" s="1"/>
  <c r="J212" i="67" a="1"/>
  <c r="J212" i="67" s="1"/>
  <c r="J277" i="67" s="1"/>
  <c r="I212" i="67" a="1"/>
  <c r="I212" i="67" s="1"/>
  <c r="I277" i="67" s="1"/>
  <c r="H212" i="67" a="1"/>
  <c r="H212" i="67" s="1"/>
  <c r="H277" i="67" s="1"/>
  <c r="G212" i="67" a="1"/>
  <c r="G212" i="67" s="1"/>
  <c r="G277" i="67" s="1"/>
  <c r="F212" i="67" a="1"/>
  <c r="F212" i="67" s="1"/>
  <c r="F277" i="67" s="1"/>
  <c r="E212" i="67" a="1"/>
  <c r="E212" i="67" s="1"/>
  <c r="E277" i="67" s="1"/>
  <c r="D212" i="67" a="1"/>
  <c r="D212" i="67" s="1"/>
  <c r="P211" i="67" a="1"/>
  <c r="P211" i="67" s="1"/>
  <c r="P276" i="67" s="1"/>
  <c r="O211" i="67" a="1"/>
  <c r="O211" i="67" s="1"/>
  <c r="O276" i="67" s="1"/>
  <c r="N211" i="67" a="1"/>
  <c r="N211" i="67" s="1"/>
  <c r="N276" i="67" s="1"/>
  <c r="M211" i="67" a="1"/>
  <c r="M211" i="67" s="1"/>
  <c r="M276" i="67" s="1"/>
  <c r="L211" i="67" a="1"/>
  <c r="L211" i="67" s="1"/>
  <c r="L276" i="67" s="1"/>
  <c r="K211" i="67" a="1"/>
  <c r="K211" i="67" s="1"/>
  <c r="K276" i="67" s="1"/>
  <c r="J211" i="67" a="1"/>
  <c r="J211" i="67" s="1"/>
  <c r="J276" i="67" s="1"/>
  <c r="I211" i="67" a="1"/>
  <c r="I211" i="67" s="1"/>
  <c r="I276" i="67" s="1"/>
  <c r="H211" i="67" a="1"/>
  <c r="H211" i="67" s="1"/>
  <c r="H276" i="67" s="1"/>
  <c r="G211" i="67" a="1"/>
  <c r="G211" i="67" s="1"/>
  <c r="G276" i="67" s="1"/>
  <c r="F211" i="67" a="1"/>
  <c r="F211" i="67" s="1"/>
  <c r="F276" i="67" s="1"/>
  <c r="E211" i="67" a="1"/>
  <c r="E211" i="67" s="1"/>
  <c r="E276" i="67" s="1"/>
  <c r="D211" i="67" a="1"/>
  <c r="D211" i="67" s="1"/>
  <c r="P210" i="67" a="1"/>
  <c r="P210" i="67" s="1"/>
  <c r="P275" i="67" s="1"/>
  <c r="O210" i="67" a="1"/>
  <c r="O210" i="67" s="1"/>
  <c r="O275" i="67" s="1"/>
  <c r="N210" i="67" a="1"/>
  <c r="N210" i="67" s="1"/>
  <c r="N275" i="67" s="1"/>
  <c r="M210" i="67" a="1"/>
  <c r="M210" i="67" s="1"/>
  <c r="M275" i="67" s="1"/>
  <c r="L210" i="67" a="1"/>
  <c r="L210" i="67" s="1"/>
  <c r="L275" i="67" s="1"/>
  <c r="K210" i="67" a="1"/>
  <c r="K210" i="67" s="1"/>
  <c r="K275" i="67" s="1"/>
  <c r="J210" i="67" a="1"/>
  <c r="J210" i="67" s="1"/>
  <c r="J275" i="67" s="1"/>
  <c r="I210" i="67" a="1"/>
  <c r="I210" i="67" s="1"/>
  <c r="I275" i="67" s="1"/>
  <c r="H210" i="67" a="1"/>
  <c r="H210" i="67" s="1"/>
  <c r="H275" i="67" s="1"/>
  <c r="G210" i="67" a="1"/>
  <c r="G210" i="67" s="1"/>
  <c r="G275" i="67" s="1"/>
  <c r="F210" i="67" a="1"/>
  <c r="F210" i="67" s="1"/>
  <c r="F275" i="67" s="1"/>
  <c r="E210" i="67" a="1"/>
  <c r="E210" i="67" s="1"/>
  <c r="E275" i="67" s="1"/>
  <c r="D210" i="67" a="1"/>
  <c r="D210" i="67" s="1"/>
  <c r="P209" i="67" a="1"/>
  <c r="P209" i="67" s="1"/>
  <c r="P274" i="67" s="1"/>
  <c r="O209" i="67" a="1"/>
  <c r="O209" i="67" s="1"/>
  <c r="O274" i="67" s="1"/>
  <c r="N209" i="67" a="1"/>
  <c r="N209" i="67" s="1"/>
  <c r="N274" i="67" s="1"/>
  <c r="M209" i="67" a="1"/>
  <c r="M209" i="67" s="1"/>
  <c r="M274" i="67" s="1"/>
  <c r="L209" i="67" a="1"/>
  <c r="L209" i="67" s="1"/>
  <c r="L274" i="67" s="1"/>
  <c r="K209" i="67" a="1"/>
  <c r="K209" i="67" s="1"/>
  <c r="K274" i="67" s="1"/>
  <c r="J209" i="67" a="1"/>
  <c r="J209" i="67" s="1"/>
  <c r="J274" i="67" s="1"/>
  <c r="I209" i="67" a="1"/>
  <c r="I209" i="67" s="1"/>
  <c r="I274" i="67" s="1"/>
  <c r="H209" i="67" a="1"/>
  <c r="H209" i="67" s="1"/>
  <c r="H274" i="67" s="1"/>
  <c r="G209" i="67" a="1"/>
  <c r="G209" i="67" s="1"/>
  <c r="G274" i="67" s="1"/>
  <c r="F209" i="67" a="1"/>
  <c r="F209" i="67" s="1"/>
  <c r="F274" i="67" s="1"/>
  <c r="E209" i="67" a="1"/>
  <c r="E209" i="67" s="1"/>
  <c r="E274" i="67" s="1"/>
  <c r="D209" i="67" a="1"/>
  <c r="D209" i="67" s="1"/>
  <c r="P208" i="67" a="1"/>
  <c r="P208" i="67" s="1"/>
  <c r="P273" i="67" s="1"/>
  <c r="O208" i="67" a="1"/>
  <c r="O208" i="67" s="1"/>
  <c r="O273" i="67" s="1"/>
  <c r="N208" i="67" a="1"/>
  <c r="N208" i="67" s="1"/>
  <c r="N273" i="67" s="1"/>
  <c r="M208" i="67" a="1"/>
  <c r="M208" i="67" s="1"/>
  <c r="M273" i="67" s="1"/>
  <c r="L208" i="67" a="1"/>
  <c r="L208" i="67" s="1"/>
  <c r="L273" i="67" s="1"/>
  <c r="K208" i="67" a="1"/>
  <c r="K208" i="67" s="1"/>
  <c r="K273" i="67" s="1"/>
  <c r="J208" i="67" a="1"/>
  <c r="J208" i="67" s="1"/>
  <c r="J273" i="67" s="1"/>
  <c r="I208" i="67" a="1"/>
  <c r="I208" i="67" s="1"/>
  <c r="I273" i="67" s="1"/>
  <c r="H208" i="67" a="1"/>
  <c r="H208" i="67" s="1"/>
  <c r="H273" i="67" s="1"/>
  <c r="G208" i="67" a="1"/>
  <c r="G208" i="67" s="1"/>
  <c r="G273" i="67" s="1"/>
  <c r="F208" i="67" a="1"/>
  <c r="F208" i="67" s="1"/>
  <c r="F273" i="67" s="1"/>
  <c r="E208" i="67" a="1"/>
  <c r="E208" i="67" s="1"/>
  <c r="E273" i="67" s="1"/>
  <c r="D208" i="67" a="1"/>
  <c r="D208" i="67" s="1"/>
  <c r="P207" i="67" a="1"/>
  <c r="P207" i="67" s="1"/>
  <c r="P272" i="67" s="1"/>
  <c r="O207" i="67" a="1"/>
  <c r="O207" i="67" s="1"/>
  <c r="O272" i="67" s="1"/>
  <c r="N207" i="67" a="1"/>
  <c r="N207" i="67" s="1"/>
  <c r="N272" i="67" s="1"/>
  <c r="M207" i="67" a="1"/>
  <c r="M207" i="67" s="1"/>
  <c r="M272" i="67" s="1"/>
  <c r="L207" i="67" a="1"/>
  <c r="L207" i="67" s="1"/>
  <c r="L272" i="67" s="1"/>
  <c r="K207" i="67" a="1"/>
  <c r="K207" i="67" s="1"/>
  <c r="K272" i="67" s="1"/>
  <c r="J207" i="67" a="1"/>
  <c r="J207" i="67" s="1"/>
  <c r="J272" i="67" s="1"/>
  <c r="I207" i="67" a="1"/>
  <c r="I207" i="67" s="1"/>
  <c r="I272" i="67" s="1"/>
  <c r="H207" i="67" a="1"/>
  <c r="H207" i="67" s="1"/>
  <c r="H272" i="67" s="1"/>
  <c r="G207" i="67" a="1"/>
  <c r="G207" i="67" s="1"/>
  <c r="G272" i="67" s="1"/>
  <c r="F207" i="67" a="1"/>
  <c r="F207" i="67" s="1"/>
  <c r="F272" i="67" s="1"/>
  <c r="E207" i="67" a="1"/>
  <c r="E207" i="67" s="1"/>
  <c r="E272" i="67" s="1"/>
  <c r="D207" i="67" a="1"/>
  <c r="D207" i="67" s="1"/>
  <c r="P206" i="67" a="1"/>
  <c r="P206" i="67" s="1"/>
  <c r="P271" i="67" s="1"/>
  <c r="O206" i="67" a="1"/>
  <c r="O206" i="67" s="1"/>
  <c r="O271" i="67" s="1"/>
  <c r="N206" i="67" a="1"/>
  <c r="N206" i="67" s="1"/>
  <c r="N271" i="67" s="1"/>
  <c r="M206" i="67" a="1"/>
  <c r="M206" i="67" s="1"/>
  <c r="M271" i="67" s="1"/>
  <c r="L206" i="67" a="1"/>
  <c r="L206" i="67" s="1"/>
  <c r="L271" i="67" s="1"/>
  <c r="K206" i="67" a="1"/>
  <c r="K206" i="67" s="1"/>
  <c r="K271" i="67" s="1"/>
  <c r="J206" i="67" a="1"/>
  <c r="J206" i="67" s="1"/>
  <c r="J271" i="67" s="1"/>
  <c r="I206" i="67" a="1"/>
  <c r="I206" i="67" s="1"/>
  <c r="I271" i="67" s="1"/>
  <c r="H206" i="67" a="1"/>
  <c r="H206" i="67" s="1"/>
  <c r="H271" i="67" s="1"/>
  <c r="G206" i="67" a="1"/>
  <c r="G206" i="67" s="1"/>
  <c r="G271" i="67" s="1"/>
  <c r="F206" i="67" a="1"/>
  <c r="F206" i="67" s="1"/>
  <c r="F271" i="67" s="1"/>
  <c r="E206" i="67" a="1"/>
  <c r="E206" i="67" s="1"/>
  <c r="E271" i="67" s="1"/>
  <c r="D206" i="67" a="1"/>
  <c r="D206" i="67" s="1"/>
  <c r="P205" i="67" a="1"/>
  <c r="P205" i="67" s="1"/>
  <c r="P270" i="67" s="1"/>
  <c r="O205" i="67" a="1"/>
  <c r="O205" i="67" s="1"/>
  <c r="O270" i="67" s="1"/>
  <c r="N205" i="67" a="1"/>
  <c r="N205" i="67" s="1"/>
  <c r="N270" i="67" s="1"/>
  <c r="M205" i="67" a="1"/>
  <c r="M205" i="67" s="1"/>
  <c r="M270" i="67" s="1"/>
  <c r="L205" i="67" a="1"/>
  <c r="L205" i="67" s="1"/>
  <c r="L270" i="67" s="1"/>
  <c r="K205" i="67" a="1"/>
  <c r="K205" i="67" s="1"/>
  <c r="K270" i="67" s="1"/>
  <c r="J205" i="67" a="1"/>
  <c r="J205" i="67" s="1"/>
  <c r="J270" i="67" s="1"/>
  <c r="I205" i="67" a="1"/>
  <c r="I205" i="67" s="1"/>
  <c r="I270" i="67" s="1"/>
  <c r="H205" i="67" a="1"/>
  <c r="H205" i="67" s="1"/>
  <c r="H270" i="67" s="1"/>
  <c r="G205" i="67" a="1"/>
  <c r="G205" i="67" s="1"/>
  <c r="G270" i="67" s="1"/>
  <c r="F205" i="67" a="1"/>
  <c r="F205" i="67" s="1"/>
  <c r="F270" i="67" s="1"/>
  <c r="E205" i="67" a="1"/>
  <c r="E205" i="67" s="1"/>
  <c r="E270" i="67" s="1"/>
  <c r="D205" i="67" a="1"/>
  <c r="D205" i="67" s="1"/>
  <c r="P204" i="67" a="1"/>
  <c r="P204" i="67" s="1"/>
  <c r="P269" i="67" s="1"/>
  <c r="O204" i="67" a="1"/>
  <c r="O204" i="67" s="1"/>
  <c r="O269" i="67" s="1"/>
  <c r="N204" i="67" a="1"/>
  <c r="N204" i="67" s="1"/>
  <c r="N269" i="67" s="1"/>
  <c r="M204" i="67" a="1"/>
  <c r="M204" i="67" s="1"/>
  <c r="M269" i="67" s="1"/>
  <c r="L204" i="67" a="1"/>
  <c r="L204" i="67" s="1"/>
  <c r="L269" i="67" s="1"/>
  <c r="K204" i="67" a="1"/>
  <c r="K204" i="67" s="1"/>
  <c r="K269" i="67" s="1"/>
  <c r="J204" i="67" a="1"/>
  <c r="J204" i="67" s="1"/>
  <c r="J269" i="67" s="1"/>
  <c r="I204" i="67" a="1"/>
  <c r="I204" i="67" s="1"/>
  <c r="I269" i="67" s="1"/>
  <c r="H204" i="67" a="1"/>
  <c r="H204" i="67" s="1"/>
  <c r="H269" i="67" s="1"/>
  <c r="G204" i="67" a="1"/>
  <c r="G204" i="67" s="1"/>
  <c r="G269" i="67" s="1"/>
  <c r="F204" i="67" a="1"/>
  <c r="F204" i="67" s="1"/>
  <c r="F269" i="67" s="1"/>
  <c r="E204" i="67" a="1"/>
  <c r="E204" i="67" s="1"/>
  <c r="E269" i="67" s="1"/>
  <c r="D204" i="67" a="1"/>
  <c r="D204" i="67" s="1"/>
  <c r="P203" i="67" a="1"/>
  <c r="P203" i="67" s="1"/>
  <c r="P268" i="67" s="1"/>
  <c r="O203" i="67" a="1"/>
  <c r="O203" i="67" s="1"/>
  <c r="O268" i="67" s="1"/>
  <c r="N203" i="67" a="1"/>
  <c r="N203" i="67" s="1"/>
  <c r="N268" i="67" s="1"/>
  <c r="M203" i="67" a="1"/>
  <c r="M203" i="67" s="1"/>
  <c r="M268" i="67" s="1"/>
  <c r="L203" i="67" a="1"/>
  <c r="L203" i="67" s="1"/>
  <c r="L268" i="67" s="1"/>
  <c r="K203" i="67" a="1"/>
  <c r="K203" i="67" s="1"/>
  <c r="K268" i="67" s="1"/>
  <c r="J203" i="67" a="1"/>
  <c r="J203" i="67" s="1"/>
  <c r="J268" i="67" s="1"/>
  <c r="I203" i="67" a="1"/>
  <c r="I203" i="67" s="1"/>
  <c r="I268" i="67" s="1"/>
  <c r="H203" i="67" a="1"/>
  <c r="H203" i="67" s="1"/>
  <c r="H268" i="67" s="1"/>
  <c r="G203" i="67" a="1"/>
  <c r="G203" i="67" s="1"/>
  <c r="G268" i="67" s="1"/>
  <c r="F203" i="67" a="1"/>
  <c r="F203" i="67" s="1"/>
  <c r="F268" i="67" s="1"/>
  <c r="E203" i="67" a="1"/>
  <c r="E203" i="67" s="1"/>
  <c r="E268" i="67" s="1"/>
  <c r="D203" i="67" a="1"/>
  <c r="D203" i="67" s="1"/>
  <c r="P202" i="67" a="1"/>
  <c r="P202" i="67" s="1"/>
  <c r="P267" i="67" s="1"/>
  <c r="O202" i="67" a="1"/>
  <c r="O202" i="67" s="1"/>
  <c r="O267" i="67" s="1"/>
  <c r="N202" i="67" a="1"/>
  <c r="N202" i="67" s="1"/>
  <c r="N267" i="67" s="1"/>
  <c r="M202" i="67" a="1"/>
  <c r="M202" i="67" s="1"/>
  <c r="M267" i="67" s="1"/>
  <c r="L202" i="67" a="1"/>
  <c r="L202" i="67" s="1"/>
  <c r="L267" i="67" s="1"/>
  <c r="K202" i="67" a="1"/>
  <c r="K202" i="67" s="1"/>
  <c r="K267" i="67" s="1"/>
  <c r="J202" i="67" a="1"/>
  <c r="J202" i="67" s="1"/>
  <c r="J267" i="67" s="1"/>
  <c r="I202" i="67" a="1"/>
  <c r="I202" i="67" s="1"/>
  <c r="I267" i="67" s="1"/>
  <c r="H202" i="67" a="1"/>
  <c r="H202" i="67" s="1"/>
  <c r="H267" i="67" s="1"/>
  <c r="G202" i="67" a="1"/>
  <c r="G202" i="67" s="1"/>
  <c r="G267" i="67" s="1"/>
  <c r="F202" i="67" a="1"/>
  <c r="F202" i="67" s="1"/>
  <c r="F267" i="67" s="1"/>
  <c r="E202" i="67" a="1"/>
  <c r="E202" i="67" s="1"/>
  <c r="E267" i="67" s="1"/>
  <c r="D202" i="67" a="1"/>
  <c r="D202" i="67" s="1"/>
  <c r="P201" i="67" a="1"/>
  <c r="P201" i="67" s="1"/>
  <c r="P266" i="67" s="1"/>
  <c r="O201" i="67" a="1"/>
  <c r="O201" i="67" s="1"/>
  <c r="O266" i="67" s="1"/>
  <c r="N201" i="67" a="1"/>
  <c r="N201" i="67" s="1"/>
  <c r="N266" i="67" s="1"/>
  <c r="M201" i="67" a="1"/>
  <c r="M201" i="67" s="1"/>
  <c r="M266" i="67" s="1"/>
  <c r="L201" i="67" a="1"/>
  <c r="L201" i="67" s="1"/>
  <c r="L266" i="67" s="1"/>
  <c r="K201" i="67" a="1"/>
  <c r="K201" i="67" s="1"/>
  <c r="K266" i="67" s="1"/>
  <c r="J201" i="67" a="1"/>
  <c r="J201" i="67" s="1"/>
  <c r="J266" i="67" s="1"/>
  <c r="I201" i="67" a="1"/>
  <c r="I201" i="67" s="1"/>
  <c r="I266" i="67" s="1"/>
  <c r="H201" i="67" a="1"/>
  <c r="H201" i="67" s="1"/>
  <c r="H266" i="67" s="1"/>
  <c r="G201" i="67" a="1"/>
  <c r="G201" i="67" s="1"/>
  <c r="G266" i="67" s="1"/>
  <c r="F201" i="67" a="1"/>
  <c r="F201" i="67" s="1"/>
  <c r="F266" i="67" s="1"/>
  <c r="E201" i="67" a="1"/>
  <c r="E201" i="67" s="1"/>
  <c r="E266" i="67" s="1"/>
  <c r="D201" i="67" a="1"/>
  <c r="D201" i="67" s="1"/>
  <c r="P200" i="67" a="1"/>
  <c r="P200" i="67" s="1"/>
  <c r="P265" i="67" s="1"/>
  <c r="O200" i="67" a="1"/>
  <c r="O200" i="67" s="1"/>
  <c r="O265" i="67" s="1"/>
  <c r="N200" i="67" a="1"/>
  <c r="N200" i="67" s="1"/>
  <c r="N265" i="67" s="1"/>
  <c r="M200" i="67" a="1"/>
  <c r="M200" i="67" s="1"/>
  <c r="M265" i="67" s="1"/>
  <c r="L200" i="67" a="1"/>
  <c r="L200" i="67" s="1"/>
  <c r="L265" i="67" s="1"/>
  <c r="K200" i="67" a="1"/>
  <c r="K200" i="67" s="1"/>
  <c r="K265" i="67" s="1"/>
  <c r="J200" i="67" a="1"/>
  <c r="J200" i="67" s="1"/>
  <c r="J265" i="67" s="1"/>
  <c r="I200" i="67" a="1"/>
  <c r="I200" i="67" s="1"/>
  <c r="I265" i="67" s="1"/>
  <c r="H200" i="67" a="1"/>
  <c r="H200" i="67" s="1"/>
  <c r="H265" i="67" s="1"/>
  <c r="G200" i="67" a="1"/>
  <c r="G200" i="67" s="1"/>
  <c r="G265" i="67" s="1"/>
  <c r="F200" i="67" a="1"/>
  <c r="F200" i="67" s="1"/>
  <c r="F265" i="67" s="1"/>
  <c r="E200" i="67" a="1"/>
  <c r="E200" i="67" s="1"/>
  <c r="E265" i="67" s="1"/>
  <c r="D200" i="67" a="1"/>
  <c r="D200" i="67" s="1"/>
  <c r="P199" i="67" a="1"/>
  <c r="P199" i="67" s="1"/>
  <c r="P264" i="67" s="1"/>
  <c r="O199" i="67" a="1"/>
  <c r="O199" i="67" s="1"/>
  <c r="O264" i="67" s="1"/>
  <c r="N199" i="67" a="1"/>
  <c r="N199" i="67" s="1"/>
  <c r="N264" i="67" s="1"/>
  <c r="M199" i="67" a="1"/>
  <c r="M199" i="67" s="1"/>
  <c r="M264" i="67" s="1"/>
  <c r="L199" i="67" a="1"/>
  <c r="L199" i="67" s="1"/>
  <c r="L264" i="67" s="1"/>
  <c r="K199" i="67" a="1"/>
  <c r="K199" i="67" s="1"/>
  <c r="K264" i="67" s="1"/>
  <c r="J199" i="67" a="1"/>
  <c r="J199" i="67" s="1"/>
  <c r="J264" i="67" s="1"/>
  <c r="I199" i="67" a="1"/>
  <c r="I199" i="67" s="1"/>
  <c r="I264" i="67" s="1"/>
  <c r="H199" i="67" a="1"/>
  <c r="H199" i="67" s="1"/>
  <c r="H264" i="67" s="1"/>
  <c r="G199" i="67" a="1"/>
  <c r="G199" i="67" s="1"/>
  <c r="G264" i="67" s="1"/>
  <c r="F199" i="67" a="1"/>
  <c r="F199" i="67" s="1"/>
  <c r="F264" i="67" s="1"/>
  <c r="E199" i="67" a="1"/>
  <c r="E199" i="67" s="1"/>
  <c r="E264" i="67" s="1"/>
  <c r="D199" i="67" a="1"/>
  <c r="D199" i="67" s="1"/>
  <c r="P198" i="67" a="1"/>
  <c r="P198" i="67" s="1"/>
  <c r="P263" i="67" s="1"/>
  <c r="O198" i="67" a="1"/>
  <c r="O198" i="67" s="1"/>
  <c r="O263" i="67" s="1"/>
  <c r="N198" i="67" a="1"/>
  <c r="N198" i="67" s="1"/>
  <c r="N263" i="67" s="1"/>
  <c r="M198" i="67" a="1"/>
  <c r="M198" i="67" s="1"/>
  <c r="M263" i="67" s="1"/>
  <c r="L198" i="67" a="1"/>
  <c r="L198" i="67" s="1"/>
  <c r="L263" i="67" s="1"/>
  <c r="K198" i="67" a="1"/>
  <c r="K198" i="67" s="1"/>
  <c r="K263" i="67" s="1"/>
  <c r="J198" i="67" a="1"/>
  <c r="J198" i="67" s="1"/>
  <c r="J263" i="67" s="1"/>
  <c r="I198" i="67" a="1"/>
  <c r="I198" i="67" s="1"/>
  <c r="I263" i="67" s="1"/>
  <c r="H198" i="67" a="1"/>
  <c r="H198" i="67" s="1"/>
  <c r="H263" i="67" s="1"/>
  <c r="G198" i="67" a="1"/>
  <c r="G198" i="67" s="1"/>
  <c r="G263" i="67" s="1"/>
  <c r="F198" i="67" a="1"/>
  <c r="F198" i="67" s="1"/>
  <c r="F263" i="67" s="1"/>
  <c r="E198" i="67" a="1"/>
  <c r="E198" i="67" s="1"/>
  <c r="E263" i="67" s="1"/>
  <c r="D198" i="67" a="1"/>
  <c r="D198" i="67" s="1"/>
  <c r="P197" i="67" a="1"/>
  <c r="P197" i="67" s="1"/>
  <c r="P262" i="67" s="1"/>
  <c r="O197" i="67" a="1"/>
  <c r="O197" i="67" s="1"/>
  <c r="O262" i="67" s="1"/>
  <c r="N197" i="67" a="1"/>
  <c r="N197" i="67" s="1"/>
  <c r="N262" i="67" s="1"/>
  <c r="M197" i="67" a="1"/>
  <c r="M197" i="67" s="1"/>
  <c r="M262" i="67" s="1"/>
  <c r="L197" i="67" a="1"/>
  <c r="L197" i="67" s="1"/>
  <c r="L262" i="67" s="1"/>
  <c r="K197" i="67" a="1"/>
  <c r="K197" i="67" s="1"/>
  <c r="K262" i="67" s="1"/>
  <c r="J197" i="67" a="1"/>
  <c r="J197" i="67" s="1"/>
  <c r="J262" i="67" s="1"/>
  <c r="I197" i="67" a="1"/>
  <c r="I197" i="67" s="1"/>
  <c r="I262" i="67" s="1"/>
  <c r="H197" i="67" a="1"/>
  <c r="H197" i="67" s="1"/>
  <c r="H262" i="67" s="1"/>
  <c r="G197" i="67" a="1"/>
  <c r="G197" i="67" s="1"/>
  <c r="G262" i="67" s="1"/>
  <c r="F197" i="67" a="1"/>
  <c r="F197" i="67" s="1"/>
  <c r="F262" i="67" s="1"/>
  <c r="E197" i="67" a="1"/>
  <c r="E197" i="67" s="1"/>
  <c r="E262" i="67" s="1"/>
  <c r="D197" i="67" a="1"/>
  <c r="D197" i="67" s="1"/>
  <c r="P196" i="67" a="1"/>
  <c r="P196" i="67" s="1"/>
  <c r="P261" i="67" s="1"/>
  <c r="O196" i="67" a="1"/>
  <c r="O196" i="67" s="1"/>
  <c r="O261" i="67" s="1"/>
  <c r="N196" i="67" a="1"/>
  <c r="N196" i="67" s="1"/>
  <c r="N261" i="67" s="1"/>
  <c r="M196" i="67" a="1"/>
  <c r="M196" i="67" s="1"/>
  <c r="M261" i="67" s="1"/>
  <c r="L196" i="67" a="1"/>
  <c r="L196" i="67" s="1"/>
  <c r="L261" i="67" s="1"/>
  <c r="K196" i="67" a="1"/>
  <c r="K196" i="67" s="1"/>
  <c r="K261" i="67" s="1"/>
  <c r="J196" i="67" a="1"/>
  <c r="J196" i="67" s="1"/>
  <c r="J261" i="67" s="1"/>
  <c r="I196" i="67" a="1"/>
  <c r="I196" i="67" s="1"/>
  <c r="I261" i="67" s="1"/>
  <c r="H196" i="67" a="1"/>
  <c r="H196" i="67" s="1"/>
  <c r="H261" i="67" s="1"/>
  <c r="G196" i="67" a="1"/>
  <c r="G196" i="67" s="1"/>
  <c r="G261" i="67" s="1"/>
  <c r="F196" i="67" a="1"/>
  <c r="F196" i="67" s="1"/>
  <c r="F261" i="67" s="1"/>
  <c r="E196" i="67" a="1"/>
  <c r="E196" i="67" s="1"/>
  <c r="E261" i="67" s="1"/>
  <c r="D196" i="67" a="1"/>
  <c r="D196" i="67" s="1"/>
  <c r="P195" i="67" a="1"/>
  <c r="P195" i="67" s="1"/>
  <c r="P260" i="67" s="1"/>
  <c r="O195" i="67" a="1"/>
  <c r="O195" i="67" s="1"/>
  <c r="O260" i="67" s="1"/>
  <c r="N195" i="67" a="1"/>
  <c r="N195" i="67" s="1"/>
  <c r="N260" i="67" s="1"/>
  <c r="M195" i="67" a="1"/>
  <c r="M195" i="67" s="1"/>
  <c r="M260" i="67" s="1"/>
  <c r="L195" i="67" a="1"/>
  <c r="L195" i="67" s="1"/>
  <c r="L260" i="67" s="1"/>
  <c r="K195" i="67" a="1"/>
  <c r="K195" i="67" s="1"/>
  <c r="K260" i="67" s="1"/>
  <c r="J195" i="67" a="1"/>
  <c r="J195" i="67" s="1"/>
  <c r="J260" i="67" s="1"/>
  <c r="I195" i="67" a="1"/>
  <c r="I195" i="67" s="1"/>
  <c r="I260" i="67" s="1"/>
  <c r="H195" i="67" a="1"/>
  <c r="H195" i="67" s="1"/>
  <c r="H260" i="67" s="1"/>
  <c r="G195" i="67" a="1"/>
  <c r="G195" i="67" s="1"/>
  <c r="G260" i="67" s="1"/>
  <c r="F195" i="67" a="1"/>
  <c r="F195" i="67" s="1"/>
  <c r="F260" i="67" s="1"/>
  <c r="E195" i="67" a="1"/>
  <c r="E195" i="67" s="1"/>
  <c r="E260" i="67" s="1"/>
  <c r="D195" i="67" a="1"/>
  <c r="D195" i="67" s="1"/>
  <c r="P194" i="67" a="1"/>
  <c r="P194" i="67" s="1"/>
  <c r="P259" i="67" s="1"/>
  <c r="O194" i="67" a="1"/>
  <c r="O194" i="67" s="1"/>
  <c r="O259" i="67" s="1"/>
  <c r="N194" i="67" a="1"/>
  <c r="N194" i="67" s="1"/>
  <c r="N259" i="67" s="1"/>
  <c r="M194" i="67" a="1"/>
  <c r="M194" i="67" s="1"/>
  <c r="M259" i="67" s="1"/>
  <c r="L194" i="67" a="1"/>
  <c r="L194" i="67" s="1"/>
  <c r="L259" i="67" s="1"/>
  <c r="K194" i="67" a="1"/>
  <c r="K194" i="67" s="1"/>
  <c r="K259" i="67" s="1"/>
  <c r="J194" i="67" a="1"/>
  <c r="J194" i="67" s="1"/>
  <c r="J259" i="67" s="1"/>
  <c r="I194" i="67" a="1"/>
  <c r="I194" i="67" s="1"/>
  <c r="I259" i="67" s="1"/>
  <c r="H194" i="67" a="1"/>
  <c r="H194" i="67" s="1"/>
  <c r="H259" i="67" s="1"/>
  <c r="G194" i="67" a="1"/>
  <c r="G194" i="67" s="1"/>
  <c r="G259" i="67" s="1"/>
  <c r="F194" i="67" a="1"/>
  <c r="F194" i="67" s="1"/>
  <c r="F259" i="67" s="1"/>
  <c r="E194" i="67" a="1"/>
  <c r="E194" i="67" s="1"/>
  <c r="E259" i="67" s="1"/>
  <c r="D194" i="67" a="1"/>
  <c r="D194" i="67" s="1"/>
  <c r="P193" i="67" a="1"/>
  <c r="P193" i="67" s="1"/>
  <c r="P258" i="67" s="1"/>
  <c r="O193" i="67" a="1"/>
  <c r="O193" i="67" s="1"/>
  <c r="O258" i="67" s="1"/>
  <c r="N193" i="67" a="1"/>
  <c r="N193" i="67" s="1"/>
  <c r="N258" i="67" s="1"/>
  <c r="M193" i="67" a="1"/>
  <c r="M193" i="67" s="1"/>
  <c r="M258" i="67" s="1"/>
  <c r="L193" i="67" a="1"/>
  <c r="L193" i="67" s="1"/>
  <c r="L258" i="67" s="1"/>
  <c r="K193" i="67" a="1"/>
  <c r="K193" i="67" s="1"/>
  <c r="K258" i="67" s="1"/>
  <c r="J193" i="67" a="1"/>
  <c r="J193" i="67" s="1"/>
  <c r="J258" i="67" s="1"/>
  <c r="I193" i="67" a="1"/>
  <c r="I193" i="67" s="1"/>
  <c r="I258" i="67" s="1"/>
  <c r="H193" i="67" a="1"/>
  <c r="H193" i="67" s="1"/>
  <c r="H258" i="67" s="1"/>
  <c r="G193" i="67" a="1"/>
  <c r="G193" i="67" s="1"/>
  <c r="G258" i="67" s="1"/>
  <c r="F193" i="67" a="1"/>
  <c r="F193" i="67" s="1"/>
  <c r="F258" i="67" s="1"/>
  <c r="E193" i="67" a="1"/>
  <c r="E193" i="67" s="1"/>
  <c r="E258" i="67" s="1"/>
  <c r="D193" i="67" a="1"/>
  <c r="D193" i="67" s="1"/>
  <c r="P192" i="67" a="1"/>
  <c r="P192" i="67" s="1"/>
  <c r="P257" i="67" s="1"/>
  <c r="O192" i="67" a="1"/>
  <c r="O192" i="67" s="1"/>
  <c r="O257" i="67" s="1"/>
  <c r="N192" i="67" a="1"/>
  <c r="N192" i="67" s="1"/>
  <c r="N257" i="67" s="1"/>
  <c r="M192" i="67" a="1"/>
  <c r="M192" i="67" s="1"/>
  <c r="M257" i="67" s="1"/>
  <c r="L192" i="67" a="1"/>
  <c r="L192" i="67" s="1"/>
  <c r="L257" i="67" s="1"/>
  <c r="K192" i="67" a="1"/>
  <c r="K192" i="67" s="1"/>
  <c r="K257" i="67" s="1"/>
  <c r="J192" i="67" a="1"/>
  <c r="J192" i="67" s="1"/>
  <c r="J257" i="67" s="1"/>
  <c r="I192" i="67" a="1"/>
  <c r="I192" i="67" s="1"/>
  <c r="I257" i="67" s="1"/>
  <c r="H192" i="67" a="1"/>
  <c r="H192" i="67" s="1"/>
  <c r="H257" i="67" s="1"/>
  <c r="G192" i="67" a="1"/>
  <c r="G192" i="67" s="1"/>
  <c r="G257" i="67" s="1"/>
  <c r="F192" i="67" a="1"/>
  <c r="F192" i="67" s="1"/>
  <c r="F257" i="67" s="1"/>
  <c r="E192" i="67" a="1"/>
  <c r="E192" i="67" s="1"/>
  <c r="E257" i="67" s="1"/>
  <c r="D192" i="67" a="1"/>
  <c r="D192" i="67" s="1"/>
  <c r="P191" i="67" a="1"/>
  <c r="P191" i="67" s="1"/>
  <c r="P256" i="67" s="1"/>
  <c r="O191" i="67" a="1"/>
  <c r="O191" i="67" s="1"/>
  <c r="O256" i="67" s="1"/>
  <c r="N191" i="67" a="1"/>
  <c r="N191" i="67" s="1"/>
  <c r="N256" i="67" s="1"/>
  <c r="M191" i="67" a="1"/>
  <c r="M191" i="67" s="1"/>
  <c r="M256" i="67" s="1"/>
  <c r="L191" i="67" a="1"/>
  <c r="L191" i="67" s="1"/>
  <c r="L256" i="67" s="1"/>
  <c r="K191" i="67" a="1"/>
  <c r="K191" i="67" s="1"/>
  <c r="K256" i="67" s="1"/>
  <c r="J191" i="67" a="1"/>
  <c r="J191" i="67" s="1"/>
  <c r="J256" i="67" s="1"/>
  <c r="I191" i="67" a="1"/>
  <c r="I191" i="67" s="1"/>
  <c r="I256" i="67" s="1"/>
  <c r="H191" i="67" a="1"/>
  <c r="H191" i="67" s="1"/>
  <c r="H256" i="67" s="1"/>
  <c r="G191" i="67" a="1"/>
  <c r="G191" i="67" s="1"/>
  <c r="G256" i="67" s="1"/>
  <c r="F191" i="67" a="1"/>
  <c r="F191" i="67" s="1"/>
  <c r="F256" i="67" s="1"/>
  <c r="E191" i="67" a="1"/>
  <c r="E191" i="67" s="1"/>
  <c r="E256" i="67" s="1"/>
  <c r="D191" i="67" a="1"/>
  <c r="D191" i="67" s="1"/>
  <c r="P190" i="67" a="1"/>
  <c r="P190" i="67" s="1"/>
  <c r="P255" i="67" s="1"/>
  <c r="O190" i="67" a="1"/>
  <c r="O190" i="67" s="1"/>
  <c r="O255" i="67" s="1"/>
  <c r="N190" i="67" a="1"/>
  <c r="N190" i="67" s="1"/>
  <c r="N255" i="67" s="1"/>
  <c r="M190" i="67" a="1"/>
  <c r="M190" i="67" s="1"/>
  <c r="M255" i="67" s="1"/>
  <c r="L190" i="67" a="1"/>
  <c r="L190" i="67" s="1"/>
  <c r="L255" i="67" s="1"/>
  <c r="K190" i="67" a="1"/>
  <c r="K190" i="67" s="1"/>
  <c r="K255" i="67" s="1"/>
  <c r="J190" i="67" a="1"/>
  <c r="J190" i="67" s="1"/>
  <c r="J255" i="67" s="1"/>
  <c r="I190" i="67" a="1"/>
  <c r="I190" i="67" s="1"/>
  <c r="I255" i="67" s="1"/>
  <c r="H190" i="67" a="1"/>
  <c r="H190" i="67" s="1"/>
  <c r="H255" i="67" s="1"/>
  <c r="G190" i="67" a="1"/>
  <c r="G190" i="67" s="1"/>
  <c r="G255" i="67" s="1"/>
  <c r="F190" i="67" a="1"/>
  <c r="F190" i="67" s="1"/>
  <c r="F255" i="67" s="1"/>
  <c r="E190" i="67" a="1"/>
  <c r="E190" i="67" s="1"/>
  <c r="E255" i="67" s="1"/>
  <c r="D190" i="67" a="1"/>
  <c r="D190" i="67" s="1"/>
  <c r="D188" i="67" a="1"/>
  <c r="D188" i="67" s="1"/>
  <c r="D187" i="67" a="1"/>
  <c r="D187" i="67" s="1"/>
  <c r="D186" i="67" a="1"/>
  <c r="D186" i="67" s="1"/>
  <c r="D185" i="67" a="1"/>
  <c r="D185" i="67" s="1"/>
  <c r="M182" i="67" a="1"/>
  <c r="M182" i="67" s="1"/>
  <c r="L182" i="67" a="1"/>
  <c r="L182" i="67" s="1"/>
  <c r="M254" i="67" s="1"/>
  <c r="K182" i="67" a="1"/>
  <c r="K182" i="67" s="1"/>
  <c r="J182" i="67" a="1"/>
  <c r="J182" i="67" s="1"/>
  <c r="J254" i="67" s="1"/>
  <c r="I182" i="67" a="1"/>
  <c r="I182" i="67" s="1"/>
  <c r="I254" i="67" s="1"/>
  <c r="H182" i="67" a="1"/>
  <c r="H182" i="67" s="1"/>
  <c r="H254" i="67" s="1"/>
  <c r="G182" i="67" a="1"/>
  <c r="G182" i="67" s="1"/>
  <c r="G254" i="67" s="1"/>
  <c r="F182" i="67" a="1"/>
  <c r="F182" i="67" s="1"/>
  <c r="F254" i="67" s="1"/>
  <c r="E182" i="67" a="1"/>
  <c r="E182" i="67" s="1"/>
  <c r="E254" i="67" s="1"/>
  <c r="D182" i="67" a="1"/>
  <c r="D182" i="67" s="1"/>
  <c r="M181" i="67" a="1"/>
  <c r="M181" i="67" s="1"/>
  <c r="L181" i="67" a="1"/>
  <c r="L181" i="67" s="1"/>
  <c r="M253" i="67" s="1"/>
  <c r="K181" i="67" a="1"/>
  <c r="K181" i="67" s="1"/>
  <c r="L253" i="67" s="1"/>
  <c r="J181" i="67" a="1"/>
  <c r="J181" i="67" s="1"/>
  <c r="J253" i="67" s="1"/>
  <c r="I181" i="67" a="1"/>
  <c r="I181" i="67" s="1"/>
  <c r="I253" i="67" s="1"/>
  <c r="H181" i="67" a="1"/>
  <c r="H181" i="67" s="1"/>
  <c r="H253" i="67" s="1"/>
  <c r="G181" i="67" a="1"/>
  <c r="G181" i="67" s="1"/>
  <c r="G253" i="67" s="1"/>
  <c r="F181" i="67" a="1"/>
  <c r="F181" i="67" s="1"/>
  <c r="F253" i="67" s="1"/>
  <c r="E181" i="67" a="1"/>
  <c r="E181" i="67" s="1"/>
  <c r="E253" i="67" s="1"/>
  <c r="D181" i="67" a="1"/>
  <c r="D181" i="67" s="1"/>
  <c r="M180" i="67" a="1"/>
  <c r="M180" i="67" s="1"/>
  <c r="L180" i="67" a="1"/>
  <c r="L180" i="67" s="1"/>
  <c r="M252" i="67" s="1"/>
  <c r="K180" i="67" a="1"/>
  <c r="K180" i="67" s="1"/>
  <c r="J180" i="67" a="1"/>
  <c r="J180" i="67" s="1"/>
  <c r="J252" i="67" s="1"/>
  <c r="I180" i="67" a="1"/>
  <c r="I180" i="67" s="1"/>
  <c r="I252" i="67" s="1"/>
  <c r="H180" i="67" a="1"/>
  <c r="H180" i="67" s="1"/>
  <c r="H252" i="67" s="1"/>
  <c r="G180" i="67" a="1"/>
  <c r="G180" i="67" s="1"/>
  <c r="G252" i="67" s="1"/>
  <c r="F180" i="67" a="1"/>
  <c r="F180" i="67" s="1"/>
  <c r="F252" i="67" s="1"/>
  <c r="E180" i="67" a="1"/>
  <c r="E180" i="67" s="1"/>
  <c r="E252" i="67" s="1"/>
  <c r="D180" i="67" a="1"/>
  <c r="D180" i="67" s="1"/>
  <c r="M179" i="67" a="1"/>
  <c r="M179" i="67" s="1"/>
  <c r="L179" i="67" a="1"/>
  <c r="L179" i="67" s="1"/>
  <c r="M251" i="67" s="1"/>
  <c r="K179" i="67" a="1"/>
  <c r="K179" i="67" s="1"/>
  <c r="J179" i="67" a="1"/>
  <c r="J179" i="67" s="1"/>
  <c r="J251" i="67" s="1"/>
  <c r="I179" i="67" a="1"/>
  <c r="I179" i="67" s="1"/>
  <c r="I251" i="67" s="1"/>
  <c r="H179" i="67" a="1"/>
  <c r="H179" i="67" s="1"/>
  <c r="H251" i="67" s="1"/>
  <c r="G179" i="67" a="1"/>
  <c r="G179" i="67" s="1"/>
  <c r="G251" i="67" s="1"/>
  <c r="F179" i="67" a="1"/>
  <c r="F179" i="67" s="1"/>
  <c r="F251" i="67" s="1"/>
  <c r="E179" i="67" a="1"/>
  <c r="E179" i="67" s="1"/>
  <c r="E251" i="67" s="1"/>
  <c r="D179" i="67" a="1"/>
  <c r="D179" i="67" s="1"/>
  <c r="M178" i="67" a="1"/>
  <c r="M178" i="67" s="1"/>
  <c r="P250" i="67" s="1"/>
  <c r="L178" i="67" a="1"/>
  <c r="L178" i="67" s="1"/>
  <c r="M250" i="67" s="1"/>
  <c r="K178" i="67" a="1"/>
  <c r="K178" i="67" s="1"/>
  <c r="J178" i="67" a="1"/>
  <c r="J178" i="67" s="1"/>
  <c r="J250" i="67" s="1"/>
  <c r="I178" i="67" a="1"/>
  <c r="I178" i="67" s="1"/>
  <c r="I250" i="67" s="1"/>
  <c r="H178" i="67" a="1"/>
  <c r="H178" i="67" s="1"/>
  <c r="H250" i="67" s="1"/>
  <c r="G178" i="67" a="1"/>
  <c r="G178" i="67" s="1"/>
  <c r="G250" i="67" s="1"/>
  <c r="F178" i="67" a="1"/>
  <c r="F178" i="67" s="1"/>
  <c r="F250" i="67" s="1"/>
  <c r="E178" i="67" a="1"/>
  <c r="E178" i="67" s="1"/>
  <c r="E250" i="67" s="1"/>
  <c r="D178" i="67" a="1"/>
  <c r="D178" i="67" s="1"/>
  <c r="M177" i="67" a="1"/>
  <c r="M177" i="67" s="1"/>
  <c r="L177" i="67" a="1"/>
  <c r="L177" i="67" s="1"/>
  <c r="M249" i="67" s="1"/>
  <c r="K177" i="67" a="1"/>
  <c r="K177" i="67" s="1"/>
  <c r="J177" i="67" a="1"/>
  <c r="J177" i="67" s="1"/>
  <c r="J249" i="67" s="1"/>
  <c r="I177" i="67" a="1"/>
  <c r="I177" i="67" s="1"/>
  <c r="I249" i="67" s="1"/>
  <c r="H177" i="67" a="1"/>
  <c r="H177" i="67" s="1"/>
  <c r="H249" i="67" s="1"/>
  <c r="G177" i="67" a="1"/>
  <c r="G177" i="67" s="1"/>
  <c r="G249" i="67" s="1"/>
  <c r="F177" i="67" a="1"/>
  <c r="F177" i="67" s="1"/>
  <c r="F249" i="67" s="1"/>
  <c r="E177" i="67" a="1"/>
  <c r="E177" i="67" s="1"/>
  <c r="E249" i="67" s="1"/>
  <c r="D177" i="67" a="1"/>
  <c r="D177" i="67" s="1"/>
  <c r="M176" i="67" a="1"/>
  <c r="M176" i="67" s="1"/>
  <c r="L176" i="67" a="1"/>
  <c r="L176" i="67" s="1"/>
  <c r="M248" i="67" s="1"/>
  <c r="K176" i="67" a="1"/>
  <c r="K176" i="67" s="1"/>
  <c r="J176" i="67" a="1"/>
  <c r="J176" i="67" s="1"/>
  <c r="J248" i="67" s="1"/>
  <c r="I176" i="67" a="1"/>
  <c r="I176" i="67" s="1"/>
  <c r="I248" i="67" s="1"/>
  <c r="H176" i="67" a="1"/>
  <c r="H176" i="67" s="1"/>
  <c r="H248" i="67" s="1"/>
  <c r="G176" i="67" a="1"/>
  <c r="G176" i="67" s="1"/>
  <c r="G248" i="67" s="1"/>
  <c r="F176" i="67" a="1"/>
  <c r="F176" i="67" s="1"/>
  <c r="F248" i="67" s="1"/>
  <c r="E176" i="67" a="1"/>
  <c r="E176" i="67" s="1"/>
  <c r="E248" i="67" s="1"/>
  <c r="D176" i="67" a="1"/>
  <c r="D176" i="67" s="1"/>
  <c r="M175" i="67" a="1"/>
  <c r="M175" i="67" s="1"/>
  <c r="L175" i="67" a="1"/>
  <c r="L175" i="67" s="1"/>
  <c r="M247" i="67" s="1"/>
  <c r="K175" i="67" a="1"/>
  <c r="K175" i="67" s="1"/>
  <c r="J175" i="67" a="1"/>
  <c r="J175" i="67" s="1"/>
  <c r="J247" i="67" s="1"/>
  <c r="I175" i="67" a="1"/>
  <c r="I175" i="67" s="1"/>
  <c r="I247" i="67" s="1"/>
  <c r="H175" i="67" a="1"/>
  <c r="H175" i="67" s="1"/>
  <c r="H247" i="67" s="1"/>
  <c r="G175" i="67" a="1"/>
  <c r="G175" i="67" s="1"/>
  <c r="G247" i="67" s="1"/>
  <c r="F175" i="67" a="1"/>
  <c r="F175" i="67" s="1"/>
  <c r="F247" i="67" s="1"/>
  <c r="E175" i="67" a="1"/>
  <c r="E175" i="67" s="1"/>
  <c r="E247" i="67" s="1"/>
  <c r="D175" i="67" a="1"/>
  <c r="D175" i="67" s="1"/>
  <c r="M174" i="67" a="1"/>
  <c r="M174" i="67" s="1"/>
  <c r="L174" i="67" a="1"/>
  <c r="L174" i="67" s="1"/>
  <c r="M246" i="67" s="1"/>
  <c r="K174" i="67" a="1"/>
  <c r="K174" i="67" s="1"/>
  <c r="J174" i="67" a="1"/>
  <c r="J174" i="67" s="1"/>
  <c r="J246" i="67" s="1"/>
  <c r="I174" i="67" a="1"/>
  <c r="I174" i="67" s="1"/>
  <c r="I246" i="67" s="1"/>
  <c r="H174" i="67" a="1"/>
  <c r="H174" i="67" s="1"/>
  <c r="H246" i="67" s="1"/>
  <c r="G174" i="67" a="1"/>
  <c r="G174" i="67" s="1"/>
  <c r="G246" i="67" s="1"/>
  <c r="F174" i="67" a="1"/>
  <c r="F174" i="67" s="1"/>
  <c r="F246" i="67" s="1"/>
  <c r="E174" i="67" a="1"/>
  <c r="E174" i="67" s="1"/>
  <c r="E246" i="67" s="1"/>
  <c r="D174" i="67" a="1"/>
  <c r="D174" i="67" s="1"/>
  <c r="M173" i="67" a="1"/>
  <c r="M173" i="67" s="1"/>
  <c r="L173" i="67" a="1"/>
  <c r="L173" i="67" s="1"/>
  <c r="M245" i="67" s="1"/>
  <c r="K173" i="67" a="1"/>
  <c r="K173" i="67" s="1"/>
  <c r="J173" i="67" a="1"/>
  <c r="J173" i="67" s="1"/>
  <c r="J245" i="67" s="1"/>
  <c r="I173" i="67" a="1"/>
  <c r="I173" i="67" s="1"/>
  <c r="I245" i="67" s="1"/>
  <c r="H173" i="67" a="1"/>
  <c r="H173" i="67" s="1"/>
  <c r="H245" i="67" s="1"/>
  <c r="G173" i="67" a="1"/>
  <c r="G173" i="67" s="1"/>
  <c r="G245" i="67" s="1"/>
  <c r="F173" i="67" a="1"/>
  <c r="F173" i="67" s="1"/>
  <c r="F245" i="67" s="1"/>
  <c r="E173" i="67" a="1"/>
  <c r="E173" i="67" s="1"/>
  <c r="E245" i="67" s="1"/>
  <c r="D173" i="67" a="1"/>
  <c r="D173" i="67" s="1"/>
  <c r="M172" i="67" a="1"/>
  <c r="M172" i="67" s="1"/>
  <c r="L172" i="67" a="1"/>
  <c r="L172" i="67" s="1"/>
  <c r="M244" i="67" s="1"/>
  <c r="K172" i="67" a="1"/>
  <c r="K172" i="67" s="1"/>
  <c r="J172" i="67" a="1"/>
  <c r="J172" i="67" s="1"/>
  <c r="J244" i="67" s="1"/>
  <c r="I172" i="67" a="1"/>
  <c r="I172" i="67" s="1"/>
  <c r="I244" i="67" s="1"/>
  <c r="H172" i="67" a="1"/>
  <c r="H172" i="67" s="1"/>
  <c r="H244" i="67" s="1"/>
  <c r="G172" i="67" a="1"/>
  <c r="G172" i="67" s="1"/>
  <c r="G244" i="67" s="1"/>
  <c r="F172" i="67" a="1"/>
  <c r="F172" i="67" s="1"/>
  <c r="F244" i="67" s="1"/>
  <c r="E172" i="67" a="1"/>
  <c r="E172" i="67" s="1"/>
  <c r="E244" i="67" s="1"/>
  <c r="D172" i="67" a="1"/>
  <c r="D172" i="67" s="1"/>
  <c r="M171" i="67" a="1"/>
  <c r="M171" i="67" s="1"/>
  <c r="L171" i="67" a="1"/>
  <c r="L171" i="67" s="1"/>
  <c r="M243" i="67" s="1"/>
  <c r="K171" i="67" a="1"/>
  <c r="K171" i="67" s="1"/>
  <c r="J171" i="67" a="1"/>
  <c r="J171" i="67" s="1"/>
  <c r="J243" i="67" s="1"/>
  <c r="I171" i="67" a="1"/>
  <c r="I171" i="67" s="1"/>
  <c r="I243" i="67" s="1"/>
  <c r="H171" i="67" a="1"/>
  <c r="H171" i="67" s="1"/>
  <c r="H243" i="67" s="1"/>
  <c r="G171" i="67" a="1"/>
  <c r="G171" i="67" s="1"/>
  <c r="G243" i="67" s="1"/>
  <c r="F171" i="67" a="1"/>
  <c r="F171" i="67" s="1"/>
  <c r="F243" i="67" s="1"/>
  <c r="E171" i="67" a="1"/>
  <c r="E171" i="67" s="1"/>
  <c r="E243" i="67" s="1"/>
  <c r="D171" i="67" a="1"/>
  <c r="D171" i="67" s="1"/>
  <c r="M170" i="67" a="1"/>
  <c r="M170" i="67" s="1"/>
  <c r="L170" i="67" a="1"/>
  <c r="L170" i="67" s="1"/>
  <c r="M242" i="67" s="1"/>
  <c r="K170" i="67" a="1"/>
  <c r="K170" i="67" s="1"/>
  <c r="J170" i="67" a="1"/>
  <c r="J170" i="67" s="1"/>
  <c r="J242" i="67" s="1"/>
  <c r="I170" i="67" a="1"/>
  <c r="I170" i="67" s="1"/>
  <c r="I242" i="67" s="1"/>
  <c r="H170" i="67" a="1"/>
  <c r="H170" i="67" s="1"/>
  <c r="H242" i="67" s="1"/>
  <c r="G170" i="67" a="1"/>
  <c r="G170" i="67" s="1"/>
  <c r="G242" i="67" s="1"/>
  <c r="F170" i="67" a="1"/>
  <c r="F170" i="67" s="1"/>
  <c r="F242" i="67" s="1"/>
  <c r="E170" i="67" a="1"/>
  <c r="E170" i="67" s="1"/>
  <c r="D170" i="67" a="1"/>
  <c r="D170" i="67" s="1"/>
  <c r="M169" i="67" a="1"/>
  <c r="M169" i="67" s="1"/>
  <c r="L169" i="67" a="1"/>
  <c r="L169" i="67" s="1"/>
  <c r="M241" i="67" s="1"/>
  <c r="K169" i="67" a="1"/>
  <c r="K169" i="67" s="1"/>
  <c r="J169" i="67" a="1"/>
  <c r="J169" i="67" s="1"/>
  <c r="J241" i="67" s="1"/>
  <c r="I169" i="67" a="1"/>
  <c r="I169" i="67" s="1"/>
  <c r="I241" i="67" s="1"/>
  <c r="H169" i="67" a="1"/>
  <c r="H169" i="67" s="1"/>
  <c r="H241" i="67" s="1"/>
  <c r="G169" i="67" a="1"/>
  <c r="G169" i="67" s="1"/>
  <c r="G241" i="67" s="1"/>
  <c r="F169" i="67" a="1"/>
  <c r="F169" i="67" s="1"/>
  <c r="F241" i="67" s="1"/>
  <c r="E169" i="67" a="1"/>
  <c r="E169" i="67" s="1"/>
  <c r="D169" i="67" a="1"/>
  <c r="D169" i="67" s="1"/>
  <c r="M168" i="67" a="1"/>
  <c r="M168" i="67" s="1"/>
  <c r="L168" i="67" a="1"/>
  <c r="L168" i="67" s="1"/>
  <c r="M240" i="67" s="1"/>
  <c r="K168" i="67" a="1"/>
  <c r="K168" i="67" s="1"/>
  <c r="J168" i="67" a="1"/>
  <c r="J168" i="67" s="1"/>
  <c r="J240" i="67" s="1"/>
  <c r="I168" i="67" a="1"/>
  <c r="I168" i="67" s="1"/>
  <c r="I240" i="67" s="1"/>
  <c r="H168" i="67" a="1"/>
  <c r="H168" i="67" s="1"/>
  <c r="H240" i="67" s="1"/>
  <c r="G168" i="67" a="1"/>
  <c r="G168" i="67" s="1"/>
  <c r="G240" i="67" s="1"/>
  <c r="F168" i="67" a="1"/>
  <c r="F168" i="67" s="1"/>
  <c r="F240" i="67" s="1"/>
  <c r="E168" i="67" a="1"/>
  <c r="E168" i="67" s="1"/>
  <c r="D168" i="67" a="1"/>
  <c r="D168" i="67" s="1"/>
  <c r="M167" i="67" a="1"/>
  <c r="M167" i="67" s="1"/>
  <c r="L167" i="67" a="1"/>
  <c r="L167" i="67" s="1"/>
  <c r="M239" i="67" s="1"/>
  <c r="K167" i="67" a="1"/>
  <c r="K167" i="67" s="1"/>
  <c r="J167" i="67" a="1"/>
  <c r="J167" i="67" s="1"/>
  <c r="J239" i="67" s="1"/>
  <c r="I167" i="67" a="1"/>
  <c r="I167" i="67" s="1"/>
  <c r="I239" i="67" s="1"/>
  <c r="H167" i="67" a="1"/>
  <c r="H167" i="67" s="1"/>
  <c r="H239" i="67" s="1"/>
  <c r="G167" i="67" a="1"/>
  <c r="G167" i="67" s="1"/>
  <c r="G239" i="67" s="1"/>
  <c r="F167" i="67" a="1"/>
  <c r="F167" i="67" s="1"/>
  <c r="F239" i="67" s="1"/>
  <c r="E167" i="67" a="1"/>
  <c r="E167" i="67" s="1"/>
  <c r="D167" i="67" a="1"/>
  <c r="D167" i="67" s="1"/>
  <c r="M166" i="67" a="1"/>
  <c r="M166" i="67" s="1"/>
  <c r="L166" i="67" a="1"/>
  <c r="L166" i="67" s="1"/>
  <c r="M238" i="67" s="1"/>
  <c r="K166" i="67" a="1"/>
  <c r="K166" i="67" s="1"/>
  <c r="J166" i="67" a="1"/>
  <c r="J166" i="67" s="1"/>
  <c r="J238" i="67" s="1"/>
  <c r="I166" i="67" a="1"/>
  <c r="I166" i="67" s="1"/>
  <c r="I238" i="67" s="1"/>
  <c r="H166" i="67" a="1"/>
  <c r="H166" i="67" s="1"/>
  <c r="H238" i="67" s="1"/>
  <c r="G166" i="67" a="1"/>
  <c r="G166" i="67" s="1"/>
  <c r="G238" i="67" s="1"/>
  <c r="F166" i="67" a="1"/>
  <c r="F166" i="67" s="1"/>
  <c r="F238" i="67" s="1"/>
  <c r="E166" i="67" a="1"/>
  <c r="E166" i="67" s="1"/>
  <c r="D166" i="67" a="1"/>
  <c r="D166" i="67" s="1"/>
  <c r="M165" i="67" a="1"/>
  <c r="M165" i="67" s="1"/>
  <c r="L165" i="67" a="1"/>
  <c r="L165" i="67" s="1"/>
  <c r="M237" i="67" s="1"/>
  <c r="K165" i="67" a="1"/>
  <c r="K165" i="67" s="1"/>
  <c r="J165" i="67" a="1"/>
  <c r="J165" i="67" s="1"/>
  <c r="J237" i="67" s="1"/>
  <c r="I165" i="67" a="1"/>
  <c r="I165" i="67" s="1"/>
  <c r="I237" i="67" s="1"/>
  <c r="H165" i="67" a="1"/>
  <c r="H165" i="67" s="1"/>
  <c r="H237" i="67" s="1"/>
  <c r="G165" i="67" a="1"/>
  <c r="G165" i="67" s="1"/>
  <c r="G237" i="67" s="1"/>
  <c r="F165" i="67" a="1"/>
  <c r="F165" i="67" s="1"/>
  <c r="F237" i="67" s="1"/>
  <c r="E165" i="67" a="1"/>
  <c r="E165" i="67" s="1"/>
  <c r="D165" i="67" a="1"/>
  <c r="D165" i="67" s="1"/>
  <c r="M164" i="67" a="1"/>
  <c r="M164" i="67" s="1"/>
  <c r="L164" i="67" a="1"/>
  <c r="L164" i="67" s="1"/>
  <c r="M236" i="67" s="1"/>
  <c r="K164" i="67" a="1"/>
  <c r="K164" i="67" s="1"/>
  <c r="J164" i="67" a="1"/>
  <c r="J164" i="67" s="1"/>
  <c r="J236" i="67" s="1"/>
  <c r="I164" i="67" a="1"/>
  <c r="I164" i="67" s="1"/>
  <c r="I236" i="67" s="1"/>
  <c r="H164" i="67" a="1"/>
  <c r="H164" i="67" s="1"/>
  <c r="H236" i="67" s="1"/>
  <c r="G164" i="67" a="1"/>
  <c r="G164" i="67" s="1"/>
  <c r="G236" i="67" s="1"/>
  <c r="F164" i="67" a="1"/>
  <c r="F164" i="67" s="1"/>
  <c r="F236" i="67" s="1"/>
  <c r="E164" i="67" a="1"/>
  <c r="E164" i="67" s="1"/>
  <c r="D164" i="67" a="1"/>
  <c r="D164" i="67" s="1"/>
  <c r="M163" i="67" a="1"/>
  <c r="M163" i="67" s="1"/>
  <c r="L163" i="67" a="1"/>
  <c r="L163" i="67" s="1"/>
  <c r="M235" i="67" s="1"/>
  <c r="K163" i="67" a="1"/>
  <c r="K163" i="67" s="1"/>
  <c r="J163" i="67" a="1"/>
  <c r="J163" i="67" s="1"/>
  <c r="J235" i="67" s="1"/>
  <c r="I163" i="67" a="1"/>
  <c r="I163" i="67" s="1"/>
  <c r="I235" i="67" s="1"/>
  <c r="H163" i="67" a="1"/>
  <c r="H163" i="67" s="1"/>
  <c r="H235" i="67" s="1"/>
  <c r="G163" i="67" a="1"/>
  <c r="G163" i="67" s="1"/>
  <c r="G235" i="67" s="1"/>
  <c r="F163" i="67" a="1"/>
  <c r="F163" i="67" s="1"/>
  <c r="F235" i="67" s="1"/>
  <c r="E163" i="67" a="1"/>
  <c r="E163" i="67" s="1"/>
  <c r="D163" i="67" a="1"/>
  <c r="D163" i="67" s="1"/>
  <c r="M162" i="67" a="1"/>
  <c r="M162" i="67" s="1"/>
  <c r="L162" i="67" a="1"/>
  <c r="L162" i="67" s="1"/>
  <c r="M234" i="67" s="1"/>
  <c r="K162" i="67" a="1"/>
  <c r="K162" i="67" s="1"/>
  <c r="J162" i="67" a="1"/>
  <c r="J162" i="67" s="1"/>
  <c r="J234" i="67" s="1"/>
  <c r="I162" i="67" a="1"/>
  <c r="I162" i="67" s="1"/>
  <c r="I234" i="67" s="1"/>
  <c r="H162" i="67" a="1"/>
  <c r="H162" i="67" s="1"/>
  <c r="H234" i="67" s="1"/>
  <c r="G162" i="67" a="1"/>
  <c r="G162" i="67" s="1"/>
  <c r="G234" i="67" s="1"/>
  <c r="F162" i="67" a="1"/>
  <c r="F162" i="67" s="1"/>
  <c r="F234" i="67" s="1"/>
  <c r="E162" i="67" a="1"/>
  <c r="E162" i="67" s="1"/>
  <c r="D162" i="67" a="1"/>
  <c r="D162" i="67" s="1"/>
  <c r="M161" i="67" a="1"/>
  <c r="M161" i="67" s="1"/>
  <c r="L161" i="67" a="1"/>
  <c r="L161" i="67" s="1"/>
  <c r="M233" i="67" s="1"/>
  <c r="K161" i="67" a="1"/>
  <c r="K161" i="67" s="1"/>
  <c r="J161" i="67" a="1"/>
  <c r="J161" i="67" s="1"/>
  <c r="J233" i="67" s="1"/>
  <c r="I161" i="67" a="1"/>
  <c r="I161" i="67" s="1"/>
  <c r="I233" i="67" s="1"/>
  <c r="H161" i="67" a="1"/>
  <c r="H161" i="67" s="1"/>
  <c r="H233" i="67" s="1"/>
  <c r="G161" i="67" a="1"/>
  <c r="G161" i="67" s="1"/>
  <c r="G233" i="67" s="1"/>
  <c r="F161" i="67" a="1"/>
  <c r="F161" i="67" s="1"/>
  <c r="F233" i="67" s="1"/>
  <c r="E161" i="67" a="1"/>
  <c r="E161" i="67" s="1"/>
  <c r="D161" i="67" a="1"/>
  <c r="D161" i="67" s="1"/>
  <c r="M160" i="67" a="1"/>
  <c r="M160" i="67" s="1"/>
  <c r="L160" i="67" a="1"/>
  <c r="L160" i="67" s="1"/>
  <c r="M232" i="67" s="1"/>
  <c r="K160" i="67" a="1"/>
  <c r="K160" i="67" s="1"/>
  <c r="J160" i="67" a="1"/>
  <c r="J160" i="67" s="1"/>
  <c r="J232" i="67" s="1"/>
  <c r="I160" i="67" a="1"/>
  <c r="I160" i="67" s="1"/>
  <c r="I232" i="67" s="1"/>
  <c r="H160" i="67" a="1"/>
  <c r="H160" i="67" s="1"/>
  <c r="H232" i="67" s="1"/>
  <c r="G160" i="67" a="1"/>
  <c r="G160" i="67" s="1"/>
  <c r="G232" i="67" s="1"/>
  <c r="F160" i="67" a="1"/>
  <c r="F160" i="67" s="1"/>
  <c r="F232" i="67" s="1"/>
  <c r="E160" i="67" a="1"/>
  <c r="E160" i="67" s="1"/>
  <c r="D160" i="67" a="1"/>
  <c r="D160" i="67" s="1"/>
  <c r="M159" i="67" a="1"/>
  <c r="M159" i="67" s="1"/>
  <c r="L159" i="67" a="1"/>
  <c r="L159" i="67" s="1"/>
  <c r="M231" i="67" s="1"/>
  <c r="K159" i="67" a="1"/>
  <c r="K159" i="67" s="1"/>
  <c r="J159" i="67" a="1"/>
  <c r="J159" i="67" s="1"/>
  <c r="J231" i="67" s="1"/>
  <c r="I159" i="67" a="1"/>
  <c r="I159" i="67" s="1"/>
  <c r="I231" i="67" s="1"/>
  <c r="H159" i="67" a="1"/>
  <c r="H159" i="67" s="1"/>
  <c r="H231" i="67" s="1"/>
  <c r="G159" i="67" a="1"/>
  <c r="G159" i="67" s="1"/>
  <c r="G231" i="67" s="1"/>
  <c r="F159" i="67" a="1"/>
  <c r="F159" i="67" s="1"/>
  <c r="F231" i="67" s="1"/>
  <c r="E159" i="67" a="1"/>
  <c r="E159" i="67" s="1"/>
  <c r="D159" i="67" a="1"/>
  <c r="D159" i="67" s="1"/>
  <c r="M158" i="67" a="1"/>
  <c r="M158" i="67" s="1"/>
  <c r="L158" i="67" a="1"/>
  <c r="L158" i="67" s="1"/>
  <c r="K158" i="67" a="1"/>
  <c r="K158" i="67" s="1"/>
  <c r="J158" i="67" a="1"/>
  <c r="J158" i="67" s="1"/>
  <c r="I158" i="67" a="1"/>
  <c r="I158" i="67" s="1"/>
  <c r="H158" i="67" a="1"/>
  <c r="H158" i="67" s="1"/>
  <c r="G158" i="67" a="1"/>
  <c r="G158" i="67" s="1"/>
  <c r="F158" i="67" a="1"/>
  <c r="F158" i="67" s="1"/>
  <c r="E158" i="67" a="1"/>
  <c r="E158" i="67" s="1"/>
  <c r="D158" i="67" a="1"/>
  <c r="D158" i="67" s="1"/>
  <c r="M157" i="67" a="1"/>
  <c r="M157" i="67" s="1"/>
  <c r="L157" i="67" a="1"/>
  <c r="L157" i="67" s="1"/>
  <c r="K157" i="67" a="1"/>
  <c r="K157" i="67" s="1"/>
  <c r="J157" i="67" a="1"/>
  <c r="J157" i="67" s="1"/>
  <c r="I157" i="67" a="1"/>
  <c r="I157" i="67" s="1"/>
  <c r="H157" i="67" a="1"/>
  <c r="H157" i="67" s="1"/>
  <c r="G157" i="67" a="1"/>
  <c r="G157" i="67" s="1"/>
  <c r="F157" i="67" a="1"/>
  <c r="F157" i="67" s="1"/>
  <c r="E157" i="67" a="1"/>
  <c r="E157" i="67" s="1"/>
  <c r="D157" i="67" a="1"/>
  <c r="D157" i="67" s="1"/>
  <c r="M156" i="67" a="1"/>
  <c r="M156" i="67" s="1"/>
  <c r="L156" i="67" a="1"/>
  <c r="L156" i="67" s="1"/>
  <c r="K156" i="67" a="1"/>
  <c r="K156" i="67" s="1"/>
  <c r="J156" i="67" a="1"/>
  <c r="J156" i="67" s="1"/>
  <c r="I156" i="67" a="1"/>
  <c r="I156" i="67" s="1"/>
  <c r="H156" i="67" a="1"/>
  <c r="H156" i="67" s="1"/>
  <c r="G156" i="67" a="1"/>
  <c r="G156" i="67" s="1"/>
  <c r="F156" i="67" a="1"/>
  <c r="F156" i="67" s="1"/>
  <c r="E156" i="67" a="1"/>
  <c r="E156" i="67" s="1"/>
  <c r="D156" i="67" a="1"/>
  <c r="D156" i="67" s="1"/>
  <c r="M155" i="67" a="1"/>
  <c r="M155" i="67" s="1"/>
  <c r="L155" i="67" a="1"/>
  <c r="L155" i="67" s="1"/>
  <c r="K155" i="67" a="1"/>
  <c r="K155" i="67" s="1"/>
  <c r="J155" i="67" a="1"/>
  <c r="J155" i="67" s="1"/>
  <c r="I155" i="67" a="1"/>
  <c r="I155" i="67" s="1"/>
  <c r="H155" i="67" a="1"/>
  <c r="H155" i="67" s="1"/>
  <c r="G155" i="67" a="1"/>
  <c r="G155" i="67" s="1"/>
  <c r="F155" i="67" a="1"/>
  <c r="F155" i="67" s="1"/>
  <c r="E155" i="67" a="1"/>
  <c r="E155" i="67" s="1"/>
  <c r="D155" i="67" a="1"/>
  <c r="D155" i="67" s="1"/>
  <c r="D153" i="67" a="1"/>
  <c r="D153" i="67" s="1"/>
  <c r="D152" i="67" a="1"/>
  <c r="D152" i="67" s="1"/>
  <c r="D151" i="67" a="1"/>
  <c r="D151" i="67" s="1"/>
  <c r="D150" i="67" a="1"/>
  <c r="D150" i="67" s="1"/>
  <c r="P81" i="67" a="1"/>
  <c r="P81" i="67" s="1"/>
  <c r="P145" i="67" s="1"/>
  <c r="O81" i="67" a="1"/>
  <c r="O81" i="67" s="1"/>
  <c r="O145" i="67" s="1"/>
  <c r="N81" i="67" a="1"/>
  <c r="N81" i="67" s="1"/>
  <c r="N145" i="67" s="1"/>
  <c r="M81" i="67" a="1"/>
  <c r="M81" i="67" s="1"/>
  <c r="M145" i="67" s="1"/>
  <c r="L81" i="67" a="1"/>
  <c r="L81" i="67" s="1"/>
  <c r="L145" i="67" s="1"/>
  <c r="K81" i="67" a="1"/>
  <c r="K81" i="67" s="1"/>
  <c r="K145" i="67" s="1"/>
  <c r="J81" i="67" a="1"/>
  <c r="J81" i="67" s="1"/>
  <c r="J145" i="67" s="1"/>
  <c r="I81" i="67" a="1"/>
  <c r="I81" i="67" s="1"/>
  <c r="I145" i="67" s="1"/>
  <c r="H81" i="67" a="1"/>
  <c r="H81" i="67" s="1"/>
  <c r="H145" i="67" s="1"/>
  <c r="G81" i="67" a="1"/>
  <c r="G81" i="67" s="1"/>
  <c r="G145" i="67" s="1"/>
  <c r="F81" i="67" a="1"/>
  <c r="F81" i="67" s="1"/>
  <c r="F145" i="67" s="1"/>
  <c r="F149" i="67" s="1"/>
  <c r="E81" i="67" a="1"/>
  <c r="E81" i="67" s="1"/>
  <c r="E145" i="67" s="1"/>
  <c r="D81" i="67" a="1"/>
  <c r="D81" i="67" s="1"/>
  <c r="P80" i="67" a="1"/>
  <c r="P80" i="67" s="1"/>
  <c r="P144" i="67" s="1"/>
  <c r="O80" i="67" a="1"/>
  <c r="O80" i="67" s="1"/>
  <c r="O144" i="67" s="1"/>
  <c r="N80" i="67" a="1"/>
  <c r="N80" i="67" s="1"/>
  <c r="N144" i="67" s="1"/>
  <c r="M80" i="67" a="1"/>
  <c r="M80" i="67" s="1"/>
  <c r="M144" i="67" s="1"/>
  <c r="L80" i="67" a="1"/>
  <c r="L80" i="67" s="1"/>
  <c r="L144" i="67" s="1"/>
  <c r="K80" i="67" a="1"/>
  <c r="K80" i="67" s="1"/>
  <c r="K144" i="67" s="1"/>
  <c r="J80" i="67" a="1"/>
  <c r="J80" i="67" s="1"/>
  <c r="J144" i="67" s="1"/>
  <c r="I80" i="67" a="1"/>
  <c r="I80" i="67" s="1"/>
  <c r="I144" i="67" s="1"/>
  <c r="H80" i="67" a="1"/>
  <c r="H80" i="67" s="1"/>
  <c r="H144" i="67" s="1"/>
  <c r="G80" i="67" a="1"/>
  <c r="G80" i="67" s="1"/>
  <c r="G144" i="67" s="1"/>
  <c r="F80" i="67" a="1"/>
  <c r="F80" i="67" s="1"/>
  <c r="F144" i="67" s="1"/>
  <c r="F148" i="67" s="1"/>
  <c r="E80" i="67" a="1"/>
  <c r="E80" i="67" s="1"/>
  <c r="E144" i="67" s="1"/>
  <c r="D80" i="67" a="1"/>
  <c r="D80" i="67" s="1"/>
  <c r="P79" i="67" a="1"/>
  <c r="P79" i="67" s="1"/>
  <c r="P143" i="67" s="1"/>
  <c r="O79" i="67" a="1"/>
  <c r="O79" i="67" s="1"/>
  <c r="O143" i="67" s="1"/>
  <c r="N79" i="67" a="1"/>
  <c r="N79" i="67" s="1"/>
  <c r="N143" i="67" s="1"/>
  <c r="M79" i="67" a="1"/>
  <c r="M79" i="67" s="1"/>
  <c r="M143" i="67" s="1"/>
  <c r="L79" i="67" a="1"/>
  <c r="L79" i="67" s="1"/>
  <c r="L143" i="67" s="1"/>
  <c r="K79" i="67" a="1"/>
  <c r="K79" i="67" s="1"/>
  <c r="K143" i="67" s="1"/>
  <c r="J79" i="67" a="1"/>
  <c r="J79" i="67" s="1"/>
  <c r="J143" i="67" s="1"/>
  <c r="I79" i="67" a="1"/>
  <c r="I79" i="67" s="1"/>
  <c r="I143" i="67" s="1"/>
  <c r="H79" i="67" a="1"/>
  <c r="H79" i="67" s="1"/>
  <c r="H143" i="67" s="1"/>
  <c r="G79" i="67" a="1"/>
  <c r="G79" i="67" s="1"/>
  <c r="G143" i="67" s="1"/>
  <c r="F79" i="67" a="1"/>
  <c r="F79" i="67" s="1"/>
  <c r="F143" i="67" s="1"/>
  <c r="F147" i="67" s="1"/>
  <c r="E79" i="67" a="1"/>
  <c r="E79" i="67" s="1"/>
  <c r="E143" i="67" s="1"/>
  <c r="D79" i="67" a="1"/>
  <c r="D79" i="67" s="1"/>
  <c r="P78" i="67" a="1"/>
  <c r="P78" i="67" s="1"/>
  <c r="P142" i="67" s="1"/>
  <c r="O78" i="67" a="1"/>
  <c r="O78" i="67" s="1"/>
  <c r="O142" i="67" s="1"/>
  <c r="N78" i="67" a="1"/>
  <c r="N78" i="67" s="1"/>
  <c r="N142" i="67" s="1"/>
  <c r="M78" i="67" a="1"/>
  <c r="M78" i="67" s="1"/>
  <c r="M142" i="67" s="1"/>
  <c r="L78" i="67" a="1"/>
  <c r="L78" i="67" s="1"/>
  <c r="L142" i="67" s="1"/>
  <c r="K78" i="67" a="1"/>
  <c r="K78" i="67" s="1"/>
  <c r="K142" i="67" s="1"/>
  <c r="J78" i="67" a="1"/>
  <c r="J78" i="67" s="1"/>
  <c r="J142" i="67" s="1"/>
  <c r="I78" i="67" a="1"/>
  <c r="I78" i="67" s="1"/>
  <c r="I142" i="67" s="1"/>
  <c r="H78" i="67" a="1"/>
  <c r="H78" i="67" s="1"/>
  <c r="H142" i="67" s="1"/>
  <c r="G78" i="67" a="1"/>
  <c r="G78" i="67" s="1"/>
  <c r="G142" i="67" s="1"/>
  <c r="F78" i="67" a="1"/>
  <c r="F78" i="67" s="1"/>
  <c r="F142" i="67" s="1"/>
  <c r="F146" i="67" s="1"/>
  <c r="E78" i="67" a="1"/>
  <c r="E78" i="67" s="1"/>
  <c r="E142" i="67" s="1"/>
  <c r="D78" i="67" a="1"/>
  <c r="D78" i="67" s="1"/>
  <c r="P77" i="67" a="1"/>
  <c r="P77" i="67" s="1"/>
  <c r="P141" i="67" s="1"/>
  <c r="O77" i="67" a="1"/>
  <c r="O77" i="67" s="1"/>
  <c r="O141" i="67" s="1"/>
  <c r="N77" i="67" a="1"/>
  <c r="N77" i="67" s="1"/>
  <c r="N141" i="67" s="1"/>
  <c r="M77" i="67" a="1"/>
  <c r="M77" i="67" s="1"/>
  <c r="M141" i="67" s="1"/>
  <c r="L77" i="67" a="1"/>
  <c r="L77" i="67" s="1"/>
  <c r="L141" i="67" s="1"/>
  <c r="K77" i="67" a="1"/>
  <c r="K77" i="67" s="1"/>
  <c r="K141" i="67" s="1"/>
  <c r="J77" i="67" a="1"/>
  <c r="J77" i="67" s="1"/>
  <c r="J141" i="67" s="1"/>
  <c r="I77" i="67" a="1"/>
  <c r="I77" i="67" s="1"/>
  <c r="I141" i="67" s="1"/>
  <c r="H77" i="67" a="1"/>
  <c r="H77" i="67" s="1"/>
  <c r="H141" i="67" s="1"/>
  <c r="G77" i="67" a="1"/>
  <c r="G77" i="67" s="1"/>
  <c r="G141" i="67" s="1"/>
  <c r="F77" i="67" a="1"/>
  <c r="F77" i="67" s="1"/>
  <c r="F141" i="67" s="1"/>
  <c r="E77" i="67" a="1"/>
  <c r="E77" i="67" s="1"/>
  <c r="E141" i="67" s="1"/>
  <c r="D77" i="67" a="1"/>
  <c r="D77" i="67" s="1"/>
  <c r="P76" i="67" a="1"/>
  <c r="P76" i="67" s="1"/>
  <c r="P140" i="67" s="1"/>
  <c r="O76" i="67" a="1"/>
  <c r="O76" i="67" s="1"/>
  <c r="O140" i="67" s="1"/>
  <c r="N76" i="67" a="1"/>
  <c r="N76" i="67" s="1"/>
  <c r="N140" i="67" s="1"/>
  <c r="M76" i="67" a="1"/>
  <c r="M76" i="67" s="1"/>
  <c r="M140" i="67" s="1"/>
  <c r="L76" i="67" a="1"/>
  <c r="L76" i="67" s="1"/>
  <c r="L140" i="67" s="1"/>
  <c r="K76" i="67" a="1"/>
  <c r="K76" i="67" s="1"/>
  <c r="K140" i="67" s="1"/>
  <c r="J76" i="67" a="1"/>
  <c r="J76" i="67" s="1"/>
  <c r="J140" i="67" s="1"/>
  <c r="I76" i="67" a="1"/>
  <c r="I76" i="67" s="1"/>
  <c r="I140" i="67" s="1"/>
  <c r="H76" i="67" a="1"/>
  <c r="H76" i="67" s="1"/>
  <c r="H140" i="67" s="1"/>
  <c r="G76" i="67" a="1"/>
  <c r="G76" i="67" s="1"/>
  <c r="G140" i="67" s="1"/>
  <c r="F76" i="67" a="1"/>
  <c r="F76" i="67" s="1"/>
  <c r="F140" i="67" s="1"/>
  <c r="E76" i="67" a="1"/>
  <c r="E76" i="67" s="1"/>
  <c r="E140" i="67" s="1"/>
  <c r="D76" i="67" a="1"/>
  <c r="D76" i="67" s="1"/>
  <c r="P75" i="67" a="1"/>
  <c r="P75" i="67" s="1"/>
  <c r="P139" i="67" s="1"/>
  <c r="O75" i="67" a="1"/>
  <c r="O75" i="67" s="1"/>
  <c r="O139" i="67" s="1"/>
  <c r="N75" i="67" a="1"/>
  <c r="N75" i="67" s="1"/>
  <c r="N139" i="67" s="1"/>
  <c r="M75" i="67" a="1"/>
  <c r="M75" i="67" s="1"/>
  <c r="M139" i="67" s="1"/>
  <c r="L75" i="67" a="1"/>
  <c r="L75" i="67" s="1"/>
  <c r="L139" i="67" s="1"/>
  <c r="K75" i="67" a="1"/>
  <c r="K75" i="67" s="1"/>
  <c r="K139" i="67" s="1"/>
  <c r="J75" i="67" a="1"/>
  <c r="J75" i="67" s="1"/>
  <c r="J139" i="67" s="1"/>
  <c r="I75" i="67" a="1"/>
  <c r="I75" i="67" s="1"/>
  <c r="I139" i="67" s="1"/>
  <c r="H75" i="67" a="1"/>
  <c r="H75" i="67" s="1"/>
  <c r="H139" i="67" s="1"/>
  <c r="G75" i="67" a="1"/>
  <c r="G75" i="67" s="1"/>
  <c r="G139" i="67" s="1"/>
  <c r="F75" i="67" a="1"/>
  <c r="F75" i="67" s="1"/>
  <c r="F139" i="67" s="1"/>
  <c r="E75" i="67" a="1"/>
  <c r="E75" i="67" s="1"/>
  <c r="E139" i="67" s="1"/>
  <c r="D75" i="67" a="1"/>
  <c r="D75" i="67" s="1"/>
  <c r="P74" i="67" a="1"/>
  <c r="P74" i="67" s="1"/>
  <c r="P138" i="67" s="1"/>
  <c r="O74" i="67" a="1"/>
  <c r="O74" i="67" s="1"/>
  <c r="O138" i="67" s="1"/>
  <c r="N74" i="67" a="1"/>
  <c r="N74" i="67" s="1"/>
  <c r="N138" i="67" s="1"/>
  <c r="M74" i="67" a="1"/>
  <c r="M74" i="67" s="1"/>
  <c r="M138" i="67" s="1"/>
  <c r="L74" i="67" a="1"/>
  <c r="L74" i="67" s="1"/>
  <c r="L138" i="67" s="1"/>
  <c r="K74" i="67" a="1"/>
  <c r="K74" i="67" s="1"/>
  <c r="K138" i="67" s="1"/>
  <c r="J74" i="67" a="1"/>
  <c r="J74" i="67" s="1"/>
  <c r="J138" i="67" s="1"/>
  <c r="I74" i="67" a="1"/>
  <c r="I74" i="67" s="1"/>
  <c r="I138" i="67" s="1"/>
  <c r="H74" i="67" a="1"/>
  <c r="H74" i="67" s="1"/>
  <c r="H138" i="67" s="1"/>
  <c r="G74" i="67" a="1"/>
  <c r="G74" i="67" s="1"/>
  <c r="G138" i="67" s="1"/>
  <c r="F74" i="67" a="1"/>
  <c r="F74" i="67" s="1"/>
  <c r="F138" i="67" s="1"/>
  <c r="E74" i="67" a="1"/>
  <c r="E74" i="67" s="1"/>
  <c r="E138" i="67" s="1"/>
  <c r="D74" i="67" a="1"/>
  <c r="D74" i="67" s="1"/>
  <c r="P73" i="67" a="1"/>
  <c r="P73" i="67" s="1"/>
  <c r="P137" i="67" s="1"/>
  <c r="O73" i="67" a="1"/>
  <c r="O73" i="67" s="1"/>
  <c r="O137" i="67" s="1"/>
  <c r="N73" i="67" a="1"/>
  <c r="N73" i="67" s="1"/>
  <c r="N137" i="67" s="1"/>
  <c r="M73" i="67" a="1"/>
  <c r="M73" i="67" s="1"/>
  <c r="M137" i="67" s="1"/>
  <c r="L73" i="67" a="1"/>
  <c r="L73" i="67" s="1"/>
  <c r="L137" i="67" s="1"/>
  <c r="K73" i="67" a="1"/>
  <c r="K73" i="67" s="1"/>
  <c r="K137" i="67" s="1"/>
  <c r="J73" i="67" a="1"/>
  <c r="J73" i="67" s="1"/>
  <c r="J137" i="67" s="1"/>
  <c r="I73" i="67" a="1"/>
  <c r="I73" i="67" s="1"/>
  <c r="I137" i="67" s="1"/>
  <c r="H73" i="67" a="1"/>
  <c r="H73" i="67" s="1"/>
  <c r="H137" i="67" s="1"/>
  <c r="G73" i="67" a="1"/>
  <c r="G73" i="67" s="1"/>
  <c r="G137" i="67" s="1"/>
  <c r="F73" i="67" a="1"/>
  <c r="F73" i="67" s="1"/>
  <c r="F137" i="67" s="1"/>
  <c r="E73" i="67" a="1"/>
  <c r="E73" i="67" s="1"/>
  <c r="E137" i="67" s="1"/>
  <c r="D73" i="67" a="1"/>
  <c r="D73" i="67" s="1"/>
  <c r="P72" i="67" a="1"/>
  <c r="P72" i="67" s="1"/>
  <c r="P136" i="67" s="1"/>
  <c r="O72" i="67" a="1"/>
  <c r="O72" i="67" s="1"/>
  <c r="O136" i="67" s="1"/>
  <c r="N72" i="67" a="1"/>
  <c r="N72" i="67" s="1"/>
  <c r="N136" i="67" s="1"/>
  <c r="M72" i="67" a="1"/>
  <c r="M72" i="67" s="1"/>
  <c r="M136" i="67" s="1"/>
  <c r="L72" i="67" a="1"/>
  <c r="L72" i="67" s="1"/>
  <c r="L136" i="67" s="1"/>
  <c r="K72" i="67" a="1"/>
  <c r="K72" i="67" s="1"/>
  <c r="K136" i="67" s="1"/>
  <c r="J72" i="67" a="1"/>
  <c r="J72" i="67" s="1"/>
  <c r="J136" i="67" s="1"/>
  <c r="I72" i="67" a="1"/>
  <c r="I72" i="67" s="1"/>
  <c r="I136" i="67" s="1"/>
  <c r="H72" i="67" a="1"/>
  <c r="H72" i="67" s="1"/>
  <c r="H136" i="67" s="1"/>
  <c r="G72" i="67" a="1"/>
  <c r="G72" i="67" s="1"/>
  <c r="G136" i="67" s="1"/>
  <c r="F72" i="67" a="1"/>
  <c r="F72" i="67" s="1"/>
  <c r="F136" i="67" s="1"/>
  <c r="E72" i="67" a="1"/>
  <c r="E72" i="67" s="1"/>
  <c r="E136" i="67" s="1"/>
  <c r="D72" i="67" a="1"/>
  <c r="D72" i="67" s="1"/>
  <c r="P71" i="67" a="1"/>
  <c r="P71" i="67" s="1"/>
  <c r="P135" i="67" s="1"/>
  <c r="O71" i="67" a="1"/>
  <c r="O71" i="67" s="1"/>
  <c r="O135" i="67" s="1"/>
  <c r="N71" i="67" a="1"/>
  <c r="N71" i="67" s="1"/>
  <c r="N135" i="67" s="1"/>
  <c r="M71" i="67" a="1"/>
  <c r="M71" i="67" s="1"/>
  <c r="M135" i="67" s="1"/>
  <c r="L71" i="67" a="1"/>
  <c r="L71" i="67" s="1"/>
  <c r="L135" i="67" s="1"/>
  <c r="K71" i="67" a="1"/>
  <c r="K71" i="67" s="1"/>
  <c r="K135" i="67" s="1"/>
  <c r="J71" i="67" a="1"/>
  <c r="J71" i="67" s="1"/>
  <c r="J135" i="67" s="1"/>
  <c r="I71" i="67" a="1"/>
  <c r="I71" i="67" s="1"/>
  <c r="I135" i="67" s="1"/>
  <c r="H71" i="67" a="1"/>
  <c r="H71" i="67" s="1"/>
  <c r="H135" i="67" s="1"/>
  <c r="G71" i="67" a="1"/>
  <c r="G71" i="67" s="1"/>
  <c r="G135" i="67" s="1"/>
  <c r="F71" i="67" a="1"/>
  <c r="F71" i="67" s="1"/>
  <c r="F135" i="67" s="1"/>
  <c r="E71" i="67" a="1"/>
  <c r="E71" i="67" s="1"/>
  <c r="E135" i="67" s="1"/>
  <c r="D71" i="67" a="1"/>
  <c r="D71" i="67" s="1"/>
  <c r="P70" i="67" a="1"/>
  <c r="P70" i="67" s="1"/>
  <c r="P134" i="67" s="1"/>
  <c r="O70" i="67" a="1"/>
  <c r="O70" i="67" s="1"/>
  <c r="O134" i="67" s="1"/>
  <c r="N70" i="67" a="1"/>
  <c r="N70" i="67" s="1"/>
  <c r="N134" i="67" s="1"/>
  <c r="M70" i="67" a="1"/>
  <c r="M70" i="67" s="1"/>
  <c r="M134" i="67" s="1"/>
  <c r="L70" i="67" a="1"/>
  <c r="L70" i="67" s="1"/>
  <c r="L134" i="67" s="1"/>
  <c r="K70" i="67" a="1"/>
  <c r="K70" i="67" s="1"/>
  <c r="K134" i="67" s="1"/>
  <c r="J70" i="67" a="1"/>
  <c r="J70" i="67" s="1"/>
  <c r="J134" i="67" s="1"/>
  <c r="I70" i="67" a="1"/>
  <c r="I70" i="67" s="1"/>
  <c r="I134" i="67" s="1"/>
  <c r="H70" i="67" a="1"/>
  <c r="H70" i="67" s="1"/>
  <c r="H134" i="67" s="1"/>
  <c r="G70" i="67" a="1"/>
  <c r="G70" i="67" s="1"/>
  <c r="G134" i="67" s="1"/>
  <c r="F70" i="67" a="1"/>
  <c r="F70" i="67" s="1"/>
  <c r="F134" i="67" s="1"/>
  <c r="E70" i="67" a="1"/>
  <c r="E70" i="67" s="1"/>
  <c r="E134" i="67" s="1"/>
  <c r="D70" i="67" a="1"/>
  <c r="D70" i="67" s="1"/>
  <c r="P69" i="67" a="1"/>
  <c r="P69" i="67" s="1"/>
  <c r="P133" i="67" s="1"/>
  <c r="O69" i="67" a="1"/>
  <c r="O69" i="67" s="1"/>
  <c r="O133" i="67" s="1"/>
  <c r="N69" i="67" a="1"/>
  <c r="N69" i="67" s="1"/>
  <c r="N133" i="67" s="1"/>
  <c r="M69" i="67" a="1"/>
  <c r="M69" i="67" s="1"/>
  <c r="M133" i="67" s="1"/>
  <c r="L69" i="67" a="1"/>
  <c r="L69" i="67" s="1"/>
  <c r="L133" i="67" s="1"/>
  <c r="K69" i="67" a="1"/>
  <c r="K69" i="67" s="1"/>
  <c r="K133" i="67" s="1"/>
  <c r="J69" i="67" a="1"/>
  <c r="J69" i="67" s="1"/>
  <c r="J133" i="67" s="1"/>
  <c r="I69" i="67" a="1"/>
  <c r="I69" i="67" s="1"/>
  <c r="I133" i="67" s="1"/>
  <c r="H69" i="67" a="1"/>
  <c r="H69" i="67" s="1"/>
  <c r="H133" i="67" s="1"/>
  <c r="G69" i="67" a="1"/>
  <c r="G69" i="67" s="1"/>
  <c r="G133" i="67" s="1"/>
  <c r="F69" i="67" a="1"/>
  <c r="F69" i="67" s="1"/>
  <c r="F133" i="67" s="1"/>
  <c r="E69" i="67" a="1"/>
  <c r="E69" i="67" s="1"/>
  <c r="E133" i="67" s="1"/>
  <c r="D69" i="67" a="1"/>
  <c r="D69" i="67" s="1"/>
  <c r="P68" i="67" a="1"/>
  <c r="P68" i="67" s="1"/>
  <c r="P132" i="67" s="1"/>
  <c r="O68" i="67" a="1"/>
  <c r="O68" i="67" s="1"/>
  <c r="O132" i="67" s="1"/>
  <c r="N68" i="67" a="1"/>
  <c r="N68" i="67" s="1"/>
  <c r="N132" i="67" s="1"/>
  <c r="M68" i="67" a="1"/>
  <c r="M68" i="67" s="1"/>
  <c r="M132" i="67" s="1"/>
  <c r="L68" i="67" a="1"/>
  <c r="L68" i="67" s="1"/>
  <c r="L132" i="67" s="1"/>
  <c r="K68" i="67" a="1"/>
  <c r="K68" i="67" s="1"/>
  <c r="K132" i="67" s="1"/>
  <c r="J68" i="67" a="1"/>
  <c r="J68" i="67" s="1"/>
  <c r="J132" i="67" s="1"/>
  <c r="I68" i="67" a="1"/>
  <c r="I68" i="67" s="1"/>
  <c r="I132" i="67" s="1"/>
  <c r="H68" i="67" a="1"/>
  <c r="H68" i="67" s="1"/>
  <c r="H132" i="67" s="1"/>
  <c r="G68" i="67" a="1"/>
  <c r="G68" i="67" s="1"/>
  <c r="G132" i="67" s="1"/>
  <c r="F68" i="67" a="1"/>
  <c r="F68" i="67" s="1"/>
  <c r="F132" i="67" s="1"/>
  <c r="E68" i="67" a="1"/>
  <c r="E68" i="67" s="1"/>
  <c r="E132" i="67" s="1"/>
  <c r="D68" i="67" a="1"/>
  <c r="D68" i="67" s="1"/>
  <c r="P67" i="67" a="1"/>
  <c r="P67" i="67" s="1"/>
  <c r="P131" i="67" s="1"/>
  <c r="O67" i="67" a="1"/>
  <c r="O67" i="67" s="1"/>
  <c r="O131" i="67" s="1"/>
  <c r="N67" i="67" a="1"/>
  <c r="N67" i="67" s="1"/>
  <c r="N131" i="67" s="1"/>
  <c r="M67" i="67" a="1"/>
  <c r="M67" i="67" s="1"/>
  <c r="M131" i="67" s="1"/>
  <c r="L67" i="67" a="1"/>
  <c r="L67" i="67" s="1"/>
  <c r="L131" i="67" s="1"/>
  <c r="K67" i="67" a="1"/>
  <c r="K67" i="67" s="1"/>
  <c r="K131" i="67" s="1"/>
  <c r="J67" i="67" a="1"/>
  <c r="J67" i="67" s="1"/>
  <c r="J131" i="67" s="1"/>
  <c r="I67" i="67" a="1"/>
  <c r="I67" i="67" s="1"/>
  <c r="I131" i="67" s="1"/>
  <c r="H67" i="67" a="1"/>
  <c r="H67" i="67" s="1"/>
  <c r="H131" i="67" s="1"/>
  <c r="G67" i="67" a="1"/>
  <c r="G67" i="67" s="1"/>
  <c r="G131" i="67" s="1"/>
  <c r="F67" i="67" a="1"/>
  <c r="F67" i="67" s="1"/>
  <c r="F131" i="67" s="1"/>
  <c r="E67" i="67" a="1"/>
  <c r="E67" i="67" s="1"/>
  <c r="E131" i="67" s="1"/>
  <c r="D67" i="67" a="1"/>
  <c r="D67" i="67" s="1"/>
  <c r="P66" i="67" a="1"/>
  <c r="P66" i="67" s="1"/>
  <c r="P130" i="67" s="1"/>
  <c r="O66" i="67" a="1"/>
  <c r="O66" i="67" s="1"/>
  <c r="O130" i="67" s="1"/>
  <c r="N66" i="67" a="1"/>
  <c r="N66" i="67" s="1"/>
  <c r="N130" i="67" s="1"/>
  <c r="M66" i="67" a="1"/>
  <c r="M66" i="67" s="1"/>
  <c r="M130" i="67" s="1"/>
  <c r="L66" i="67" a="1"/>
  <c r="L66" i="67" s="1"/>
  <c r="L130" i="67" s="1"/>
  <c r="K66" i="67" a="1"/>
  <c r="K66" i="67" s="1"/>
  <c r="K130" i="67" s="1"/>
  <c r="J66" i="67" a="1"/>
  <c r="J66" i="67" s="1"/>
  <c r="J130" i="67" s="1"/>
  <c r="I66" i="67" a="1"/>
  <c r="I66" i="67" s="1"/>
  <c r="I130" i="67" s="1"/>
  <c r="H66" i="67" a="1"/>
  <c r="H66" i="67" s="1"/>
  <c r="H130" i="67" s="1"/>
  <c r="G66" i="67" a="1"/>
  <c r="G66" i="67" s="1"/>
  <c r="G130" i="67" s="1"/>
  <c r="F66" i="67" a="1"/>
  <c r="F66" i="67" s="1"/>
  <c r="F130" i="67" s="1"/>
  <c r="E66" i="67" a="1"/>
  <c r="E66" i="67" s="1"/>
  <c r="E130" i="67" s="1"/>
  <c r="D66" i="67" a="1"/>
  <c r="D66" i="67" s="1"/>
  <c r="P65" i="67" a="1"/>
  <c r="P65" i="67" s="1"/>
  <c r="P129" i="67" s="1"/>
  <c r="O65" i="67" a="1"/>
  <c r="O65" i="67" s="1"/>
  <c r="O129" i="67" s="1"/>
  <c r="N65" i="67" a="1"/>
  <c r="N65" i="67" s="1"/>
  <c r="N129" i="67" s="1"/>
  <c r="M65" i="67" a="1"/>
  <c r="M65" i="67" s="1"/>
  <c r="M129" i="67" s="1"/>
  <c r="L65" i="67" a="1"/>
  <c r="L65" i="67" s="1"/>
  <c r="L129" i="67" s="1"/>
  <c r="K65" i="67" a="1"/>
  <c r="K65" i="67" s="1"/>
  <c r="K129" i="67" s="1"/>
  <c r="J65" i="67" a="1"/>
  <c r="J65" i="67" s="1"/>
  <c r="J129" i="67" s="1"/>
  <c r="I65" i="67" a="1"/>
  <c r="I65" i="67" s="1"/>
  <c r="I129" i="67" s="1"/>
  <c r="H65" i="67" a="1"/>
  <c r="H65" i="67" s="1"/>
  <c r="H129" i="67" s="1"/>
  <c r="G65" i="67" a="1"/>
  <c r="G65" i="67" s="1"/>
  <c r="G129" i="67" s="1"/>
  <c r="F65" i="67" a="1"/>
  <c r="F65" i="67" s="1"/>
  <c r="F129" i="67" s="1"/>
  <c r="E65" i="67" a="1"/>
  <c r="E65" i="67" s="1"/>
  <c r="E129" i="67" s="1"/>
  <c r="D65" i="67" a="1"/>
  <c r="D65" i="67" s="1"/>
  <c r="P64" i="67" a="1"/>
  <c r="P64" i="67" s="1"/>
  <c r="P128" i="67" s="1"/>
  <c r="O64" i="67" a="1"/>
  <c r="O64" i="67" s="1"/>
  <c r="O128" i="67" s="1"/>
  <c r="N64" i="67" a="1"/>
  <c r="N64" i="67" s="1"/>
  <c r="N128" i="67" s="1"/>
  <c r="M64" i="67" a="1"/>
  <c r="M64" i="67" s="1"/>
  <c r="M128" i="67" s="1"/>
  <c r="L64" i="67" a="1"/>
  <c r="L64" i="67" s="1"/>
  <c r="L128" i="67" s="1"/>
  <c r="K64" i="67" a="1"/>
  <c r="K64" i="67" s="1"/>
  <c r="K128" i="67" s="1"/>
  <c r="J64" i="67" a="1"/>
  <c r="J64" i="67" s="1"/>
  <c r="J128" i="67" s="1"/>
  <c r="I64" i="67" a="1"/>
  <c r="I64" i="67" s="1"/>
  <c r="I128" i="67" s="1"/>
  <c r="H64" i="67" a="1"/>
  <c r="H64" i="67" s="1"/>
  <c r="H128" i="67" s="1"/>
  <c r="G64" i="67" a="1"/>
  <c r="G64" i="67" s="1"/>
  <c r="G128" i="67" s="1"/>
  <c r="F64" i="67" a="1"/>
  <c r="F64" i="67" s="1"/>
  <c r="F128" i="67" s="1"/>
  <c r="E64" i="67" a="1"/>
  <c r="E64" i="67" s="1"/>
  <c r="E128" i="67" s="1"/>
  <c r="D64" i="67" a="1"/>
  <c r="D64" i="67" s="1"/>
  <c r="P63" i="67" a="1"/>
  <c r="P63" i="67" s="1"/>
  <c r="P127" i="67" s="1"/>
  <c r="O63" i="67" a="1"/>
  <c r="O63" i="67" s="1"/>
  <c r="O127" i="67" s="1"/>
  <c r="N63" i="67" a="1"/>
  <c r="N63" i="67" s="1"/>
  <c r="N127" i="67" s="1"/>
  <c r="M63" i="67" a="1"/>
  <c r="M63" i="67" s="1"/>
  <c r="M127" i="67" s="1"/>
  <c r="L63" i="67" a="1"/>
  <c r="L63" i="67" s="1"/>
  <c r="L127" i="67" s="1"/>
  <c r="K63" i="67" a="1"/>
  <c r="K63" i="67" s="1"/>
  <c r="K127" i="67" s="1"/>
  <c r="J63" i="67" a="1"/>
  <c r="J63" i="67" s="1"/>
  <c r="J127" i="67" s="1"/>
  <c r="I63" i="67" a="1"/>
  <c r="I63" i="67" s="1"/>
  <c r="I127" i="67" s="1"/>
  <c r="H63" i="67" a="1"/>
  <c r="H63" i="67" s="1"/>
  <c r="H127" i="67" s="1"/>
  <c r="G63" i="67" a="1"/>
  <c r="G63" i="67" s="1"/>
  <c r="G127" i="67" s="1"/>
  <c r="F63" i="67" a="1"/>
  <c r="F63" i="67" s="1"/>
  <c r="F127" i="67" s="1"/>
  <c r="E63" i="67" a="1"/>
  <c r="E63" i="67" s="1"/>
  <c r="E127" i="67" s="1"/>
  <c r="D63" i="67" a="1"/>
  <c r="D63" i="67" s="1"/>
  <c r="P62" i="67" a="1"/>
  <c r="P62" i="67" s="1"/>
  <c r="P126" i="67" s="1"/>
  <c r="O62" i="67" a="1"/>
  <c r="O62" i="67" s="1"/>
  <c r="O126" i="67" s="1"/>
  <c r="N62" i="67" a="1"/>
  <c r="N62" i="67" s="1"/>
  <c r="N126" i="67" s="1"/>
  <c r="M62" i="67" a="1"/>
  <c r="M62" i="67" s="1"/>
  <c r="M126" i="67" s="1"/>
  <c r="L62" i="67" a="1"/>
  <c r="L62" i="67" s="1"/>
  <c r="L126" i="67" s="1"/>
  <c r="K62" i="67" a="1"/>
  <c r="K62" i="67" s="1"/>
  <c r="K126" i="67" s="1"/>
  <c r="J62" i="67" a="1"/>
  <c r="J62" i="67" s="1"/>
  <c r="J126" i="67" s="1"/>
  <c r="I62" i="67" a="1"/>
  <c r="I62" i="67" s="1"/>
  <c r="I126" i="67" s="1"/>
  <c r="H62" i="67" a="1"/>
  <c r="H62" i="67" s="1"/>
  <c r="H126" i="67" s="1"/>
  <c r="G62" i="67" a="1"/>
  <c r="G62" i="67" s="1"/>
  <c r="G126" i="67" s="1"/>
  <c r="F62" i="67" a="1"/>
  <c r="F62" i="67" s="1"/>
  <c r="F126" i="67" s="1"/>
  <c r="E62" i="67" a="1"/>
  <c r="E62" i="67" s="1"/>
  <c r="E126" i="67" s="1"/>
  <c r="D62" i="67" a="1"/>
  <c r="D62" i="67" s="1"/>
  <c r="P61" i="67" a="1"/>
  <c r="P61" i="67" s="1"/>
  <c r="P125" i="67" s="1"/>
  <c r="O61" i="67" a="1"/>
  <c r="O61" i="67" s="1"/>
  <c r="O125" i="67" s="1"/>
  <c r="N61" i="67" a="1"/>
  <c r="N61" i="67" s="1"/>
  <c r="N125" i="67" s="1"/>
  <c r="M61" i="67" a="1"/>
  <c r="M61" i="67" s="1"/>
  <c r="M125" i="67" s="1"/>
  <c r="L61" i="67" a="1"/>
  <c r="L61" i="67" s="1"/>
  <c r="L125" i="67" s="1"/>
  <c r="K61" i="67" a="1"/>
  <c r="K61" i="67" s="1"/>
  <c r="K125" i="67" s="1"/>
  <c r="J61" i="67" a="1"/>
  <c r="J61" i="67" s="1"/>
  <c r="J125" i="67" s="1"/>
  <c r="I61" i="67" a="1"/>
  <c r="I61" i="67" s="1"/>
  <c r="I125" i="67" s="1"/>
  <c r="H61" i="67" a="1"/>
  <c r="H61" i="67" s="1"/>
  <c r="H125" i="67" s="1"/>
  <c r="G61" i="67" a="1"/>
  <c r="G61" i="67" s="1"/>
  <c r="G125" i="67" s="1"/>
  <c r="F61" i="67" a="1"/>
  <c r="F61" i="67" s="1"/>
  <c r="F125" i="67" s="1"/>
  <c r="E61" i="67" a="1"/>
  <c r="E61" i="67" s="1"/>
  <c r="E125" i="67" s="1"/>
  <c r="D61" i="67" a="1"/>
  <c r="D61" i="67" s="1"/>
  <c r="P60" i="67" a="1"/>
  <c r="P60" i="67" s="1"/>
  <c r="P124" i="67" s="1"/>
  <c r="O60" i="67" a="1"/>
  <c r="O60" i="67" s="1"/>
  <c r="O124" i="67" s="1"/>
  <c r="N60" i="67" a="1"/>
  <c r="N60" i="67" s="1"/>
  <c r="N124" i="67" s="1"/>
  <c r="M60" i="67" a="1"/>
  <c r="M60" i="67" s="1"/>
  <c r="M124" i="67" s="1"/>
  <c r="L60" i="67" a="1"/>
  <c r="L60" i="67" s="1"/>
  <c r="L124" i="67" s="1"/>
  <c r="K60" i="67" a="1"/>
  <c r="K60" i="67" s="1"/>
  <c r="K124" i="67" s="1"/>
  <c r="J60" i="67" a="1"/>
  <c r="J60" i="67" s="1"/>
  <c r="J124" i="67" s="1"/>
  <c r="I60" i="67" a="1"/>
  <c r="I60" i="67" s="1"/>
  <c r="I124" i="67" s="1"/>
  <c r="H60" i="67" a="1"/>
  <c r="H60" i="67" s="1"/>
  <c r="H124" i="67" s="1"/>
  <c r="G60" i="67" a="1"/>
  <c r="G60" i="67" s="1"/>
  <c r="G124" i="67" s="1"/>
  <c r="F60" i="67" a="1"/>
  <c r="F60" i="67" s="1"/>
  <c r="F124" i="67" s="1"/>
  <c r="E60" i="67" a="1"/>
  <c r="E60" i="67" s="1"/>
  <c r="E124" i="67" s="1"/>
  <c r="D60" i="67" a="1"/>
  <c r="D60" i="67" s="1"/>
  <c r="P59" i="67" a="1"/>
  <c r="P59" i="67" s="1"/>
  <c r="P123" i="67" s="1"/>
  <c r="O59" i="67" a="1"/>
  <c r="O59" i="67" s="1"/>
  <c r="O123" i="67" s="1"/>
  <c r="N59" i="67" a="1"/>
  <c r="N59" i="67" s="1"/>
  <c r="N123" i="67" s="1"/>
  <c r="M59" i="67" a="1"/>
  <c r="M59" i="67" s="1"/>
  <c r="M123" i="67" s="1"/>
  <c r="L59" i="67" a="1"/>
  <c r="L59" i="67" s="1"/>
  <c r="L123" i="67" s="1"/>
  <c r="K59" i="67" a="1"/>
  <c r="K59" i="67" s="1"/>
  <c r="K123" i="67" s="1"/>
  <c r="J59" i="67" a="1"/>
  <c r="J59" i="67" s="1"/>
  <c r="J123" i="67" s="1"/>
  <c r="I59" i="67" a="1"/>
  <c r="I59" i="67" s="1"/>
  <c r="I123" i="67" s="1"/>
  <c r="H59" i="67" a="1"/>
  <c r="H59" i="67" s="1"/>
  <c r="H123" i="67" s="1"/>
  <c r="G59" i="67" a="1"/>
  <c r="G59" i="67" s="1"/>
  <c r="G123" i="67" s="1"/>
  <c r="F59" i="67" a="1"/>
  <c r="F59" i="67" s="1"/>
  <c r="F123" i="67" s="1"/>
  <c r="E59" i="67" a="1"/>
  <c r="E59" i="67" s="1"/>
  <c r="E123" i="67" s="1"/>
  <c r="D59" i="67" a="1"/>
  <c r="D59" i="67" s="1"/>
  <c r="P58" i="67" a="1"/>
  <c r="P58" i="67" s="1"/>
  <c r="P122" i="67" s="1"/>
  <c r="O58" i="67" a="1"/>
  <c r="O58" i="67" s="1"/>
  <c r="O122" i="67" s="1"/>
  <c r="N58" i="67" a="1"/>
  <c r="N58" i="67" s="1"/>
  <c r="N122" i="67" s="1"/>
  <c r="M58" i="67" a="1"/>
  <c r="M58" i="67" s="1"/>
  <c r="M122" i="67" s="1"/>
  <c r="L58" i="67" a="1"/>
  <c r="L58" i="67" s="1"/>
  <c r="L122" i="67" s="1"/>
  <c r="K58" i="67" a="1"/>
  <c r="K58" i="67" s="1"/>
  <c r="K122" i="67" s="1"/>
  <c r="J58" i="67" a="1"/>
  <c r="J58" i="67" s="1"/>
  <c r="J122" i="67" s="1"/>
  <c r="I58" i="67" a="1"/>
  <c r="I58" i="67" s="1"/>
  <c r="I122" i="67" s="1"/>
  <c r="H58" i="67" a="1"/>
  <c r="H58" i="67" s="1"/>
  <c r="H122" i="67" s="1"/>
  <c r="G58" i="67" a="1"/>
  <c r="G58" i="67" s="1"/>
  <c r="G122" i="67" s="1"/>
  <c r="F58" i="67" a="1"/>
  <c r="F58" i="67" s="1"/>
  <c r="F122" i="67" s="1"/>
  <c r="E58" i="67" a="1"/>
  <c r="E58" i="67" s="1"/>
  <c r="E122" i="67" s="1"/>
  <c r="D58" i="67" a="1"/>
  <c r="D58" i="67" s="1"/>
  <c r="P57" i="67" a="1"/>
  <c r="P57" i="67" s="1"/>
  <c r="P121" i="67" s="1"/>
  <c r="O57" i="67" a="1"/>
  <c r="O57" i="67" s="1"/>
  <c r="O121" i="67" s="1"/>
  <c r="N57" i="67" a="1"/>
  <c r="N57" i="67" s="1"/>
  <c r="N121" i="67" s="1"/>
  <c r="M57" i="67" a="1"/>
  <c r="M57" i="67" s="1"/>
  <c r="M121" i="67" s="1"/>
  <c r="L57" i="67" a="1"/>
  <c r="L57" i="67" s="1"/>
  <c r="L121" i="67" s="1"/>
  <c r="K57" i="67" a="1"/>
  <c r="K57" i="67" s="1"/>
  <c r="K121" i="67" s="1"/>
  <c r="J57" i="67" a="1"/>
  <c r="J57" i="67" s="1"/>
  <c r="J121" i="67" s="1"/>
  <c r="I57" i="67" a="1"/>
  <c r="I57" i="67" s="1"/>
  <c r="I121" i="67" s="1"/>
  <c r="H57" i="67" a="1"/>
  <c r="H57" i="67" s="1"/>
  <c r="H121" i="67" s="1"/>
  <c r="G57" i="67" a="1"/>
  <c r="G57" i="67" s="1"/>
  <c r="G121" i="67" s="1"/>
  <c r="F57" i="67" a="1"/>
  <c r="F57" i="67" s="1"/>
  <c r="F121" i="67" s="1"/>
  <c r="E57" i="67" a="1"/>
  <c r="E57" i="67" s="1"/>
  <c r="E121" i="67" s="1"/>
  <c r="D57" i="67" a="1"/>
  <c r="D57" i="67" s="1"/>
  <c r="P56" i="67" a="1"/>
  <c r="P56" i="67" s="1"/>
  <c r="P120" i="67" s="1"/>
  <c r="O56" i="67" a="1"/>
  <c r="O56" i="67" s="1"/>
  <c r="O120" i="67" s="1"/>
  <c r="N56" i="67" a="1"/>
  <c r="N56" i="67" s="1"/>
  <c r="N120" i="67" s="1"/>
  <c r="M56" i="67" a="1"/>
  <c r="M56" i="67" s="1"/>
  <c r="M120" i="67" s="1"/>
  <c r="L56" i="67" a="1"/>
  <c r="L56" i="67" s="1"/>
  <c r="L120" i="67" s="1"/>
  <c r="K56" i="67" a="1"/>
  <c r="K56" i="67" s="1"/>
  <c r="K120" i="67" s="1"/>
  <c r="J56" i="67" a="1"/>
  <c r="J56" i="67" s="1"/>
  <c r="J120" i="67" s="1"/>
  <c r="I56" i="67" a="1"/>
  <c r="I56" i="67" s="1"/>
  <c r="I120" i="67" s="1"/>
  <c r="H56" i="67" a="1"/>
  <c r="H56" i="67" s="1"/>
  <c r="H120" i="67" s="1"/>
  <c r="G56" i="67" a="1"/>
  <c r="G56" i="67" s="1"/>
  <c r="G120" i="67" s="1"/>
  <c r="F56" i="67" a="1"/>
  <c r="F56" i="67" s="1"/>
  <c r="F120" i="67" s="1"/>
  <c r="E56" i="67" a="1"/>
  <c r="E56" i="67" s="1"/>
  <c r="E120" i="67" s="1"/>
  <c r="D56" i="67" a="1"/>
  <c r="D56" i="67" s="1"/>
  <c r="P55" i="67" a="1"/>
  <c r="P55" i="67" s="1"/>
  <c r="P119" i="67" s="1"/>
  <c r="O55" i="67" a="1"/>
  <c r="O55" i="67" s="1"/>
  <c r="O119" i="67" s="1"/>
  <c r="N55" i="67" a="1"/>
  <c r="N55" i="67" s="1"/>
  <c r="N119" i="67" s="1"/>
  <c r="M55" i="67" a="1"/>
  <c r="M55" i="67" s="1"/>
  <c r="M119" i="67" s="1"/>
  <c r="L55" i="67" a="1"/>
  <c r="L55" i="67" s="1"/>
  <c r="L119" i="67" s="1"/>
  <c r="K55" i="67" a="1"/>
  <c r="K55" i="67" s="1"/>
  <c r="K119" i="67" s="1"/>
  <c r="J55" i="67" a="1"/>
  <c r="J55" i="67" s="1"/>
  <c r="J119" i="67" s="1"/>
  <c r="I55" i="67" a="1"/>
  <c r="I55" i="67" s="1"/>
  <c r="I119" i="67" s="1"/>
  <c r="H55" i="67" a="1"/>
  <c r="H55" i="67" s="1"/>
  <c r="H119" i="67" s="1"/>
  <c r="G55" i="67" a="1"/>
  <c r="G55" i="67" s="1"/>
  <c r="G119" i="67" s="1"/>
  <c r="F55" i="67" a="1"/>
  <c r="F55" i="67" s="1"/>
  <c r="F119" i="67" s="1"/>
  <c r="E55" i="67" a="1"/>
  <c r="E55" i="67" s="1"/>
  <c r="E119" i="67" s="1"/>
  <c r="D55" i="67" a="1"/>
  <c r="D55" i="67" s="1"/>
  <c r="P54" i="67" a="1"/>
  <c r="P54" i="67" s="1"/>
  <c r="P118" i="67" s="1"/>
  <c r="O54" i="67" a="1"/>
  <c r="O54" i="67" s="1"/>
  <c r="O118" i="67" s="1"/>
  <c r="N54" i="67" a="1"/>
  <c r="N54" i="67" s="1"/>
  <c r="N118" i="67" s="1"/>
  <c r="M54" i="67" a="1"/>
  <c r="M54" i="67" s="1"/>
  <c r="M118" i="67" s="1"/>
  <c r="L54" i="67" a="1"/>
  <c r="L54" i="67" s="1"/>
  <c r="L118" i="67" s="1"/>
  <c r="K54" i="67" a="1"/>
  <c r="K54" i="67" s="1"/>
  <c r="K118" i="67" s="1"/>
  <c r="J54" i="67" a="1"/>
  <c r="J54" i="67" s="1"/>
  <c r="J118" i="67" s="1"/>
  <c r="I54" i="67" a="1"/>
  <c r="I54" i="67" s="1"/>
  <c r="I118" i="67" s="1"/>
  <c r="H54" i="67" a="1"/>
  <c r="H54" i="67" s="1"/>
  <c r="H118" i="67" s="1"/>
  <c r="G54" i="67" a="1"/>
  <c r="G54" i="67" s="1"/>
  <c r="G118" i="67" s="1"/>
  <c r="F54" i="67" a="1"/>
  <c r="F54" i="67" s="1"/>
  <c r="F118" i="67" s="1"/>
  <c r="E54" i="67" a="1"/>
  <c r="E54" i="67" s="1"/>
  <c r="E118" i="67" s="1"/>
  <c r="D54" i="67" a="1"/>
  <c r="D54" i="67" s="1"/>
  <c r="D52" i="67" a="1"/>
  <c r="D52" i="67" s="1"/>
  <c r="D51" i="67" a="1"/>
  <c r="D51" i="67" s="1"/>
  <c r="D50" i="67" a="1"/>
  <c r="D50" i="67" s="1"/>
  <c r="D49" i="67" a="1"/>
  <c r="D49" i="67" s="1"/>
  <c r="M46" i="67" a="1"/>
  <c r="M46" i="67" s="1"/>
  <c r="L46" i="67" a="1"/>
  <c r="L46" i="67" s="1"/>
  <c r="M117" i="67" s="1"/>
  <c r="K46" i="67" a="1"/>
  <c r="K46" i="67" s="1"/>
  <c r="J46" i="67" a="1"/>
  <c r="J46" i="67" s="1"/>
  <c r="J117" i="67" s="1"/>
  <c r="I46" i="67" a="1"/>
  <c r="I46" i="67" s="1"/>
  <c r="I117" i="67" s="1"/>
  <c r="H46" i="67" a="1"/>
  <c r="H46" i="67" s="1"/>
  <c r="H117" i="67" s="1"/>
  <c r="G46" i="67" a="1"/>
  <c r="G46" i="67" s="1"/>
  <c r="G117" i="67" s="1"/>
  <c r="F46" i="67" a="1"/>
  <c r="F46" i="67" s="1"/>
  <c r="F117" i="67" s="1"/>
  <c r="E46" i="67" a="1"/>
  <c r="E46" i="67" s="1"/>
  <c r="E117" i="67" s="1"/>
  <c r="D46" i="67" a="1"/>
  <c r="D46" i="67" s="1"/>
  <c r="M45" i="67" a="1"/>
  <c r="M45" i="67" s="1"/>
  <c r="L45" i="67" a="1"/>
  <c r="L45" i="67" s="1"/>
  <c r="M116" i="67" s="1"/>
  <c r="K45" i="67" a="1"/>
  <c r="K45" i="67" s="1"/>
  <c r="J45" i="67" a="1"/>
  <c r="J45" i="67" s="1"/>
  <c r="J116" i="67" s="1"/>
  <c r="I45" i="67" a="1"/>
  <c r="I45" i="67" s="1"/>
  <c r="I116" i="67" s="1"/>
  <c r="H45" i="67" a="1"/>
  <c r="H45" i="67" s="1"/>
  <c r="H116" i="67" s="1"/>
  <c r="G45" i="67" a="1"/>
  <c r="G45" i="67" s="1"/>
  <c r="G116" i="67" s="1"/>
  <c r="F45" i="67" a="1"/>
  <c r="F45" i="67" s="1"/>
  <c r="F116" i="67" s="1"/>
  <c r="E45" i="67" a="1"/>
  <c r="E45" i="67" s="1"/>
  <c r="E116" i="67" s="1"/>
  <c r="D45" i="67" a="1"/>
  <c r="D45" i="67" s="1"/>
  <c r="M44" i="67" a="1"/>
  <c r="M44" i="67" s="1"/>
  <c r="L44" i="67" a="1"/>
  <c r="L44" i="67" s="1"/>
  <c r="M115" i="67" s="1"/>
  <c r="K44" i="67" a="1"/>
  <c r="K44" i="67" s="1"/>
  <c r="J44" i="67" a="1"/>
  <c r="J44" i="67" s="1"/>
  <c r="J115" i="67" s="1"/>
  <c r="I44" i="67" a="1"/>
  <c r="I44" i="67" s="1"/>
  <c r="I115" i="67" s="1"/>
  <c r="H44" i="67" a="1"/>
  <c r="H44" i="67" s="1"/>
  <c r="H115" i="67" s="1"/>
  <c r="G44" i="67" a="1"/>
  <c r="G44" i="67" s="1"/>
  <c r="G115" i="67" s="1"/>
  <c r="F44" i="67" a="1"/>
  <c r="F44" i="67" s="1"/>
  <c r="F115" i="67" s="1"/>
  <c r="E44" i="67" a="1"/>
  <c r="E44" i="67" s="1"/>
  <c r="E115" i="67" s="1"/>
  <c r="D44" i="67" a="1"/>
  <c r="D44" i="67" s="1"/>
  <c r="M43" i="67" a="1"/>
  <c r="M43" i="67" s="1"/>
  <c r="L43" i="67" a="1"/>
  <c r="L43" i="67" s="1"/>
  <c r="M114" i="67" s="1"/>
  <c r="K43" i="67" a="1"/>
  <c r="K43" i="67" s="1"/>
  <c r="J43" i="67" a="1"/>
  <c r="J43" i="67" s="1"/>
  <c r="J114" i="67" s="1"/>
  <c r="I43" i="67" a="1"/>
  <c r="I43" i="67" s="1"/>
  <c r="I114" i="67" s="1"/>
  <c r="H43" i="67" a="1"/>
  <c r="H43" i="67" s="1"/>
  <c r="H114" i="67" s="1"/>
  <c r="G43" i="67" a="1"/>
  <c r="G43" i="67" s="1"/>
  <c r="G114" i="67" s="1"/>
  <c r="F43" i="67" a="1"/>
  <c r="F43" i="67" s="1"/>
  <c r="F114" i="67" s="1"/>
  <c r="E43" i="67" a="1"/>
  <c r="E43" i="67" s="1"/>
  <c r="E114" i="67" s="1"/>
  <c r="D43" i="67" a="1"/>
  <c r="D43" i="67" s="1"/>
  <c r="M42" i="67" a="1"/>
  <c r="M42" i="67" s="1"/>
  <c r="L42" i="67" a="1"/>
  <c r="L42" i="67" s="1"/>
  <c r="M113" i="67" s="1"/>
  <c r="K42" i="67" a="1"/>
  <c r="K42" i="67" s="1"/>
  <c r="J42" i="67" a="1"/>
  <c r="J42" i="67" s="1"/>
  <c r="J113" i="67" s="1"/>
  <c r="I42" i="67" a="1"/>
  <c r="I42" i="67" s="1"/>
  <c r="I113" i="67" s="1"/>
  <c r="H42" i="67" a="1"/>
  <c r="H42" i="67" s="1"/>
  <c r="H113" i="67" s="1"/>
  <c r="G42" i="67" a="1"/>
  <c r="G42" i="67" s="1"/>
  <c r="G113" i="67" s="1"/>
  <c r="F42" i="67" a="1"/>
  <c r="F42" i="67" s="1"/>
  <c r="F113" i="67" s="1"/>
  <c r="E42" i="67" a="1"/>
  <c r="E42" i="67" s="1"/>
  <c r="E113" i="67" s="1"/>
  <c r="D42" i="67" a="1"/>
  <c r="D42" i="67" s="1"/>
  <c r="M41" i="67" a="1"/>
  <c r="M41" i="67" s="1"/>
  <c r="L41" i="67" a="1"/>
  <c r="L41" i="67" s="1"/>
  <c r="M112" i="67" s="1"/>
  <c r="K41" i="67" a="1"/>
  <c r="K41" i="67" s="1"/>
  <c r="J41" i="67" a="1"/>
  <c r="J41" i="67" s="1"/>
  <c r="J112" i="67" s="1"/>
  <c r="I41" i="67" a="1"/>
  <c r="I41" i="67" s="1"/>
  <c r="I112" i="67" s="1"/>
  <c r="H41" i="67" a="1"/>
  <c r="H41" i="67" s="1"/>
  <c r="H112" i="67" s="1"/>
  <c r="G41" i="67" a="1"/>
  <c r="G41" i="67" s="1"/>
  <c r="G112" i="67" s="1"/>
  <c r="F41" i="67" a="1"/>
  <c r="F41" i="67" s="1"/>
  <c r="F112" i="67" s="1"/>
  <c r="E41" i="67" a="1"/>
  <c r="E41" i="67" s="1"/>
  <c r="E112" i="67" s="1"/>
  <c r="D41" i="67" a="1"/>
  <c r="D41" i="67" s="1"/>
  <c r="M40" i="67" a="1"/>
  <c r="M40" i="67" s="1"/>
  <c r="L40" i="67" a="1"/>
  <c r="L40" i="67" s="1"/>
  <c r="M111" i="67" s="1"/>
  <c r="K40" i="67" a="1"/>
  <c r="K40" i="67" s="1"/>
  <c r="J40" i="67" a="1"/>
  <c r="J40" i="67" s="1"/>
  <c r="J111" i="67" s="1"/>
  <c r="I40" i="67" a="1"/>
  <c r="I40" i="67" s="1"/>
  <c r="I111" i="67" s="1"/>
  <c r="H40" i="67" a="1"/>
  <c r="H40" i="67" s="1"/>
  <c r="H111" i="67" s="1"/>
  <c r="G40" i="67" a="1"/>
  <c r="G40" i="67" s="1"/>
  <c r="G111" i="67" s="1"/>
  <c r="F40" i="67" a="1"/>
  <c r="F40" i="67" s="1"/>
  <c r="F111" i="67" s="1"/>
  <c r="E40" i="67" a="1"/>
  <c r="E40" i="67" s="1"/>
  <c r="E111" i="67" s="1"/>
  <c r="D40" i="67" a="1"/>
  <c r="D40" i="67" s="1"/>
  <c r="M39" i="67" a="1"/>
  <c r="M39" i="67" s="1"/>
  <c r="L39" i="67" a="1"/>
  <c r="L39" i="67" s="1"/>
  <c r="M110" i="67" s="1"/>
  <c r="K39" i="67" a="1"/>
  <c r="K39" i="67" s="1"/>
  <c r="J39" i="67" a="1"/>
  <c r="J39" i="67" s="1"/>
  <c r="J110" i="67" s="1"/>
  <c r="I39" i="67" a="1"/>
  <c r="I39" i="67" s="1"/>
  <c r="I110" i="67" s="1"/>
  <c r="H39" i="67" a="1"/>
  <c r="H39" i="67" s="1"/>
  <c r="H110" i="67" s="1"/>
  <c r="G39" i="67" a="1"/>
  <c r="G39" i="67" s="1"/>
  <c r="G110" i="67" s="1"/>
  <c r="F39" i="67" a="1"/>
  <c r="F39" i="67" s="1"/>
  <c r="F110" i="67" s="1"/>
  <c r="E39" i="67" a="1"/>
  <c r="E39" i="67" s="1"/>
  <c r="E110" i="67" s="1"/>
  <c r="D39" i="67" a="1"/>
  <c r="D39" i="67" s="1"/>
  <c r="M38" i="67" a="1"/>
  <c r="M38" i="67" s="1"/>
  <c r="L38" i="67" a="1"/>
  <c r="L38" i="67" s="1"/>
  <c r="M109" i="67" s="1"/>
  <c r="K38" i="67" a="1"/>
  <c r="K38" i="67" s="1"/>
  <c r="J38" i="67" a="1"/>
  <c r="J38" i="67" s="1"/>
  <c r="J109" i="67" s="1"/>
  <c r="I38" i="67" a="1"/>
  <c r="I38" i="67" s="1"/>
  <c r="I109" i="67" s="1"/>
  <c r="H38" i="67" a="1"/>
  <c r="H38" i="67" s="1"/>
  <c r="H109" i="67" s="1"/>
  <c r="G38" i="67" a="1"/>
  <c r="G38" i="67" s="1"/>
  <c r="G109" i="67" s="1"/>
  <c r="F38" i="67" a="1"/>
  <c r="F38" i="67" s="1"/>
  <c r="F109" i="67" s="1"/>
  <c r="E38" i="67" a="1"/>
  <c r="E38" i="67" s="1"/>
  <c r="E109" i="67" s="1"/>
  <c r="D38" i="67" a="1"/>
  <c r="D38" i="67" s="1"/>
  <c r="M37" i="67" a="1"/>
  <c r="M37" i="67" s="1"/>
  <c r="L37" i="67" a="1"/>
  <c r="L37" i="67" s="1"/>
  <c r="M108" i="67" s="1"/>
  <c r="K37" i="67" a="1"/>
  <c r="K37" i="67" s="1"/>
  <c r="J37" i="67" a="1"/>
  <c r="J37" i="67" s="1"/>
  <c r="J108" i="67" s="1"/>
  <c r="I37" i="67" a="1"/>
  <c r="I37" i="67" s="1"/>
  <c r="I108" i="67" s="1"/>
  <c r="H37" i="67" a="1"/>
  <c r="H37" i="67" s="1"/>
  <c r="H108" i="67" s="1"/>
  <c r="G37" i="67" a="1"/>
  <c r="G37" i="67" s="1"/>
  <c r="G108" i="67" s="1"/>
  <c r="F37" i="67" a="1"/>
  <c r="F37" i="67" s="1"/>
  <c r="F108" i="67" s="1"/>
  <c r="E37" i="67" a="1"/>
  <c r="E37" i="67" s="1"/>
  <c r="E108" i="67" s="1"/>
  <c r="D37" i="67" a="1"/>
  <c r="D37" i="67" s="1"/>
  <c r="M36" i="67" a="1"/>
  <c r="M36" i="67" s="1"/>
  <c r="L36" i="67" a="1"/>
  <c r="L36" i="67" s="1"/>
  <c r="M107" i="67" s="1"/>
  <c r="K36" i="67" a="1"/>
  <c r="K36" i="67" s="1"/>
  <c r="J36" i="67" a="1"/>
  <c r="J36" i="67" s="1"/>
  <c r="J107" i="67" s="1"/>
  <c r="I36" i="67" a="1"/>
  <c r="I36" i="67" s="1"/>
  <c r="I107" i="67" s="1"/>
  <c r="H36" i="67" a="1"/>
  <c r="H36" i="67" s="1"/>
  <c r="H107" i="67" s="1"/>
  <c r="G36" i="67" a="1"/>
  <c r="G36" i="67" s="1"/>
  <c r="G107" i="67" s="1"/>
  <c r="F36" i="67" a="1"/>
  <c r="F36" i="67" s="1"/>
  <c r="F107" i="67" s="1"/>
  <c r="E36" i="67" a="1"/>
  <c r="E36" i="67" s="1"/>
  <c r="E107" i="67" s="1"/>
  <c r="D36" i="67" a="1"/>
  <c r="D36" i="67" s="1"/>
  <c r="M35" i="67" a="1"/>
  <c r="M35" i="67" s="1"/>
  <c r="L35" i="67" a="1"/>
  <c r="L35" i="67" s="1"/>
  <c r="M106" i="67" s="1"/>
  <c r="K35" i="67" a="1"/>
  <c r="K35" i="67" s="1"/>
  <c r="J35" i="67" a="1"/>
  <c r="J35" i="67" s="1"/>
  <c r="J106" i="67" s="1"/>
  <c r="I35" i="67" a="1"/>
  <c r="I35" i="67" s="1"/>
  <c r="I106" i="67" s="1"/>
  <c r="H35" i="67" a="1"/>
  <c r="H35" i="67" s="1"/>
  <c r="H106" i="67" s="1"/>
  <c r="G35" i="67" a="1"/>
  <c r="G35" i="67" s="1"/>
  <c r="G106" i="67" s="1"/>
  <c r="F35" i="67" a="1"/>
  <c r="F35" i="67" s="1"/>
  <c r="E35" i="67" a="1"/>
  <c r="E35" i="67" s="1"/>
  <c r="E106" i="67" s="1"/>
  <c r="D35" i="67" a="1"/>
  <c r="D35" i="67" s="1"/>
  <c r="M34" i="67" a="1"/>
  <c r="M34" i="67" s="1"/>
  <c r="L34" i="67" a="1"/>
  <c r="L34" i="67" s="1"/>
  <c r="M105" i="67" s="1"/>
  <c r="K34" i="67" a="1"/>
  <c r="K34" i="67" s="1"/>
  <c r="J34" i="67" a="1"/>
  <c r="J34" i="67" s="1"/>
  <c r="J105" i="67" s="1"/>
  <c r="I34" i="67" a="1"/>
  <c r="I34" i="67" s="1"/>
  <c r="I105" i="67" s="1"/>
  <c r="H34" i="67" a="1"/>
  <c r="H34" i="67" s="1"/>
  <c r="H105" i="67" s="1"/>
  <c r="G34" i="67" a="1"/>
  <c r="G34" i="67" s="1"/>
  <c r="G105" i="67" s="1"/>
  <c r="F34" i="67" a="1"/>
  <c r="F34" i="67" s="1"/>
  <c r="E34" i="67" a="1"/>
  <c r="E34" i="67" s="1"/>
  <c r="D34" i="67" a="1"/>
  <c r="D34" i="67" s="1"/>
  <c r="M33" i="67" a="1"/>
  <c r="M33" i="67" s="1"/>
  <c r="L33" i="67" a="1"/>
  <c r="L33" i="67" s="1"/>
  <c r="M104" i="67" s="1"/>
  <c r="K33" i="67" a="1"/>
  <c r="K33" i="67" s="1"/>
  <c r="J33" i="67" a="1"/>
  <c r="J33" i="67" s="1"/>
  <c r="J104" i="67" s="1"/>
  <c r="I33" i="67" a="1"/>
  <c r="I33" i="67" s="1"/>
  <c r="I104" i="67" s="1"/>
  <c r="H33" i="67" a="1"/>
  <c r="H33" i="67" s="1"/>
  <c r="H104" i="67" s="1"/>
  <c r="G33" i="67" a="1"/>
  <c r="G33" i="67" s="1"/>
  <c r="G104" i="67" s="1"/>
  <c r="F33" i="67" a="1"/>
  <c r="F33" i="67" s="1"/>
  <c r="E33" i="67" a="1"/>
  <c r="E33" i="67" s="1"/>
  <c r="D33" i="67" a="1"/>
  <c r="D33" i="67" s="1"/>
  <c r="M32" i="67" a="1"/>
  <c r="M32" i="67" s="1"/>
  <c r="L32" i="67" a="1"/>
  <c r="L32" i="67" s="1"/>
  <c r="M103" i="67" s="1"/>
  <c r="K32" i="67" a="1"/>
  <c r="K32" i="67" s="1"/>
  <c r="J32" i="67" a="1"/>
  <c r="J32" i="67" s="1"/>
  <c r="J103" i="67" s="1"/>
  <c r="I32" i="67" a="1"/>
  <c r="I32" i="67" s="1"/>
  <c r="I103" i="67" s="1"/>
  <c r="H32" i="67" a="1"/>
  <c r="H32" i="67" s="1"/>
  <c r="H103" i="67" s="1"/>
  <c r="G32" i="67" a="1"/>
  <c r="G32" i="67" s="1"/>
  <c r="G103" i="67" s="1"/>
  <c r="F32" i="67" a="1"/>
  <c r="F32" i="67" s="1"/>
  <c r="E32" i="67" a="1"/>
  <c r="E32" i="67" s="1"/>
  <c r="D32" i="67" a="1"/>
  <c r="D32" i="67" s="1"/>
  <c r="M31" i="67" a="1"/>
  <c r="M31" i="67" s="1"/>
  <c r="L31" i="67" a="1"/>
  <c r="L31" i="67" s="1"/>
  <c r="M102" i="67" s="1"/>
  <c r="K31" i="67" a="1"/>
  <c r="K31" i="67" s="1"/>
  <c r="J31" i="67" a="1"/>
  <c r="J31" i="67" s="1"/>
  <c r="J102" i="67" s="1"/>
  <c r="I31" i="67" a="1"/>
  <c r="I31" i="67" s="1"/>
  <c r="I102" i="67" s="1"/>
  <c r="H31" i="67" a="1"/>
  <c r="H31" i="67" s="1"/>
  <c r="H102" i="67" s="1"/>
  <c r="G31" i="67" a="1"/>
  <c r="G31" i="67" s="1"/>
  <c r="G102" i="67" s="1"/>
  <c r="F31" i="67" a="1"/>
  <c r="F31" i="67" s="1"/>
  <c r="F98" i="67" s="1"/>
  <c r="E31" i="67" a="1"/>
  <c r="E31" i="67" s="1"/>
  <c r="D31" i="67" a="1"/>
  <c r="D31" i="67" s="1"/>
  <c r="M30" i="67" a="1"/>
  <c r="M30" i="67" s="1"/>
  <c r="N101" i="67" s="1"/>
  <c r="L30" i="67" a="1"/>
  <c r="L30" i="67" s="1"/>
  <c r="M101" i="67" s="1"/>
  <c r="K30" i="67" a="1"/>
  <c r="K30" i="67" s="1"/>
  <c r="J30" i="67" a="1"/>
  <c r="J30" i="67" s="1"/>
  <c r="J101" i="67" s="1"/>
  <c r="I30" i="67" a="1"/>
  <c r="I30" i="67" s="1"/>
  <c r="I101" i="67" s="1"/>
  <c r="H30" i="67" a="1"/>
  <c r="H30" i="67" s="1"/>
  <c r="H101" i="67" s="1"/>
  <c r="G30" i="67" a="1"/>
  <c r="G30" i="67" s="1"/>
  <c r="G101" i="67" s="1"/>
  <c r="F30" i="67" a="1"/>
  <c r="F30" i="67" s="1"/>
  <c r="E30" i="67" a="1"/>
  <c r="E30" i="67" s="1"/>
  <c r="D30" i="67" a="1"/>
  <c r="D30" i="67" s="1"/>
  <c r="M29" i="67" a="1"/>
  <c r="M29" i="67" s="1"/>
  <c r="L29" i="67" a="1"/>
  <c r="L29" i="67" s="1"/>
  <c r="M100" i="67" s="1"/>
  <c r="K29" i="67" a="1"/>
  <c r="K29" i="67" s="1"/>
  <c r="J29" i="67" a="1"/>
  <c r="J29" i="67" s="1"/>
  <c r="J100" i="67" s="1"/>
  <c r="I29" i="67" a="1"/>
  <c r="I29" i="67" s="1"/>
  <c r="I100" i="67" s="1"/>
  <c r="H29" i="67" a="1"/>
  <c r="H29" i="67" s="1"/>
  <c r="H100" i="67" s="1"/>
  <c r="G29" i="67" a="1"/>
  <c r="G29" i="67" s="1"/>
  <c r="G100" i="67" s="1"/>
  <c r="F29" i="67" a="1"/>
  <c r="F29" i="67" s="1"/>
  <c r="E29" i="67" a="1"/>
  <c r="E29" i="67" s="1"/>
  <c r="D29" i="67" a="1"/>
  <c r="D29" i="67" s="1"/>
  <c r="M28" i="67" a="1"/>
  <c r="M28" i="67" s="1"/>
  <c r="L28" i="67" a="1"/>
  <c r="L28" i="67" s="1"/>
  <c r="M99" i="67" s="1"/>
  <c r="K28" i="67" a="1"/>
  <c r="K28" i="67" s="1"/>
  <c r="J28" i="67" a="1"/>
  <c r="J28" i="67" s="1"/>
  <c r="J99" i="67" s="1"/>
  <c r="I28" i="67" a="1"/>
  <c r="I28" i="67" s="1"/>
  <c r="I99" i="67" s="1"/>
  <c r="H28" i="67" a="1"/>
  <c r="H28" i="67" s="1"/>
  <c r="H99" i="67" s="1"/>
  <c r="G28" i="67" a="1"/>
  <c r="G28" i="67" s="1"/>
  <c r="G99" i="67" s="1"/>
  <c r="F28" i="67" a="1"/>
  <c r="F28" i="67" s="1"/>
  <c r="E28" i="67" a="1"/>
  <c r="E28" i="67" s="1"/>
  <c r="D28" i="67" a="1"/>
  <c r="D28" i="67" s="1"/>
  <c r="M27" i="67" a="1"/>
  <c r="M27" i="67" s="1"/>
  <c r="L27" i="67" a="1"/>
  <c r="L27" i="67" s="1"/>
  <c r="M98" i="67" s="1"/>
  <c r="K27" i="67" a="1"/>
  <c r="K27" i="67" s="1"/>
  <c r="J27" i="67" a="1"/>
  <c r="J27" i="67" s="1"/>
  <c r="J98" i="67" s="1"/>
  <c r="I27" i="67" a="1"/>
  <c r="I27" i="67" s="1"/>
  <c r="I98" i="67" s="1"/>
  <c r="H27" i="67" a="1"/>
  <c r="H27" i="67" s="1"/>
  <c r="H98" i="67" s="1"/>
  <c r="G27" i="67" a="1"/>
  <c r="G27" i="67" s="1"/>
  <c r="G98" i="67" s="1"/>
  <c r="F27" i="67" a="1"/>
  <c r="F27" i="67" s="1"/>
  <c r="F94" i="67" s="1"/>
  <c r="E27" i="67" a="1"/>
  <c r="E27" i="67" s="1"/>
  <c r="D27" i="67" a="1"/>
  <c r="D27" i="67" s="1"/>
  <c r="M26" i="67" a="1"/>
  <c r="M26" i="67" s="1"/>
  <c r="L26" i="67" a="1"/>
  <c r="L26" i="67" s="1"/>
  <c r="M97" i="67" s="1"/>
  <c r="K26" i="67" a="1"/>
  <c r="K26" i="67" s="1"/>
  <c r="J26" i="67" a="1"/>
  <c r="J26" i="67" s="1"/>
  <c r="J97" i="67" s="1"/>
  <c r="I26" i="67" a="1"/>
  <c r="I26" i="67" s="1"/>
  <c r="I97" i="67" s="1"/>
  <c r="H26" i="67" a="1"/>
  <c r="H26" i="67" s="1"/>
  <c r="H97" i="67" s="1"/>
  <c r="G26" i="67" a="1"/>
  <c r="G26" i="67" s="1"/>
  <c r="G97" i="67" s="1"/>
  <c r="F26" i="67" a="1"/>
  <c r="F26" i="67" s="1"/>
  <c r="E26" i="67" a="1"/>
  <c r="E26" i="67" s="1"/>
  <c r="D26" i="67" a="1"/>
  <c r="D26" i="67" s="1"/>
  <c r="M25" i="67" a="1"/>
  <c r="M25" i="67" s="1"/>
  <c r="L25" i="67" a="1"/>
  <c r="L25" i="67" s="1"/>
  <c r="M96" i="67" s="1"/>
  <c r="K25" i="67" a="1"/>
  <c r="K25" i="67" s="1"/>
  <c r="J25" i="67" a="1"/>
  <c r="J25" i="67" s="1"/>
  <c r="J96" i="67" s="1"/>
  <c r="I25" i="67" a="1"/>
  <c r="I25" i="67" s="1"/>
  <c r="I96" i="67" s="1"/>
  <c r="H25" i="67" a="1"/>
  <c r="H25" i="67" s="1"/>
  <c r="H96" i="67" s="1"/>
  <c r="G25" i="67" a="1"/>
  <c r="G25" i="67" s="1"/>
  <c r="G96" i="67" s="1"/>
  <c r="F25" i="67" a="1"/>
  <c r="F25" i="67" s="1"/>
  <c r="E25" i="67" a="1"/>
  <c r="E25" i="67" s="1"/>
  <c r="D25" i="67" a="1"/>
  <c r="D25" i="67" s="1"/>
  <c r="M24" i="67" a="1"/>
  <c r="M24" i="67" s="1"/>
  <c r="L24" i="67" a="1"/>
  <c r="L24" i="67" s="1"/>
  <c r="M95" i="67" s="1"/>
  <c r="K24" i="67" a="1"/>
  <c r="K24" i="67" s="1"/>
  <c r="J24" i="67" a="1"/>
  <c r="J24" i="67" s="1"/>
  <c r="J95" i="67" s="1"/>
  <c r="I24" i="67" a="1"/>
  <c r="I24" i="67" s="1"/>
  <c r="I95" i="67" s="1"/>
  <c r="H24" i="67" a="1"/>
  <c r="H24" i="67" s="1"/>
  <c r="H95" i="67" s="1"/>
  <c r="G24" i="67" a="1"/>
  <c r="G24" i="67" s="1"/>
  <c r="G95" i="67" s="1"/>
  <c r="F24" i="67" a="1"/>
  <c r="F24" i="67" s="1"/>
  <c r="E24" i="67" a="1"/>
  <c r="E24" i="67" s="1"/>
  <c r="D24" i="67" a="1"/>
  <c r="D24" i="67" s="1"/>
  <c r="M23" i="67" a="1"/>
  <c r="M23" i="67" s="1"/>
  <c r="L23" i="67" a="1"/>
  <c r="L23" i="67" s="1"/>
  <c r="M94" i="67" s="1"/>
  <c r="K23" i="67" a="1"/>
  <c r="K23" i="67" s="1"/>
  <c r="J23" i="67" a="1"/>
  <c r="J23" i="67" s="1"/>
  <c r="J94" i="67" s="1"/>
  <c r="I23" i="67" a="1"/>
  <c r="I23" i="67" s="1"/>
  <c r="I94" i="67" s="1"/>
  <c r="H23" i="67" a="1"/>
  <c r="H23" i="67" s="1"/>
  <c r="H94" i="67" s="1"/>
  <c r="G23" i="67" a="1"/>
  <c r="G23" i="67" s="1"/>
  <c r="G94" i="67" s="1"/>
  <c r="F23" i="67" a="1"/>
  <c r="F23" i="67" s="1"/>
  <c r="F90" i="67" s="1"/>
  <c r="E23" i="67" a="1"/>
  <c r="E23" i="67" s="1"/>
  <c r="D23" i="67" a="1"/>
  <c r="D23" i="67" s="1"/>
  <c r="M22" i="67" a="1"/>
  <c r="M22" i="67" s="1"/>
  <c r="L22" i="67" a="1"/>
  <c r="L22" i="67" s="1"/>
  <c r="K22" i="67" a="1"/>
  <c r="K22" i="67" s="1"/>
  <c r="J22" i="67" a="1"/>
  <c r="J22" i="67" s="1"/>
  <c r="I22" i="67" a="1"/>
  <c r="I22" i="67" s="1"/>
  <c r="H22" i="67" a="1"/>
  <c r="H22" i="67" s="1"/>
  <c r="G22" i="67" a="1"/>
  <c r="G22" i="67" s="1"/>
  <c r="F22" i="67" a="1"/>
  <c r="F22" i="67" s="1"/>
  <c r="E22" i="67" a="1"/>
  <c r="E22" i="67" s="1"/>
  <c r="D22" i="67" a="1"/>
  <c r="D22" i="67" s="1"/>
  <c r="M21" i="67" a="1"/>
  <c r="M21" i="67" s="1"/>
  <c r="L21" i="67" a="1"/>
  <c r="L21" i="67" s="1"/>
  <c r="K21" i="67" a="1"/>
  <c r="K21" i="67" s="1"/>
  <c r="J21" i="67" a="1"/>
  <c r="J21" i="67" s="1"/>
  <c r="I21" i="67" a="1"/>
  <c r="I21" i="67" s="1"/>
  <c r="I88" i="67" s="1"/>
  <c r="H21" i="67" a="1"/>
  <c r="H21" i="67" s="1"/>
  <c r="G21" i="67" a="1"/>
  <c r="G21" i="67" s="1"/>
  <c r="F21" i="67" a="1"/>
  <c r="F21" i="67" s="1"/>
  <c r="E21" i="67" a="1"/>
  <c r="E21" i="67" s="1"/>
  <c r="D21" i="67" a="1"/>
  <c r="D21" i="67" s="1"/>
  <c r="M20" i="67" a="1"/>
  <c r="M20" i="67" s="1"/>
  <c r="L20" i="67" a="1"/>
  <c r="L20" i="67" s="1"/>
  <c r="K20" i="67" a="1"/>
  <c r="K20" i="67" s="1"/>
  <c r="J20" i="67" a="1"/>
  <c r="J20" i="67" s="1"/>
  <c r="I20" i="67" a="1"/>
  <c r="I20" i="67" s="1"/>
  <c r="H20" i="67" a="1"/>
  <c r="H20" i="67" s="1"/>
  <c r="G20" i="67" a="1"/>
  <c r="G20" i="67" s="1"/>
  <c r="F20" i="67" a="1"/>
  <c r="F20" i="67" s="1"/>
  <c r="E20" i="67" a="1"/>
  <c r="E20" i="67" s="1"/>
  <c r="D20" i="67" a="1"/>
  <c r="D20" i="67" s="1"/>
  <c r="M19" i="67" a="1"/>
  <c r="M19" i="67" s="1"/>
  <c r="L19" i="67" a="1"/>
  <c r="L19" i="67" s="1"/>
  <c r="K19" i="67" a="1"/>
  <c r="K19" i="67" s="1"/>
  <c r="L90" i="67" s="1"/>
  <c r="J19" i="67" a="1"/>
  <c r="J19" i="67" s="1"/>
  <c r="I19" i="67" a="1"/>
  <c r="I19" i="67" s="1"/>
  <c r="H19" i="67" a="1"/>
  <c r="H19" i="67" s="1"/>
  <c r="G19" i="67" a="1"/>
  <c r="G19" i="67" s="1"/>
  <c r="F19" i="67" a="1"/>
  <c r="F19" i="67" s="1"/>
  <c r="F86" i="67" s="1"/>
  <c r="E19" i="67" a="1"/>
  <c r="E19" i="67" s="1"/>
  <c r="D19" i="67" a="1"/>
  <c r="D19" i="67" s="1"/>
  <c r="D17" i="67" a="1"/>
  <c r="D17" i="67" s="1"/>
  <c r="D16" i="67" a="1"/>
  <c r="D16" i="67" s="1"/>
  <c r="D15" i="67" a="1"/>
  <c r="D15" i="67" s="1"/>
  <c r="D14" i="67" a="1"/>
  <c r="D14" i="67" s="1"/>
  <c r="H25" i="66" a="1"/>
  <c r="H25" i="66" s="1"/>
  <c r="G25" i="66" a="1"/>
  <c r="G25" i="66" s="1"/>
  <c r="I552" i="19" s="1" a="1"/>
  <c r="I552" i="19" s="1"/>
  <c r="F25" i="66" a="1"/>
  <c r="F25" i="66" s="1"/>
  <c r="E25" i="66" a="1"/>
  <c r="E25" i="66" s="1"/>
  <c r="D25" i="66" a="1"/>
  <c r="D25" i="66" s="1"/>
  <c r="D22" i="66" a="1"/>
  <c r="D22" i="66" s="1"/>
  <c r="D21" i="66" a="1"/>
  <c r="D21" i="66" s="1"/>
  <c r="F19" i="66" a="1"/>
  <c r="F19" i="66" s="1"/>
  <c r="E19" i="66" a="1"/>
  <c r="E19" i="66" s="1"/>
  <c r="D19" i="66" a="1"/>
  <c r="D19" i="66" s="1"/>
  <c r="F18" i="66" a="1"/>
  <c r="F18" i="66" s="1"/>
  <c r="E18" i="66" a="1"/>
  <c r="E18" i="66" s="1"/>
  <c r="D18" i="66" a="1"/>
  <c r="D18" i="66" s="1"/>
  <c r="F17" i="66" a="1"/>
  <c r="F17" i="66" s="1"/>
  <c r="E17" i="66" a="1"/>
  <c r="E17" i="66" s="1"/>
  <c r="D17" i="66" a="1"/>
  <c r="D17" i="66" s="1"/>
  <c r="F16" i="66" a="1"/>
  <c r="F16" i="66" s="1"/>
  <c r="E16" i="66" a="1"/>
  <c r="E16" i="66" s="1"/>
  <c r="D16" i="66" a="1"/>
  <c r="D16" i="66" s="1"/>
  <c r="F15" i="66" a="1"/>
  <c r="F15" i="66" s="1"/>
  <c r="E15" i="66" a="1"/>
  <c r="E15" i="66" s="1"/>
  <c r="D15" i="66" a="1"/>
  <c r="D15" i="66" s="1"/>
  <c r="F14" i="66" a="1"/>
  <c r="F14" i="66" s="1"/>
  <c r="E14" i="66" a="1"/>
  <c r="E14" i="66" s="1"/>
  <c r="D14" i="66" a="1"/>
  <c r="D14" i="66" s="1"/>
  <c r="F13" i="66" a="1"/>
  <c r="F13" i="66" s="1"/>
  <c r="E13" i="66" a="1"/>
  <c r="E13" i="66" s="1"/>
  <c r="D13" i="66" a="1"/>
  <c r="D13" i="66" s="1"/>
  <c r="F12" i="66" a="1"/>
  <c r="F12" i="66" s="1"/>
  <c r="E12" i="66" a="1"/>
  <c r="E12" i="66" s="1"/>
  <c r="D12" i="66" a="1"/>
  <c r="D12" i="66" s="1"/>
  <c r="F11" i="66" a="1"/>
  <c r="F11" i="66" s="1"/>
  <c r="E11" i="66" a="1"/>
  <c r="E11" i="66" s="1"/>
  <c r="D11" i="66" a="1"/>
  <c r="D11" i="66" s="1"/>
  <c r="F10" i="66" a="1"/>
  <c r="F10" i="66" s="1"/>
  <c r="E10" i="66" a="1"/>
  <c r="E10" i="66" s="1"/>
  <c r="D10" i="66" a="1"/>
  <c r="D10" i="66" s="1"/>
  <c r="D7" i="66" a="1"/>
  <c r="D7" i="66" s="1"/>
  <c r="D6" i="66" a="1"/>
  <c r="D6" i="66" s="1"/>
  <c r="D5" i="66" a="1"/>
  <c r="D5" i="66" s="1"/>
  <c r="AE153" i="65" a="1"/>
  <c r="AE153" i="65" s="1"/>
  <c r="AD153" i="65" a="1"/>
  <c r="AD153" i="65" s="1"/>
  <c r="AC153" i="65" a="1"/>
  <c r="AC153" i="65" s="1"/>
  <c r="AB153" i="65" a="1"/>
  <c r="AB153" i="65" s="1"/>
  <c r="AA153" i="65" a="1"/>
  <c r="AA153" i="65" s="1"/>
  <c r="Z153" i="65" a="1"/>
  <c r="Z153" i="65" s="1"/>
  <c r="Y153" i="65" a="1"/>
  <c r="Y153" i="65" s="1"/>
  <c r="X153" i="65" a="1"/>
  <c r="X153" i="65" s="1"/>
  <c r="W153" i="65" a="1"/>
  <c r="W153" i="65" s="1"/>
  <c r="V153" i="65" a="1"/>
  <c r="V153" i="65" s="1"/>
  <c r="U153" i="65" a="1"/>
  <c r="U153" i="65" s="1"/>
  <c r="T153" i="65" a="1"/>
  <c r="T153" i="65" s="1"/>
  <c r="S153" i="65" a="1"/>
  <c r="S153" i="65" s="1"/>
  <c r="R153" i="65" a="1"/>
  <c r="R153" i="65" s="1"/>
  <c r="Q153" i="65" a="1"/>
  <c r="Q153" i="65" s="1"/>
  <c r="P153" i="65" a="1"/>
  <c r="P153" i="65" s="1"/>
  <c r="O153" i="65" a="1"/>
  <c r="O153" i="65" s="1"/>
  <c r="N153" i="65" a="1"/>
  <c r="N153" i="65" s="1"/>
  <c r="M153" i="65" a="1"/>
  <c r="M153" i="65" s="1"/>
  <c r="L153" i="65" a="1"/>
  <c r="L153" i="65" s="1"/>
  <c r="K153" i="65" a="1"/>
  <c r="K153" i="65" s="1"/>
  <c r="J153" i="65" a="1"/>
  <c r="J153" i="65" s="1"/>
  <c r="I153" i="65" a="1"/>
  <c r="I153" i="65" s="1"/>
  <c r="H153" i="65" a="1"/>
  <c r="H153" i="65" s="1"/>
  <c r="G153" i="65" a="1"/>
  <c r="G153" i="65" s="1"/>
  <c r="F153" i="65" a="1"/>
  <c r="F153" i="65" s="1"/>
  <c r="E153" i="65" a="1"/>
  <c r="E153" i="65" s="1"/>
  <c r="D153" i="65" a="1"/>
  <c r="D153" i="65" s="1"/>
  <c r="AE152" i="65" a="1"/>
  <c r="AE152" i="65" s="1"/>
  <c r="AD152" i="65" a="1"/>
  <c r="AD152" i="65" s="1"/>
  <c r="AC152" i="65" a="1"/>
  <c r="AC152" i="65" s="1"/>
  <c r="AB152" i="65" a="1"/>
  <c r="AB152" i="65" s="1"/>
  <c r="AA152" i="65" a="1"/>
  <c r="AA152" i="65" s="1"/>
  <c r="Z152" i="65" a="1"/>
  <c r="Z152" i="65" s="1"/>
  <c r="Y152" i="65" a="1"/>
  <c r="Y152" i="65" s="1"/>
  <c r="X152" i="65" a="1"/>
  <c r="X152" i="65" s="1"/>
  <c r="W152" i="65" a="1"/>
  <c r="W152" i="65" s="1"/>
  <c r="V152" i="65" a="1"/>
  <c r="V152" i="65" s="1"/>
  <c r="U152" i="65" a="1"/>
  <c r="U152" i="65" s="1"/>
  <c r="T152" i="65" a="1"/>
  <c r="T152" i="65" s="1"/>
  <c r="S152" i="65" a="1"/>
  <c r="S152" i="65" s="1"/>
  <c r="R152" i="65" a="1"/>
  <c r="R152" i="65" s="1"/>
  <c r="Q152" i="65" a="1"/>
  <c r="Q152" i="65" s="1"/>
  <c r="P152" i="65" a="1"/>
  <c r="P152" i="65" s="1"/>
  <c r="O152" i="65" a="1"/>
  <c r="O152" i="65" s="1"/>
  <c r="N152" i="65" a="1"/>
  <c r="N152" i="65" s="1"/>
  <c r="M152" i="65" a="1"/>
  <c r="M152" i="65" s="1"/>
  <c r="L152" i="65" a="1"/>
  <c r="L152" i="65" s="1"/>
  <c r="K152" i="65" a="1"/>
  <c r="K152" i="65" s="1"/>
  <c r="J152" i="65" a="1"/>
  <c r="J152" i="65" s="1"/>
  <c r="I152" i="65" a="1"/>
  <c r="I152" i="65" s="1"/>
  <c r="H152" i="65" a="1"/>
  <c r="H152" i="65" s="1"/>
  <c r="G152" i="65" a="1"/>
  <c r="G152" i="65" s="1"/>
  <c r="F152" i="65" a="1"/>
  <c r="F152" i="65" s="1"/>
  <c r="E152" i="65" a="1"/>
  <c r="E152" i="65" s="1"/>
  <c r="D152" i="65" a="1"/>
  <c r="D152" i="65" s="1"/>
  <c r="AE151" i="65" a="1"/>
  <c r="AE151" i="65" s="1"/>
  <c r="AD151" i="65" a="1"/>
  <c r="AD151" i="65" s="1"/>
  <c r="AC151" i="65" a="1"/>
  <c r="AC151" i="65" s="1"/>
  <c r="AB151" i="65" a="1"/>
  <c r="AB151" i="65" s="1"/>
  <c r="AA151" i="65" a="1"/>
  <c r="AA151" i="65" s="1"/>
  <c r="Z151" i="65" a="1"/>
  <c r="Z151" i="65" s="1"/>
  <c r="Y151" i="65" a="1"/>
  <c r="Y151" i="65" s="1"/>
  <c r="X151" i="65" a="1"/>
  <c r="X151" i="65" s="1"/>
  <c r="W151" i="65" a="1"/>
  <c r="W151" i="65" s="1"/>
  <c r="V151" i="65" a="1"/>
  <c r="V151" i="65" s="1"/>
  <c r="U151" i="65" a="1"/>
  <c r="U151" i="65" s="1"/>
  <c r="T151" i="65" a="1"/>
  <c r="T151" i="65" s="1"/>
  <c r="S151" i="65" a="1"/>
  <c r="S151" i="65" s="1"/>
  <c r="R151" i="65" a="1"/>
  <c r="R151" i="65" s="1"/>
  <c r="Q151" i="65" a="1"/>
  <c r="Q151" i="65" s="1"/>
  <c r="P151" i="65" a="1"/>
  <c r="P151" i="65" s="1"/>
  <c r="O151" i="65" a="1"/>
  <c r="O151" i="65" s="1"/>
  <c r="N151" i="65" a="1"/>
  <c r="N151" i="65" s="1"/>
  <c r="M151" i="65" a="1"/>
  <c r="M151" i="65" s="1"/>
  <c r="L151" i="65" a="1"/>
  <c r="L151" i="65" s="1"/>
  <c r="K151" i="65" a="1"/>
  <c r="K151" i="65" s="1"/>
  <c r="J151" i="65" a="1"/>
  <c r="J151" i="65" s="1"/>
  <c r="I151" i="65" a="1"/>
  <c r="I151" i="65" s="1"/>
  <c r="H151" i="65" a="1"/>
  <c r="H151" i="65" s="1"/>
  <c r="G151" i="65" a="1"/>
  <c r="G151" i="65" s="1"/>
  <c r="F151" i="65" a="1"/>
  <c r="F151" i="65" s="1"/>
  <c r="E151" i="65" a="1"/>
  <c r="E151" i="65" s="1"/>
  <c r="D151" i="65" a="1"/>
  <c r="D151" i="65" s="1"/>
  <c r="AE150" i="65" a="1"/>
  <c r="AE150" i="65" s="1"/>
  <c r="AD150" i="65" a="1"/>
  <c r="AD150" i="65" s="1"/>
  <c r="AC150" i="65" a="1"/>
  <c r="AC150" i="65" s="1"/>
  <c r="AB150" i="65" a="1"/>
  <c r="AB150" i="65" s="1"/>
  <c r="AA150" i="65" a="1"/>
  <c r="AA150" i="65" s="1"/>
  <c r="Z150" i="65" a="1"/>
  <c r="Z150" i="65" s="1"/>
  <c r="Y150" i="65" a="1"/>
  <c r="Y150" i="65" s="1"/>
  <c r="X150" i="65" a="1"/>
  <c r="X150" i="65" s="1"/>
  <c r="W150" i="65" a="1"/>
  <c r="W150" i="65" s="1"/>
  <c r="V150" i="65" a="1"/>
  <c r="V150" i="65" s="1"/>
  <c r="U150" i="65" a="1"/>
  <c r="U150" i="65" s="1"/>
  <c r="T150" i="65" a="1"/>
  <c r="T150" i="65" s="1"/>
  <c r="S150" i="65" a="1"/>
  <c r="S150" i="65" s="1"/>
  <c r="R150" i="65" a="1"/>
  <c r="R150" i="65" s="1"/>
  <c r="Q150" i="65" a="1"/>
  <c r="Q150" i="65" s="1"/>
  <c r="P150" i="65" a="1"/>
  <c r="P150" i="65" s="1"/>
  <c r="O150" i="65" a="1"/>
  <c r="O150" i="65" s="1"/>
  <c r="N150" i="65" a="1"/>
  <c r="N150" i="65" s="1"/>
  <c r="M150" i="65" a="1"/>
  <c r="M150" i="65" s="1"/>
  <c r="L150" i="65" a="1"/>
  <c r="L150" i="65" s="1"/>
  <c r="K150" i="65" a="1"/>
  <c r="K150" i="65" s="1"/>
  <c r="J150" i="65" a="1"/>
  <c r="J150" i="65" s="1"/>
  <c r="I150" i="65" a="1"/>
  <c r="I150" i="65" s="1"/>
  <c r="H150" i="65" a="1"/>
  <c r="H150" i="65" s="1"/>
  <c r="G150" i="65" a="1"/>
  <c r="G150" i="65" s="1"/>
  <c r="F150" i="65" a="1"/>
  <c r="F150" i="65" s="1"/>
  <c r="E150" i="65" a="1"/>
  <c r="E150" i="65" s="1"/>
  <c r="D150" i="65" a="1"/>
  <c r="D150" i="65" s="1"/>
  <c r="AE149" i="65" a="1"/>
  <c r="AE149" i="65" s="1"/>
  <c r="AD149" i="65" a="1"/>
  <c r="AD149" i="65" s="1"/>
  <c r="AC149" i="65" a="1"/>
  <c r="AC149" i="65" s="1"/>
  <c r="AB149" i="65" a="1"/>
  <c r="AB149" i="65" s="1"/>
  <c r="AA149" i="65" a="1"/>
  <c r="AA149" i="65" s="1"/>
  <c r="Z149" i="65" a="1"/>
  <c r="Z149" i="65" s="1"/>
  <c r="Y149" i="65" a="1"/>
  <c r="Y149" i="65" s="1"/>
  <c r="X149" i="65" a="1"/>
  <c r="X149" i="65" s="1"/>
  <c r="W149" i="65" a="1"/>
  <c r="W149" i="65" s="1"/>
  <c r="V149" i="65" a="1"/>
  <c r="V149" i="65" s="1"/>
  <c r="U149" i="65" a="1"/>
  <c r="U149" i="65" s="1"/>
  <c r="T149" i="65" a="1"/>
  <c r="T149" i="65" s="1"/>
  <c r="S149" i="65" a="1"/>
  <c r="S149" i="65" s="1"/>
  <c r="R149" i="65" a="1"/>
  <c r="R149" i="65" s="1"/>
  <c r="Q149" i="65" a="1"/>
  <c r="Q149" i="65" s="1"/>
  <c r="P149" i="65" a="1"/>
  <c r="P149" i="65" s="1"/>
  <c r="O149" i="65" a="1"/>
  <c r="O149" i="65" s="1"/>
  <c r="N149" i="65" a="1"/>
  <c r="N149" i="65" s="1"/>
  <c r="M149" i="65" a="1"/>
  <c r="M149" i="65" s="1"/>
  <c r="L149" i="65" a="1"/>
  <c r="L149" i="65" s="1"/>
  <c r="K149" i="65" a="1"/>
  <c r="K149" i="65" s="1"/>
  <c r="J149" i="65" a="1"/>
  <c r="J149" i="65" s="1"/>
  <c r="I149" i="65" a="1"/>
  <c r="I149" i="65" s="1"/>
  <c r="H149" i="65" a="1"/>
  <c r="H149" i="65" s="1"/>
  <c r="G149" i="65" a="1"/>
  <c r="G149" i="65" s="1"/>
  <c r="F149" i="65" a="1"/>
  <c r="F149" i="65" s="1"/>
  <c r="E149" i="65" a="1"/>
  <c r="E149" i="65" s="1"/>
  <c r="D149" i="65" a="1"/>
  <c r="D149" i="65" s="1"/>
  <c r="AE148" i="65" a="1"/>
  <c r="AE148" i="65" s="1"/>
  <c r="AD148" i="65" a="1"/>
  <c r="AD148" i="65" s="1"/>
  <c r="AC148" i="65" a="1"/>
  <c r="AC148" i="65" s="1"/>
  <c r="AB148" i="65" a="1"/>
  <c r="AB148" i="65" s="1"/>
  <c r="AA148" i="65" a="1"/>
  <c r="AA148" i="65" s="1"/>
  <c r="Z148" i="65" a="1"/>
  <c r="Z148" i="65" s="1"/>
  <c r="Y148" i="65" a="1"/>
  <c r="Y148" i="65" s="1"/>
  <c r="X148" i="65" a="1"/>
  <c r="X148" i="65" s="1"/>
  <c r="W148" i="65" a="1"/>
  <c r="W148" i="65" s="1"/>
  <c r="V148" i="65" a="1"/>
  <c r="V148" i="65" s="1"/>
  <c r="U148" i="65" a="1"/>
  <c r="U148" i="65" s="1"/>
  <c r="T148" i="65" a="1"/>
  <c r="T148" i="65" s="1"/>
  <c r="S148" i="65" a="1"/>
  <c r="S148" i="65" s="1"/>
  <c r="R148" i="65" a="1"/>
  <c r="R148" i="65" s="1"/>
  <c r="Q148" i="65" a="1"/>
  <c r="Q148" i="65" s="1"/>
  <c r="P148" i="65" a="1"/>
  <c r="P148" i="65" s="1"/>
  <c r="O148" i="65" a="1"/>
  <c r="O148" i="65" s="1"/>
  <c r="N148" i="65" a="1"/>
  <c r="N148" i="65" s="1"/>
  <c r="M148" i="65" a="1"/>
  <c r="M148" i="65" s="1"/>
  <c r="L148" i="65" a="1"/>
  <c r="L148" i="65" s="1"/>
  <c r="K148" i="65" a="1"/>
  <c r="K148" i="65" s="1"/>
  <c r="J148" i="65" a="1"/>
  <c r="J148" i="65" s="1"/>
  <c r="I148" i="65" a="1"/>
  <c r="I148" i="65" s="1"/>
  <c r="H148" i="65" a="1"/>
  <c r="H148" i="65" s="1"/>
  <c r="G148" i="65" a="1"/>
  <c r="G148" i="65" s="1"/>
  <c r="F148" i="65" a="1"/>
  <c r="F148" i="65" s="1"/>
  <c r="E148" i="65" a="1"/>
  <c r="E148" i="65" s="1"/>
  <c r="D148" i="65" a="1"/>
  <c r="D148" i="65" s="1"/>
  <c r="AE147" i="65" a="1"/>
  <c r="AE147" i="65" s="1"/>
  <c r="AD147" i="65" a="1"/>
  <c r="AD147" i="65" s="1"/>
  <c r="AC147" i="65" a="1"/>
  <c r="AC147" i="65" s="1"/>
  <c r="AB147" i="65" a="1"/>
  <c r="AB147" i="65" s="1"/>
  <c r="AA147" i="65" a="1"/>
  <c r="AA147" i="65" s="1"/>
  <c r="Z147" i="65" a="1"/>
  <c r="Z147" i="65" s="1"/>
  <c r="Y147" i="65" a="1"/>
  <c r="Y147" i="65" s="1"/>
  <c r="X147" i="65" a="1"/>
  <c r="X147" i="65" s="1"/>
  <c r="W147" i="65" a="1"/>
  <c r="W147" i="65" s="1"/>
  <c r="V147" i="65" a="1"/>
  <c r="V147" i="65" s="1"/>
  <c r="U147" i="65" a="1"/>
  <c r="U147" i="65" s="1"/>
  <c r="T147" i="65" a="1"/>
  <c r="T147" i="65" s="1"/>
  <c r="S147" i="65" a="1"/>
  <c r="S147" i="65" s="1"/>
  <c r="R147" i="65" a="1"/>
  <c r="R147" i="65" s="1"/>
  <c r="Q147" i="65" a="1"/>
  <c r="Q147" i="65" s="1"/>
  <c r="P147" i="65" a="1"/>
  <c r="P147" i="65" s="1"/>
  <c r="O147" i="65" a="1"/>
  <c r="O147" i="65" s="1"/>
  <c r="N147" i="65" a="1"/>
  <c r="N147" i="65" s="1"/>
  <c r="M147" i="65" a="1"/>
  <c r="M147" i="65" s="1"/>
  <c r="L147" i="65" a="1"/>
  <c r="L147" i="65" s="1"/>
  <c r="K147" i="65" a="1"/>
  <c r="K147" i="65" s="1"/>
  <c r="J147" i="65" a="1"/>
  <c r="J147" i="65" s="1"/>
  <c r="I147" i="65" a="1"/>
  <c r="I147" i="65" s="1"/>
  <c r="H147" i="65" a="1"/>
  <c r="H147" i="65" s="1"/>
  <c r="G147" i="65" a="1"/>
  <c r="G147" i="65" s="1"/>
  <c r="F147" i="65" a="1"/>
  <c r="F147" i="65" s="1"/>
  <c r="E147" i="65" a="1"/>
  <c r="E147" i="65" s="1"/>
  <c r="D147" i="65" a="1"/>
  <c r="D147" i="65" s="1"/>
  <c r="AE146" i="65" a="1"/>
  <c r="AE146" i="65" s="1"/>
  <c r="AD146" i="65" a="1"/>
  <c r="AD146" i="65" s="1"/>
  <c r="AC146" i="65" a="1"/>
  <c r="AC146" i="65" s="1"/>
  <c r="AB146" i="65" a="1"/>
  <c r="AB146" i="65" s="1"/>
  <c r="AA146" i="65" a="1"/>
  <c r="AA146" i="65" s="1"/>
  <c r="Z146" i="65" a="1"/>
  <c r="Z146" i="65" s="1"/>
  <c r="Y146" i="65" a="1"/>
  <c r="Y146" i="65" s="1"/>
  <c r="X146" i="65" a="1"/>
  <c r="X146" i="65" s="1"/>
  <c r="W146" i="65" a="1"/>
  <c r="W146" i="65" s="1"/>
  <c r="V146" i="65" a="1"/>
  <c r="V146" i="65" s="1"/>
  <c r="U146" i="65" a="1"/>
  <c r="U146" i="65" s="1"/>
  <c r="T146" i="65" a="1"/>
  <c r="T146" i="65" s="1"/>
  <c r="S146" i="65" a="1"/>
  <c r="S146" i="65" s="1"/>
  <c r="R146" i="65" a="1"/>
  <c r="R146" i="65" s="1"/>
  <c r="Q146" i="65" a="1"/>
  <c r="Q146" i="65" s="1"/>
  <c r="P146" i="65" a="1"/>
  <c r="P146" i="65" s="1"/>
  <c r="O146" i="65" a="1"/>
  <c r="O146" i="65" s="1"/>
  <c r="N146" i="65" a="1"/>
  <c r="N146" i="65" s="1"/>
  <c r="M146" i="65" a="1"/>
  <c r="M146" i="65" s="1"/>
  <c r="L146" i="65" a="1"/>
  <c r="L146" i="65" s="1"/>
  <c r="K146" i="65" a="1"/>
  <c r="K146" i="65" s="1"/>
  <c r="J146" i="65" a="1"/>
  <c r="J146" i="65" s="1"/>
  <c r="I146" i="65" a="1"/>
  <c r="I146" i="65" s="1"/>
  <c r="H146" i="65" a="1"/>
  <c r="H146" i="65" s="1"/>
  <c r="G146" i="65" a="1"/>
  <c r="G146" i="65" s="1"/>
  <c r="F146" i="65" a="1"/>
  <c r="F146" i="65" s="1"/>
  <c r="E146" i="65" a="1"/>
  <c r="E146" i="65" s="1"/>
  <c r="D146" i="65" a="1"/>
  <c r="D146" i="65" s="1"/>
  <c r="AE145" i="65" a="1"/>
  <c r="AE145" i="65" s="1"/>
  <c r="AD145" i="65" a="1"/>
  <c r="AD145" i="65" s="1"/>
  <c r="AC145" i="65" a="1"/>
  <c r="AC145" i="65" s="1"/>
  <c r="AB145" i="65" a="1"/>
  <c r="AB145" i="65" s="1"/>
  <c r="AA145" i="65" a="1"/>
  <c r="AA145" i="65" s="1"/>
  <c r="Z145" i="65" a="1"/>
  <c r="Z145" i="65" s="1"/>
  <c r="Y145" i="65" a="1"/>
  <c r="Y145" i="65" s="1"/>
  <c r="X145" i="65" a="1"/>
  <c r="X145" i="65" s="1"/>
  <c r="W145" i="65" a="1"/>
  <c r="W145" i="65" s="1"/>
  <c r="V145" i="65" a="1"/>
  <c r="V145" i="65" s="1"/>
  <c r="U145" i="65" a="1"/>
  <c r="U145" i="65" s="1"/>
  <c r="T145" i="65" a="1"/>
  <c r="T145" i="65" s="1"/>
  <c r="S145" i="65" a="1"/>
  <c r="S145" i="65" s="1"/>
  <c r="R145" i="65" a="1"/>
  <c r="R145" i="65" s="1"/>
  <c r="Q145" i="65" a="1"/>
  <c r="Q145" i="65" s="1"/>
  <c r="P145" i="65" a="1"/>
  <c r="P145" i="65" s="1"/>
  <c r="O145" i="65" a="1"/>
  <c r="O145" i="65" s="1"/>
  <c r="N145" i="65" a="1"/>
  <c r="N145" i="65" s="1"/>
  <c r="M145" i="65" a="1"/>
  <c r="M145" i="65" s="1"/>
  <c r="L145" i="65" a="1"/>
  <c r="L145" i="65" s="1"/>
  <c r="K145" i="65" a="1"/>
  <c r="K145" i="65" s="1"/>
  <c r="J145" i="65" a="1"/>
  <c r="J145" i="65" s="1"/>
  <c r="I145" i="65" a="1"/>
  <c r="I145" i="65" s="1"/>
  <c r="H145" i="65" a="1"/>
  <c r="H145" i="65" s="1"/>
  <c r="G145" i="65" a="1"/>
  <c r="G145" i="65" s="1"/>
  <c r="F145" i="65" a="1"/>
  <c r="F145" i="65" s="1"/>
  <c r="E145" i="65" a="1"/>
  <c r="E145" i="65" s="1"/>
  <c r="D145" i="65" a="1"/>
  <c r="D145" i="65" s="1"/>
  <c r="AE144" i="65" a="1"/>
  <c r="AE144" i="65" s="1"/>
  <c r="AD144" i="65" a="1"/>
  <c r="AD144" i="65" s="1"/>
  <c r="AC144" i="65" a="1"/>
  <c r="AC144" i="65" s="1"/>
  <c r="AB144" i="65" a="1"/>
  <c r="AB144" i="65" s="1"/>
  <c r="AA144" i="65" a="1"/>
  <c r="AA144" i="65" s="1"/>
  <c r="Z144" i="65" a="1"/>
  <c r="Z144" i="65" s="1"/>
  <c r="Y144" i="65" a="1"/>
  <c r="Y144" i="65" s="1"/>
  <c r="X144" i="65" a="1"/>
  <c r="X144" i="65" s="1"/>
  <c r="W144" i="65" a="1"/>
  <c r="W144" i="65" s="1"/>
  <c r="V144" i="65" a="1"/>
  <c r="V144" i="65" s="1"/>
  <c r="U144" i="65" a="1"/>
  <c r="U144" i="65" s="1"/>
  <c r="T144" i="65" a="1"/>
  <c r="T144" i="65" s="1"/>
  <c r="S144" i="65" a="1"/>
  <c r="S144" i="65" s="1"/>
  <c r="R144" i="65" a="1"/>
  <c r="R144" i="65" s="1"/>
  <c r="Q144" i="65" a="1"/>
  <c r="Q144" i="65" s="1"/>
  <c r="P144" i="65" a="1"/>
  <c r="P144" i="65" s="1"/>
  <c r="O144" i="65" a="1"/>
  <c r="O144" i="65" s="1"/>
  <c r="N144" i="65" a="1"/>
  <c r="N144" i="65" s="1"/>
  <c r="M144" i="65" a="1"/>
  <c r="M144" i="65" s="1"/>
  <c r="L144" i="65" a="1"/>
  <c r="L144" i="65" s="1"/>
  <c r="K144" i="65" a="1"/>
  <c r="K144" i="65" s="1"/>
  <c r="J144" i="65" a="1"/>
  <c r="J144" i="65" s="1"/>
  <c r="I144" i="65" a="1"/>
  <c r="I144" i="65" s="1"/>
  <c r="H144" i="65" a="1"/>
  <c r="H144" i="65" s="1"/>
  <c r="G144" i="65" a="1"/>
  <c r="G144" i="65" s="1"/>
  <c r="F144" i="65" a="1"/>
  <c r="F144" i="65" s="1"/>
  <c r="E144" i="65" a="1"/>
  <c r="E144" i="65" s="1"/>
  <c r="D144" i="65" a="1"/>
  <c r="D144" i="65" s="1"/>
  <c r="AE143" i="65" a="1"/>
  <c r="AE143" i="65" s="1"/>
  <c r="AD143" i="65" a="1"/>
  <c r="AD143" i="65" s="1"/>
  <c r="AC143" i="65" a="1"/>
  <c r="AC143" i="65" s="1"/>
  <c r="AB143" i="65" a="1"/>
  <c r="AB143" i="65" s="1"/>
  <c r="AA143" i="65" a="1"/>
  <c r="AA143" i="65" s="1"/>
  <c r="Z143" i="65" a="1"/>
  <c r="Z143" i="65" s="1"/>
  <c r="Y143" i="65" a="1"/>
  <c r="Y143" i="65" s="1"/>
  <c r="X143" i="65" a="1"/>
  <c r="X143" i="65" s="1"/>
  <c r="W143" i="65" a="1"/>
  <c r="W143" i="65" s="1"/>
  <c r="V143" i="65" a="1"/>
  <c r="V143" i="65" s="1"/>
  <c r="U143" i="65" a="1"/>
  <c r="U143" i="65" s="1"/>
  <c r="T143" i="65" a="1"/>
  <c r="T143" i="65" s="1"/>
  <c r="S143" i="65" a="1"/>
  <c r="S143" i="65" s="1"/>
  <c r="R143" i="65" a="1"/>
  <c r="R143" i="65" s="1"/>
  <c r="Q143" i="65" a="1"/>
  <c r="Q143" i="65" s="1"/>
  <c r="P143" i="65" a="1"/>
  <c r="P143" i="65" s="1"/>
  <c r="O143" i="65" a="1"/>
  <c r="O143" i="65" s="1"/>
  <c r="N143" i="65" a="1"/>
  <c r="N143" i="65" s="1"/>
  <c r="M143" i="65" a="1"/>
  <c r="M143" i="65" s="1"/>
  <c r="L143" i="65" a="1"/>
  <c r="L143" i="65" s="1"/>
  <c r="K143" i="65" a="1"/>
  <c r="K143" i="65" s="1"/>
  <c r="J143" i="65" a="1"/>
  <c r="J143" i="65" s="1"/>
  <c r="I143" i="65" a="1"/>
  <c r="I143" i="65" s="1"/>
  <c r="H143" i="65" a="1"/>
  <c r="H143" i="65" s="1"/>
  <c r="G143" i="65" a="1"/>
  <c r="G143" i="65" s="1"/>
  <c r="F143" i="65" a="1"/>
  <c r="F143" i="65" s="1"/>
  <c r="E143" i="65" a="1"/>
  <c r="E143" i="65" s="1"/>
  <c r="D143" i="65" a="1"/>
  <c r="D143" i="65" s="1"/>
  <c r="AE142" i="65" a="1"/>
  <c r="AE142" i="65" s="1"/>
  <c r="AD142" i="65" a="1"/>
  <c r="AD142" i="65" s="1"/>
  <c r="AC142" i="65" a="1"/>
  <c r="AC142" i="65" s="1"/>
  <c r="AB142" i="65" a="1"/>
  <c r="AB142" i="65" s="1"/>
  <c r="AA142" i="65" a="1"/>
  <c r="AA142" i="65" s="1"/>
  <c r="Z142" i="65" a="1"/>
  <c r="Z142" i="65" s="1"/>
  <c r="Y142" i="65" a="1"/>
  <c r="Y142" i="65" s="1"/>
  <c r="X142" i="65" a="1"/>
  <c r="X142" i="65" s="1"/>
  <c r="W142" i="65" a="1"/>
  <c r="W142" i="65" s="1"/>
  <c r="V142" i="65" a="1"/>
  <c r="V142" i="65" s="1"/>
  <c r="U142" i="65" a="1"/>
  <c r="U142" i="65" s="1"/>
  <c r="T142" i="65" a="1"/>
  <c r="T142" i="65" s="1"/>
  <c r="S142" i="65" a="1"/>
  <c r="S142" i="65" s="1"/>
  <c r="R142" i="65" a="1"/>
  <c r="R142" i="65" s="1"/>
  <c r="Q142" i="65" a="1"/>
  <c r="Q142" i="65" s="1"/>
  <c r="P142" i="65" a="1"/>
  <c r="P142" i="65" s="1"/>
  <c r="O142" i="65" a="1"/>
  <c r="O142" i="65" s="1"/>
  <c r="N142" i="65" a="1"/>
  <c r="N142" i="65" s="1"/>
  <c r="M142" i="65" a="1"/>
  <c r="M142" i="65" s="1"/>
  <c r="L142" i="65" a="1"/>
  <c r="L142" i="65" s="1"/>
  <c r="K142" i="65" a="1"/>
  <c r="K142" i="65" s="1"/>
  <c r="J142" i="65" a="1"/>
  <c r="J142" i="65" s="1"/>
  <c r="I142" i="65" a="1"/>
  <c r="I142" i="65" s="1"/>
  <c r="H142" i="65" a="1"/>
  <c r="H142" i="65" s="1"/>
  <c r="G142" i="65" a="1"/>
  <c r="G142" i="65" s="1"/>
  <c r="F142" i="65" a="1"/>
  <c r="F142" i="65" s="1"/>
  <c r="E142" i="65" a="1"/>
  <c r="E142" i="65" s="1"/>
  <c r="D142" i="65" a="1"/>
  <c r="D142" i="65" s="1"/>
  <c r="AE141" i="65" a="1"/>
  <c r="AE141" i="65" s="1"/>
  <c r="AD141" i="65" a="1"/>
  <c r="AD141" i="65" s="1"/>
  <c r="AC141" i="65" a="1"/>
  <c r="AC141" i="65" s="1"/>
  <c r="AB141" i="65" a="1"/>
  <c r="AB141" i="65" s="1"/>
  <c r="AA141" i="65" a="1"/>
  <c r="AA141" i="65" s="1"/>
  <c r="Z141" i="65" a="1"/>
  <c r="Z141" i="65" s="1"/>
  <c r="Y141" i="65" a="1"/>
  <c r="Y141" i="65" s="1"/>
  <c r="X141" i="65" a="1"/>
  <c r="X141" i="65" s="1"/>
  <c r="W141" i="65" a="1"/>
  <c r="W141" i="65" s="1"/>
  <c r="V141" i="65" a="1"/>
  <c r="V141" i="65" s="1"/>
  <c r="U141" i="65" a="1"/>
  <c r="U141" i="65" s="1"/>
  <c r="T141" i="65" a="1"/>
  <c r="T141" i="65" s="1"/>
  <c r="S141" i="65" a="1"/>
  <c r="S141" i="65" s="1"/>
  <c r="R141" i="65" a="1"/>
  <c r="R141" i="65" s="1"/>
  <c r="Q141" i="65" a="1"/>
  <c r="Q141" i="65" s="1"/>
  <c r="P141" i="65" a="1"/>
  <c r="P141" i="65" s="1"/>
  <c r="O141" i="65" a="1"/>
  <c r="O141" i="65" s="1"/>
  <c r="N141" i="65" a="1"/>
  <c r="N141" i="65" s="1"/>
  <c r="M141" i="65" a="1"/>
  <c r="M141" i="65" s="1"/>
  <c r="L141" i="65" a="1"/>
  <c r="L141" i="65" s="1"/>
  <c r="K141" i="65" a="1"/>
  <c r="K141" i="65" s="1"/>
  <c r="J141" i="65" a="1"/>
  <c r="J141" i="65" s="1"/>
  <c r="I141" i="65" a="1"/>
  <c r="I141" i="65" s="1"/>
  <c r="H141" i="65" a="1"/>
  <c r="H141" i="65" s="1"/>
  <c r="G141" i="65" a="1"/>
  <c r="G141" i="65" s="1"/>
  <c r="F141" i="65" a="1"/>
  <c r="F141" i="65" s="1"/>
  <c r="E141" i="65" a="1"/>
  <c r="E141" i="65" s="1"/>
  <c r="D141" i="65" a="1"/>
  <c r="D141" i="65" s="1"/>
  <c r="AE140" i="65" a="1"/>
  <c r="AE140" i="65" s="1"/>
  <c r="AD140" i="65" a="1"/>
  <c r="AD140" i="65" s="1"/>
  <c r="AC140" i="65" a="1"/>
  <c r="AC140" i="65" s="1"/>
  <c r="AB140" i="65" a="1"/>
  <c r="AB140" i="65" s="1"/>
  <c r="AA140" i="65" a="1"/>
  <c r="AA140" i="65" s="1"/>
  <c r="Z140" i="65" a="1"/>
  <c r="Z140" i="65" s="1"/>
  <c r="Y140" i="65" a="1"/>
  <c r="Y140" i="65" s="1"/>
  <c r="X140" i="65" a="1"/>
  <c r="X140" i="65" s="1"/>
  <c r="W140" i="65" a="1"/>
  <c r="W140" i="65" s="1"/>
  <c r="V140" i="65" a="1"/>
  <c r="V140" i="65" s="1"/>
  <c r="U140" i="65" a="1"/>
  <c r="U140" i="65" s="1"/>
  <c r="T140" i="65" a="1"/>
  <c r="T140" i="65" s="1"/>
  <c r="S140" i="65" a="1"/>
  <c r="S140" i="65" s="1"/>
  <c r="R140" i="65" a="1"/>
  <c r="R140" i="65" s="1"/>
  <c r="Q140" i="65" a="1"/>
  <c r="Q140" i="65" s="1"/>
  <c r="P140" i="65" a="1"/>
  <c r="P140" i="65" s="1"/>
  <c r="O140" i="65" a="1"/>
  <c r="O140" i="65" s="1"/>
  <c r="N140" i="65" a="1"/>
  <c r="N140" i="65" s="1"/>
  <c r="M140" i="65" a="1"/>
  <c r="M140" i="65" s="1"/>
  <c r="L140" i="65" a="1"/>
  <c r="L140" i="65" s="1"/>
  <c r="K140" i="65" a="1"/>
  <c r="K140" i="65" s="1"/>
  <c r="J140" i="65" a="1"/>
  <c r="J140" i="65" s="1"/>
  <c r="I140" i="65" a="1"/>
  <c r="I140" i="65" s="1"/>
  <c r="H140" i="65" a="1"/>
  <c r="H140" i="65" s="1"/>
  <c r="G140" i="65" a="1"/>
  <c r="G140" i="65" s="1"/>
  <c r="F140" i="65" a="1"/>
  <c r="F140" i="65" s="1"/>
  <c r="E140" i="65" a="1"/>
  <c r="E140" i="65" s="1"/>
  <c r="D140" i="65" a="1"/>
  <c r="D140" i="65" s="1"/>
  <c r="AE139" i="65" a="1"/>
  <c r="AE139" i="65" s="1"/>
  <c r="AD139" i="65" a="1"/>
  <c r="AD139" i="65" s="1"/>
  <c r="AC139" i="65" a="1"/>
  <c r="AC139" i="65" s="1"/>
  <c r="AB139" i="65" a="1"/>
  <c r="AB139" i="65" s="1"/>
  <c r="AA139" i="65" a="1"/>
  <c r="AA139" i="65" s="1"/>
  <c r="Z139" i="65" a="1"/>
  <c r="Z139" i="65" s="1"/>
  <c r="Y139" i="65" a="1"/>
  <c r="Y139" i="65" s="1"/>
  <c r="X139" i="65" a="1"/>
  <c r="X139" i="65" s="1"/>
  <c r="W139" i="65" a="1"/>
  <c r="W139" i="65" s="1"/>
  <c r="V139" i="65" a="1"/>
  <c r="V139" i="65" s="1"/>
  <c r="U139" i="65" a="1"/>
  <c r="U139" i="65" s="1"/>
  <c r="T139" i="65" a="1"/>
  <c r="T139" i="65" s="1"/>
  <c r="S139" i="65" a="1"/>
  <c r="S139" i="65" s="1"/>
  <c r="R139" i="65" a="1"/>
  <c r="R139" i="65" s="1"/>
  <c r="Q139" i="65" a="1"/>
  <c r="Q139" i="65" s="1"/>
  <c r="P139" i="65" a="1"/>
  <c r="P139" i="65" s="1"/>
  <c r="O139" i="65" a="1"/>
  <c r="O139" i="65" s="1"/>
  <c r="N139" i="65" a="1"/>
  <c r="N139" i="65" s="1"/>
  <c r="M139" i="65" a="1"/>
  <c r="M139" i="65" s="1"/>
  <c r="L139" i="65" a="1"/>
  <c r="L139" i="65" s="1"/>
  <c r="K139" i="65" a="1"/>
  <c r="K139" i="65" s="1"/>
  <c r="J139" i="65" a="1"/>
  <c r="J139" i="65" s="1"/>
  <c r="I139" i="65" a="1"/>
  <c r="I139" i="65" s="1"/>
  <c r="H139" i="65" a="1"/>
  <c r="H139" i="65" s="1"/>
  <c r="G139" i="65" a="1"/>
  <c r="G139" i="65" s="1"/>
  <c r="F139" i="65" a="1"/>
  <c r="F139" i="65" s="1"/>
  <c r="E139" i="65" a="1"/>
  <c r="E139" i="65" s="1"/>
  <c r="D139" i="65" a="1"/>
  <c r="D139" i="65" s="1"/>
  <c r="AE138" i="65" a="1"/>
  <c r="AE138" i="65" s="1"/>
  <c r="AD138" i="65" a="1"/>
  <c r="AD138" i="65" s="1"/>
  <c r="AC138" i="65" a="1"/>
  <c r="AC138" i="65" s="1"/>
  <c r="AB138" i="65" a="1"/>
  <c r="AB138" i="65" s="1"/>
  <c r="AA138" i="65" a="1"/>
  <c r="AA138" i="65" s="1"/>
  <c r="Z138" i="65" a="1"/>
  <c r="Z138" i="65" s="1"/>
  <c r="Y138" i="65" a="1"/>
  <c r="Y138" i="65" s="1"/>
  <c r="X138" i="65" a="1"/>
  <c r="X138" i="65" s="1"/>
  <c r="W138" i="65" a="1"/>
  <c r="W138" i="65" s="1"/>
  <c r="V138" i="65" a="1"/>
  <c r="V138" i="65" s="1"/>
  <c r="U138" i="65" a="1"/>
  <c r="U138" i="65" s="1"/>
  <c r="T138" i="65" a="1"/>
  <c r="T138" i="65" s="1"/>
  <c r="S138" i="65" a="1"/>
  <c r="S138" i="65" s="1"/>
  <c r="R138" i="65" a="1"/>
  <c r="R138" i="65" s="1"/>
  <c r="Q138" i="65" a="1"/>
  <c r="Q138" i="65" s="1"/>
  <c r="P138" i="65" a="1"/>
  <c r="P138" i="65" s="1"/>
  <c r="O138" i="65" a="1"/>
  <c r="O138" i="65" s="1"/>
  <c r="N138" i="65" a="1"/>
  <c r="N138" i="65" s="1"/>
  <c r="M138" i="65" a="1"/>
  <c r="M138" i="65" s="1"/>
  <c r="L138" i="65" a="1"/>
  <c r="L138" i="65" s="1"/>
  <c r="K138" i="65" a="1"/>
  <c r="K138" i="65" s="1"/>
  <c r="J138" i="65" a="1"/>
  <c r="J138" i="65" s="1"/>
  <c r="I138" i="65" a="1"/>
  <c r="I138" i="65" s="1"/>
  <c r="H138" i="65" a="1"/>
  <c r="H138" i="65" s="1"/>
  <c r="G138" i="65" a="1"/>
  <c r="G138" i="65" s="1"/>
  <c r="F138" i="65" a="1"/>
  <c r="F138" i="65" s="1"/>
  <c r="E138" i="65" a="1"/>
  <c r="E138" i="65" s="1"/>
  <c r="D138" i="65" a="1"/>
  <c r="D138" i="65" s="1"/>
  <c r="AE137" i="65" a="1"/>
  <c r="AE137" i="65" s="1"/>
  <c r="AD137" i="65" a="1"/>
  <c r="AD137" i="65" s="1"/>
  <c r="AC137" i="65" a="1"/>
  <c r="AC137" i="65" s="1"/>
  <c r="AB137" i="65" a="1"/>
  <c r="AB137" i="65" s="1"/>
  <c r="AA137" i="65" a="1"/>
  <c r="AA137" i="65" s="1"/>
  <c r="Z137" i="65" a="1"/>
  <c r="Z137" i="65" s="1"/>
  <c r="Y137" i="65" a="1"/>
  <c r="Y137" i="65" s="1"/>
  <c r="X137" i="65" a="1"/>
  <c r="X137" i="65" s="1"/>
  <c r="W137" i="65" a="1"/>
  <c r="W137" i="65" s="1"/>
  <c r="V137" i="65" a="1"/>
  <c r="V137" i="65" s="1"/>
  <c r="U137" i="65" a="1"/>
  <c r="U137" i="65" s="1"/>
  <c r="T137" i="65" a="1"/>
  <c r="T137" i="65" s="1"/>
  <c r="S137" i="65" a="1"/>
  <c r="S137" i="65" s="1"/>
  <c r="R137" i="65" a="1"/>
  <c r="R137" i="65" s="1"/>
  <c r="Q137" i="65" a="1"/>
  <c r="Q137" i="65" s="1"/>
  <c r="P137" i="65" a="1"/>
  <c r="P137" i="65" s="1"/>
  <c r="O137" i="65" a="1"/>
  <c r="O137" i="65" s="1"/>
  <c r="N137" i="65" a="1"/>
  <c r="N137" i="65" s="1"/>
  <c r="M137" i="65" a="1"/>
  <c r="M137" i="65" s="1"/>
  <c r="L137" i="65" a="1"/>
  <c r="L137" i="65" s="1"/>
  <c r="K137" i="65" a="1"/>
  <c r="K137" i="65" s="1"/>
  <c r="J137" i="65" a="1"/>
  <c r="J137" i="65" s="1"/>
  <c r="I137" i="65" a="1"/>
  <c r="I137" i="65" s="1"/>
  <c r="H137" i="65" a="1"/>
  <c r="H137" i="65" s="1"/>
  <c r="G137" i="65" a="1"/>
  <c r="G137" i="65" s="1"/>
  <c r="F137" i="65" a="1"/>
  <c r="F137" i="65" s="1"/>
  <c r="E137" i="65" a="1"/>
  <c r="E137" i="65" s="1"/>
  <c r="D137" i="65" a="1"/>
  <c r="D137" i="65" s="1"/>
  <c r="AE136" i="65" a="1"/>
  <c r="AE136" i="65" s="1"/>
  <c r="AD136" i="65" a="1"/>
  <c r="AD136" i="65" s="1"/>
  <c r="AC136" i="65" a="1"/>
  <c r="AC136" i="65" s="1"/>
  <c r="AB136" i="65" a="1"/>
  <c r="AB136" i="65" s="1"/>
  <c r="AA136" i="65" a="1"/>
  <c r="AA136" i="65" s="1"/>
  <c r="Z136" i="65" a="1"/>
  <c r="Z136" i="65" s="1"/>
  <c r="Y136" i="65" a="1"/>
  <c r="Y136" i="65" s="1"/>
  <c r="X136" i="65" a="1"/>
  <c r="X136" i="65" s="1"/>
  <c r="W136" i="65" a="1"/>
  <c r="W136" i="65" s="1"/>
  <c r="V136" i="65" a="1"/>
  <c r="V136" i="65" s="1"/>
  <c r="U136" i="65" a="1"/>
  <c r="U136" i="65" s="1"/>
  <c r="T136" i="65" a="1"/>
  <c r="T136" i="65" s="1"/>
  <c r="S136" i="65" a="1"/>
  <c r="S136" i="65" s="1"/>
  <c r="R136" i="65" a="1"/>
  <c r="R136" i="65" s="1"/>
  <c r="Q136" i="65" a="1"/>
  <c r="Q136" i="65" s="1"/>
  <c r="P136" i="65" a="1"/>
  <c r="P136" i="65" s="1"/>
  <c r="O136" i="65" a="1"/>
  <c r="O136" i="65" s="1"/>
  <c r="N136" i="65" a="1"/>
  <c r="N136" i="65" s="1"/>
  <c r="M136" i="65" a="1"/>
  <c r="M136" i="65" s="1"/>
  <c r="L136" i="65" a="1"/>
  <c r="L136" i="65" s="1"/>
  <c r="K136" i="65" a="1"/>
  <c r="K136" i="65" s="1"/>
  <c r="J136" i="65" a="1"/>
  <c r="J136" i="65" s="1"/>
  <c r="I136" i="65" a="1"/>
  <c r="I136" i="65" s="1"/>
  <c r="H136" i="65" a="1"/>
  <c r="H136" i="65" s="1"/>
  <c r="G136" i="65" a="1"/>
  <c r="G136" i="65" s="1"/>
  <c r="F136" i="65" a="1"/>
  <c r="F136" i="65" s="1"/>
  <c r="E136" i="65" a="1"/>
  <c r="E136" i="65" s="1"/>
  <c r="D136" i="65" a="1"/>
  <c r="D136" i="65" s="1"/>
  <c r="AE135" i="65" a="1"/>
  <c r="AE135" i="65" s="1"/>
  <c r="AD135" i="65" a="1"/>
  <c r="AD135" i="65" s="1"/>
  <c r="AC135" i="65" a="1"/>
  <c r="AC135" i="65" s="1"/>
  <c r="AB135" i="65" a="1"/>
  <c r="AB135" i="65" s="1"/>
  <c r="AA135" i="65" a="1"/>
  <c r="AA135" i="65" s="1"/>
  <c r="Z135" i="65" a="1"/>
  <c r="Z135" i="65" s="1"/>
  <c r="Y135" i="65" a="1"/>
  <c r="Y135" i="65" s="1"/>
  <c r="X135" i="65" a="1"/>
  <c r="X135" i="65" s="1"/>
  <c r="W135" i="65" a="1"/>
  <c r="W135" i="65" s="1"/>
  <c r="V135" i="65" a="1"/>
  <c r="V135" i="65" s="1"/>
  <c r="U135" i="65" a="1"/>
  <c r="U135" i="65" s="1"/>
  <c r="T135" i="65" a="1"/>
  <c r="T135" i="65" s="1"/>
  <c r="S135" i="65" a="1"/>
  <c r="S135" i="65" s="1"/>
  <c r="R135" i="65" a="1"/>
  <c r="R135" i="65" s="1"/>
  <c r="Q135" i="65" a="1"/>
  <c r="Q135" i="65" s="1"/>
  <c r="P135" i="65" a="1"/>
  <c r="P135" i="65" s="1"/>
  <c r="O135" i="65" a="1"/>
  <c r="O135" i="65" s="1"/>
  <c r="N135" i="65" a="1"/>
  <c r="N135" i="65" s="1"/>
  <c r="M135" i="65" a="1"/>
  <c r="M135" i="65" s="1"/>
  <c r="L135" i="65" a="1"/>
  <c r="L135" i="65" s="1"/>
  <c r="K135" i="65" a="1"/>
  <c r="K135" i="65" s="1"/>
  <c r="J135" i="65" a="1"/>
  <c r="J135" i="65" s="1"/>
  <c r="I135" i="65" a="1"/>
  <c r="I135" i="65" s="1"/>
  <c r="H135" i="65" a="1"/>
  <c r="H135" i="65" s="1"/>
  <c r="G135" i="65" a="1"/>
  <c r="G135" i="65" s="1"/>
  <c r="F135" i="65" a="1"/>
  <c r="F135" i="65" s="1"/>
  <c r="E135" i="65" a="1"/>
  <c r="E135" i="65" s="1"/>
  <c r="D135" i="65" a="1"/>
  <c r="D135" i="65" s="1"/>
  <c r="AE134" i="65" a="1"/>
  <c r="AE134" i="65" s="1"/>
  <c r="AD134" i="65" a="1"/>
  <c r="AD134" i="65" s="1"/>
  <c r="AC134" i="65" a="1"/>
  <c r="AC134" i="65" s="1"/>
  <c r="AB134" i="65" a="1"/>
  <c r="AB134" i="65" s="1"/>
  <c r="AA134" i="65" a="1"/>
  <c r="AA134" i="65" s="1"/>
  <c r="Z134" i="65" a="1"/>
  <c r="Z134" i="65" s="1"/>
  <c r="Y134" i="65" a="1"/>
  <c r="Y134" i="65" s="1"/>
  <c r="X134" i="65" a="1"/>
  <c r="X134" i="65" s="1"/>
  <c r="W134" i="65" a="1"/>
  <c r="W134" i="65" s="1"/>
  <c r="V134" i="65" a="1"/>
  <c r="V134" i="65" s="1"/>
  <c r="U134" i="65" a="1"/>
  <c r="U134" i="65" s="1"/>
  <c r="T134" i="65" a="1"/>
  <c r="T134" i="65" s="1"/>
  <c r="S134" i="65" a="1"/>
  <c r="S134" i="65" s="1"/>
  <c r="R134" i="65" a="1"/>
  <c r="R134" i="65" s="1"/>
  <c r="Q134" i="65" a="1"/>
  <c r="Q134" i="65" s="1"/>
  <c r="P134" i="65" a="1"/>
  <c r="P134" i="65" s="1"/>
  <c r="O134" i="65" a="1"/>
  <c r="O134" i="65" s="1"/>
  <c r="N134" i="65" a="1"/>
  <c r="N134" i="65" s="1"/>
  <c r="M134" i="65" a="1"/>
  <c r="M134" i="65" s="1"/>
  <c r="L134" i="65" a="1"/>
  <c r="L134" i="65" s="1"/>
  <c r="K134" i="65" a="1"/>
  <c r="K134" i="65" s="1"/>
  <c r="J134" i="65" a="1"/>
  <c r="J134" i="65" s="1"/>
  <c r="I134" i="65" a="1"/>
  <c r="I134" i="65" s="1"/>
  <c r="H134" i="65" a="1"/>
  <c r="H134" i="65" s="1"/>
  <c r="G134" i="65" a="1"/>
  <c r="G134" i="65" s="1"/>
  <c r="F134" i="65" a="1"/>
  <c r="F134" i="65" s="1"/>
  <c r="E134" i="65" a="1"/>
  <c r="E134" i="65" s="1"/>
  <c r="D134" i="65" a="1"/>
  <c r="D134" i="65" s="1"/>
  <c r="AE133" i="65" a="1"/>
  <c r="AE133" i="65" s="1"/>
  <c r="AD133" i="65" a="1"/>
  <c r="AD133" i="65" s="1"/>
  <c r="AC133" i="65" a="1"/>
  <c r="AC133" i="65" s="1"/>
  <c r="AB133" i="65" a="1"/>
  <c r="AB133" i="65" s="1"/>
  <c r="AA133" i="65" a="1"/>
  <c r="AA133" i="65" s="1"/>
  <c r="Z133" i="65" a="1"/>
  <c r="Z133" i="65" s="1"/>
  <c r="Y133" i="65" a="1"/>
  <c r="Y133" i="65" s="1"/>
  <c r="X133" i="65" a="1"/>
  <c r="X133" i="65" s="1"/>
  <c r="W133" i="65" a="1"/>
  <c r="W133" i="65" s="1"/>
  <c r="V133" i="65" a="1"/>
  <c r="V133" i="65" s="1"/>
  <c r="U133" i="65" a="1"/>
  <c r="U133" i="65" s="1"/>
  <c r="T133" i="65" a="1"/>
  <c r="T133" i="65" s="1"/>
  <c r="S133" i="65" a="1"/>
  <c r="S133" i="65" s="1"/>
  <c r="R133" i="65" a="1"/>
  <c r="R133" i="65" s="1"/>
  <c r="Q133" i="65" a="1"/>
  <c r="Q133" i="65" s="1"/>
  <c r="P133" i="65" a="1"/>
  <c r="P133" i="65" s="1"/>
  <c r="O133" i="65" a="1"/>
  <c r="O133" i="65" s="1"/>
  <c r="N133" i="65" a="1"/>
  <c r="N133" i="65" s="1"/>
  <c r="M133" i="65" a="1"/>
  <c r="M133" i="65" s="1"/>
  <c r="L133" i="65" a="1"/>
  <c r="L133" i="65" s="1"/>
  <c r="K133" i="65" a="1"/>
  <c r="K133" i="65" s="1"/>
  <c r="J133" i="65" a="1"/>
  <c r="J133" i="65" s="1"/>
  <c r="I133" i="65" a="1"/>
  <c r="I133" i="65" s="1"/>
  <c r="H133" i="65" a="1"/>
  <c r="H133" i="65" s="1"/>
  <c r="G133" i="65" a="1"/>
  <c r="G133" i="65" s="1"/>
  <c r="F133" i="65" a="1"/>
  <c r="F133" i="65" s="1"/>
  <c r="E133" i="65" a="1"/>
  <c r="E133" i="65" s="1"/>
  <c r="D133" i="65" a="1"/>
  <c r="D133" i="65" s="1"/>
  <c r="AE132" i="65" a="1"/>
  <c r="AE132" i="65" s="1"/>
  <c r="AD132" i="65" a="1"/>
  <c r="AD132" i="65" s="1"/>
  <c r="AC132" i="65" a="1"/>
  <c r="AC132" i="65" s="1"/>
  <c r="AB132" i="65" a="1"/>
  <c r="AB132" i="65" s="1"/>
  <c r="AA132" i="65" a="1"/>
  <c r="AA132" i="65" s="1"/>
  <c r="Z132" i="65" a="1"/>
  <c r="Z132" i="65" s="1"/>
  <c r="Y132" i="65" a="1"/>
  <c r="Y132" i="65" s="1"/>
  <c r="X132" i="65" a="1"/>
  <c r="X132" i="65" s="1"/>
  <c r="W132" i="65" a="1"/>
  <c r="W132" i="65" s="1"/>
  <c r="V132" i="65" a="1"/>
  <c r="V132" i="65" s="1"/>
  <c r="U132" i="65" a="1"/>
  <c r="U132" i="65" s="1"/>
  <c r="T132" i="65" a="1"/>
  <c r="T132" i="65" s="1"/>
  <c r="S132" i="65" a="1"/>
  <c r="S132" i="65" s="1"/>
  <c r="R132" i="65" a="1"/>
  <c r="R132" i="65" s="1"/>
  <c r="Q132" i="65" a="1"/>
  <c r="Q132" i="65" s="1"/>
  <c r="P132" i="65" a="1"/>
  <c r="P132" i="65" s="1"/>
  <c r="O132" i="65" a="1"/>
  <c r="O132" i="65" s="1"/>
  <c r="N132" i="65" a="1"/>
  <c r="N132" i="65" s="1"/>
  <c r="M132" i="65" a="1"/>
  <c r="M132" i="65" s="1"/>
  <c r="L132" i="65" a="1"/>
  <c r="L132" i="65" s="1"/>
  <c r="K132" i="65" a="1"/>
  <c r="K132" i="65" s="1"/>
  <c r="J132" i="65" a="1"/>
  <c r="J132" i="65" s="1"/>
  <c r="I132" i="65" a="1"/>
  <c r="I132" i="65" s="1"/>
  <c r="H132" i="65" a="1"/>
  <c r="H132" i="65" s="1"/>
  <c r="G132" i="65" a="1"/>
  <c r="G132" i="65" s="1"/>
  <c r="F132" i="65" a="1"/>
  <c r="F132" i="65" s="1"/>
  <c r="E132" i="65" a="1"/>
  <c r="E132" i="65" s="1"/>
  <c r="D132" i="65" a="1"/>
  <c r="D132" i="65" s="1"/>
  <c r="AE131" i="65" a="1"/>
  <c r="AE131" i="65" s="1"/>
  <c r="AD131" i="65" a="1"/>
  <c r="AD131" i="65" s="1"/>
  <c r="AC131" i="65" a="1"/>
  <c r="AC131" i="65" s="1"/>
  <c r="AB131" i="65" a="1"/>
  <c r="AB131" i="65" s="1"/>
  <c r="AA131" i="65" a="1"/>
  <c r="AA131" i="65" s="1"/>
  <c r="Z131" i="65" a="1"/>
  <c r="Z131" i="65" s="1"/>
  <c r="Y131" i="65" a="1"/>
  <c r="Y131" i="65" s="1"/>
  <c r="X131" i="65" a="1"/>
  <c r="X131" i="65" s="1"/>
  <c r="W131" i="65" a="1"/>
  <c r="W131" i="65" s="1"/>
  <c r="V131" i="65" a="1"/>
  <c r="V131" i="65" s="1"/>
  <c r="U131" i="65" a="1"/>
  <c r="U131" i="65" s="1"/>
  <c r="T131" i="65" a="1"/>
  <c r="T131" i="65" s="1"/>
  <c r="S131" i="65" a="1"/>
  <c r="S131" i="65" s="1"/>
  <c r="R131" i="65" a="1"/>
  <c r="R131" i="65" s="1"/>
  <c r="Q131" i="65" a="1"/>
  <c r="Q131" i="65" s="1"/>
  <c r="P131" i="65" a="1"/>
  <c r="P131" i="65" s="1"/>
  <c r="O131" i="65" a="1"/>
  <c r="O131" i="65" s="1"/>
  <c r="N131" i="65" a="1"/>
  <c r="N131" i="65" s="1"/>
  <c r="M131" i="65" a="1"/>
  <c r="M131" i="65" s="1"/>
  <c r="L131" i="65" a="1"/>
  <c r="L131" i="65" s="1"/>
  <c r="K131" i="65" a="1"/>
  <c r="K131" i="65" s="1"/>
  <c r="J131" i="65" a="1"/>
  <c r="J131" i="65" s="1"/>
  <c r="I131" i="65" a="1"/>
  <c r="I131" i="65" s="1"/>
  <c r="H131" i="65" a="1"/>
  <c r="H131" i="65" s="1"/>
  <c r="G131" i="65" a="1"/>
  <c r="G131" i="65" s="1"/>
  <c r="F131" i="65" a="1"/>
  <c r="F131" i="65" s="1"/>
  <c r="E131" i="65" a="1"/>
  <c r="E131" i="65" s="1"/>
  <c r="D131" i="65" a="1"/>
  <c r="D131" i="65" s="1"/>
  <c r="AE130" i="65" a="1"/>
  <c r="AE130" i="65" s="1"/>
  <c r="AD130" i="65" a="1"/>
  <c r="AD130" i="65" s="1"/>
  <c r="AC130" i="65" a="1"/>
  <c r="AC130" i="65" s="1"/>
  <c r="AB130" i="65" a="1"/>
  <c r="AB130" i="65" s="1"/>
  <c r="AA130" i="65" a="1"/>
  <c r="AA130" i="65" s="1"/>
  <c r="Z130" i="65" a="1"/>
  <c r="Z130" i="65" s="1"/>
  <c r="Y130" i="65" a="1"/>
  <c r="Y130" i="65" s="1"/>
  <c r="X130" i="65" a="1"/>
  <c r="X130" i="65" s="1"/>
  <c r="W130" i="65" a="1"/>
  <c r="W130" i="65" s="1"/>
  <c r="V130" i="65" a="1"/>
  <c r="V130" i="65" s="1"/>
  <c r="U130" i="65" a="1"/>
  <c r="U130" i="65" s="1"/>
  <c r="T130" i="65" a="1"/>
  <c r="T130" i="65" s="1"/>
  <c r="S130" i="65" a="1"/>
  <c r="S130" i="65" s="1"/>
  <c r="R130" i="65" a="1"/>
  <c r="R130" i="65" s="1"/>
  <c r="Q130" i="65" a="1"/>
  <c r="Q130" i="65" s="1"/>
  <c r="P130" i="65" a="1"/>
  <c r="P130" i="65" s="1"/>
  <c r="O130" i="65" a="1"/>
  <c r="O130" i="65" s="1"/>
  <c r="N130" i="65" a="1"/>
  <c r="N130" i="65" s="1"/>
  <c r="M130" i="65" a="1"/>
  <c r="M130" i="65" s="1"/>
  <c r="L130" i="65" a="1"/>
  <c r="L130" i="65" s="1"/>
  <c r="K130" i="65" a="1"/>
  <c r="K130" i="65" s="1"/>
  <c r="J130" i="65" a="1"/>
  <c r="J130" i="65" s="1"/>
  <c r="I130" i="65" a="1"/>
  <c r="I130" i="65" s="1"/>
  <c r="H130" i="65" a="1"/>
  <c r="H130" i="65" s="1"/>
  <c r="G130" i="65" a="1"/>
  <c r="G130" i="65" s="1"/>
  <c r="F130" i="65" a="1"/>
  <c r="F130" i="65" s="1"/>
  <c r="E130" i="65" a="1"/>
  <c r="E130" i="65" s="1"/>
  <c r="D130" i="65" a="1"/>
  <c r="D130" i="65" s="1"/>
  <c r="AE129" i="65" a="1"/>
  <c r="AE129" i="65" s="1"/>
  <c r="AD129" i="65" a="1"/>
  <c r="AD129" i="65" s="1"/>
  <c r="AC129" i="65" a="1"/>
  <c r="AC129" i="65" s="1"/>
  <c r="AB129" i="65" a="1"/>
  <c r="AB129" i="65" s="1"/>
  <c r="AA129" i="65" a="1"/>
  <c r="AA129" i="65" s="1"/>
  <c r="Z129" i="65" a="1"/>
  <c r="Z129" i="65" s="1"/>
  <c r="Y129" i="65" a="1"/>
  <c r="Y129" i="65" s="1"/>
  <c r="X129" i="65" a="1"/>
  <c r="X129" i="65" s="1"/>
  <c r="W129" i="65" a="1"/>
  <c r="W129" i="65" s="1"/>
  <c r="V129" i="65" a="1"/>
  <c r="V129" i="65" s="1"/>
  <c r="U129" i="65" a="1"/>
  <c r="U129" i="65" s="1"/>
  <c r="T129" i="65" a="1"/>
  <c r="T129" i="65" s="1"/>
  <c r="S129" i="65" a="1"/>
  <c r="S129" i="65" s="1"/>
  <c r="R129" i="65" a="1"/>
  <c r="R129" i="65" s="1"/>
  <c r="Q129" i="65" a="1"/>
  <c r="Q129" i="65" s="1"/>
  <c r="P129" i="65" a="1"/>
  <c r="P129" i="65" s="1"/>
  <c r="O129" i="65" a="1"/>
  <c r="O129" i="65" s="1"/>
  <c r="N129" i="65" a="1"/>
  <c r="N129" i="65" s="1"/>
  <c r="M129" i="65" a="1"/>
  <c r="M129" i="65" s="1"/>
  <c r="L129" i="65" a="1"/>
  <c r="L129" i="65" s="1"/>
  <c r="K129" i="65" a="1"/>
  <c r="K129" i="65" s="1"/>
  <c r="J129" i="65" a="1"/>
  <c r="J129" i="65" s="1"/>
  <c r="I129" i="65" a="1"/>
  <c r="I129" i="65" s="1"/>
  <c r="H129" i="65" a="1"/>
  <c r="H129" i="65" s="1"/>
  <c r="G129" i="65" a="1"/>
  <c r="G129" i="65" s="1"/>
  <c r="F129" i="65" a="1"/>
  <c r="F129" i="65" s="1"/>
  <c r="E129" i="65" a="1"/>
  <c r="E129" i="65" s="1"/>
  <c r="D129" i="65" a="1"/>
  <c r="D129" i="65" s="1"/>
  <c r="AE128" i="65" a="1"/>
  <c r="AE128" i="65" s="1"/>
  <c r="AD128" i="65" a="1"/>
  <c r="AD128" i="65" s="1"/>
  <c r="AC128" i="65" a="1"/>
  <c r="AC128" i="65" s="1"/>
  <c r="AB128" i="65" a="1"/>
  <c r="AB128" i="65" s="1"/>
  <c r="AA128" i="65" a="1"/>
  <c r="AA128" i="65" s="1"/>
  <c r="Z128" i="65" a="1"/>
  <c r="Z128" i="65" s="1"/>
  <c r="Y128" i="65" a="1"/>
  <c r="Y128" i="65" s="1"/>
  <c r="X128" i="65" a="1"/>
  <c r="X128" i="65" s="1"/>
  <c r="W128" i="65" a="1"/>
  <c r="W128" i="65" s="1"/>
  <c r="V128" i="65" a="1"/>
  <c r="V128" i="65" s="1"/>
  <c r="U128" i="65" a="1"/>
  <c r="U128" i="65" s="1"/>
  <c r="T128" i="65" a="1"/>
  <c r="T128" i="65" s="1"/>
  <c r="S128" i="65" a="1"/>
  <c r="S128" i="65" s="1"/>
  <c r="R128" i="65" a="1"/>
  <c r="R128" i="65" s="1"/>
  <c r="Q128" i="65" a="1"/>
  <c r="Q128" i="65" s="1"/>
  <c r="P128" i="65" a="1"/>
  <c r="P128" i="65" s="1"/>
  <c r="O128" i="65" a="1"/>
  <c r="O128" i="65" s="1"/>
  <c r="N128" i="65" a="1"/>
  <c r="N128" i="65" s="1"/>
  <c r="M128" i="65" a="1"/>
  <c r="M128" i="65" s="1"/>
  <c r="L128" i="65" a="1"/>
  <c r="L128" i="65" s="1"/>
  <c r="K128" i="65" a="1"/>
  <c r="K128" i="65" s="1"/>
  <c r="J128" i="65" a="1"/>
  <c r="J128" i="65" s="1"/>
  <c r="I128" i="65" a="1"/>
  <c r="I128" i="65" s="1"/>
  <c r="H128" i="65" a="1"/>
  <c r="H128" i="65" s="1"/>
  <c r="G128" i="65" a="1"/>
  <c r="G128" i="65" s="1"/>
  <c r="F128" i="65" a="1"/>
  <c r="F128" i="65" s="1"/>
  <c r="E128" i="65" a="1"/>
  <c r="E128" i="65" s="1"/>
  <c r="D128" i="65" a="1"/>
  <c r="D128" i="65" s="1"/>
  <c r="AE127" i="65" a="1"/>
  <c r="AE127" i="65" s="1"/>
  <c r="AD127" i="65" a="1"/>
  <c r="AD127" i="65" s="1"/>
  <c r="AC127" i="65" a="1"/>
  <c r="AC127" i="65" s="1"/>
  <c r="AB127" i="65" a="1"/>
  <c r="AB127" i="65" s="1"/>
  <c r="AA127" i="65" a="1"/>
  <c r="AA127" i="65" s="1"/>
  <c r="Z127" i="65" a="1"/>
  <c r="Z127" i="65" s="1"/>
  <c r="Y127" i="65" a="1"/>
  <c r="Y127" i="65" s="1"/>
  <c r="X127" i="65" a="1"/>
  <c r="X127" i="65" s="1"/>
  <c r="W127" i="65" a="1"/>
  <c r="W127" i="65" s="1"/>
  <c r="V127" i="65" a="1"/>
  <c r="V127" i="65" s="1"/>
  <c r="U127" i="65" a="1"/>
  <c r="U127" i="65" s="1"/>
  <c r="T127" i="65" a="1"/>
  <c r="T127" i="65" s="1"/>
  <c r="S127" i="65" a="1"/>
  <c r="S127" i="65" s="1"/>
  <c r="R127" i="65" a="1"/>
  <c r="R127" i="65" s="1"/>
  <c r="Q127" i="65" a="1"/>
  <c r="Q127" i="65" s="1"/>
  <c r="P127" i="65" a="1"/>
  <c r="P127" i="65" s="1"/>
  <c r="O127" i="65" a="1"/>
  <c r="O127" i="65" s="1"/>
  <c r="N127" i="65" a="1"/>
  <c r="N127" i="65" s="1"/>
  <c r="M127" i="65" a="1"/>
  <c r="M127" i="65" s="1"/>
  <c r="L127" i="65" a="1"/>
  <c r="L127" i="65" s="1"/>
  <c r="K127" i="65" a="1"/>
  <c r="K127" i="65" s="1"/>
  <c r="J127" i="65" a="1"/>
  <c r="J127" i="65" s="1"/>
  <c r="I127" i="65" a="1"/>
  <c r="I127" i="65" s="1"/>
  <c r="H127" i="65" a="1"/>
  <c r="H127" i="65" s="1"/>
  <c r="G127" i="65" a="1"/>
  <c r="G127" i="65" s="1"/>
  <c r="F127" i="65" a="1"/>
  <c r="F127" i="65" s="1"/>
  <c r="E127" i="65" a="1"/>
  <c r="E127" i="65" s="1"/>
  <c r="D127" i="65" a="1"/>
  <c r="D127" i="65" s="1"/>
  <c r="AE126" i="65" a="1"/>
  <c r="AE126" i="65" s="1"/>
  <c r="AD126" i="65" a="1"/>
  <c r="AD126" i="65" s="1"/>
  <c r="AC126" i="65" a="1"/>
  <c r="AC126" i="65" s="1"/>
  <c r="AB126" i="65" a="1"/>
  <c r="AB126" i="65" s="1"/>
  <c r="AA126" i="65" a="1"/>
  <c r="AA126" i="65" s="1"/>
  <c r="Z126" i="65" a="1"/>
  <c r="Z126" i="65" s="1"/>
  <c r="Y126" i="65" a="1"/>
  <c r="Y126" i="65" s="1"/>
  <c r="X126" i="65" a="1"/>
  <c r="X126" i="65" s="1"/>
  <c r="W126" i="65" a="1"/>
  <c r="W126" i="65" s="1"/>
  <c r="V126" i="65" a="1"/>
  <c r="V126" i="65" s="1"/>
  <c r="U126" i="65" a="1"/>
  <c r="U126" i="65" s="1"/>
  <c r="T126" i="65" a="1"/>
  <c r="T126" i="65" s="1"/>
  <c r="S126" i="65" a="1"/>
  <c r="S126" i="65" s="1"/>
  <c r="R126" i="65" a="1"/>
  <c r="R126" i="65" s="1"/>
  <c r="Q126" i="65" a="1"/>
  <c r="Q126" i="65" s="1"/>
  <c r="P126" i="65" a="1"/>
  <c r="P126" i="65" s="1"/>
  <c r="O126" i="65" a="1"/>
  <c r="O126" i="65" s="1"/>
  <c r="N126" i="65" a="1"/>
  <c r="N126" i="65" s="1"/>
  <c r="M126" i="65" a="1"/>
  <c r="M126" i="65" s="1"/>
  <c r="L126" i="65" a="1"/>
  <c r="L126" i="65" s="1"/>
  <c r="K126" i="65" a="1"/>
  <c r="K126" i="65" s="1"/>
  <c r="J126" i="65" a="1"/>
  <c r="J126" i="65" s="1"/>
  <c r="I126" i="65" a="1"/>
  <c r="I126" i="65" s="1"/>
  <c r="H126" i="65" a="1"/>
  <c r="H126" i="65" s="1"/>
  <c r="G126" i="65" a="1"/>
  <c r="G126" i="65" s="1"/>
  <c r="F126" i="65" a="1"/>
  <c r="F126" i="65" s="1"/>
  <c r="E126" i="65" a="1"/>
  <c r="E126" i="65" s="1"/>
  <c r="D126" i="65" a="1"/>
  <c r="D126" i="65" s="1"/>
  <c r="AE125" i="65" a="1"/>
  <c r="AE125" i="65" s="1"/>
  <c r="AD125" i="65" a="1"/>
  <c r="AD125" i="65" s="1"/>
  <c r="AC125" i="65" a="1"/>
  <c r="AC125" i="65" s="1"/>
  <c r="AB125" i="65" a="1"/>
  <c r="AB125" i="65" s="1"/>
  <c r="AA125" i="65" a="1"/>
  <c r="AA125" i="65" s="1"/>
  <c r="Z125" i="65" a="1"/>
  <c r="Z125" i="65" s="1"/>
  <c r="Y125" i="65" a="1"/>
  <c r="Y125" i="65" s="1"/>
  <c r="X125" i="65" a="1"/>
  <c r="X125" i="65" s="1"/>
  <c r="W125" i="65" a="1"/>
  <c r="W125" i="65" s="1"/>
  <c r="V125" i="65" a="1"/>
  <c r="V125" i="65" s="1"/>
  <c r="U125" i="65" a="1"/>
  <c r="U125" i="65" s="1"/>
  <c r="T125" i="65" a="1"/>
  <c r="T125" i="65" s="1"/>
  <c r="S125" i="65" a="1"/>
  <c r="S125" i="65" s="1"/>
  <c r="R125" i="65" a="1"/>
  <c r="R125" i="65" s="1"/>
  <c r="Q125" i="65" a="1"/>
  <c r="Q125" i="65" s="1"/>
  <c r="P125" i="65" a="1"/>
  <c r="P125" i="65" s="1"/>
  <c r="O125" i="65" a="1"/>
  <c r="O125" i="65" s="1"/>
  <c r="N125" i="65" a="1"/>
  <c r="N125" i="65" s="1"/>
  <c r="M125" i="65" a="1"/>
  <c r="M125" i="65" s="1"/>
  <c r="L125" i="65" a="1"/>
  <c r="L125" i="65" s="1"/>
  <c r="K125" i="65" a="1"/>
  <c r="K125" i="65" s="1"/>
  <c r="J125" i="65" a="1"/>
  <c r="J125" i="65" s="1"/>
  <c r="I125" i="65" a="1"/>
  <c r="I125" i="65" s="1"/>
  <c r="H125" i="65" a="1"/>
  <c r="H125" i="65" s="1"/>
  <c r="G125" i="65" a="1"/>
  <c r="G125" i="65" s="1"/>
  <c r="F125" i="65" a="1"/>
  <c r="F125" i="65" s="1"/>
  <c r="E125" i="65" a="1"/>
  <c r="E125" i="65" s="1"/>
  <c r="D125" i="65" a="1"/>
  <c r="D125" i="65" s="1"/>
  <c r="AE124" i="65" a="1"/>
  <c r="AE124" i="65" s="1"/>
  <c r="AD124" i="65" a="1"/>
  <c r="AD124" i="65" s="1"/>
  <c r="AC124" i="65" a="1"/>
  <c r="AC124" i="65" s="1"/>
  <c r="AB124" i="65" a="1"/>
  <c r="AB124" i="65" s="1"/>
  <c r="AA124" i="65" a="1"/>
  <c r="AA124" i="65" s="1"/>
  <c r="Z124" i="65" a="1"/>
  <c r="Z124" i="65" s="1"/>
  <c r="Y124" i="65" a="1"/>
  <c r="Y124" i="65" s="1"/>
  <c r="X124" i="65" a="1"/>
  <c r="X124" i="65" s="1"/>
  <c r="W124" i="65" a="1"/>
  <c r="W124" i="65" s="1"/>
  <c r="V124" i="65" a="1"/>
  <c r="V124" i="65" s="1"/>
  <c r="U124" i="65" a="1"/>
  <c r="U124" i="65" s="1"/>
  <c r="T124" i="65" a="1"/>
  <c r="T124" i="65" s="1"/>
  <c r="S124" i="65" a="1"/>
  <c r="S124" i="65" s="1"/>
  <c r="R124" i="65" a="1"/>
  <c r="R124" i="65" s="1"/>
  <c r="Q124" i="65" a="1"/>
  <c r="Q124" i="65" s="1"/>
  <c r="P124" i="65" a="1"/>
  <c r="P124" i="65" s="1"/>
  <c r="O124" i="65" a="1"/>
  <c r="O124" i="65" s="1"/>
  <c r="N124" i="65" a="1"/>
  <c r="N124" i="65" s="1"/>
  <c r="M124" i="65" a="1"/>
  <c r="M124" i="65" s="1"/>
  <c r="L124" i="65" a="1"/>
  <c r="L124" i="65" s="1"/>
  <c r="K124" i="65" a="1"/>
  <c r="K124" i="65" s="1"/>
  <c r="J124" i="65" a="1"/>
  <c r="J124" i="65" s="1"/>
  <c r="I124" i="65" a="1"/>
  <c r="I124" i="65" s="1"/>
  <c r="H124" i="65" a="1"/>
  <c r="H124" i="65" s="1"/>
  <c r="G124" i="65" a="1"/>
  <c r="G124" i="65" s="1"/>
  <c r="F124" i="65" a="1"/>
  <c r="F124" i="65" s="1"/>
  <c r="E124" i="65" a="1"/>
  <c r="E124" i="65" s="1"/>
  <c r="D124" i="65" a="1"/>
  <c r="D124" i="65" s="1"/>
  <c r="AE123" i="65" a="1"/>
  <c r="AE123" i="65" s="1"/>
  <c r="AD123" i="65" a="1"/>
  <c r="AD123" i="65" s="1"/>
  <c r="AC123" i="65" a="1"/>
  <c r="AC123" i="65" s="1"/>
  <c r="AB123" i="65" a="1"/>
  <c r="AB123" i="65" s="1"/>
  <c r="AA123" i="65" a="1"/>
  <c r="AA123" i="65" s="1"/>
  <c r="Z123" i="65" a="1"/>
  <c r="Z123" i="65" s="1"/>
  <c r="Y123" i="65" a="1"/>
  <c r="Y123" i="65" s="1"/>
  <c r="X123" i="65" a="1"/>
  <c r="X123" i="65" s="1"/>
  <c r="W123" i="65" a="1"/>
  <c r="W123" i="65" s="1"/>
  <c r="V123" i="65" a="1"/>
  <c r="V123" i="65" s="1"/>
  <c r="U123" i="65" a="1"/>
  <c r="U123" i="65" s="1"/>
  <c r="T123" i="65" a="1"/>
  <c r="T123" i="65" s="1"/>
  <c r="S123" i="65" a="1"/>
  <c r="S123" i="65" s="1"/>
  <c r="R123" i="65" a="1"/>
  <c r="R123" i="65" s="1"/>
  <c r="Q123" i="65" a="1"/>
  <c r="Q123" i="65" s="1"/>
  <c r="P123" i="65" a="1"/>
  <c r="P123" i="65" s="1"/>
  <c r="O123" i="65" a="1"/>
  <c r="O123" i="65" s="1"/>
  <c r="N123" i="65" a="1"/>
  <c r="N123" i="65" s="1"/>
  <c r="M123" i="65" a="1"/>
  <c r="M123" i="65" s="1"/>
  <c r="L123" i="65" a="1"/>
  <c r="L123" i="65" s="1"/>
  <c r="K123" i="65" a="1"/>
  <c r="K123" i="65" s="1"/>
  <c r="J123" i="65" a="1"/>
  <c r="J123" i="65" s="1"/>
  <c r="I123" i="65" a="1"/>
  <c r="I123" i="65" s="1"/>
  <c r="H123" i="65" a="1"/>
  <c r="H123" i="65" s="1"/>
  <c r="G123" i="65" a="1"/>
  <c r="G123" i="65" s="1"/>
  <c r="F123" i="65" a="1"/>
  <c r="F123" i="65" s="1"/>
  <c r="E123" i="65" a="1"/>
  <c r="E123" i="65" s="1"/>
  <c r="D123" i="65" a="1"/>
  <c r="D123" i="65" s="1"/>
  <c r="AE122" i="65" a="1"/>
  <c r="AE122" i="65" s="1"/>
  <c r="AD122" i="65" a="1"/>
  <c r="AD122" i="65" s="1"/>
  <c r="AC122" i="65" a="1"/>
  <c r="AC122" i="65" s="1"/>
  <c r="AB122" i="65" a="1"/>
  <c r="AB122" i="65" s="1"/>
  <c r="AA122" i="65" a="1"/>
  <c r="AA122" i="65" s="1"/>
  <c r="Z122" i="65" a="1"/>
  <c r="Z122" i="65" s="1"/>
  <c r="Y122" i="65" a="1"/>
  <c r="Y122" i="65" s="1"/>
  <c r="X122" i="65" a="1"/>
  <c r="X122" i="65" s="1"/>
  <c r="W122" i="65" a="1"/>
  <c r="W122" i="65" s="1"/>
  <c r="V122" i="65" a="1"/>
  <c r="V122" i="65" s="1"/>
  <c r="U122" i="65" a="1"/>
  <c r="U122" i="65" s="1"/>
  <c r="T122" i="65" a="1"/>
  <c r="T122" i="65" s="1"/>
  <c r="S122" i="65" a="1"/>
  <c r="S122" i="65" s="1"/>
  <c r="R122" i="65" a="1"/>
  <c r="R122" i="65" s="1"/>
  <c r="Q122" i="65" a="1"/>
  <c r="Q122" i="65" s="1"/>
  <c r="P122" i="65" a="1"/>
  <c r="P122" i="65" s="1"/>
  <c r="O122" i="65" a="1"/>
  <c r="O122" i="65" s="1"/>
  <c r="N122" i="65" a="1"/>
  <c r="N122" i="65" s="1"/>
  <c r="M122" i="65" a="1"/>
  <c r="M122" i="65" s="1"/>
  <c r="L122" i="65" a="1"/>
  <c r="L122" i="65" s="1"/>
  <c r="K122" i="65" a="1"/>
  <c r="K122" i="65" s="1"/>
  <c r="J122" i="65" a="1"/>
  <c r="J122" i="65" s="1"/>
  <c r="I122" i="65" a="1"/>
  <c r="I122" i="65" s="1"/>
  <c r="H122" i="65" a="1"/>
  <c r="H122" i="65" s="1"/>
  <c r="G122" i="65" a="1"/>
  <c r="G122" i="65" s="1"/>
  <c r="F122" i="65" a="1"/>
  <c r="F122" i="65" s="1"/>
  <c r="E122" i="65" a="1"/>
  <c r="E122" i="65" s="1"/>
  <c r="D122" i="65" a="1"/>
  <c r="D122" i="65" s="1"/>
  <c r="AE121" i="65" a="1"/>
  <c r="AE121" i="65" s="1"/>
  <c r="AD121" i="65" a="1"/>
  <c r="AD121" i="65" s="1"/>
  <c r="AC121" i="65" a="1"/>
  <c r="AC121" i="65" s="1"/>
  <c r="AB121" i="65" a="1"/>
  <c r="AB121" i="65" s="1"/>
  <c r="AA121" i="65" a="1"/>
  <c r="AA121" i="65" s="1"/>
  <c r="Z121" i="65" a="1"/>
  <c r="Z121" i="65" s="1"/>
  <c r="Y121" i="65" a="1"/>
  <c r="Y121" i="65" s="1"/>
  <c r="X121" i="65" a="1"/>
  <c r="X121" i="65" s="1"/>
  <c r="W121" i="65" a="1"/>
  <c r="W121" i="65" s="1"/>
  <c r="V121" i="65" a="1"/>
  <c r="V121" i="65" s="1"/>
  <c r="U121" i="65" a="1"/>
  <c r="U121" i="65" s="1"/>
  <c r="T121" i="65" a="1"/>
  <c r="T121" i="65" s="1"/>
  <c r="S121" i="65" a="1"/>
  <c r="S121" i="65" s="1"/>
  <c r="R121" i="65" a="1"/>
  <c r="R121" i="65" s="1"/>
  <c r="Q121" i="65" a="1"/>
  <c r="Q121" i="65" s="1"/>
  <c r="P121" i="65" a="1"/>
  <c r="P121" i="65" s="1"/>
  <c r="O121" i="65" a="1"/>
  <c r="O121" i="65" s="1"/>
  <c r="N121" i="65" a="1"/>
  <c r="N121" i="65" s="1"/>
  <c r="M121" i="65" a="1"/>
  <c r="M121" i="65" s="1"/>
  <c r="L121" i="65" a="1"/>
  <c r="L121" i="65" s="1"/>
  <c r="K121" i="65" a="1"/>
  <c r="K121" i="65" s="1"/>
  <c r="J121" i="65" a="1"/>
  <c r="J121" i="65" s="1"/>
  <c r="I121" i="65" a="1"/>
  <c r="I121" i="65" s="1"/>
  <c r="H121" i="65" a="1"/>
  <c r="H121" i="65" s="1"/>
  <c r="G121" i="65" a="1"/>
  <c r="G121" i="65" s="1"/>
  <c r="F121" i="65" a="1"/>
  <c r="F121" i="65" s="1"/>
  <c r="E121" i="65" a="1"/>
  <c r="E121" i="65" s="1"/>
  <c r="D121" i="65" a="1"/>
  <c r="D121" i="65" s="1"/>
  <c r="AE120" i="65" a="1"/>
  <c r="AE120" i="65" s="1"/>
  <c r="AD120" i="65" a="1"/>
  <c r="AD120" i="65" s="1"/>
  <c r="AC120" i="65" a="1"/>
  <c r="AC120" i="65" s="1"/>
  <c r="AB120" i="65" a="1"/>
  <c r="AB120" i="65" s="1"/>
  <c r="AA120" i="65" a="1"/>
  <c r="AA120" i="65" s="1"/>
  <c r="Z120" i="65" a="1"/>
  <c r="Z120" i="65" s="1"/>
  <c r="Y120" i="65" a="1"/>
  <c r="Y120" i="65" s="1"/>
  <c r="X120" i="65" a="1"/>
  <c r="X120" i="65" s="1"/>
  <c r="W120" i="65" a="1"/>
  <c r="W120" i="65" s="1"/>
  <c r="V120" i="65" a="1"/>
  <c r="V120" i="65" s="1"/>
  <c r="U120" i="65" a="1"/>
  <c r="U120" i="65" s="1"/>
  <c r="T120" i="65" a="1"/>
  <c r="T120" i="65" s="1"/>
  <c r="S120" i="65" a="1"/>
  <c r="S120" i="65" s="1"/>
  <c r="R120" i="65" a="1"/>
  <c r="R120" i="65" s="1"/>
  <c r="Q120" i="65" a="1"/>
  <c r="Q120" i="65" s="1"/>
  <c r="P120" i="65" a="1"/>
  <c r="P120" i="65" s="1"/>
  <c r="O120" i="65" a="1"/>
  <c r="O120" i="65" s="1"/>
  <c r="N120" i="65" a="1"/>
  <c r="N120" i="65" s="1"/>
  <c r="M120" i="65" a="1"/>
  <c r="M120" i="65" s="1"/>
  <c r="L120" i="65" a="1"/>
  <c r="L120" i="65" s="1"/>
  <c r="K120" i="65" a="1"/>
  <c r="K120" i="65" s="1"/>
  <c r="J120" i="65" a="1"/>
  <c r="J120" i="65" s="1"/>
  <c r="I120" i="65" a="1"/>
  <c r="I120" i="65" s="1"/>
  <c r="H120" i="65" a="1"/>
  <c r="H120" i="65" s="1"/>
  <c r="G120" i="65" a="1"/>
  <c r="G120" i="65" s="1"/>
  <c r="F120" i="65" a="1"/>
  <c r="F120" i="65" s="1"/>
  <c r="E120" i="65" a="1"/>
  <c r="E120" i="65" s="1"/>
  <c r="D120" i="65" a="1"/>
  <c r="D120" i="65" s="1"/>
  <c r="AE119" i="65" a="1"/>
  <c r="AE119" i="65" s="1"/>
  <c r="AD119" i="65" a="1"/>
  <c r="AD119" i="65" s="1"/>
  <c r="AC119" i="65" a="1"/>
  <c r="AC119" i="65" s="1"/>
  <c r="AB119" i="65" a="1"/>
  <c r="AB119" i="65" s="1"/>
  <c r="AA119" i="65" a="1"/>
  <c r="AA119" i="65" s="1"/>
  <c r="Z119" i="65" a="1"/>
  <c r="Z119" i="65" s="1"/>
  <c r="Y119" i="65" a="1"/>
  <c r="Y119" i="65" s="1"/>
  <c r="X119" i="65" a="1"/>
  <c r="X119" i="65" s="1"/>
  <c r="W119" i="65" a="1"/>
  <c r="W119" i="65" s="1"/>
  <c r="V119" i="65" a="1"/>
  <c r="V119" i="65" s="1"/>
  <c r="U119" i="65" a="1"/>
  <c r="U119" i="65" s="1"/>
  <c r="T119" i="65" a="1"/>
  <c r="T119" i="65" s="1"/>
  <c r="S119" i="65" a="1"/>
  <c r="S119" i="65" s="1"/>
  <c r="R119" i="65" a="1"/>
  <c r="R119" i="65" s="1"/>
  <c r="Q119" i="65" a="1"/>
  <c r="Q119" i="65" s="1"/>
  <c r="P119" i="65" a="1"/>
  <c r="P119" i="65" s="1"/>
  <c r="O119" i="65" a="1"/>
  <c r="O119" i="65" s="1"/>
  <c r="N119" i="65" a="1"/>
  <c r="N119" i="65" s="1"/>
  <c r="M119" i="65" a="1"/>
  <c r="M119" i="65" s="1"/>
  <c r="L119" i="65" a="1"/>
  <c r="L119" i="65" s="1"/>
  <c r="K119" i="65" a="1"/>
  <c r="K119" i="65" s="1"/>
  <c r="J119" i="65" a="1"/>
  <c r="J119" i="65" s="1"/>
  <c r="I119" i="65" a="1"/>
  <c r="I119" i="65" s="1"/>
  <c r="H119" i="65" a="1"/>
  <c r="H119" i="65" s="1"/>
  <c r="G119" i="65" a="1"/>
  <c r="G119" i="65" s="1"/>
  <c r="F119" i="65" a="1"/>
  <c r="F119" i="65" s="1"/>
  <c r="E119" i="65" a="1"/>
  <c r="E119" i="65" s="1"/>
  <c r="D119" i="65" a="1"/>
  <c r="D119" i="65" s="1"/>
  <c r="AE118" i="65" a="1"/>
  <c r="AE118" i="65" s="1"/>
  <c r="AD118" i="65" a="1"/>
  <c r="AD118" i="65" s="1"/>
  <c r="AC118" i="65" a="1"/>
  <c r="AC118" i="65" s="1"/>
  <c r="AB118" i="65" a="1"/>
  <c r="AB118" i="65" s="1"/>
  <c r="AA118" i="65" a="1"/>
  <c r="AA118" i="65" s="1"/>
  <c r="Z118" i="65" a="1"/>
  <c r="Z118" i="65" s="1"/>
  <c r="Y118" i="65" a="1"/>
  <c r="Y118" i="65" s="1"/>
  <c r="X118" i="65" a="1"/>
  <c r="X118" i="65" s="1"/>
  <c r="W118" i="65" a="1"/>
  <c r="W118" i="65" s="1"/>
  <c r="V118" i="65" a="1"/>
  <c r="V118" i="65" s="1"/>
  <c r="U118" i="65" a="1"/>
  <c r="U118" i="65" s="1"/>
  <c r="T118" i="65" a="1"/>
  <c r="T118" i="65" s="1"/>
  <c r="S118" i="65" a="1"/>
  <c r="S118" i="65" s="1"/>
  <c r="R118" i="65" a="1"/>
  <c r="R118" i="65" s="1"/>
  <c r="Q118" i="65" a="1"/>
  <c r="Q118" i="65" s="1"/>
  <c r="P118" i="65" a="1"/>
  <c r="P118" i="65" s="1"/>
  <c r="O118" i="65" a="1"/>
  <c r="O118" i="65" s="1"/>
  <c r="N118" i="65" a="1"/>
  <c r="N118" i="65" s="1"/>
  <c r="M118" i="65" a="1"/>
  <c r="M118" i="65" s="1"/>
  <c r="L118" i="65" a="1"/>
  <c r="L118" i="65" s="1"/>
  <c r="K118" i="65" a="1"/>
  <c r="K118" i="65" s="1"/>
  <c r="J118" i="65" a="1"/>
  <c r="J118" i="65" s="1"/>
  <c r="I118" i="65" a="1"/>
  <c r="I118" i="65" s="1"/>
  <c r="H118" i="65" a="1"/>
  <c r="H118" i="65" s="1"/>
  <c r="G118" i="65" a="1"/>
  <c r="G118" i="65" s="1"/>
  <c r="F118" i="65" a="1"/>
  <c r="F118" i="65" s="1"/>
  <c r="E118" i="65" a="1"/>
  <c r="E118" i="65" s="1"/>
  <c r="D118" i="65" a="1"/>
  <c r="D118" i="65" s="1"/>
  <c r="AE117" i="65" a="1"/>
  <c r="AE117" i="65" s="1"/>
  <c r="AD117" i="65" a="1"/>
  <c r="AD117" i="65" s="1"/>
  <c r="AC117" i="65" a="1"/>
  <c r="AC117" i="65" s="1"/>
  <c r="AB117" i="65" a="1"/>
  <c r="AB117" i="65" s="1"/>
  <c r="AA117" i="65" a="1"/>
  <c r="AA117" i="65" s="1"/>
  <c r="Z117" i="65" a="1"/>
  <c r="Z117" i="65" s="1"/>
  <c r="Y117" i="65" a="1"/>
  <c r="Y117" i="65" s="1"/>
  <c r="X117" i="65" a="1"/>
  <c r="X117" i="65" s="1"/>
  <c r="W117" i="65" a="1"/>
  <c r="W117" i="65" s="1"/>
  <c r="V117" i="65" a="1"/>
  <c r="V117" i="65" s="1"/>
  <c r="U117" i="65" a="1"/>
  <c r="U117" i="65" s="1"/>
  <c r="T117" i="65" a="1"/>
  <c r="T117" i="65" s="1"/>
  <c r="S117" i="65" a="1"/>
  <c r="S117" i="65" s="1"/>
  <c r="R117" i="65" a="1"/>
  <c r="R117" i="65" s="1"/>
  <c r="Q117" i="65" a="1"/>
  <c r="Q117" i="65" s="1"/>
  <c r="P117" i="65" a="1"/>
  <c r="P117" i="65" s="1"/>
  <c r="O117" i="65" a="1"/>
  <c r="O117" i="65" s="1"/>
  <c r="N117" i="65" a="1"/>
  <c r="N117" i="65" s="1"/>
  <c r="M117" i="65" a="1"/>
  <c r="M117" i="65" s="1"/>
  <c r="L117" i="65" a="1"/>
  <c r="L117" i="65" s="1"/>
  <c r="K117" i="65" a="1"/>
  <c r="K117" i="65" s="1"/>
  <c r="J117" i="65" a="1"/>
  <c r="J117" i="65" s="1"/>
  <c r="I117" i="65" a="1"/>
  <c r="I117" i="65" s="1"/>
  <c r="H117" i="65" a="1"/>
  <c r="H117" i="65" s="1"/>
  <c r="G117" i="65" a="1"/>
  <c r="G117" i="65" s="1"/>
  <c r="F117" i="65" a="1"/>
  <c r="F117" i="65" s="1"/>
  <c r="E117" i="65" a="1"/>
  <c r="E117" i="65" s="1"/>
  <c r="D117" i="65" a="1"/>
  <c r="D117" i="65" s="1"/>
  <c r="AE116" i="65" a="1"/>
  <c r="AE116" i="65" s="1"/>
  <c r="AD116" i="65" a="1"/>
  <c r="AD116" i="65" s="1"/>
  <c r="AC116" i="65" a="1"/>
  <c r="AC116" i="65" s="1"/>
  <c r="AB116" i="65" a="1"/>
  <c r="AB116" i="65" s="1"/>
  <c r="AA116" i="65" a="1"/>
  <c r="AA116" i="65" s="1"/>
  <c r="Z116" i="65" a="1"/>
  <c r="Z116" i="65" s="1"/>
  <c r="Y116" i="65" a="1"/>
  <c r="Y116" i="65" s="1"/>
  <c r="X116" i="65" a="1"/>
  <c r="X116" i="65" s="1"/>
  <c r="W116" i="65" a="1"/>
  <c r="W116" i="65" s="1"/>
  <c r="V116" i="65" a="1"/>
  <c r="V116" i="65" s="1"/>
  <c r="U116" i="65" a="1"/>
  <c r="U116" i="65" s="1"/>
  <c r="T116" i="65" a="1"/>
  <c r="T116" i="65" s="1"/>
  <c r="S116" i="65" a="1"/>
  <c r="S116" i="65" s="1"/>
  <c r="R116" i="65" a="1"/>
  <c r="R116" i="65" s="1"/>
  <c r="Q116" i="65" a="1"/>
  <c r="Q116" i="65" s="1"/>
  <c r="P116" i="65" a="1"/>
  <c r="P116" i="65" s="1"/>
  <c r="O116" i="65" a="1"/>
  <c r="O116" i="65" s="1"/>
  <c r="N116" i="65" a="1"/>
  <c r="N116" i="65" s="1"/>
  <c r="M116" i="65" a="1"/>
  <c r="M116" i="65" s="1"/>
  <c r="L116" i="65" a="1"/>
  <c r="L116" i="65" s="1"/>
  <c r="K116" i="65" a="1"/>
  <c r="K116" i="65" s="1"/>
  <c r="J116" i="65" a="1"/>
  <c r="J116" i="65" s="1"/>
  <c r="I116" i="65" a="1"/>
  <c r="I116" i="65" s="1"/>
  <c r="H116" i="65" a="1"/>
  <c r="H116" i="65" s="1"/>
  <c r="G116" i="65" a="1"/>
  <c r="G116" i="65" s="1"/>
  <c r="F116" i="65" a="1"/>
  <c r="F116" i="65" s="1"/>
  <c r="E116" i="65" a="1"/>
  <c r="E116" i="65" s="1"/>
  <c r="D116" i="65" a="1"/>
  <c r="D116" i="65" s="1"/>
  <c r="AE115" i="65" a="1"/>
  <c r="AE115" i="65" s="1"/>
  <c r="AD115" i="65" a="1"/>
  <c r="AD115" i="65" s="1"/>
  <c r="AC115" i="65" a="1"/>
  <c r="AC115" i="65" s="1"/>
  <c r="AB115" i="65" a="1"/>
  <c r="AB115" i="65" s="1"/>
  <c r="AA115" i="65" a="1"/>
  <c r="AA115" i="65" s="1"/>
  <c r="Z115" i="65" a="1"/>
  <c r="Z115" i="65" s="1"/>
  <c r="Y115" i="65" a="1"/>
  <c r="Y115" i="65" s="1"/>
  <c r="X115" i="65" a="1"/>
  <c r="X115" i="65" s="1"/>
  <c r="W115" i="65" a="1"/>
  <c r="W115" i="65" s="1"/>
  <c r="V115" i="65" a="1"/>
  <c r="V115" i="65" s="1"/>
  <c r="U115" i="65" a="1"/>
  <c r="U115" i="65" s="1"/>
  <c r="T115" i="65" a="1"/>
  <c r="T115" i="65" s="1"/>
  <c r="S115" i="65" a="1"/>
  <c r="S115" i="65" s="1"/>
  <c r="R115" i="65" a="1"/>
  <c r="R115" i="65" s="1"/>
  <c r="Q115" i="65" a="1"/>
  <c r="Q115" i="65" s="1"/>
  <c r="P115" i="65" a="1"/>
  <c r="P115" i="65" s="1"/>
  <c r="O115" i="65" a="1"/>
  <c r="O115" i="65" s="1"/>
  <c r="N115" i="65" a="1"/>
  <c r="N115" i="65" s="1"/>
  <c r="M115" i="65" a="1"/>
  <c r="M115" i="65" s="1"/>
  <c r="L115" i="65" a="1"/>
  <c r="L115" i="65" s="1"/>
  <c r="K115" i="65" a="1"/>
  <c r="K115" i="65" s="1"/>
  <c r="J115" i="65" a="1"/>
  <c r="J115" i="65" s="1"/>
  <c r="I115" i="65" a="1"/>
  <c r="I115" i="65" s="1"/>
  <c r="H115" i="65" a="1"/>
  <c r="H115" i="65" s="1"/>
  <c r="G115" i="65" a="1"/>
  <c r="G115" i="65" s="1"/>
  <c r="F115" i="65" a="1"/>
  <c r="F115" i="65" s="1"/>
  <c r="E115" i="65" a="1"/>
  <c r="E115" i="65" s="1"/>
  <c r="D115" i="65" a="1"/>
  <c r="D115" i="65" s="1"/>
  <c r="AE114" i="65" a="1"/>
  <c r="AE114" i="65" s="1"/>
  <c r="AD114" i="65" a="1"/>
  <c r="AD114" i="65" s="1"/>
  <c r="AC114" i="65" a="1"/>
  <c r="AC114" i="65" s="1"/>
  <c r="AB114" i="65" a="1"/>
  <c r="AB114" i="65" s="1"/>
  <c r="AA114" i="65" a="1"/>
  <c r="AA114" i="65" s="1"/>
  <c r="Z114" i="65" a="1"/>
  <c r="Z114" i="65" s="1"/>
  <c r="Y114" i="65" a="1"/>
  <c r="Y114" i="65" s="1"/>
  <c r="X114" i="65" a="1"/>
  <c r="X114" i="65" s="1"/>
  <c r="W114" i="65" a="1"/>
  <c r="W114" i="65" s="1"/>
  <c r="V114" i="65" a="1"/>
  <c r="V114" i="65" s="1"/>
  <c r="U114" i="65" a="1"/>
  <c r="U114" i="65" s="1"/>
  <c r="T114" i="65" a="1"/>
  <c r="T114" i="65" s="1"/>
  <c r="S114" i="65" a="1"/>
  <c r="S114" i="65" s="1"/>
  <c r="R114" i="65" a="1"/>
  <c r="R114" i="65" s="1"/>
  <c r="Q114" i="65" a="1"/>
  <c r="Q114" i="65" s="1"/>
  <c r="P114" i="65" a="1"/>
  <c r="P114" i="65" s="1"/>
  <c r="O114" i="65" a="1"/>
  <c r="O114" i="65" s="1"/>
  <c r="N114" i="65" a="1"/>
  <c r="N114" i="65" s="1"/>
  <c r="M114" i="65" a="1"/>
  <c r="M114" i="65" s="1"/>
  <c r="L114" i="65" a="1"/>
  <c r="L114" i="65" s="1"/>
  <c r="K114" i="65" a="1"/>
  <c r="K114" i="65" s="1"/>
  <c r="J114" i="65" a="1"/>
  <c r="J114" i="65" s="1"/>
  <c r="I114" i="65" a="1"/>
  <c r="I114" i="65" s="1"/>
  <c r="H114" i="65" a="1"/>
  <c r="H114" i="65" s="1"/>
  <c r="G114" i="65" a="1"/>
  <c r="G114" i="65" s="1"/>
  <c r="F114" i="65" a="1"/>
  <c r="F114" i="65" s="1"/>
  <c r="E114" i="65" a="1"/>
  <c r="E114" i="65" s="1"/>
  <c r="D114" i="65" a="1"/>
  <c r="D114" i="65" s="1"/>
  <c r="AE113" i="65" a="1"/>
  <c r="AE113" i="65" s="1"/>
  <c r="AD113" i="65" a="1"/>
  <c r="AD113" i="65" s="1"/>
  <c r="AC113" i="65" a="1"/>
  <c r="AC113" i="65" s="1"/>
  <c r="AB113" i="65" a="1"/>
  <c r="AB113" i="65" s="1"/>
  <c r="AA113" i="65" a="1"/>
  <c r="AA113" i="65" s="1"/>
  <c r="Z113" i="65" a="1"/>
  <c r="Z113" i="65" s="1"/>
  <c r="Y113" i="65" a="1"/>
  <c r="Y113" i="65" s="1"/>
  <c r="X113" i="65" a="1"/>
  <c r="X113" i="65" s="1"/>
  <c r="W113" i="65" a="1"/>
  <c r="W113" i="65" s="1"/>
  <c r="V113" i="65" a="1"/>
  <c r="V113" i="65" s="1"/>
  <c r="U113" i="65" a="1"/>
  <c r="U113" i="65" s="1"/>
  <c r="T113" i="65" a="1"/>
  <c r="T113" i="65" s="1"/>
  <c r="S113" i="65" a="1"/>
  <c r="S113" i="65" s="1"/>
  <c r="R113" i="65" a="1"/>
  <c r="R113" i="65" s="1"/>
  <c r="Q113" i="65" a="1"/>
  <c r="Q113" i="65" s="1"/>
  <c r="P113" i="65" a="1"/>
  <c r="P113" i="65" s="1"/>
  <c r="O113" i="65" a="1"/>
  <c r="O113" i="65" s="1"/>
  <c r="N113" i="65" a="1"/>
  <c r="N113" i="65" s="1"/>
  <c r="M113" i="65" a="1"/>
  <c r="M113" i="65" s="1"/>
  <c r="L113" i="65" a="1"/>
  <c r="L113" i="65" s="1"/>
  <c r="K113" i="65" a="1"/>
  <c r="K113" i="65" s="1"/>
  <c r="J113" i="65" a="1"/>
  <c r="J113" i="65" s="1"/>
  <c r="I113" i="65" a="1"/>
  <c r="I113" i="65" s="1"/>
  <c r="H113" i="65" a="1"/>
  <c r="H113" i="65" s="1"/>
  <c r="G113" i="65" a="1"/>
  <c r="G113" i="65" s="1"/>
  <c r="F113" i="65" a="1"/>
  <c r="F113" i="65" s="1"/>
  <c r="E113" i="65" a="1"/>
  <c r="E113" i="65" s="1"/>
  <c r="D113" i="65" a="1"/>
  <c r="D113" i="65" s="1"/>
  <c r="AE112" i="65" a="1"/>
  <c r="AE112" i="65" s="1"/>
  <c r="AD112" i="65" a="1"/>
  <c r="AD112" i="65" s="1"/>
  <c r="AC112" i="65" a="1"/>
  <c r="AC112" i="65" s="1"/>
  <c r="AB112" i="65" a="1"/>
  <c r="AB112" i="65" s="1"/>
  <c r="AA112" i="65" a="1"/>
  <c r="AA112" i="65" s="1"/>
  <c r="Z112" i="65" a="1"/>
  <c r="Z112" i="65" s="1"/>
  <c r="Y112" i="65" a="1"/>
  <c r="Y112" i="65" s="1"/>
  <c r="X112" i="65" a="1"/>
  <c r="X112" i="65" s="1"/>
  <c r="W112" i="65" a="1"/>
  <c r="W112" i="65" s="1"/>
  <c r="V112" i="65" a="1"/>
  <c r="V112" i="65" s="1"/>
  <c r="U112" i="65" a="1"/>
  <c r="U112" i="65" s="1"/>
  <c r="T112" i="65" a="1"/>
  <c r="T112" i="65" s="1"/>
  <c r="S112" i="65" a="1"/>
  <c r="S112" i="65" s="1"/>
  <c r="R112" i="65" a="1"/>
  <c r="R112" i="65" s="1"/>
  <c r="Q112" i="65" a="1"/>
  <c r="Q112" i="65" s="1"/>
  <c r="P112" i="65" a="1"/>
  <c r="P112" i="65" s="1"/>
  <c r="O112" i="65" a="1"/>
  <c r="O112" i="65" s="1"/>
  <c r="N112" i="65" a="1"/>
  <c r="N112" i="65" s="1"/>
  <c r="M112" i="65" a="1"/>
  <c r="M112" i="65" s="1"/>
  <c r="L112" i="65" a="1"/>
  <c r="L112" i="65" s="1"/>
  <c r="K112" i="65" a="1"/>
  <c r="K112" i="65" s="1"/>
  <c r="J112" i="65" a="1"/>
  <c r="J112" i="65" s="1"/>
  <c r="I112" i="65" a="1"/>
  <c r="I112" i="65" s="1"/>
  <c r="H112" i="65" a="1"/>
  <c r="H112" i="65" s="1"/>
  <c r="G112" i="65" a="1"/>
  <c r="G112" i="65" s="1"/>
  <c r="F112" i="65" a="1"/>
  <c r="F112" i="65" s="1"/>
  <c r="E112" i="65" a="1"/>
  <c r="E112" i="65" s="1"/>
  <c r="D112" i="65" a="1"/>
  <c r="D112" i="65" s="1"/>
  <c r="AE111" i="65" a="1"/>
  <c r="AE111" i="65" s="1"/>
  <c r="AD111" i="65" a="1"/>
  <c r="AD111" i="65" s="1"/>
  <c r="AC111" i="65" a="1"/>
  <c r="AC111" i="65" s="1"/>
  <c r="AB111" i="65" a="1"/>
  <c r="AB111" i="65" s="1"/>
  <c r="AA111" i="65" a="1"/>
  <c r="AA111" i="65" s="1"/>
  <c r="Z111" i="65" a="1"/>
  <c r="Z111" i="65" s="1"/>
  <c r="Y111" i="65" a="1"/>
  <c r="Y111" i="65" s="1"/>
  <c r="X111" i="65" a="1"/>
  <c r="X111" i="65" s="1"/>
  <c r="W111" i="65" a="1"/>
  <c r="W111" i="65" s="1"/>
  <c r="V111" i="65" a="1"/>
  <c r="V111" i="65" s="1"/>
  <c r="U111" i="65" a="1"/>
  <c r="U111" i="65" s="1"/>
  <c r="T111" i="65" a="1"/>
  <c r="T111" i="65" s="1"/>
  <c r="S111" i="65" a="1"/>
  <c r="S111" i="65" s="1"/>
  <c r="R111" i="65" a="1"/>
  <c r="R111" i="65" s="1"/>
  <c r="Q111" i="65" a="1"/>
  <c r="Q111" i="65" s="1"/>
  <c r="P111" i="65" a="1"/>
  <c r="P111" i="65" s="1"/>
  <c r="O111" i="65" a="1"/>
  <c r="O111" i="65" s="1"/>
  <c r="N111" i="65" a="1"/>
  <c r="N111" i="65" s="1"/>
  <c r="M111" i="65" a="1"/>
  <c r="M111" i="65" s="1"/>
  <c r="L111" i="65" a="1"/>
  <c r="L111" i="65" s="1"/>
  <c r="K111" i="65" a="1"/>
  <c r="K111" i="65" s="1"/>
  <c r="J111" i="65" a="1"/>
  <c r="J111" i="65" s="1"/>
  <c r="I111" i="65" a="1"/>
  <c r="I111" i="65" s="1"/>
  <c r="H111" i="65" a="1"/>
  <c r="H111" i="65" s="1"/>
  <c r="G111" i="65" a="1"/>
  <c r="G111" i="65" s="1"/>
  <c r="F111" i="65" a="1"/>
  <c r="F111" i="65" s="1"/>
  <c r="E111" i="65" a="1"/>
  <c r="E111" i="65" s="1"/>
  <c r="D111" i="65" a="1"/>
  <c r="D111" i="65" s="1"/>
  <c r="AE110" i="65" a="1"/>
  <c r="AE110" i="65" s="1"/>
  <c r="AD110" i="65" a="1"/>
  <c r="AD110" i="65" s="1"/>
  <c r="AC110" i="65" a="1"/>
  <c r="AC110" i="65" s="1"/>
  <c r="AB110" i="65" a="1"/>
  <c r="AB110" i="65" s="1"/>
  <c r="AA110" i="65" a="1"/>
  <c r="AA110" i="65" s="1"/>
  <c r="Z110" i="65" a="1"/>
  <c r="Z110" i="65" s="1"/>
  <c r="Y110" i="65" a="1"/>
  <c r="Y110" i="65" s="1"/>
  <c r="X110" i="65" a="1"/>
  <c r="X110" i="65" s="1"/>
  <c r="W110" i="65" a="1"/>
  <c r="W110" i="65" s="1"/>
  <c r="V110" i="65" a="1"/>
  <c r="V110" i="65" s="1"/>
  <c r="U110" i="65" a="1"/>
  <c r="U110" i="65" s="1"/>
  <c r="T110" i="65" a="1"/>
  <c r="T110" i="65" s="1"/>
  <c r="S110" i="65" a="1"/>
  <c r="S110" i="65" s="1"/>
  <c r="R110" i="65" a="1"/>
  <c r="R110" i="65" s="1"/>
  <c r="Q110" i="65" a="1"/>
  <c r="Q110" i="65" s="1"/>
  <c r="P110" i="65" a="1"/>
  <c r="P110" i="65" s="1"/>
  <c r="O110" i="65" a="1"/>
  <c r="O110" i="65" s="1"/>
  <c r="N110" i="65" a="1"/>
  <c r="N110" i="65" s="1"/>
  <c r="M110" i="65" a="1"/>
  <c r="M110" i="65" s="1"/>
  <c r="L110" i="65" a="1"/>
  <c r="L110" i="65" s="1"/>
  <c r="K110" i="65" a="1"/>
  <c r="K110" i="65" s="1"/>
  <c r="J110" i="65" a="1"/>
  <c r="J110" i="65" s="1"/>
  <c r="I110" i="65" a="1"/>
  <c r="I110" i="65" s="1"/>
  <c r="H110" i="65" a="1"/>
  <c r="H110" i="65" s="1"/>
  <c r="G110" i="65" a="1"/>
  <c r="G110" i="65" s="1"/>
  <c r="F110" i="65" a="1"/>
  <c r="F110" i="65" s="1"/>
  <c r="E110" i="65" a="1"/>
  <c r="E110" i="65" s="1"/>
  <c r="D110" i="65" a="1"/>
  <c r="D110" i="65" s="1"/>
  <c r="AE109" i="65" a="1"/>
  <c r="AE109" i="65" s="1"/>
  <c r="AD109" i="65" a="1"/>
  <c r="AD109" i="65" s="1"/>
  <c r="AC109" i="65" a="1"/>
  <c r="AC109" i="65" s="1"/>
  <c r="AB109" i="65" a="1"/>
  <c r="AB109" i="65" s="1"/>
  <c r="AA109" i="65" a="1"/>
  <c r="AA109" i="65" s="1"/>
  <c r="Z109" i="65" a="1"/>
  <c r="Z109" i="65" s="1"/>
  <c r="Y109" i="65" a="1"/>
  <c r="Y109" i="65" s="1"/>
  <c r="X109" i="65" a="1"/>
  <c r="X109" i="65" s="1"/>
  <c r="W109" i="65" a="1"/>
  <c r="W109" i="65" s="1"/>
  <c r="V109" i="65" a="1"/>
  <c r="V109" i="65" s="1"/>
  <c r="U109" i="65" a="1"/>
  <c r="U109" i="65" s="1"/>
  <c r="T109" i="65" a="1"/>
  <c r="T109" i="65" s="1"/>
  <c r="S109" i="65" a="1"/>
  <c r="S109" i="65" s="1"/>
  <c r="R109" i="65" a="1"/>
  <c r="R109" i="65" s="1"/>
  <c r="Q109" i="65" a="1"/>
  <c r="Q109" i="65" s="1"/>
  <c r="P109" i="65" a="1"/>
  <c r="P109" i="65" s="1"/>
  <c r="O109" i="65" a="1"/>
  <c r="O109" i="65" s="1"/>
  <c r="N109" i="65" a="1"/>
  <c r="N109" i="65" s="1"/>
  <c r="M109" i="65" a="1"/>
  <c r="M109" i="65" s="1"/>
  <c r="L109" i="65" a="1"/>
  <c r="L109" i="65" s="1"/>
  <c r="K109" i="65" a="1"/>
  <c r="K109" i="65" s="1"/>
  <c r="J109" i="65" a="1"/>
  <c r="J109" i="65" s="1"/>
  <c r="I109" i="65" a="1"/>
  <c r="I109" i="65" s="1"/>
  <c r="H109" i="65" a="1"/>
  <c r="H109" i="65" s="1"/>
  <c r="G109" i="65" a="1"/>
  <c r="G109" i="65" s="1"/>
  <c r="F109" i="65" a="1"/>
  <c r="F109" i="65" s="1"/>
  <c r="E109" i="65" a="1"/>
  <c r="E109" i="65" s="1"/>
  <c r="D109" i="65" a="1"/>
  <c r="D109" i="65" s="1"/>
  <c r="AE108" i="65" a="1"/>
  <c r="AE108" i="65" s="1"/>
  <c r="AD108" i="65" a="1"/>
  <c r="AD108" i="65" s="1"/>
  <c r="AC108" i="65" a="1"/>
  <c r="AC108" i="65" s="1"/>
  <c r="AB108" i="65" a="1"/>
  <c r="AB108" i="65" s="1"/>
  <c r="AA108" i="65" a="1"/>
  <c r="AA108" i="65" s="1"/>
  <c r="Z108" i="65" a="1"/>
  <c r="Z108" i="65" s="1"/>
  <c r="Y108" i="65" a="1"/>
  <c r="Y108" i="65" s="1"/>
  <c r="X108" i="65" a="1"/>
  <c r="X108" i="65" s="1"/>
  <c r="W108" i="65" a="1"/>
  <c r="W108" i="65" s="1"/>
  <c r="V108" i="65" a="1"/>
  <c r="V108" i="65" s="1"/>
  <c r="U108" i="65" a="1"/>
  <c r="U108" i="65" s="1"/>
  <c r="T108" i="65" a="1"/>
  <c r="T108" i="65" s="1"/>
  <c r="S108" i="65" a="1"/>
  <c r="S108" i="65" s="1"/>
  <c r="R108" i="65" a="1"/>
  <c r="R108" i="65" s="1"/>
  <c r="Q108" i="65" a="1"/>
  <c r="Q108" i="65" s="1"/>
  <c r="P108" i="65" a="1"/>
  <c r="P108" i="65" s="1"/>
  <c r="O108" i="65" a="1"/>
  <c r="O108" i="65" s="1"/>
  <c r="N108" i="65" a="1"/>
  <c r="N108" i="65" s="1"/>
  <c r="M108" i="65" a="1"/>
  <c r="M108" i="65" s="1"/>
  <c r="L108" i="65" a="1"/>
  <c r="L108" i="65" s="1"/>
  <c r="K108" i="65" a="1"/>
  <c r="K108" i="65" s="1"/>
  <c r="J108" i="65" a="1"/>
  <c r="J108" i="65" s="1"/>
  <c r="I108" i="65" a="1"/>
  <c r="I108" i="65" s="1"/>
  <c r="H108" i="65" a="1"/>
  <c r="H108" i="65" s="1"/>
  <c r="G108" i="65" a="1"/>
  <c r="G108" i="65" s="1"/>
  <c r="F108" i="65" a="1"/>
  <c r="F108" i="65" s="1"/>
  <c r="E108" i="65" a="1"/>
  <c r="E108" i="65" s="1"/>
  <c r="D108" i="65" a="1"/>
  <c r="D108" i="65" s="1"/>
  <c r="AE107" i="65" a="1"/>
  <c r="AE107" i="65" s="1"/>
  <c r="AD107" i="65" a="1"/>
  <c r="AD107" i="65" s="1"/>
  <c r="AC107" i="65" a="1"/>
  <c r="AC107" i="65" s="1"/>
  <c r="AB107" i="65" a="1"/>
  <c r="AB107" i="65" s="1"/>
  <c r="AA107" i="65" a="1"/>
  <c r="AA107" i="65" s="1"/>
  <c r="Z107" i="65" a="1"/>
  <c r="Z107" i="65" s="1"/>
  <c r="Y107" i="65" a="1"/>
  <c r="Y107" i="65" s="1"/>
  <c r="X107" i="65" a="1"/>
  <c r="X107" i="65" s="1"/>
  <c r="W107" i="65" a="1"/>
  <c r="W107" i="65" s="1"/>
  <c r="V107" i="65" a="1"/>
  <c r="V107" i="65" s="1"/>
  <c r="U107" i="65" a="1"/>
  <c r="U107" i="65" s="1"/>
  <c r="T107" i="65" a="1"/>
  <c r="T107" i="65" s="1"/>
  <c r="S107" i="65" a="1"/>
  <c r="S107" i="65" s="1"/>
  <c r="R107" i="65" a="1"/>
  <c r="R107" i="65" s="1"/>
  <c r="Q107" i="65" a="1"/>
  <c r="Q107" i="65" s="1"/>
  <c r="P107" i="65" a="1"/>
  <c r="P107" i="65" s="1"/>
  <c r="O107" i="65" a="1"/>
  <c r="O107" i="65" s="1"/>
  <c r="N107" i="65" a="1"/>
  <c r="N107" i="65" s="1"/>
  <c r="M107" i="65" a="1"/>
  <c r="M107" i="65" s="1"/>
  <c r="L107" i="65" a="1"/>
  <c r="L107" i="65" s="1"/>
  <c r="K107" i="65" a="1"/>
  <c r="K107" i="65" s="1"/>
  <c r="J107" i="65" a="1"/>
  <c r="J107" i="65" s="1"/>
  <c r="I107" i="65" a="1"/>
  <c r="I107" i="65" s="1"/>
  <c r="H107" i="65" a="1"/>
  <c r="H107" i="65" s="1"/>
  <c r="G107" i="65" a="1"/>
  <c r="G107" i="65" s="1"/>
  <c r="F107" i="65" a="1"/>
  <c r="F107" i="65" s="1"/>
  <c r="E107" i="65" a="1"/>
  <c r="E107" i="65" s="1"/>
  <c r="D107" i="65" a="1"/>
  <c r="D107" i="65" s="1"/>
  <c r="AE106" i="65" a="1"/>
  <c r="AE106" i="65" s="1"/>
  <c r="AD106" i="65" a="1"/>
  <c r="AD106" i="65" s="1"/>
  <c r="AC106" i="65" a="1"/>
  <c r="AC106" i="65" s="1"/>
  <c r="AB106" i="65" a="1"/>
  <c r="AB106" i="65" s="1"/>
  <c r="AA106" i="65" a="1"/>
  <c r="AA106" i="65" s="1"/>
  <c r="Z106" i="65" a="1"/>
  <c r="Z106" i="65" s="1"/>
  <c r="Y106" i="65" a="1"/>
  <c r="Y106" i="65" s="1"/>
  <c r="X106" i="65" a="1"/>
  <c r="X106" i="65" s="1"/>
  <c r="W106" i="65" a="1"/>
  <c r="W106" i="65" s="1"/>
  <c r="V106" i="65" a="1"/>
  <c r="V106" i="65" s="1"/>
  <c r="U106" i="65" a="1"/>
  <c r="U106" i="65" s="1"/>
  <c r="T106" i="65" a="1"/>
  <c r="T106" i="65" s="1"/>
  <c r="S106" i="65" a="1"/>
  <c r="S106" i="65" s="1"/>
  <c r="R106" i="65" a="1"/>
  <c r="R106" i="65" s="1"/>
  <c r="Q106" i="65" a="1"/>
  <c r="Q106" i="65" s="1"/>
  <c r="P106" i="65" a="1"/>
  <c r="P106" i="65" s="1"/>
  <c r="O106" i="65" a="1"/>
  <c r="O106" i="65" s="1"/>
  <c r="N106" i="65" a="1"/>
  <c r="N106" i="65" s="1"/>
  <c r="M106" i="65" a="1"/>
  <c r="M106" i="65" s="1"/>
  <c r="L106" i="65" a="1"/>
  <c r="L106" i="65" s="1"/>
  <c r="K106" i="65" a="1"/>
  <c r="K106" i="65" s="1"/>
  <c r="J106" i="65" a="1"/>
  <c r="J106" i="65" s="1"/>
  <c r="I106" i="65" a="1"/>
  <c r="I106" i="65" s="1"/>
  <c r="H106" i="65" a="1"/>
  <c r="H106" i="65" s="1"/>
  <c r="G106" i="65" a="1"/>
  <c r="G106" i="65" s="1"/>
  <c r="F106" i="65" a="1"/>
  <c r="F106" i="65" s="1"/>
  <c r="E106" i="65" a="1"/>
  <c r="E106" i="65" s="1"/>
  <c r="D106" i="65" a="1"/>
  <c r="D106" i="65" s="1"/>
  <c r="AE105" i="65" a="1"/>
  <c r="AE105" i="65" s="1"/>
  <c r="AD105" i="65" a="1"/>
  <c r="AD105" i="65" s="1"/>
  <c r="AC105" i="65" a="1"/>
  <c r="AC105" i="65" s="1"/>
  <c r="AB105" i="65" a="1"/>
  <c r="AB105" i="65" s="1"/>
  <c r="AA105" i="65" a="1"/>
  <c r="AA105" i="65" s="1"/>
  <c r="Z105" i="65" a="1"/>
  <c r="Z105" i="65" s="1"/>
  <c r="Y105" i="65" a="1"/>
  <c r="Y105" i="65" s="1"/>
  <c r="X105" i="65" a="1"/>
  <c r="X105" i="65" s="1"/>
  <c r="W105" i="65" a="1"/>
  <c r="W105" i="65" s="1"/>
  <c r="V105" i="65" a="1"/>
  <c r="V105" i="65" s="1"/>
  <c r="U105" i="65" a="1"/>
  <c r="U105" i="65" s="1"/>
  <c r="T105" i="65" a="1"/>
  <c r="T105" i="65" s="1"/>
  <c r="S105" i="65" a="1"/>
  <c r="S105" i="65" s="1"/>
  <c r="R105" i="65" a="1"/>
  <c r="R105" i="65" s="1"/>
  <c r="Q105" i="65" a="1"/>
  <c r="Q105" i="65" s="1"/>
  <c r="P105" i="65" a="1"/>
  <c r="P105" i="65" s="1"/>
  <c r="O105" i="65" a="1"/>
  <c r="O105" i="65" s="1"/>
  <c r="N105" i="65" a="1"/>
  <c r="N105" i="65" s="1"/>
  <c r="M105" i="65" a="1"/>
  <c r="M105" i="65" s="1"/>
  <c r="L105" i="65" a="1"/>
  <c r="L105" i="65" s="1"/>
  <c r="K105" i="65" a="1"/>
  <c r="K105" i="65" s="1"/>
  <c r="J105" i="65" a="1"/>
  <c r="J105" i="65" s="1"/>
  <c r="I105" i="65" a="1"/>
  <c r="I105" i="65" s="1"/>
  <c r="H105" i="65" a="1"/>
  <c r="H105" i="65" s="1"/>
  <c r="G105" i="65" a="1"/>
  <c r="G105" i="65" s="1"/>
  <c r="F105" i="65" a="1"/>
  <c r="F105" i="65" s="1"/>
  <c r="E105" i="65" a="1"/>
  <c r="E105" i="65" s="1"/>
  <c r="D105" i="65" a="1"/>
  <c r="D105" i="65" s="1"/>
  <c r="AE104" i="65" a="1"/>
  <c r="AE104" i="65" s="1"/>
  <c r="AD104" i="65" a="1"/>
  <c r="AD104" i="65" s="1"/>
  <c r="AC104" i="65" a="1"/>
  <c r="AC104" i="65" s="1"/>
  <c r="AB104" i="65" a="1"/>
  <c r="AB104" i="65" s="1"/>
  <c r="AA104" i="65" a="1"/>
  <c r="AA104" i="65" s="1"/>
  <c r="Z104" i="65" a="1"/>
  <c r="Z104" i="65" s="1"/>
  <c r="Y104" i="65" a="1"/>
  <c r="Y104" i="65" s="1"/>
  <c r="X104" i="65" a="1"/>
  <c r="X104" i="65" s="1"/>
  <c r="W104" i="65" a="1"/>
  <c r="W104" i="65" s="1"/>
  <c r="V104" i="65" a="1"/>
  <c r="V104" i="65" s="1"/>
  <c r="U104" i="65" a="1"/>
  <c r="U104" i="65" s="1"/>
  <c r="T104" i="65" a="1"/>
  <c r="T104" i="65" s="1"/>
  <c r="S104" i="65" a="1"/>
  <c r="S104" i="65" s="1"/>
  <c r="R104" i="65" a="1"/>
  <c r="R104" i="65" s="1"/>
  <c r="Q104" i="65" a="1"/>
  <c r="Q104" i="65" s="1"/>
  <c r="P104" i="65" a="1"/>
  <c r="P104" i="65" s="1"/>
  <c r="O104" i="65" a="1"/>
  <c r="O104" i="65" s="1"/>
  <c r="N104" i="65" a="1"/>
  <c r="N104" i="65" s="1"/>
  <c r="M104" i="65" a="1"/>
  <c r="M104" i="65" s="1"/>
  <c r="L104" i="65" a="1"/>
  <c r="L104" i="65" s="1"/>
  <c r="K104" i="65" a="1"/>
  <c r="K104" i="65" s="1"/>
  <c r="J104" i="65" a="1"/>
  <c r="J104" i="65" s="1"/>
  <c r="I104" i="65" a="1"/>
  <c r="I104" i="65" s="1"/>
  <c r="H104" i="65" a="1"/>
  <c r="H104" i="65" s="1"/>
  <c r="G104" i="65" a="1"/>
  <c r="G104" i="65" s="1"/>
  <c r="F104" i="65" a="1"/>
  <c r="F104" i="65" s="1"/>
  <c r="E104" i="65" a="1"/>
  <c r="E104" i="65" s="1"/>
  <c r="D104" i="65" a="1"/>
  <c r="D104" i="65" s="1"/>
  <c r="AE103" i="65" a="1"/>
  <c r="AE103" i="65" s="1"/>
  <c r="AD103" i="65" a="1"/>
  <c r="AD103" i="65" s="1"/>
  <c r="AC103" i="65" a="1"/>
  <c r="AC103" i="65" s="1"/>
  <c r="AB103" i="65" a="1"/>
  <c r="AB103" i="65" s="1"/>
  <c r="AA103" i="65" a="1"/>
  <c r="AA103" i="65" s="1"/>
  <c r="Z103" i="65" a="1"/>
  <c r="Z103" i="65" s="1"/>
  <c r="Y103" i="65" a="1"/>
  <c r="Y103" i="65" s="1"/>
  <c r="X103" i="65" a="1"/>
  <c r="X103" i="65" s="1"/>
  <c r="W103" i="65" a="1"/>
  <c r="W103" i="65" s="1"/>
  <c r="V103" i="65" a="1"/>
  <c r="V103" i="65" s="1"/>
  <c r="U103" i="65" a="1"/>
  <c r="U103" i="65" s="1"/>
  <c r="T103" i="65" a="1"/>
  <c r="T103" i="65" s="1"/>
  <c r="S103" i="65" a="1"/>
  <c r="S103" i="65" s="1"/>
  <c r="R103" i="65" a="1"/>
  <c r="R103" i="65" s="1"/>
  <c r="Q103" i="65" a="1"/>
  <c r="Q103" i="65" s="1"/>
  <c r="P103" i="65" a="1"/>
  <c r="P103" i="65" s="1"/>
  <c r="O103" i="65" a="1"/>
  <c r="O103" i="65" s="1"/>
  <c r="N103" i="65" a="1"/>
  <c r="N103" i="65" s="1"/>
  <c r="M103" i="65" a="1"/>
  <c r="M103" i="65" s="1"/>
  <c r="L103" i="65" a="1"/>
  <c r="L103" i="65" s="1"/>
  <c r="K103" i="65" a="1"/>
  <c r="K103" i="65" s="1"/>
  <c r="J103" i="65" a="1"/>
  <c r="J103" i="65" s="1"/>
  <c r="I103" i="65" a="1"/>
  <c r="I103" i="65" s="1"/>
  <c r="H103" i="65" a="1"/>
  <c r="H103" i="65" s="1"/>
  <c r="G103" i="65" a="1"/>
  <c r="G103" i="65" s="1"/>
  <c r="F103" i="65" a="1"/>
  <c r="F103" i="65" s="1"/>
  <c r="E103" i="65" a="1"/>
  <c r="E103" i="65" s="1"/>
  <c r="D103" i="65" a="1"/>
  <c r="D103" i="65" s="1"/>
  <c r="AE102" i="65" a="1"/>
  <c r="AE102" i="65" s="1"/>
  <c r="AD102" i="65" a="1"/>
  <c r="AD102" i="65" s="1"/>
  <c r="AC102" i="65" a="1"/>
  <c r="AC102" i="65" s="1"/>
  <c r="AB102" i="65" a="1"/>
  <c r="AB102" i="65" s="1"/>
  <c r="AA102" i="65" a="1"/>
  <c r="AA102" i="65" s="1"/>
  <c r="Z102" i="65" a="1"/>
  <c r="Z102" i="65" s="1"/>
  <c r="Y102" i="65" a="1"/>
  <c r="Y102" i="65" s="1"/>
  <c r="X102" i="65" a="1"/>
  <c r="X102" i="65" s="1"/>
  <c r="W102" i="65" a="1"/>
  <c r="W102" i="65" s="1"/>
  <c r="V102" i="65" a="1"/>
  <c r="V102" i="65" s="1"/>
  <c r="U102" i="65" a="1"/>
  <c r="U102" i="65" s="1"/>
  <c r="T102" i="65" a="1"/>
  <c r="T102" i="65" s="1"/>
  <c r="S102" i="65" a="1"/>
  <c r="S102" i="65" s="1"/>
  <c r="R102" i="65" a="1"/>
  <c r="R102" i="65" s="1"/>
  <c r="Q102" i="65" a="1"/>
  <c r="Q102" i="65" s="1"/>
  <c r="P102" i="65" a="1"/>
  <c r="P102" i="65" s="1"/>
  <c r="O102" i="65" a="1"/>
  <c r="O102" i="65" s="1"/>
  <c r="N102" i="65" a="1"/>
  <c r="N102" i="65" s="1"/>
  <c r="M102" i="65" a="1"/>
  <c r="M102" i="65" s="1"/>
  <c r="L102" i="65" a="1"/>
  <c r="L102" i="65" s="1"/>
  <c r="K102" i="65" a="1"/>
  <c r="K102" i="65" s="1"/>
  <c r="J102" i="65" a="1"/>
  <c r="J102" i="65" s="1"/>
  <c r="I102" i="65" a="1"/>
  <c r="I102" i="65" s="1"/>
  <c r="H102" i="65" a="1"/>
  <c r="H102" i="65" s="1"/>
  <c r="G102" i="65" a="1"/>
  <c r="G102" i="65" s="1"/>
  <c r="F102" i="65" a="1"/>
  <c r="F102" i="65" s="1"/>
  <c r="E102" i="65" a="1"/>
  <c r="E102" i="65" s="1"/>
  <c r="D102" i="65" a="1"/>
  <c r="D102" i="65" s="1"/>
  <c r="AE101" i="65" a="1"/>
  <c r="AE101" i="65" s="1"/>
  <c r="AD101" i="65" a="1"/>
  <c r="AD101" i="65" s="1"/>
  <c r="AC101" i="65" a="1"/>
  <c r="AC101" i="65" s="1"/>
  <c r="AB101" i="65" a="1"/>
  <c r="AB101" i="65" s="1"/>
  <c r="AA101" i="65" a="1"/>
  <c r="AA101" i="65" s="1"/>
  <c r="Z101" i="65" a="1"/>
  <c r="Z101" i="65" s="1"/>
  <c r="Y101" i="65" a="1"/>
  <c r="Y101" i="65" s="1"/>
  <c r="X101" i="65" a="1"/>
  <c r="X101" i="65" s="1"/>
  <c r="W101" i="65" a="1"/>
  <c r="W101" i="65" s="1"/>
  <c r="V101" i="65" a="1"/>
  <c r="V101" i="65" s="1"/>
  <c r="U101" i="65" a="1"/>
  <c r="U101" i="65" s="1"/>
  <c r="T101" i="65" a="1"/>
  <c r="T101" i="65" s="1"/>
  <c r="S101" i="65" a="1"/>
  <c r="S101" i="65" s="1"/>
  <c r="R101" i="65" a="1"/>
  <c r="R101" i="65" s="1"/>
  <c r="Q101" i="65" a="1"/>
  <c r="Q101" i="65" s="1"/>
  <c r="P101" i="65" a="1"/>
  <c r="P101" i="65" s="1"/>
  <c r="O101" i="65" a="1"/>
  <c r="O101" i="65" s="1"/>
  <c r="N101" i="65" a="1"/>
  <c r="N101" i="65" s="1"/>
  <c r="M101" i="65" a="1"/>
  <c r="M101" i="65" s="1"/>
  <c r="L101" i="65" a="1"/>
  <c r="L101" i="65" s="1"/>
  <c r="K101" i="65" a="1"/>
  <c r="K101" i="65" s="1"/>
  <c r="J101" i="65" a="1"/>
  <c r="J101" i="65" s="1"/>
  <c r="I101" i="65" a="1"/>
  <c r="I101" i="65" s="1"/>
  <c r="H101" i="65" a="1"/>
  <c r="H101" i="65" s="1"/>
  <c r="G101" i="65" a="1"/>
  <c r="G101" i="65" s="1"/>
  <c r="F101" i="65" a="1"/>
  <c r="F101" i="65" s="1"/>
  <c r="E101" i="65" a="1"/>
  <c r="E101" i="65" s="1"/>
  <c r="D101" i="65" a="1"/>
  <c r="D101" i="65" s="1"/>
  <c r="AE100" i="65" a="1"/>
  <c r="AE100" i="65" s="1"/>
  <c r="AD100" i="65" a="1"/>
  <c r="AD100" i="65" s="1"/>
  <c r="AC100" i="65" a="1"/>
  <c r="AC100" i="65" s="1"/>
  <c r="AB100" i="65" a="1"/>
  <c r="AB100" i="65" s="1"/>
  <c r="AA100" i="65" a="1"/>
  <c r="AA100" i="65" s="1"/>
  <c r="Z100" i="65" a="1"/>
  <c r="Z100" i="65" s="1"/>
  <c r="Y100" i="65" a="1"/>
  <c r="Y100" i="65" s="1"/>
  <c r="X100" i="65" a="1"/>
  <c r="X100" i="65" s="1"/>
  <c r="W100" i="65" a="1"/>
  <c r="W100" i="65" s="1"/>
  <c r="V100" i="65" a="1"/>
  <c r="V100" i="65" s="1"/>
  <c r="U100" i="65" a="1"/>
  <c r="U100" i="65" s="1"/>
  <c r="T100" i="65" a="1"/>
  <c r="T100" i="65" s="1"/>
  <c r="S100" i="65" a="1"/>
  <c r="S100" i="65" s="1"/>
  <c r="R100" i="65" a="1"/>
  <c r="R100" i="65" s="1"/>
  <c r="Q100" i="65" a="1"/>
  <c r="Q100" i="65" s="1"/>
  <c r="P100" i="65" a="1"/>
  <c r="P100" i="65" s="1"/>
  <c r="O100" i="65" a="1"/>
  <c r="O100" i="65" s="1"/>
  <c r="N100" i="65" a="1"/>
  <c r="N100" i="65" s="1"/>
  <c r="M100" i="65" a="1"/>
  <c r="M100" i="65" s="1"/>
  <c r="L100" i="65" a="1"/>
  <c r="L100" i="65" s="1"/>
  <c r="K100" i="65" a="1"/>
  <c r="K100" i="65" s="1"/>
  <c r="J100" i="65" a="1"/>
  <c r="J100" i="65" s="1"/>
  <c r="I100" i="65" a="1"/>
  <c r="I100" i="65" s="1"/>
  <c r="H100" i="65" a="1"/>
  <c r="H100" i="65" s="1"/>
  <c r="G100" i="65" a="1"/>
  <c r="G100" i="65" s="1"/>
  <c r="F100" i="65" a="1"/>
  <c r="F100" i="65" s="1"/>
  <c r="E100" i="65" a="1"/>
  <c r="E100" i="65" s="1"/>
  <c r="D100" i="65" a="1"/>
  <c r="D100" i="65" s="1"/>
  <c r="AE99" i="65" a="1"/>
  <c r="AE99" i="65" s="1"/>
  <c r="AD99" i="65" a="1"/>
  <c r="AD99" i="65" s="1"/>
  <c r="AC99" i="65" a="1"/>
  <c r="AC99" i="65" s="1"/>
  <c r="AB99" i="65" a="1"/>
  <c r="AB99" i="65" s="1"/>
  <c r="AA99" i="65" a="1"/>
  <c r="AA99" i="65" s="1"/>
  <c r="Z99" i="65" a="1"/>
  <c r="Z99" i="65" s="1"/>
  <c r="Y99" i="65" a="1"/>
  <c r="Y99" i="65" s="1"/>
  <c r="X99" i="65" a="1"/>
  <c r="X99" i="65" s="1"/>
  <c r="W99" i="65" a="1"/>
  <c r="W99" i="65" s="1"/>
  <c r="V99" i="65" a="1"/>
  <c r="V99" i="65" s="1"/>
  <c r="U99" i="65" a="1"/>
  <c r="U99" i="65" s="1"/>
  <c r="T99" i="65" a="1"/>
  <c r="T99" i="65" s="1"/>
  <c r="S99" i="65" a="1"/>
  <c r="S99" i="65" s="1"/>
  <c r="R99" i="65" a="1"/>
  <c r="R99" i="65" s="1"/>
  <c r="Q99" i="65" a="1"/>
  <c r="Q99" i="65" s="1"/>
  <c r="P99" i="65" a="1"/>
  <c r="P99" i="65" s="1"/>
  <c r="O99" i="65" a="1"/>
  <c r="O99" i="65" s="1"/>
  <c r="N99" i="65" a="1"/>
  <c r="N99" i="65" s="1"/>
  <c r="M99" i="65" a="1"/>
  <c r="M99" i="65" s="1"/>
  <c r="L99" i="65" a="1"/>
  <c r="L99" i="65" s="1"/>
  <c r="K99" i="65" a="1"/>
  <c r="K99" i="65" s="1"/>
  <c r="J99" i="65" a="1"/>
  <c r="J99" i="65" s="1"/>
  <c r="I99" i="65" a="1"/>
  <c r="I99" i="65" s="1"/>
  <c r="H99" i="65" a="1"/>
  <c r="H99" i="65" s="1"/>
  <c r="G99" i="65" a="1"/>
  <c r="G99" i="65" s="1"/>
  <c r="F99" i="65" a="1"/>
  <c r="F99" i="65" s="1"/>
  <c r="E99" i="65" a="1"/>
  <c r="E99" i="65" s="1"/>
  <c r="D99" i="65" a="1"/>
  <c r="D99" i="65" s="1"/>
  <c r="AE98" i="65" a="1"/>
  <c r="AE98" i="65" s="1"/>
  <c r="AD98" i="65" a="1"/>
  <c r="AD98" i="65" s="1"/>
  <c r="AC98" i="65" a="1"/>
  <c r="AC98" i="65" s="1"/>
  <c r="AB98" i="65" a="1"/>
  <c r="AB98" i="65" s="1"/>
  <c r="AA98" i="65" a="1"/>
  <c r="AA98" i="65" s="1"/>
  <c r="Z98" i="65" a="1"/>
  <c r="Z98" i="65" s="1"/>
  <c r="Y98" i="65" a="1"/>
  <c r="Y98" i="65" s="1"/>
  <c r="X98" i="65" a="1"/>
  <c r="X98" i="65" s="1"/>
  <c r="W98" i="65" a="1"/>
  <c r="W98" i="65" s="1"/>
  <c r="V98" i="65" a="1"/>
  <c r="V98" i="65" s="1"/>
  <c r="U98" i="65" a="1"/>
  <c r="U98" i="65" s="1"/>
  <c r="T98" i="65" a="1"/>
  <c r="T98" i="65" s="1"/>
  <c r="S98" i="65" a="1"/>
  <c r="S98" i="65" s="1"/>
  <c r="R98" i="65" a="1"/>
  <c r="R98" i="65" s="1"/>
  <c r="Q98" i="65" a="1"/>
  <c r="Q98" i="65" s="1"/>
  <c r="P98" i="65" a="1"/>
  <c r="P98" i="65" s="1"/>
  <c r="O98" i="65" a="1"/>
  <c r="O98" i="65" s="1"/>
  <c r="N98" i="65" a="1"/>
  <c r="N98" i="65" s="1"/>
  <c r="M98" i="65" a="1"/>
  <c r="M98" i="65" s="1"/>
  <c r="L98" i="65" a="1"/>
  <c r="L98" i="65" s="1"/>
  <c r="K98" i="65" a="1"/>
  <c r="K98" i="65" s="1"/>
  <c r="J98" i="65" a="1"/>
  <c r="J98" i="65" s="1"/>
  <c r="I98" i="65" a="1"/>
  <c r="I98" i="65" s="1"/>
  <c r="H98" i="65" a="1"/>
  <c r="H98" i="65" s="1"/>
  <c r="G98" i="65" a="1"/>
  <c r="G98" i="65" s="1"/>
  <c r="F98" i="65" a="1"/>
  <c r="F98" i="65" s="1"/>
  <c r="E98" i="65" a="1"/>
  <c r="E98" i="65" s="1"/>
  <c r="D98" i="65" a="1"/>
  <c r="D98" i="65" s="1"/>
  <c r="AE97" i="65" a="1"/>
  <c r="AE97" i="65" s="1"/>
  <c r="AD97" i="65" a="1"/>
  <c r="AD97" i="65" s="1"/>
  <c r="AC97" i="65" a="1"/>
  <c r="AC97" i="65" s="1"/>
  <c r="AB97" i="65" a="1"/>
  <c r="AB97" i="65" s="1"/>
  <c r="AA97" i="65" a="1"/>
  <c r="AA97" i="65" s="1"/>
  <c r="Z97" i="65" a="1"/>
  <c r="Z97" i="65" s="1"/>
  <c r="Y97" i="65" a="1"/>
  <c r="Y97" i="65" s="1"/>
  <c r="X97" i="65" a="1"/>
  <c r="X97" i="65" s="1"/>
  <c r="W97" i="65" a="1"/>
  <c r="W97" i="65" s="1"/>
  <c r="V97" i="65" a="1"/>
  <c r="V97" i="65" s="1"/>
  <c r="U97" i="65" a="1"/>
  <c r="U97" i="65" s="1"/>
  <c r="T97" i="65" a="1"/>
  <c r="T97" i="65" s="1"/>
  <c r="S97" i="65" a="1"/>
  <c r="S97" i="65" s="1"/>
  <c r="R97" i="65" a="1"/>
  <c r="R97" i="65" s="1"/>
  <c r="Q97" i="65" a="1"/>
  <c r="Q97" i="65" s="1"/>
  <c r="P97" i="65" a="1"/>
  <c r="P97" i="65" s="1"/>
  <c r="O97" i="65" a="1"/>
  <c r="O97" i="65" s="1"/>
  <c r="N97" i="65" a="1"/>
  <c r="N97" i="65" s="1"/>
  <c r="M97" i="65" a="1"/>
  <c r="M97" i="65" s="1"/>
  <c r="L97" i="65" a="1"/>
  <c r="L97" i="65" s="1"/>
  <c r="K97" i="65" a="1"/>
  <c r="K97" i="65" s="1"/>
  <c r="J97" i="65" a="1"/>
  <c r="J97" i="65" s="1"/>
  <c r="I97" i="65" a="1"/>
  <c r="I97" i="65" s="1"/>
  <c r="H97" i="65" a="1"/>
  <c r="H97" i="65" s="1"/>
  <c r="G97" i="65" a="1"/>
  <c r="G97" i="65" s="1"/>
  <c r="F97" i="65" a="1"/>
  <c r="F97" i="65" s="1"/>
  <c r="E97" i="65" a="1"/>
  <c r="E97" i="65" s="1"/>
  <c r="D97" i="65" a="1"/>
  <c r="D97" i="65" s="1"/>
  <c r="AE96" i="65" a="1"/>
  <c r="AE96" i="65" s="1"/>
  <c r="AD96" i="65" a="1"/>
  <c r="AD96" i="65" s="1"/>
  <c r="AC96" i="65" a="1"/>
  <c r="AC96" i="65" s="1"/>
  <c r="AB96" i="65" a="1"/>
  <c r="AB96" i="65" s="1"/>
  <c r="AA96" i="65" a="1"/>
  <c r="AA96" i="65" s="1"/>
  <c r="Z96" i="65" a="1"/>
  <c r="Z96" i="65" s="1"/>
  <c r="Y96" i="65" a="1"/>
  <c r="Y96" i="65" s="1"/>
  <c r="X96" i="65" a="1"/>
  <c r="X96" i="65" s="1"/>
  <c r="W96" i="65" a="1"/>
  <c r="W96" i="65" s="1"/>
  <c r="V96" i="65" a="1"/>
  <c r="V96" i="65" s="1"/>
  <c r="U96" i="65" a="1"/>
  <c r="U96" i="65" s="1"/>
  <c r="T96" i="65" a="1"/>
  <c r="T96" i="65" s="1"/>
  <c r="S96" i="65" a="1"/>
  <c r="S96" i="65" s="1"/>
  <c r="R96" i="65" a="1"/>
  <c r="R96" i="65" s="1"/>
  <c r="Q96" i="65" a="1"/>
  <c r="Q96" i="65" s="1"/>
  <c r="P96" i="65" a="1"/>
  <c r="P96" i="65" s="1"/>
  <c r="O96" i="65" a="1"/>
  <c r="O96" i="65" s="1"/>
  <c r="N96" i="65" a="1"/>
  <c r="N96" i="65" s="1"/>
  <c r="M96" i="65" a="1"/>
  <c r="M96" i="65" s="1"/>
  <c r="L96" i="65" a="1"/>
  <c r="L96" i="65" s="1"/>
  <c r="K96" i="65" a="1"/>
  <c r="K96" i="65" s="1"/>
  <c r="J96" i="65" a="1"/>
  <c r="J96" i="65" s="1"/>
  <c r="I96" i="65" a="1"/>
  <c r="I96" i="65" s="1"/>
  <c r="H96" i="65" a="1"/>
  <c r="H96" i="65" s="1"/>
  <c r="G96" i="65" a="1"/>
  <c r="G96" i="65" s="1"/>
  <c r="F96" i="65" a="1"/>
  <c r="F96" i="65" s="1"/>
  <c r="E96" i="65" a="1"/>
  <c r="E96" i="65" s="1"/>
  <c r="D96" i="65" a="1"/>
  <c r="D96" i="65" s="1"/>
  <c r="AE95" i="65" a="1"/>
  <c r="AE95" i="65" s="1"/>
  <c r="AD95" i="65" a="1"/>
  <c r="AD95" i="65" s="1"/>
  <c r="AC95" i="65" a="1"/>
  <c r="AC95" i="65" s="1"/>
  <c r="AB95" i="65" a="1"/>
  <c r="AB95" i="65" s="1"/>
  <c r="AA95" i="65" a="1"/>
  <c r="AA95" i="65" s="1"/>
  <c r="Z95" i="65" a="1"/>
  <c r="Z95" i="65" s="1"/>
  <c r="Y95" i="65" a="1"/>
  <c r="Y95" i="65" s="1"/>
  <c r="X95" i="65" a="1"/>
  <c r="X95" i="65" s="1"/>
  <c r="W95" i="65" a="1"/>
  <c r="W95" i="65" s="1"/>
  <c r="V95" i="65" a="1"/>
  <c r="V95" i="65" s="1"/>
  <c r="U95" i="65" a="1"/>
  <c r="U95" i="65" s="1"/>
  <c r="T95" i="65" a="1"/>
  <c r="T95" i="65" s="1"/>
  <c r="S95" i="65" a="1"/>
  <c r="S95" i="65" s="1"/>
  <c r="R95" i="65" a="1"/>
  <c r="R95" i="65" s="1"/>
  <c r="Q95" i="65" a="1"/>
  <c r="Q95" i="65" s="1"/>
  <c r="P95" i="65" a="1"/>
  <c r="P95" i="65" s="1"/>
  <c r="O95" i="65" a="1"/>
  <c r="O95" i="65" s="1"/>
  <c r="N95" i="65" a="1"/>
  <c r="N95" i="65" s="1"/>
  <c r="M95" i="65" a="1"/>
  <c r="M95" i="65" s="1"/>
  <c r="L95" i="65" a="1"/>
  <c r="L95" i="65" s="1"/>
  <c r="K95" i="65" a="1"/>
  <c r="K95" i="65" s="1"/>
  <c r="J95" i="65" a="1"/>
  <c r="J95" i="65" s="1"/>
  <c r="I95" i="65" a="1"/>
  <c r="I95" i="65" s="1"/>
  <c r="H95" i="65" a="1"/>
  <c r="H95" i="65" s="1"/>
  <c r="G95" i="65" a="1"/>
  <c r="G95" i="65" s="1"/>
  <c r="F95" i="65" a="1"/>
  <c r="F95" i="65" s="1"/>
  <c r="E95" i="65" a="1"/>
  <c r="E95" i="65" s="1"/>
  <c r="D95" i="65" a="1"/>
  <c r="D95" i="65" s="1"/>
  <c r="AE94" i="65" a="1"/>
  <c r="AE94" i="65" s="1"/>
  <c r="AD94" i="65" a="1"/>
  <c r="AD94" i="65" s="1"/>
  <c r="AC94" i="65" a="1"/>
  <c r="AC94" i="65" s="1"/>
  <c r="AB94" i="65" a="1"/>
  <c r="AB94" i="65" s="1"/>
  <c r="AA94" i="65" a="1"/>
  <c r="AA94" i="65" s="1"/>
  <c r="Z94" i="65" a="1"/>
  <c r="Z94" i="65" s="1"/>
  <c r="Y94" i="65" a="1"/>
  <c r="Y94" i="65" s="1"/>
  <c r="X94" i="65" a="1"/>
  <c r="X94" i="65" s="1"/>
  <c r="W94" i="65" a="1"/>
  <c r="W94" i="65" s="1"/>
  <c r="V94" i="65" a="1"/>
  <c r="V94" i="65" s="1"/>
  <c r="U94" i="65" a="1"/>
  <c r="U94" i="65" s="1"/>
  <c r="T94" i="65" a="1"/>
  <c r="T94" i="65" s="1"/>
  <c r="S94" i="65" a="1"/>
  <c r="S94" i="65" s="1"/>
  <c r="R94" i="65" a="1"/>
  <c r="R94" i="65" s="1"/>
  <c r="Q94" i="65" a="1"/>
  <c r="Q94" i="65" s="1"/>
  <c r="P94" i="65" a="1"/>
  <c r="P94" i="65" s="1"/>
  <c r="O94" i="65" a="1"/>
  <c r="O94" i="65" s="1"/>
  <c r="N94" i="65" a="1"/>
  <c r="N94" i="65" s="1"/>
  <c r="M94" i="65" a="1"/>
  <c r="M94" i="65" s="1"/>
  <c r="L94" i="65" a="1"/>
  <c r="L94" i="65" s="1"/>
  <c r="K94" i="65" a="1"/>
  <c r="K94" i="65" s="1"/>
  <c r="J94" i="65" a="1"/>
  <c r="J94" i="65" s="1"/>
  <c r="I94" i="65" a="1"/>
  <c r="I94" i="65" s="1"/>
  <c r="H94" i="65" a="1"/>
  <c r="H94" i="65" s="1"/>
  <c r="G94" i="65" a="1"/>
  <c r="G94" i="65" s="1"/>
  <c r="F94" i="65" a="1"/>
  <c r="F94" i="65" s="1"/>
  <c r="E94" i="65" a="1"/>
  <c r="E94" i="65" s="1"/>
  <c r="D94" i="65" a="1"/>
  <c r="D94" i="65" s="1"/>
  <c r="AE93" i="65" a="1"/>
  <c r="AE93" i="65" s="1"/>
  <c r="AD93" i="65" a="1"/>
  <c r="AD93" i="65" s="1"/>
  <c r="AC93" i="65" a="1"/>
  <c r="AC93" i="65" s="1"/>
  <c r="AB93" i="65" a="1"/>
  <c r="AB93" i="65" s="1"/>
  <c r="AA93" i="65" a="1"/>
  <c r="AA93" i="65" s="1"/>
  <c r="Z93" i="65" a="1"/>
  <c r="Z93" i="65" s="1"/>
  <c r="Y93" i="65" a="1"/>
  <c r="Y93" i="65" s="1"/>
  <c r="X93" i="65" a="1"/>
  <c r="X93" i="65" s="1"/>
  <c r="W93" i="65" a="1"/>
  <c r="W93" i="65" s="1"/>
  <c r="V93" i="65" a="1"/>
  <c r="V93" i="65" s="1"/>
  <c r="U93" i="65" a="1"/>
  <c r="U93" i="65" s="1"/>
  <c r="T93" i="65" a="1"/>
  <c r="T93" i="65" s="1"/>
  <c r="S93" i="65" a="1"/>
  <c r="S93" i="65" s="1"/>
  <c r="R93" i="65" a="1"/>
  <c r="R93" i="65" s="1"/>
  <c r="Q93" i="65" a="1"/>
  <c r="Q93" i="65" s="1"/>
  <c r="P93" i="65" a="1"/>
  <c r="P93" i="65" s="1"/>
  <c r="O93" i="65" a="1"/>
  <c r="O93" i="65" s="1"/>
  <c r="N93" i="65" a="1"/>
  <c r="N93" i="65" s="1"/>
  <c r="M93" i="65" a="1"/>
  <c r="M93" i="65" s="1"/>
  <c r="L93" i="65" a="1"/>
  <c r="L93" i="65" s="1"/>
  <c r="K93" i="65" a="1"/>
  <c r="K93" i="65" s="1"/>
  <c r="J93" i="65" a="1"/>
  <c r="J93" i="65" s="1"/>
  <c r="I93" i="65" a="1"/>
  <c r="I93" i="65" s="1"/>
  <c r="H93" i="65" a="1"/>
  <c r="H93" i="65" s="1"/>
  <c r="G93" i="65" a="1"/>
  <c r="G93" i="65" s="1"/>
  <c r="F93" i="65" a="1"/>
  <c r="F93" i="65" s="1"/>
  <c r="E93" i="65" a="1"/>
  <c r="E93" i="65" s="1"/>
  <c r="D93" i="65" a="1"/>
  <c r="D93" i="65" s="1"/>
  <c r="AE92" i="65" a="1"/>
  <c r="AE92" i="65" s="1"/>
  <c r="AD92" i="65" a="1"/>
  <c r="AD92" i="65" s="1"/>
  <c r="AC92" i="65" a="1"/>
  <c r="AC92" i="65" s="1"/>
  <c r="AB92" i="65" a="1"/>
  <c r="AB92" i="65" s="1"/>
  <c r="AA92" i="65" a="1"/>
  <c r="AA92" i="65" s="1"/>
  <c r="Z92" i="65" a="1"/>
  <c r="Z92" i="65" s="1"/>
  <c r="Y92" i="65" a="1"/>
  <c r="Y92" i="65" s="1"/>
  <c r="X92" i="65" a="1"/>
  <c r="X92" i="65" s="1"/>
  <c r="W92" i="65" a="1"/>
  <c r="W92" i="65" s="1"/>
  <c r="V92" i="65" a="1"/>
  <c r="V92" i="65" s="1"/>
  <c r="U92" i="65" a="1"/>
  <c r="U92" i="65" s="1"/>
  <c r="T92" i="65" a="1"/>
  <c r="T92" i="65" s="1"/>
  <c r="S92" i="65" a="1"/>
  <c r="S92" i="65" s="1"/>
  <c r="R92" i="65" a="1"/>
  <c r="R92" i="65" s="1"/>
  <c r="Q92" i="65" a="1"/>
  <c r="Q92" i="65" s="1"/>
  <c r="P92" i="65" a="1"/>
  <c r="P92" i="65" s="1"/>
  <c r="O92" i="65" a="1"/>
  <c r="O92" i="65" s="1"/>
  <c r="N92" i="65" a="1"/>
  <c r="N92" i="65" s="1"/>
  <c r="M92" i="65" a="1"/>
  <c r="M92" i="65" s="1"/>
  <c r="L92" i="65" a="1"/>
  <c r="L92" i="65" s="1"/>
  <c r="K92" i="65" a="1"/>
  <c r="K92" i="65" s="1"/>
  <c r="J92" i="65" a="1"/>
  <c r="J92" i="65" s="1"/>
  <c r="I92" i="65" a="1"/>
  <c r="I92" i="65" s="1"/>
  <c r="H92" i="65" a="1"/>
  <c r="H92" i="65" s="1"/>
  <c r="G92" i="65" a="1"/>
  <c r="G92" i="65" s="1"/>
  <c r="F92" i="65" a="1"/>
  <c r="F92" i="65" s="1"/>
  <c r="E92" i="65" a="1"/>
  <c r="E92" i="65" s="1"/>
  <c r="D92" i="65" a="1"/>
  <c r="D92" i="65" s="1"/>
  <c r="AE91" i="65" a="1"/>
  <c r="AE91" i="65" s="1"/>
  <c r="AD91" i="65" a="1"/>
  <c r="AD91" i="65" s="1"/>
  <c r="AC91" i="65" a="1"/>
  <c r="AC91" i="65" s="1"/>
  <c r="AB91" i="65" a="1"/>
  <c r="AB91" i="65" s="1"/>
  <c r="AA91" i="65" a="1"/>
  <c r="AA91" i="65" s="1"/>
  <c r="Z91" i="65" a="1"/>
  <c r="Z91" i="65" s="1"/>
  <c r="Y91" i="65" a="1"/>
  <c r="Y91" i="65" s="1"/>
  <c r="X91" i="65" a="1"/>
  <c r="X91" i="65" s="1"/>
  <c r="W91" i="65" a="1"/>
  <c r="W91" i="65" s="1"/>
  <c r="V91" i="65" a="1"/>
  <c r="V91" i="65" s="1"/>
  <c r="U91" i="65" a="1"/>
  <c r="U91" i="65" s="1"/>
  <c r="T91" i="65" a="1"/>
  <c r="T91" i="65" s="1"/>
  <c r="S91" i="65" a="1"/>
  <c r="S91" i="65" s="1"/>
  <c r="R91" i="65" a="1"/>
  <c r="R91" i="65" s="1"/>
  <c r="Q91" i="65" a="1"/>
  <c r="Q91" i="65" s="1"/>
  <c r="P91" i="65" a="1"/>
  <c r="P91" i="65" s="1"/>
  <c r="O91" i="65" a="1"/>
  <c r="O91" i="65" s="1"/>
  <c r="N91" i="65" a="1"/>
  <c r="N91" i="65" s="1"/>
  <c r="M91" i="65" a="1"/>
  <c r="M91" i="65" s="1"/>
  <c r="L91" i="65" a="1"/>
  <c r="L91" i="65" s="1"/>
  <c r="K91" i="65" a="1"/>
  <c r="K91" i="65" s="1"/>
  <c r="J91" i="65" a="1"/>
  <c r="J91" i="65" s="1"/>
  <c r="I91" i="65" a="1"/>
  <c r="I91" i="65" s="1"/>
  <c r="H91" i="65" a="1"/>
  <c r="H91" i="65" s="1"/>
  <c r="G91" i="65" a="1"/>
  <c r="G91" i="65" s="1"/>
  <c r="F91" i="65" a="1"/>
  <c r="F91" i="65" s="1"/>
  <c r="E91" i="65" a="1"/>
  <c r="E91" i="65" s="1"/>
  <c r="D91" i="65" a="1"/>
  <c r="D91" i="65" s="1"/>
  <c r="AE90" i="65" a="1"/>
  <c r="AE90" i="65" s="1"/>
  <c r="AD90" i="65" a="1"/>
  <c r="AD90" i="65" s="1"/>
  <c r="AC90" i="65" a="1"/>
  <c r="AC90" i="65" s="1"/>
  <c r="AB90" i="65" a="1"/>
  <c r="AB90" i="65" s="1"/>
  <c r="AA90" i="65" a="1"/>
  <c r="AA90" i="65" s="1"/>
  <c r="Z90" i="65" a="1"/>
  <c r="Z90" i="65" s="1"/>
  <c r="Y90" i="65" a="1"/>
  <c r="Y90" i="65" s="1"/>
  <c r="X90" i="65" a="1"/>
  <c r="X90" i="65" s="1"/>
  <c r="W90" i="65" a="1"/>
  <c r="W90" i="65" s="1"/>
  <c r="V90" i="65" a="1"/>
  <c r="V90" i="65" s="1"/>
  <c r="U90" i="65" a="1"/>
  <c r="U90" i="65" s="1"/>
  <c r="T90" i="65" a="1"/>
  <c r="T90" i="65" s="1"/>
  <c r="S90" i="65" a="1"/>
  <c r="S90" i="65" s="1"/>
  <c r="R90" i="65" a="1"/>
  <c r="R90" i="65" s="1"/>
  <c r="Q90" i="65" a="1"/>
  <c r="Q90" i="65" s="1"/>
  <c r="P90" i="65" a="1"/>
  <c r="P90" i="65" s="1"/>
  <c r="O90" i="65" a="1"/>
  <c r="O90" i="65" s="1"/>
  <c r="N90" i="65" a="1"/>
  <c r="N90" i="65" s="1"/>
  <c r="M90" i="65" a="1"/>
  <c r="M90" i="65" s="1"/>
  <c r="L90" i="65" a="1"/>
  <c r="L90" i="65" s="1"/>
  <c r="K90" i="65" a="1"/>
  <c r="K90" i="65" s="1"/>
  <c r="J90" i="65" a="1"/>
  <c r="J90" i="65" s="1"/>
  <c r="I90" i="65" a="1"/>
  <c r="I90" i="65" s="1"/>
  <c r="H90" i="65" a="1"/>
  <c r="H90" i="65" s="1"/>
  <c r="G90" i="65" a="1"/>
  <c r="G90" i="65" s="1"/>
  <c r="F90" i="65" a="1"/>
  <c r="F90" i="65" s="1"/>
  <c r="E90" i="65" a="1"/>
  <c r="E90" i="65" s="1"/>
  <c r="D90" i="65" a="1"/>
  <c r="D90" i="65" s="1"/>
  <c r="F83" i="65" a="1"/>
  <c r="F83" i="65" s="1"/>
  <c r="E83" i="65" a="1"/>
  <c r="E83" i="65" s="1"/>
  <c r="D83" i="65" a="1"/>
  <c r="D83" i="65" s="1"/>
  <c r="D82" i="65" a="1"/>
  <c r="D82" i="65" s="1"/>
  <c r="D81" i="65" a="1"/>
  <c r="D81" i="65" s="1"/>
  <c r="F78" i="65" a="1"/>
  <c r="F78" i="65" s="1"/>
  <c r="E78" i="65" a="1"/>
  <c r="E78" i="65" s="1"/>
  <c r="D78" i="65" a="1"/>
  <c r="D78" i="65" s="1"/>
  <c r="D77" i="65" a="1"/>
  <c r="D77" i="65" s="1"/>
  <c r="D76" i="65" a="1"/>
  <c r="D76" i="65" s="1"/>
  <c r="F73" i="65" a="1"/>
  <c r="F73" i="65" s="1"/>
  <c r="E73" i="65" a="1"/>
  <c r="E73" i="65" s="1"/>
  <c r="D73" i="65" a="1"/>
  <c r="D73" i="65" s="1"/>
  <c r="D72" i="65" a="1"/>
  <c r="D72" i="65" s="1"/>
  <c r="D71" i="65" a="1"/>
  <c r="D71" i="65" s="1"/>
  <c r="F68" i="65" a="1"/>
  <c r="F68" i="65" s="1"/>
  <c r="E68" i="65" a="1"/>
  <c r="E68" i="65" s="1"/>
  <c r="D68" i="65" a="1"/>
  <c r="D68" i="65" s="1"/>
  <c r="F67" i="65" a="1"/>
  <c r="F67" i="65" s="1"/>
  <c r="E67" i="65" a="1"/>
  <c r="E67" i="65" s="1"/>
  <c r="D67" i="65" a="1"/>
  <c r="D67" i="65" s="1"/>
  <c r="F66" i="65" a="1"/>
  <c r="F66" i="65" s="1"/>
  <c r="E66" i="65" a="1"/>
  <c r="E66" i="65" s="1"/>
  <c r="D66" i="65" a="1"/>
  <c r="D66" i="65" s="1"/>
  <c r="D64" i="65" a="1"/>
  <c r="D64" i="65" s="1"/>
  <c r="D63" i="65" a="1"/>
  <c r="D63" i="65" s="1"/>
  <c r="F60" i="65" a="1"/>
  <c r="F60" i="65" s="1"/>
  <c r="E60" i="65" a="1"/>
  <c r="E60" i="65" s="1"/>
  <c r="D60" i="65" a="1"/>
  <c r="D60" i="65" s="1"/>
  <c r="D59" i="65" a="1"/>
  <c r="D59" i="65" s="1"/>
  <c r="D58" i="65" a="1"/>
  <c r="D58" i="65" s="1"/>
  <c r="E55" i="65" a="1"/>
  <c r="E55" i="65" s="1"/>
  <c r="D55" i="65" a="1"/>
  <c r="D55" i="65" s="1"/>
  <c r="E54" i="65" a="1"/>
  <c r="E54" i="65" s="1"/>
  <c r="D54" i="65" a="1"/>
  <c r="D54" i="65" s="1"/>
  <c r="E53" i="65" a="1"/>
  <c r="E53" i="65" s="1"/>
  <c r="D53" i="65" a="1"/>
  <c r="D53" i="65" s="1"/>
  <c r="E52" i="65" a="1"/>
  <c r="E52" i="65" s="1"/>
  <c r="D52" i="65" a="1"/>
  <c r="D52" i="65" s="1"/>
  <c r="E51" i="65" a="1"/>
  <c r="E51" i="65" s="1"/>
  <c r="D51" i="65" a="1"/>
  <c r="D51" i="65" s="1"/>
  <c r="D49" i="65" a="1"/>
  <c r="D49" i="65" s="1"/>
  <c r="D48" i="65" a="1"/>
  <c r="D48" i="65" s="1"/>
  <c r="I38" i="65" a="1"/>
  <c r="I38" i="65" s="1"/>
  <c r="H38" i="65" a="1"/>
  <c r="H38" i="65" s="1"/>
  <c r="G38" i="65" a="1"/>
  <c r="G38" i="65" s="1"/>
  <c r="F38" i="65" a="1"/>
  <c r="F38" i="65" s="1"/>
  <c r="E38" i="65" a="1"/>
  <c r="E38" i="65" s="1"/>
  <c r="D38" i="65" a="1"/>
  <c r="D38" i="65" s="1"/>
  <c r="G180" i="20" s="1"/>
  <c r="I37" i="65" a="1"/>
  <c r="I37" i="65" s="1"/>
  <c r="H37" i="65" a="1"/>
  <c r="H37" i="65" s="1"/>
  <c r="G37" i="65" a="1"/>
  <c r="G37" i="65" s="1"/>
  <c r="F37" i="65" a="1"/>
  <c r="F37" i="65" s="1"/>
  <c r="E37" i="65" a="1"/>
  <c r="E37" i="65" s="1"/>
  <c r="D37" i="65" a="1"/>
  <c r="D37" i="65" s="1"/>
  <c r="G177" i="20" s="1"/>
  <c r="I36" i="65" a="1"/>
  <c r="I36" i="65" s="1"/>
  <c r="H36" i="65" a="1"/>
  <c r="H36" i="65" s="1"/>
  <c r="G36" i="65" a="1"/>
  <c r="G36" i="65" s="1"/>
  <c r="F36" i="65" a="1"/>
  <c r="F36" i="65" s="1"/>
  <c r="E36" i="65" a="1"/>
  <c r="E36" i="65" s="1"/>
  <c r="D36" i="65" a="1"/>
  <c r="D36" i="65" s="1"/>
  <c r="G190" i="20" s="1"/>
  <c r="I35" i="65" a="1"/>
  <c r="I35" i="65" s="1"/>
  <c r="H35" i="65" a="1"/>
  <c r="H35" i="65" s="1"/>
  <c r="G35" i="65" a="1"/>
  <c r="G35" i="65" s="1"/>
  <c r="F35" i="65" a="1"/>
  <c r="F35" i="65" s="1"/>
  <c r="E35" i="65" a="1"/>
  <c r="E35" i="65" s="1"/>
  <c r="D35" i="65" a="1"/>
  <c r="D35" i="65" s="1"/>
  <c r="G182" i="20" s="1"/>
  <c r="I34" i="65" a="1"/>
  <c r="I34" i="65" s="1"/>
  <c r="H34" i="65" a="1"/>
  <c r="H34" i="65" s="1"/>
  <c r="G34" i="65" a="1"/>
  <c r="G34" i="65" s="1"/>
  <c r="F34" i="65" a="1"/>
  <c r="F34" i="65" s="1"/>
  <c r="E34" i="65" a="1"/>
  <c r="E34" i="65" s="1"/>
  <c r="D34" i="65" a="1"/>
  <c r="D34" i="65" s="1"/>
  <c r="G184" i="20" s="1"/>
  <c r="I33" i="65" a="1"/>
  <c r="I33" i="65" s="1"/>
  <c r="H33" i="65" a="1"/>
  <c r="H33" i="65" s="1"/>
  <c r="G33" i="65" a="1"/>
  <c r="G33" i="65" s="1"/>
  <c r="F33" i="65" a="1"/>
  <c r="F33" i="65" s="1"/>
  <c r="E33" i="65" a="1"/>
  <c r="E33" i="65" s="1"/>
  <c r="D33" i="65" a="1"/>
  <c r="D33" i="65" s="1"/>
  <c r="G198" i="20" s="1"/>
  <c r="I32" i="65" a="1"/>
  <c r="I32" i="65" s="1"/>
  <c r="H32" i="65" a="1"/>
  <c r="H32" i="65" s="1"/>
  <c r="G32" i="65" a="1"/>
  <c r="G32" i="65" s="1"/>
  <c r="F32" i="65" a="1"/>
  <c r="F32" i="65" s="1"/>
  <c r="E32" i="65" a="1"/>
  <c r="E32" i="65" s="1"/>
  <c r="D32" i="65" a="1"/>
  <c r="D32" i="65" s="1"/>
  <c r="G191" i="20" s="1"/>
  <c r="I31" i="65" a="1"/>
  <c r="I31" i="65" s="1"/>
  <c r="H31" i="65" a="1"/>
  <c r="H31" i="65" s="1"/>
  <c r="G31" i="65" a="1"/>
  <c r="G31" i="65" s="1"/>
  <c r="F31" i="65" a="1"/>
  <c r="F31" i="65" s="1"/>
  <c r="E31" i="65" a="1"/>
  <c r="E31" i="65" s="1"/>
  <c r="D31" i="65" a="1"/>
  <c r="D31" i="65" s="1"/>
  <c r="G189" i="20" s="1"/>
  <c r="I30" i="65" a="1"/>
  <c r="I30" i="65" s="1"/>
  <c r="H30" i="65" a="1"/>
  <c r="H30" i="65" s="1"/>
  <c r="G30" i="65" a="1"/>
  <c r="G30" i="65" s="1"/>
  <c r="F30" i="65" a="1"/>
  <c r="F30" i="65" s="1"/>
  <c r="E30" i="65" a="1"/>
  <c r="E30" i="65" s="1"/>
  <c r="D30" i="65" a="1"/>
  <c r="D30" i="65" s="1"/>
  <c r="G188" i="20" s="1"/>
  <c r="I29" i="65" a="1"/>
  <c r="I29" i="65" s="1"/>
  <c r="H29" i="65" a="1"/>
  <c r="H29" i="65" s="1"/>
  <c r="G29" i="65" a="1"/>
  <c r="G29" i="65" s="1"/>
  <c r="F29" i="65" a="1"/>
  <c r="F29" i="65" s="1"/>
  <c r="E29" i="65" a="1"/>
  <c r="E29" i="65" s="1"/>
  <c r="D29" i="65" a="1"/>
  <c r="D29" i="65" s="1"/>
  <c r="G186" i="20" s="1"/>
  <c r="R28" i="65" a="1"/>
  <c r="R28" i="65" s="1"/>
  <c r="Q28" i="65" a="1"/>
  <c r="Q28" i="65" s="1"/>
  <c r="L28" i="65" a="1"/>
  <c r="L28" i="65" s="1"/>
  <c r="K28" i="65" a="1"/>
  <c r="K28" i="65" s="1"/>
  <c r="I28" i="65" a="1"/>
  <c r="I28" i="65" s="1"/>
  <c r="H28" i="65" a="1"/>
  <c r="H28" i="65" s="1"/>
  <c r="G28" i="65" a="1"/>
  <c r="G28" i="65" s="1"/>
  <c r="F28" i="65" a="1"/>
  <c r="F28" i="65" s="1"/>
  <c r="E28" i="65" a="1"/>
  <c r="E28" i="65" s="1"/>
  <c r="D28" i="65" a="1"/>
  <c r="D28" i="65" s="1"/>
  <c r="G187" i="20" s="1"/>
  <c r="R27" i="65" a="1"/>
  <c r="R27" i="65" s="1"/>
  <c r="Q27" i="65" a="1"/>
  <c r="Q27" i="65" s="1"/>
  <c r="L27" i="65" a="1"/>
  <c r="L27" i="65" s="1"/>
  <c r="K27" i="65" a="1"/>
  <c r="K27" i="65" s="1"/>
  <c r="I27" i="65" a="1"/>
  <c r="I27" i="65" s="1"/>
  <c r="H27" i="65" a="1"/>
  <c r="H27" i="65" s="1"/>
  <c r="G27" i="65" a="1"/>
  <c r="G27" i="65" s="1"/>
  <c r="F27" i="65" a="1"/>
  <c r="F27" i="65" s="1"/>
  <c r="E27" i="65" a="1"/>
  <c r="E27" i="65" s="1"/>
  <c r="D27" i="65" a="1"/>
  <c r="D27" i="65" s="1"/>
  <c r="G185" i="20" s="1"/>
  <c r="R26" i="65" a="1"/>
  <c r="R26" i="65" s="1"/>
  <c r="Q26" i="65" a="1"/>
  <c r="Q26" i="65" s="1"/>
  <c r="L26" i="65" a="1"/>
  <c r="L26" i="65" s="1"/>
  <c r="K26" i="65" a="1"/>
  <c r="K26" i="65" s="1"/>
  <c r="I26" i="65" a="1"/>
  <c r="I26" i="65" s="1"/>
  <c r="H26" i="65" a="1"/>
  <c r="H26" i="65" s="1"/>
  <c r="G26" i="65" a="1"/>
  <c r="G26" i="65" s="1"/>
  <c r="F26" i="65" a="1"/>
  <c r="F26" i="65" s="1"/>
  <c r="E26" i="65" a="1"/>
  <c r="E26" i="65" s="1"/>
  <c r="D26" i="65" a="1"/>
  <c r="D26" i="65" s="1"/>
  <c r="G179" i="20" s="1"/>
  <c r="R25" i="65" a="1"/>
  <c r="R25" i="65" s="1"/>
  <c r="Q25" i="65" a="1"/>
  <c r="Q25" i="65" s="1"/>
  <c r="L25" i="65" a="1"/>
  <c r="L25" i="65" s="1"/>
  <c r="K25" i="65" a="1"/>
  <c r="K25" i="65" s="1"/>
  <c r="I25" i="65" a="1"/>
  <c r="I25" i="65" s="1"/>
  <c r="H25" i="65" a="1"/>
  <c r="H25" i="65" s="1"/>
  <c r="G25" i="65" a="1"/>
  <c r="G25" i="65" s="1"/>
  <c r="F25" i="65" a="1"/>
  <c r="F25" i="65" s="1"/>
  <c r="E25" i="65" a="1"/>
  <c r="E25" i="65" s="1"/>
  <c r="D25" i="65" a="1"/>
  <c r="D25" i="65" s="1"/>
  <c r="G178" i="20" s="1"/>
  <c r="R24" i="65" a="1"/>
  <c r="R24" i="65" s="1"/>
  <c r="Q24" i="65" a="1"/>
  <c r="Q24" i="65" s="1"/>
  <c r="L24" i="65" a="1"/>
  <c r="L24" i="65" s="1"/>
  <c r="K24" i="65" a="1"/>
  <c r="K24" i="65" s="1"/>
  <c r="I24" i="65" a="1"/>
  <c r="I24" i="65" s="1"/>
  <c r="H24" i="65" a="1"/>
  <c r="H24" i="65" s="1"/>
  <c r="G24" i="65" a="1"/>
  <c r="G24" i="65" s="1"/>
  <c r="F24" i="65" a="1"/>
  <c r="F24" i="65" s="1"/>
  <c r="E24" i="65" a="1"/>
  <c r="E24" i="65" s="1"/>
  <c r="D24" i="65" a="1"/>
  <c r="D24" i="65" s="1"/>
  <c r="G193" i="20" s="1"/>
  <c r="V23" i="65" a="1"/>
  <c r="V23" i="65" s="1"/>
  <c r="I177" i="20" s="1"/>
  <c r="R23" i="65" a="1"/>
  <c r="R23" i="65" s="1"/>
  <c r="Q23" i="65" a="1"/>
  <c r="Q23" i="65" s="1"/>
  <c r="L23" i="65" a="1"/>
  <c r="L23" i="65" s="1"/>
  <c r="K23" i="65" a="1"/>
  <c r="K23" i="65" s="1"/>
  <c r="I23" i="65" a="1"/>
  <c r="I23" i="65" s="1"/>
  <c r="H23" i="65" a="1"/>
  <c r="H23" i="65" s="1"/>
  <c r="G23" i="65" a="1"/>
  <c r="G23" i="65" s="1"/>
  <c r="F23" i="65" a="1"/>
  <c r="F23" i="65" s="1"/>
  <c r="E23" i="65" a="1"/>
  <c r="E23" i="65" s="1"/>
  <c r="D23" i="65" a="1"/>
  <c r="D23" i="65" s="1"/>
  <c r="G192" i="20" s="1"/>
  <c r="V22" i="65" a="1"/>
  <c r="V22" i="65" s="1"/>
  <c r="I176" i="20" s="1"/>
  <c r="R22" i="65" a="1"/>
  <c r="R22" i="65" s="1"/>
  <c r="Q22" i="65" a="1"/>
  <c r="Q22" i="65" s="1"/>
  <c r="L22" i="65" a="1"/>
  <c r="L22" i="65" s="1"/>
  <c r="K22" i="65" a="1"/>
  <c r="K22" i="65" s="1"/>
  <c r="I22" i="65" a="1"/>
  <c r="I22" i="65" s="1"/>
  <c r="H22" i="65" a="1"/>
  <c r="H22" i="65" s="1"/>
  <c r="G22" i="65" a="1"/>
  <c r="G22" i="65" s="1"/>
  <c r="F22" i="65" a="1"/>
  <c r="F22" i="65" s="1"/>
  <c r="E22" i="65" a="1"/>
  <c r="E22" i="65" s="1"/>
  <c r="D22" i="65" a="1"/>
  <c r="D22" i="65" s="1"/>
  <c r="G194" i="20" s="1"/>
  <c r="V21" i="65" a="1"/>
  <c r="V21" i="65" s="1"/>
  <c r="I175" i="20" s="1"/>
  <c r="R21" i="65" a="1"/>
  <c r="R21" i="65" s="1"/>
  <c r="Q21" i="65" a="1"/>
  <c r="Q21" i="65" s="1"/>
  <c r="L21" i="65" a="1"/>
  <c r="L21" i="65" s="1"/>
  <c r="K21" i="65" a="1"/>
  <c r="K21" i="65" s="1"/>
  <c r="I21" i="65" a="1"/>
  <c r="I21" i="65" s="1"/>
  <c r="H21" i="65" a="1"/>
  <c r="H21" i="65" s="1"/>
  <c r="G21" i="65" a="1"/>
  <c r="G21" i="65" s="1"/>
  <c r="F21" i="65" a="1"/>
  <c r="F21" i="65" s="1"/>
  <c r="E21" i="65" a="1"/>
  <c r="E21" i="65" s="1"/>
  <c r="D21" i="65" a="1"/>
  <c r="D21" i="65" s="1"/>
  <c r="G181" i="20" s="1"/>
  <c r="V20" i="65" a="1"/>
  <c r="V20" i="65" s="1"/>
  <c r="I174" i="20" s="1"/>
  <c r="R20" i="65" a="1"/>
  <c r="R20" i="65" s="1"/>
  <c r="Q20" i="65" a="1"/>
  <c r="Q20" i="65" s="1"/>
  <c r="L20" i="65" a="1"/>
  <c r="L20" i="65" s="1"/>
  <c r="K20" i="65" a="1"/>
  <c r="K20" i="65" s="1"/>
  <c r="I20" i="65" a="1"/>
  <c r="I20" i="65" s="1"/>
  <c r="H20" i="65" a="1"/>
  <c r="H20" i="65" s="1"/>
  <c r="G20" i="65" a="1"/>
  <c r="G20" i="65" s="1"/>
  <c r="F20" i="65" a="1"/>
  <c r="F20" i="65" s="1"/>
  <c r="E20" i="65" a="1"/>
  <c r="E20" i="65" s="1"/>
  <c r="D20" i="65" a="1"/>
  <c r="D20" i="65" s="1"/>
  <c r="V18" i="65" a="1"/>
  <c r="V18" i="65" s="1"/>
  <c r="Q18" i="65" a="1"/>
  <c r="Q18" i="65" s="1"/>
  <c r="K18" i="65" a="1"/>
  <c r="K18" i="65" s="1"/>
  <c r="V17" i="65" a="1"/>
  <c r="V17" i="65" s="1"/>
  <c r="Q17" i="65" a="1"/>
  <c r="Q17" i="65" s="1"/>
  <c r="K17" i="65" a="1"/>
  <c r="K17" i="65" s="1"/>
  <c r="D7" i="65" a="1"/>
  <c r="D7" i="65" s="1"/>
  <c r="D6" i="65" a="1"/>
  <c r="D6" i="65" s="1"/>
  <c r="D5" i="65" a="1"/>
  <c r="D5" i="65" s="1"/>
  <c r="E68" i="64" a="1"/>
  <c r="E68" i="64" s="1"/>
  <c r="D68" i="64" a="1"/>
  <c r="D68" i="64" s="1"/>
  <c r="E67" i="64" a="1"/>
  <c r="E67" i="64" s="1"/>
  <c r="D67" i="64" a="1"/>
  <c r="D67" i="64" s="1"/>
  <c r="E66" i="64" a="1"/>
  <c r="E66" i="64" s="1"/>
  <c r="D66" i="64" a="1"/>
  <c r="D66" i="64" s="1"/>
  <c r="E65" i="64" a="1"/>
  <c r="E65" i="64" s="1"/>
  <c r="D65" i="64" a="1"/>
  <c r="D65" i="64" s="1"/>
  <c r="E64" i="64" a="1"/>
  <c r="E64" i="64" s="1"/>
  <c r="D64" i="64" a="1"/>
  <c r="D64" i="64" s="1"/>
  <c r="E63" i="64" a="1"/>
  <c r="E63" i="64" s="1"/>
  <c r="D63" i="64" a="1"/>
  <c r="D63" i="64" s="1"/>
  <c r="E62" i="64" a="1"/>
  <c r="E62" i="64" s="1"/>
  <c r="D62" i="64" a="1"/>
  <c r="D62" i="64" s="1"/>
  <c r="E61" i="64" a="1"/>
  <c r="E61" i="64" s="1"/>
  <c r="D61" i="64" a="1"/>
  <c r="D61" i="64" s="1"/>
  <c r="E60" i="64" a="1"/>
  <c r="E60" i="64" s="1"/>
  <c r="D60" i="64" a="1"/>
  <c r="D60" i="64" s="1"/>
  <c r="E59" i="64" a="1"/>
  <c r="E59" i="64" s="1"/>
  <c r="D59" i="64" a="1"/>
  <c r="D59" i="64" s="1"/>
  <c r="E58" i="64" a="1"/>
  <c r="E58" i="64" s="1"/>
  <c r="D58" i="64" a="1"/>
  <c r="D58" i="64" s="1"/>
  <c r="D56" i="64" a="1"/>
  <c r="D56" i="64" s="1"/>
  <c r="D55" i="64" a="1"/>
  <c r="D55" i="64" s="1"/>
  <c r="D54" i="64" a="1"/>
  <c r="D54" i="64" s="1"/>
  <c r="D53" i="64" a="1"/>
  <c r="D53" i="64" s="1"/>
  <c r="D52" i="64" a="1"/>
  <c r="D52" i="64" s="1"/>
  <c r="G50" i="64" a="1"/>
  <c r="G50" i="64" s="1"/>
  <c r="F50" i="64" a="1"/>
  <c r="F50" i="64" s="1"/>
  <c r="E50" i="64" a="1"/>
  <c r="E50" i="64" s="1"/>
  <c r="O21" i="64" s="1"/>
  <c r="D50" i="64" a="1"/>
  <c r="D50" i="64" s="1"/>
  <c r="G49" i="64" a="1"/>
  <c r="G49" i="64" s="1"/>
  <c r="F49" i="64" a="1"/>
  <c r="F49" i="64" s="1"/>
  <c r="E49" i="64" a="1"/>
  <c r="E49" i="64" s="1"/>
  <c r="O20" i="64" s="1"/>
  <c r="D49" i="64" a="1"/>
  <c r="D49" i="64" s="1"/>
  <c r="G48" i="64" a="1"/>
  <c r="G48" i="64" s="1"/>
  <c r="F48" i="64" a="1"/>
  <c r="F48" i="64" s="1"/>
  <c r="E48" i="64" a="1"/>
  <c r="E48" i="64" s="1"/>
  <c r="O19" i="64" s="1"/>
  <c r="D48" i="64" a="1"/>
  <c r="D48" i="64" s="1"/>
  <c r="G47" i="64" a="1"/>
  <c r="G47" i="64" s="1"/>
  <c r="F47" i="64" a="1"/>
  <c r="F47" i="64" s="1"/>
  <c r="E47" i="64" a="1"/>
  <c r="E47" i="64" s="1"/>
  <c r="O18" i="64" s="1"/>
  <c r="D47" i="64" a="1"/>
  <c r="D47" i="64" s="1"/>
  <c r="G46" i="64" a="1"/>
  <c r="G46" i="64" s="1"/>
  <c r="F46" i="64" a="1"/>
  <c r="F46" i="64" s="1"/>
  <c r="E46" i="64" a="1"/>
  <c r="E46" i="64" s="1"/>
  <c r="O17" i="64" s="1"/>
  <c r="D46" i="64" a="1"/>
  <c r="D46" i="64" s="1"/>
  <c r="G45" i="64" a="1"/>
  <c r="G45" i="64" s="1"/>
  <c r="F45" i="64" a="1"/>
  <c r="F45" i="64" s="1"/>
  <c r="E45" i="64" a="1"/>
  <c r="E45" i="64" s="1"/>
  <c r="D45" i="64" a="1"/>
  <c r="D45" i="64" s="1"/>
  <c r="G44" i="64" a="1"/>
  <c r="G44" i="64" s="1"/>
  <c r="F44" i="64" a="1"/>
  <c r="F44" i="64" s="1"/>
  <c r="E44" i="64" a="1"/>
  <c r="E44" i="64" s="1"/>
  <c r="M21" i="64" s="1"/>
  <c r="D44" i="64" a="1"/>
  <c r="D44" i="64" s="1"/>
  <c r="G43" i="64" a="1"/>
  <c r="G43" i="64" s="1"/>
  <c r="F43" i="64" a="1"/>
  <c r="F43" i="64" s="1"/>
  <c r="E43" i="64" a="1"/>
  <c r="E43" i="64" s="1"/>
  <c r="M20" i="64" s="1"/>
  <c r="D43" i="64" a="1"/>
  <c r="D43" i="64" s="1"/>
  <c r="G42" i="64" a="1"/>
  <c r="G42" i="64" s="1"/>
  <c r="F42" i="64" a="1"/>
  <c r="F42" i="64" s="1"/>
  <c r="E42" i="64" a="1"/>
  <c r="E42" i="64" s="1"/>
  <c r="M19" i="64" s="1"/>
  <c r="D42" i="64" a="1"/>
  <c r="D42" i="64" s="1"/>
  <c r="G41" i="64" a="1"/>
  <c r="G41" i="64" s="1"/>
  <c r="F41" i="64" a="1"/>
  <c r="F41" i="64" s="1"/>
  <c r="E41" i="64" a="1"/>
  <c r="E41" i="64" s="1"/>
  <c r="M18" i="64" s="1"/>
  <c r="D41" i="64" a="1"/>
  <c r="D41" i="64" s="1"/>
  <c r="G40" i="64" a="1"/>
  <c r="G40" i="64" s="1"/>
  <c r="F40" i="64" a="1"/>
  <c r="F40" i="64" s="1"/>
  <c r="E40" i="64" a="1"/>
  <c r="E40" i="64" s="1"/>
  <c r="M17" i="64" s="1"/>
  <c r="D40" i="64" a="1"/>
  <c r="D40" i="64" s="1"/>
  <c r="G39" i="64" a="1"/>
  <c r="G39" i="64" s="1"/>
  <c r="F39" i="64" a="1"/>
  <c r="F39" i="64" s="1"/>
  <c r="E39" i="64" a="1"/>
  <c r="E39" i="64" s="1"/>
  <c r="D39" i="64" a="1"/>
  <c r="D39" i="64" s="1"/>
  <c r="G38" i="64" a="1"/>
  <c r="G38" i="64" s="1"/>
  <c r="F38" i="64" a="1"/>
  <c r="F38" i="64" s="1"/>
  <c r="E38" i="64" a="1"/>
  <c r="E38" i="64" s="1"/>
  <c r="K26" i="64" s="1"/>
  <c r="D38" i="64" a="1"/>
  <c r="D38" i="64" s="1"/>
  <c r="G37" i="64" a="1"/>
  <c r="G37" i="64" s="1"/>
  <c r="F37" i="64" a="1"/>
  <c r="F37" i="64" s="1"/>
  <c r="E37" i="64" a="1"/>
  <c r="E37" i="64" s="1"/>
  <c r="K25" i="64" s="1"/>
  <c r="D37" i="64" a="1"/>
  <c r="D37" i="64" s="1"/>
  <c r="G36" i="64" a="1"/>
  <c r="G36" i="64" s="1"/>
  <c r="F36" i="64" a="1"/>
  <c r="F36" i="64" s="1"/>
  <c r="E36" i="64" a="1"/>
  <c r="E36" i="64" s="1"/>
  <c r="K24" i="64" s="1"/>
  <c r="D36" i="64" a="1"/>
  <c r="D36" i="64" s="1"/>
  <c r="G35" i="64" a="1"/>
  <c r="G35" i="64" s="1"/>
  <c r="F35" i="64" a="1"/>
  <c r="F35" i="64" s="1"/>
  <c r="E35" i="64" a="1"/>
  <c r="E35" i="64" s="1"/>
  <c r="K23" i="64" s="1"/>
  <c r="D35" i="64" a="1"/>
  <c r="D35" i="64" s="1"/>
  <c r="G34" i="64" a="1"/>
  <c r="G34" i="64" s="1"/>
  <c r="F34" i="64" a="1"/>
  <c r="F34" i="64" s="1"/>
  <c r="E34" i="64" a="1"/>
  <c r="E34" i="64" s="1"/>
  <c r="K22" i="64" s="1"/>
  <c r="D34" i="64" a="1"/>
  <c r="D34" i="64" s="1"/>
  <c r="G33" i="64" a="1"/>
  <c r="G33" i="64" s="1"/>
  <c r="F33" i="64" a="1"/>
  <c r="F33" i="64" s="1"/>
  <c r="E33" i="64" a="1"/>
  <c r="E33" i="64" s="1"/>
  <c r="K21" i="64" s="1"/>
  <c r="D33" i="64" a="1"/>
  <c r="D33" i="64" s="1"/>
  <c r="G32" i="64" a="1"/>
  <c r="G32" i="64" s="1"/>
  <c r="F32" i="64" a="1"/>
  <c r="F32" i="64" s="1"/>
  <c r="E32" i="64" a="1"/>
  <c r="E32" i="64" s="1"/>
  <c r="K20" i="64" s="1"/>
  <c r="D32" i="64" a="1"/>
  <c r="D32" i="64" s="1"/>
  <c r="G31" i="64" a="1"/>
  <c r="G31" i="64" s="1"/>
  <c r="F31" i="64" a="1"/>
  <c r="F31" i="64" s="1"/>
  <c r="E31" i="64" a="1"/>
  <c r="E31" i="64" s="1"/>
  <c r="K19" i="64" s="1"/>
  <c r="D31" i="64" a="1"/>
  <c r="D31" i="64" s="1"/>
  <c r="G30" i="64" a="1"/>
  <c r="G30" i="64" s="1"/>
  <c r="F30" i="64" a="1"/>
  <c r="F30" i="64" s="1"/>
  <c r="E30" i="64" a="1"/>
  <c r="E30" i="64" s="1"/>
  <c r="K18" i="64" s="1"/>
  <c r="D30" i="64" a="1"/>
  <c r="D30" i="64" s="1"/>
  <c r="G29" i="64" a="1"/>
  <c r="G29" i="64" s="1"/>
  <c r="F29" i="64" a="1"/>
  <c r="F29" i="64" s="1"/>
  <c r="E29" i="64" a="1"/>
  <c r="E29" i="64" s="1"/>
  <c r="K17" i="64" s="1"/>
  <c r="D29" i="64" a="1"/>
  <c r="D29" i="64" s="1"/>
  <c r="G28" i="64" a="1"/>
  <c r="G28" i="64" s="1"/>
  <c r="F28" i="64" a="1"/>
  <c r="F28" i="64" s="1"/>
  <c r="E28" i="64" a="1"/>
  <c r="E28" i="64" s="1"/>
  <c r="D28" i="64" a="1"/>
  <c r="D28" i="64" s="1"/>
  <c r="G27" i="64" a="1"/>
  <c r="G27" i="64" s="1"/>
  <c r="F27" i="64" a="1"/>
  <c r="F27" i="64" s="1"/>
  <c r="E27" i="64" a="1"/>
  <c r="E27" i="64" s="1"/>
  <c r="I27" i="64" s="1"/>
  <c r="D27" i="64" a="1"/>
  <c r="D27" i="64" s="1"/>
  <c r="G26" i="64" a="1"/>
  <c r="G26" i="64" s="1"/>
  <c r="F26" i="64" a="1"/>
  <c r="F26" i="64" s="1"/>
  <c r="E26" i="64" a="1"/>
  <c r="E26" i="64" s="1"/>
  <c r="I26" i="64" s="1"/>
  <c r="D26" i="64" a="1"/>
  <c r="D26" i="64" s="1"/>
  <c r="G25" i="64" a="1"/>
  <c r="G25" i="64" s="1"/>
  <c r="F25" i="64" a="1"/>
  <c r="F25" i="64" s="1"/>
  <c r="E25" i="64" a="1"/>
  <c r="E25" i="64" s="1"/>
  <c r="I25" i="64" s="1"/>
  <c r="D25" i="64" a="1"/>
  <c r="D25" i="64" s="1"/>
  <c r="G24" i="64" a="1"/>
  <c r="G24" i="64" s="1"/>
  <c r="F24" i="64" a="1"/>
  <c r="F24" i="64" s="1"/>
  <c r="E24" i="64" a="1"/>
  <c r="E24" i="64" s="1"/>
  <c r="I24" i="64" s="1"/>
  <c r="D24" i="64" a="1"/>
  <c r="D24" i="64" s="1"/>
  <c r="G23" i="64" a="1"/>
  <c r="G23" i="64" s="1"/>
  <c r="F23" i="64" a="1"/>
  <c r="F23" i="64" s="1"/>
  <c r="E23" i="64" a="1"/>
  <c r="E23" i="64" s="1"/>
  <c r="I23" i="64" s="1"/>
  <c r="D23" i="64" a="1"/>
  <c r="D23" i="64" s="1"/>
  <c r="G22" i="64" a="1"/>
  <c r="G22" i="64" s="1"/>
  <c r="F22" i="64" a="1"/>
  <c r="F22" i="64" s="1"/>
  <c r="E22" i="64" a="1"/>
  <c r="E22" i="64" s="1"/>
  <c r="I22" i="64" s="1"/>
  <c r="D22" i="64" a="1"/>
  <c r="D22" i="64" s="1"/>
  <c r="G21" i="64" a="1"/>
  <c r="G21" i="64" s="1"/>
  <c r="F21" i="64" a="1"/>
  <c r="F21" i="64" s="1"/>
  <c r="E21" i="64" a="1"/>
  <c r="E21" i="64" s="1"/>
  <c r="I21" i="64" s="1"/>
  <c r="D21" i="64" a="1"/>
  <c r="D21" i="64" s="1"/>
  <c r="G20" i="64" a="1"/>
  <c r="G20" i="64" s="1"/>
  <c r="F20" i="64" a="1"/>
  <c r="F20" i="64" s="1"/>
  <c r="E20" i="64" a="1"/>
  <c r="E20" i="64" s="1"/>
  <c r="I20" i="64" s="1"/>
  <c r="D20" i="64" a="1"/>
  <c r="D20" i="64" s="1"/>
  <c r="G19" i="64" a="1"/>
  <c r="G19" i="64" s="1"/>
  <c r="F19" i="64" a="1"/>
  <c r="F19" i="64" s="1"/>
  <c r="E19" i="64" a="1"/>
  <c r="E19" i="64" s="1"/>
  <c r="I19" i="64" s="1"/>
  <c r="D19" i="64" a="1"/>
  <c r="D19" i="64" s="1"/>
  <c r="G18" i="64" a="1"/>
  <c r="G18" i="64" s="1"/>
  <c r="F18" i="64" a="1"/>
  <c r="F18" i="64" s="1"/>
  <c r="E18" i="64" a="1"/>
  <c r="E18" i="64" s="1"/>
  <c r="I18" i="64" s="1"/>
  <c r="D18" i="64" a="1"/>
  <c r="D18" i="64" s="1"/>
  <c r="G17" i="64" a="1"/>
  <c r="G17" i="64" s="1"/>
  <c r="F17" i="64" a="1"/>
  <c r="F17" i="64" s="1"/>
  <c r="E17" i="64" a="1"/>
  <c r="E17" i="64" s="1"/>
  <c r="I17" i="64" s="1"/>
  <c r="D17" i="64" a="1"/>
  <c r="D17" i="64" s="1"/>
  <c r="D15" i="64" a="1"/>
  <c r="D15" i="64" s="1"/>
  <c r="D14" i="64" a="1"/>
  <c r="D14" i="64" s="1"/>
  <c r="D7" i="64" a="1"/>
  <c r="D7" i="64" s="1"/>
  <c r="D6" i="64" a="1"/>
  <c r="D6" i="64" s="1"/>
  <c r="D5" i="64" a="1"/>
  <c r="D5" i="64" s="1"/>
  <c r="E139" i="63"/>
  <c r="F40" i="61" s="1"/>
  <c r="G138" i="63"/>
  <c r="F32" i="60" s="1"/>
  <c r="E138" i="63"/>
  <c r="F39" i="61" s="1"/>
  <c r="G137" i="63"/>
  <c r="F31" i="60" s="1"/>
  <c r="E137" i="63"/>
  <c r="F38" i="61" s="1"/>
  <c r="D137" i="63"/>
  <c r="F31" i="61" s="1"/>
  <c r="G136" i="63"/>
  <c r="F30" i="60" s="1"/>
  <c r="E136" i="63"/>
  <c r="F37" i="61" s="1"/>
  <c r="D136" i="63"/>
  <c r="F30" i="61" s="1"/>
  <c r="G135" i="63"/>
  <c r="F29" i="60" s="1"/>
  <c r="E135" i="63"/>
  <c r="F36" i="61" s="1"/>
  <c r="D135" i="63"/>
  <c r="F29" i="61" s="1"/>
  <c r="G134" i="63"/>
  <c r="F28" i="60" s="1"/>
  <c r="E134" i="63"/>
  <c r="F35" i="61" s="1"/>
  <c r="D134" i="63"/>
  <c r="F28" i="61" s="1"/>
  <c r="G133" i="63"/>
  <c r="F27" i="60" s="1"/>
  <c r="F133" i="63"/>
  <c r="F36" i="60" s="1"/>
  <c r="E133" i="63"/>
  <c r="F34" i="61" s="1"/>
  <c r="D133" i="63"/>
  <c r="F27" i="61" s="1"/>
  <c r="I132" i="63"/>
  <c r="F38" i="60" s="1"/>
  <c r="G132" i="63"/>
  <c r="F26" i="60" s="1"/>
  <c r="F132" i="63"/>
  <c r="F35" i="60" s="1"/>
  <c r="E132" i="63"/>
  <c r="F33" i="61" s="1"/>
  <c r="D132" i="63"/>
  <c r="F26" i="61" s="1"/>
  <c r="I131" i="63"/>
  <c r="F37" i="60" s="1"/>
  <c r="H131" i="63"/>
  <c r="F33" i="60" s="1"/>
  <c r="G131" i="63"/>
  <c r="F25" i="60" s="1"/>
  <c r="F131" i="63"/>
  <c r="F34" i="60" s="1"/>
  <c r="E131" i="63"/>
  <c r="F32" i="61" s="1"/>
  <c r="D131" i="63"/>
  <c r="F25" i="61" s="1"/>
  <c r="F120" i="63" a="1"/>
  <c r="F120" i="63" s="1"/>
  <c r="E120" i="63" a="1"/>
  <c r="E120" i="63" s="1"/>
  <c r="D120" i="63" a="1"/>
  <c r="D120" i="63" s="1"/>
  <c r="F119" i="63" a="1"/>
  <c r="F119" i="63" s="1"/>
  <c r="E119" i="63" a="1"/>
  <c r="E119" i="63" s="1"/>
  <c r="D119" i="63" a="1"/>
  <c r="D119" i="63" s="1"/>
  <c r="F118" i="63" a="1"/>
  <c r="F118" i="63" s="1"/>
  <c r="E118" i="63" a="1"/>
  <c r="E118" i="63" s="1"/>
  <c r="D118" i="63" a="1"/>
  <c r="D118" i="63" s="1"/>
  <c r="F117" i="63" a="1"/>
  <c r="F117" i="63" s="1"/>
  <c r="E117" i="63" a="1"/>
  <c r="E117" i="63" s="1"/>
  <c r="D117" i="63" a="1"/>
  <c r="D117" i="63" s="1"/>
  <c r="F116" i="63" a="1"/>
  <c r="F116" i="63" s="1"/>
  <c r="E116" i="63" a="1"/>
  <c r="E116" i="63" s="1"/>
  <c r="D116" i="63" a="1"/>
  <c r="D116" i="63" s="1"/>
  <c r="F115" i="63" a="1"/>
  <c r="F115" i="63" s="1"/>
  <c r="E115" i="63" a="1"/>
  <c r="E115" i="63" s="1"/>
  <c r="D115" i="63" a="1"/>
  <c r="D115" i="63" s="1"/>
  <c r="F114" i="63" a="1"/>
  <c r="F114" i="63" s="1"/>
  <c r="E114" i="63" a="1"/>
  <c r="E114" i="63" s="1"/>
  <c r="D114" i="63" a="1"/>
  <c r="D114" i="63" s="1"/>
  <c r="G113" i="63" a="1"/>
  <c r="G113" i="63" s="1"/>
  <c r="F113" i="63" a="1"/>
  <c r="F113" i="63" s="1"/>
  <c r="E113" i="63" a="1"/>
  <c r="E113" i="63" s="1"/>
  <c r="D113" i="63" a="1"/>
  <c r="D113" i="63" s="1"/>
  <c r="D110" i="63" a="1"/>
  <c r="D110" i="63" s="1"/>
  <c r="D109" i="63" a="1"/>
  <c r="D109" i="63" s="1"/>
  <c r="D108" i="63" a="1"/>
  <c r="D108" i="63" s="1"/>
  <c r="D107" i="63" a="1"/>
  <c r="D107" i="63" s="1"/>
  <c r="J104" i="63" a="1"/>
  <c r="J104" i="63" s="1"/>
  <c r="I104" i="63" a="1"/>
  <c r="I104" i="63" s="1"/>
  <c r="H104" i="63" a="1"/>
  <c r="H104" i="63" s="1"/>
  <c r="G104" i="63" a="1"/>
  <c r="G104" i="63" s="1"/>
  <c r="F104" i="63" a="1"/>
  <c r="F104" i="63" s="1"/>
  <c r="E104" i="63" a="1"/>
  <c r="E104" i="63" s="1"/>
  <c r="D104" i="63" a="1"/>
  <c r="D104" i="63" s="1"/>
  <c r="E40" i="61" s="1"/>
  <c r="J103" i="63" a="1"/>
  <c r="J103" i="63" s="1"/>
  <c r="I103" i="63" a="1"/>
  <c r="I103" i="63" s="1"/>
  <c r="H103" i="63" a="1"/>
  <c r="H103" i="63" s="1"/>
  <c r="G103" i="63" a="1"/>
  <c r="G103" i="63" s="1"/>
  <c r="F103" i="63" a="1"/>
  <c r="F103" i="63" s="1"/>
  <c r="E103" i="63" a="1"/>
  <c r="E103" i="63" s="1"/>
  <c r="D103" i="63" a="1"/>
  <c r="D103" i="63" s="1"/>
  <c r="E39" i="61" s="1"/>
  <c r="J102" i="63" a="1"/>
  <c r="J102" i="63" s="1"/>
  <c r="I102" i="63" a="1"/>
  <c r="I102" i="63" s="1"/>
  <c r="H102" i="63" a="1"/>
  <c r="H102" i="63" s="1"/>
  <c r="G102" i="63" a="1"/>
  <c r="G102" i="63" s="1"/>
  <c r="F102" i="63" a="1"/>
  <c r="F102" i="63" s="1"/>
  <c r="E102" i="63" a="1"/>
  <c r="E102" i="63" s="1"/>
  <c r="D102" i="63" a="1"/>
  <c r="D102" i="63" s="1"/>
  <c r="J101" i="63" a="1"/>
  <c r="J101" i="63" s="1"/>
  <c r="I101" i="63" a="1"/>
  <c r="I101" i="63" s="1"/>
  <c r="H101" i="63" a="1"/>
  <c r="H101" i="63" s="1"/>
  <c r="G101" i="63" a="1"/>
  <c r="G101" i="63" s="1"/>
  <c r="F101" i="63" a="1"/>
  <c r="F101" i="63" s="1"/>
  <c r="E101" i="63" a="1"/>
  <c r="E101" i="63" s="1"/>
  <c r="D101" i="63" a="1"/>
  <c r="D101" i="63" s="1"/>
  <c r="J100" i="63" a="1"/>
  <c r="J100" i="63" s="1"/>
  <c r="I100" i="63" a="1"/>
  <c r="I100" i="63" s="1"/>
  <c r="H100" i="63" a="1"/>
  <c r="H100" i="63" s="1"/>
  <c r="G100" i="63" a="1"/>
  <c r="G100" i="63" s="1"/>
  <c r="F100" i="63" a="1"/>
  <c r="F100" i="63" s="1"/>
  <c r="E100" i="63" a="1"/>
  <c r="E100" i="63" s="1"/>
  <c r="D100" i="63" a="1"/>
  <c r="D100" i="63" s="1"/>
  <c r="J99" i="63" a="1"/>
  <c r="J99" i="63" s="1"/>
  <c r="I99" i="63" a="1"/>
  <c r="I99" i="63" s="1"/>
  <c r="H99" i="63" a="1"/>
  <c r="H99" i="63" s="1"/>
  <c r="G99" i="63" a="1"/>
  <c r="G99" i="63" s="1"/>
  <c r="F99" i="63" a="1"/>
  <c r="F99" i="63" s="1"/>
  <c r="E99" i="63" a="1"/>
  <c r="E99" i="63" s="1"/>
  <c r="D99" i="63" a="1"/>
  <c r="D99" i="63" s="1"/>
  <c r="J98" i="63" a="1"/>
  <c r="J98" i="63" s="1"/>
  <c r="I98" i="63" a="1"/>
  <c r="I98" i="63" s="1"/>
  <c r="H98" i="63" a="1"/>
  <c r="H98" i="63" s="1"/>
  <c r="G98" i="63" a="1"/>
  <c r="G98" i="63" s="1"/>
  <c r="F98" i="63" a="1"/>
  <c r="F98" i="63" s="1"/>
  <c r="E98" i="63" a="1"/>
  <c r="E98" i="63" s="1"/>
  <c r="D98" i="63" a="1"/>
  <c r="D98" i="63" s="1"/>
  <c r="J97" i="63" a="1"/>
  <c r="J97" i="63" s="1"/>
  <c r="I97" i="63" a="1"/>
  <c r="I97" i="63" s="1"/>
  <c r="H97" i="63" a="1"/>
  <c r="H97" i="63" s="1"/>
  <c r="G97" i="63" a="1"/>
  <c r="G97" i="63" s="1"/>
  <c r="F97" i="63" a="1"/>
  <c r="F97" i="63" s="1"/>
  <c r="E97" i="63" a="1"/>
  <c r="E97" i="63" s="1"/>
  <c r="D97" i="63" a="1"/>
  <c r="D97" i="63" s="1"/>
  <c r="J96" i="63" a="1"/>
  <c r="J96" i="63" s="1"/>
  <c r="I96" i="63" a="1"/>
  <c r="I96" i="63" s="1"/>
  <c r="H96" i="63" a="1"/>
  <c r="H96" i="63" s="1"/>
  <c r="G96" i="63" a="1"/>
  <c r="G96" i="63" s="1"/>
  <c r="F96" i="63" a="1"/>
  <c r="F96" i="63" s="1"/>
  <c r="E96" i="63" a="1"/>
  <c r="E96" i="63" s="1"/>
  <c r="D96" i="63" a="1"/>
  <c r="D96" i="63" s="1"/>
  <c r="J95" i="63" a="1"/>
  <c r="J95" i="63" s="1"/>
  <c r="I95" i="63" a="1"/>
  <c r="I95" i="63" s="1"/>
  <c r="H95" i="63" a="1"/>
  <c r="H95" i="63" s="1"/>
  <c r="G95" i="63" a="1"/>
  <c r="G95" i="63" s="1"/>
  <c r="F95" i="63" a="1"/>
  <c r="F95" i="63" s="1"/>
  <c r="E95" i="63" a="1"/>
  <c r="E95" i="63" s="1"/>
  <c r="D95" i="63" a="1"/>
  <c r="D95" i="63" s="1"/>
  <c r="J94" i="63" a="1"/>
  <c r="J94" i="63" s="1"/>
  <c r="I94" i="63" a="1"/>
  <c r="I94" i="63" s="1"/>
  <c r="H94" i="63" a="1"/>
  <c r="H94" i="63" s="1"/>
  <c r="G94" i="63" a="1"/>
  <c r="G94" i="63" s="1"/>
  <c r="F94" i="63" a="1"/>
  <c r="F94" i="63" s="1"/>
  <c r="E94" i="63" a="1"/>
  <c r="E94" i="63" s="1"/>
  <c r="D94" i="63" a="1"/>
  <c r="D94" i="63" s="1"/>
  <c r="J93" i="63" a="1"/>
  <c r="J93" i="63" s="1"/>
  <c r="I93" i="63" a="1"/>
  <c r="I93" i="63" s="1"/>
  <c r="H93" i="63" a="1"/>
  <c r="H93" i="63" s="1"/>
  <c r="G93" i="63" a="1"/>
  <c r="G93" i="63" s="1"/>
  <c r="F93" i="63" a="1"/>
  <c r="F93" i="63" s="1"/>
  <c r="E93" i="63" a="1"/>
  <c r="E93" i="63" s="1"/>
  <c r="D93" i="63" a="1"/>
  <c r="D93" i="63" s="1"/>
  <c r="J92" i="63" a="1"/>
  <c r="J92" i="63" s="1"/>
  <c r="I92" i="63" a="1"/>
  <c r="I92" i="63" s="1"/>
  <c r="H92" i="63" a="1"/>
  <c r="H92" i="63" s="1"/>
  <c r="G92" i="63" a="1"/>
  <c r="G92" i="63" s="1"/>
  <c r="F92" i="63" a="1"/>
  <c r="F92" i="63" s="1"/>
  <c r="E92" i="63" a="1"/>
  <c r="E92" i="63" s="1"/>
  <c r="D92" i="63" a="1"/>
  <c r="D92" i="63" s="1"/>
  <c r="J91" i="63" a="1"/>
  <c r="J91" i="63" s="1"/>
  <c r="I91" i="63" a="1"/>
  <c r="I91" i="63" s="1"/>
  <c r="H91" i="63" a="1"/>
  <c r="H91" i="63" s="1"/>
  <c r="G91" i="63" a="1"/>
  <c r="G91" i="63" s="1"/>
  <c r="F91" i="63" a="1"/>
  <c r="F91" i="63" s="1"/>
  <c r="E91" i="63" a="1"/>
  <c r="E91" i="63" s="1"/>
  <c r="D91" i="63" a="1"/>
  <c r="D91" i="63" s="1"/>
  <c r="J90" i="63" a="1"/>
  <c r="J90" i="63" s="1"/>
  <c r="I90" i="63" a="1"/>
  <c r="I90" i="63" s="1"/>
  <c r="H90" i="63" a="1"/>
  <c r="H90" i="63" s="1"/>
  <c r="G90" i="63" a="1"/>
  <c r="G90" i="63" s="1"/>
  <c r="F90" i="63" a="1"/>
  <c r="F90" i="63" s="1"/>
  <c r="E90" i="63" a="1"/>
  <c r="E90" i="63" s="1"/>
  <c r="D90" i="63" a="1"/>
  <c r="D90" i="63" s="1"/>
  <c r="J89" i="63" a="1"/>
  <c r="J89" i="63" s="1"/>
  <c r="I89" i="63" a="1"/>
  <c r="I89" i="63" s="1"/>
  <c r="H89" i="63" a="1"/>
  <c r="H89" i="63" s="1"/>
  <c r="G89" i="63" a="1"/>
  <c r="G89" i="63" s="1"/>
  <c r="F89" i="63" a="1"/>
  <c r="F89" i="63" s="1"/>
  <c r="E89" i="63" a="1"/>
  <c r="E89" i="63" s="1"/>
  <c r="D89" i="63" a="1"/>
  <c r="D89" i="63" s="1"/>
  <c r="J88" i="63" a="1"/>
  <c r="J88" i="63" s="1"/>
  <c r="I88" i="63" a="1"/>
  <c r="I88" i="63" s="1"/>
  <c r="H88" i="63" a="1"/>
  <c r="H88" i="63" s="1"/>
  <c r="G88" i="63" a="1"/>
  <c r="G88" i="63" s="1"/>
  <c r="F88" i="63" a="1"/>
  <c r="F88" i="63" s="1"/>
  <c r="E88" i="63" a="1"/>
  <c r="E88" i="63" s="1"/>
  <c r="D88" i="63" a="1"/>
  <c r="D88" i="63" s="1"/>
  <c r="J87" i="63" a="1"/>
  <c r="J87" i="63" s="1"/>
  <c r="I87" i="63" a="1"/>
  <c r="I87" i="63" s="1"/>
  <c r="H87" i="63" a="1"/>
  <c r="H87" i="63" s="1"/>
  <c r="G87" i="63" a="1"/>
  <c r="G87" i="63" s="1"/>
  <c r="F87" i="63" a="1"/>
  <c r="F87" i="63" s="1"/>
  <c r="E87" i="63" a="1"/>
  <c r="E87" i="63" s="1"/>
  <c r="D87" i="63" a="1"/>
  <c r="D87" i="63" s="1"/>
  <c r="D84" i="63" a="1"/>
  <c r="D84" i="63" s="1"/>
  <c r="D83" i="63" a="1"/>
  <c r="D83" i="63" s="1"/>
  <c r="D82" i="63" a="1"/>
  <c r="D82" i="63" s="1"/>
  <c r="D81" i="63" a="1"/>
  <c r="D81" i="63" s="1"/>
  <c r="K77" i="63" a="1"/>
  <c r="K77" i="63" s="1"/>
  <c r="J77" i="63" a="1"/>
  <c r="J77" i="63" s="1"/>
  <c r="I77" i="63" a="1"/>
  <c r="I77" i="63" s="1"/>
  <c r="H77" i="63" a="1"/>
  <c r="H77" i="63" s="1"/>
  <c r="G77" i="63" a="1"/>
  <c r="G77" i="63" s="1"/>
  <c r="F77" i="63" a="1"/>
  <c r="F77" i="63" s="1"/>
  <c r="E77" i="63" a="1"/>
  <c r="E77" i="63" s="1"/>
  <c r="D77" i="63" a="1"/>
  <c r="D77" i="63" s="1"/>
  <c r="E31" i="61" s="1"/>
  <c r="K76" i="63" a="1"/>
  <c r="K76" i="63" s="1"/>
  <c r="J76" i="63" a="1"/>
  <c r="J76" i="63" s="1"/>
  <c r="I76" i="63" a="1"/>
  <c r="I76" i="63" s="1"/>
  <c r="H76" i="63" a="1"/>
  <c r="H76" i="63" s="1"/>
  <c r="G76" i="63" a="1"/>
  <c r="G76" i="63" s="1"/>
  <c r="F76" i="63" a="1"/>
  <c r="F76" i="63" s="1"/>
  <c r="E76" i="63" a="1"/>
  <c r="E76" i="63" s="1"/>
  <c r="D76" i="63" a="1"/>
  <c r="D76" i="63" s="1"/>
  <c r="K75" i="63" a="1"/>
  <c r="K75" i="63" s="1"/>
  <c r="J75" i="63" a="1"/>
  <c r="J75" i="63" s="1"/>
  <c r="I75" i="63" a="1"/>
  <c r="I75" i="63" s="1"/>
  <c r="H75" i="63" a="1"/>
  <c r="H75" i="63" s="1"/>
  <c r="G75" i="63" a="1"/>
  <c r="G75" i="63" s="1"/>
  <c r="F75" i="63" a="1"/>
  <c r="F75" i="63" s="1"/>
  <c r="E75" i="63" a="1"/>
  <c r="E75" i="63" s="1"/>
  <c r="D75" i="63" a="1"/>
  <c r="D75" i="63" s="1"/>
  <c r="E37" i="61" s="1"/>
  <c r="K74" i="63" a="1"/>
  <c r="K74" i="63" s="1"/>
  <c r="J74" i="63" a="1"/>
  <c r="J74" i="63" s="1"/>
  <c r="I74" i="63" a="1"/>
  <c r="I74" i="63" s="1"/>
  <c r="H74" i="63" a="1"/>
  <c r="H74" i="63" s="1"/>
  <c r="G74" i="63" a="1"/>
  <c r="G74" i="63" s="1"/>
  <c r="F74" i="63" a="1"/>
  <c r="F74" i="63" s="1"/>
  <c r="E74" i="63" a="1"/>
  <c r="E74" i="63" s="1"/>
  <c r="D74" i="63" a="1"/>
  <c r="D74" i="63" s="1"/>
  <c r="E29" i="61" s="1"/>
  <c r="K73" i="63" a="1"/>
  <c r="K73" i="63" s="1"/>
  <c r="J73" i="63" a="1"/>
  <c r="J73" i="63" s="1"/>
  <c r="I73" i="63" a="1"/>
  <c r="I73" i="63" s="1"/>
  <c r="H73" i="63" a="1"/>
  <c r="H73" i="63" s="1"/>
  <c r="G73" i="63" a="1"/>
  <c r="G73" i="63" s="1"/>
  <c r="F73" i="63" a="1"/>
  <c r="F73" i="63" s="1"/>
  <c r="E73" i="63" a="1"/>
  <c r="E73" i="63" s="1"/>
  <c r="D73" i="63" a="1"/>
  <c r="D73" i="63" s="1"/>
  <c r="E35" i="61" s="1"/>
  <c r="K72" i="63" a="1"/>
  <c r="K72" i="63" s="1"/>
  <c r="J72" i="63" a="1"/>
  <c r="J72" i="63" s="1"/>
  <c r="I72" i="63" a="1"/>
  <c r="I72" i="63" s="1"/>
  <c r="H72" i="63" a="1"/>
  <c r="H72" i="63" s="1"/>
  <c r="G72" i="63" a="1"/>
  <c r="G72" i="63" s="1"/>
  <c r="F72" i="63" a="1"/>
  <c r="F72" i="63" s="1"/>
  <c r="E72" i="63" a="1"/>
  <c r="E72" i="63" s="1"/>
  <c r="D72" i="63" a="1"/>
  <c r="D72" i="63" s="1"/>
  <c r="K71" i="63" a="1"/>
  <c r="K71" i="63" s="1"/>
  <c r="J71" i="63" a="1"/>
  <c r="J71" i="63" s="1"/>
  <c r="I71" i="63" a="1"/>
  <c r="I71" i="63" s="1"/>
  <c r="H71" i="63" a="1"/>
  <c r="H71" i="63" s="1"/>
  <c r="G71" i="63" a="1"/>
  <c r="G71" i="63" s="1"/>
  <c r="F71" i="63" a="1"/>
  <c r="F71" i="63" s="1"/>
  <c r="E71" i="63" a="1"/>
  <c r="E71" i="63" s="1"/>
  <c r="D71" i="63" a="1"/>
  <c r="D71" i="63" s="1"/>
  <c r="K70" i="63" a="1"/>
  <c r="K70" i="63" s="1"/>
  <c r="J70" i="63" a="1"/>
  <c r="J70" i="63" s="1"/>
  <c r="I70" i="63" a="1"/>
  <c r="I70" i="63" s="1"/>
  <c r="H70" i="63" a="1"/>
  <c r="H70" i="63" s="1"/>
  <c r="G70" i="63" a="1"/>
  <c r="G70" i="63" s="1"/>
  <c r="F70" i="63" a="1"/>
  <c r="F70" i="63" s="1"/>
  <c r="E70" i="63" a="1"/>
  <c r="E70" i="63" s="1"/>
  <c r="D70" i="63" a="1"/>
  <c r="D70" i="63" s="1"/>
  <c r="K69" i="63" a="1"/>
  <c r="K69" i="63" s="1"/>
  <c r="J69" i="63" a="1"/>
  <c r="J69" i="63" s="1"/>
  <c r="I69" i="63" a="1"/>
  <c r="I69" i="63" s="1"/>
  <c r="H69" i="63" a="1"/>
  <c r="H69" i="63" s="1"/>
  <c r="G69" i="63" a="1"/>
  <c r="G69" i="63" s="1"/>
  <c r="F69" i="63" a="1"/>
  <c r="F69" i="63" s="1"/>
  <c r="E69" i="63" a="1"/>
  <c r="E69" i="63" s="1"/>
  <c r="D69" i="63" a="1"/>
  <c r="D69" i="63" s="1"/>
  <c r="K68" i="63" a="1"/>
  <c r="K68" i="63" s="1"/>
  <c r="J68" i="63" a="1"/>
  <c r="J68" i="63" s="1"/>
  <c r="I68" i="63" a="1"/>
  <c r="I68" i="63" s="1"/>
  <c r="H68" i="63" a="1"/>
  <c r="H68" i="63" s="1"/>
  <c r="G68" i="63" a="1"/>
  <c r="G68" i="63" s="1"/>
  <c r="F68" i="63" a="1"/>
  <c r="F68" i="63" s="1"/>
  <c r="E68" i="63" a="1"/>
  <c r="E68" i="63" s="1"/>
  <c r="D68" i="63" a="1"/>
  <c r="D68" i="63" s="1"/>
  <c r="K67" i="63" a="1"/>
  <c r="K67" i="63" s="1"/>
  <c r="J67" i="63" a="1"/>
  <c r="J67" i="63" s="1"/>
  <c r="I67" i="63" a="1"/>
  <c r="I67" i="63" s="1"/>
  <c r="H67" i="63" a="1"/>
  <c r="H67" i="63" s="1"/>
  <c r="G67" i="63" a="1"/>
  <c r="G67" i="63" s="1"/>
  <c r="F67" i="63" a="1"/>
  <c r="F67" i="63" s="1"/>
  <c r="E67" i="63" a="1"/>
  <c r="E67" i="63" s="1"/>
  <c r="D67" i="63" a="1"/>
  <c r="D67" i="63" s="1"/>
  <c r="E34" i="61" s="1"/>
  <c r="K66" i="63" a="1"/>
  <c r="K66" i="63" s="1"/>
  <c r="J66" i="63" a="1"/>
  <c r="J66" i="63" s="1"/>
  <c r="I66" i="63" a="1"/>
  <c r="I66" i="63" s="1"/>
  <c r="H66" i="63" a="1"/>
  <c r="H66" i="63" s="1"/>
  <c r="G66" i="63" a="1"/>
  <c r="G66" i="63" s="1"/>
  <c r="F66" i="63" a="1"/>
  <c r="F66" i="63" s="1"/>
  <c r="E66" i="63" a="1"/>
  <c r="E66" i="63" s="1"/>
  <c r="D66" i="63" a="1"/>
  <c r="D66" i="63" s="1"/>
  <c r="K65" i="63" a="1"/>
  <c r="K65" i="63" s="1"/>
  <c r="J65" i="63" a="1"/>
  <c r="J65" i="63" s="1"/>
  <c r="I65" i="63" a="1"/>
  <c r="I65" i="63" s="1"/>
  <c r="H65" i="63" a="1"/>
  <c r="H65" i="63" s="1"/>
  <c r="G65" i="63" a="1"/>
  <c r="G65" i="63" s="1"/>
  <c r="F65" i="63" a="1"/>
  <c r="F65" i="63" s="1"/>
  <c r="E65" i="63" a="1"/>
  <c r="E65" i="63" s="1"/>
  <c r="D65" i="63" a="1"/>
  <c r="D65" i="63" s="1"/>
  <c r="K64" i="63" a="1"/>
  <c r="K64" i="63" s="1"/>
  <c r="J64" i="63" a="1"/>
  <c r="J64" i="63" s="1"/>
  <c r="I64" i="63" a="1"/>
  <c r="I64" i="63" s="1"/>
  <c r="H64" i="63" a="1"/>
  <c r="H64" i="63" s="1"/>
  <c r="G64" i="63" a="1"/>
  <c r="G64" i="63" s="1"/>
  <c r="F64" i="63" a="1"/>
  <c r="F64" i="63" s="1"/>
  <c r="E64" i="63" a="1"/>
  <c r="E64" i="63" s="1"/>
  <c r="D64" i="63" a="1"/>
  <c r="D64" i="63" s="1"/>
  <c r="K63" i="63" a="1"/>
  <c r="K63" i="63" s="1"/>
  <c r="J63" i="63" a="1"/>
  <c r="J63" i="63" s="1"/>
  <c r="I63" i="63" a="1"/>
  <c r="I63" i="63" s="1"/>
  <c r="H63" i="63" a="1"/>
  <c r="H63" i="63" s="1"/>
  <c r="G63" i="63" a="1"/>
  <c r="G63" i="63" s="1"/>
  <c r="F63" i="63" a="1"/>
  <c r="F63" i="63" s="1"/>
  <c r="E63" i="63" a="1"/>
  <c r="E63" i="63" s="1"/>
  <c r="D63" i="63" a="1"/>
  <c r="D63" i="63" s="1"/>
  <c r="E26" i="61" s="1"/>
  <c r="K62" i="63" a="1"/>
  <c r="K62" i="63" s="1"/>
  <c r="J62" i="63" a="1"/>
  <c r="J62" i="63" s="1"/>
  <c r="I62" i="63" a="1"/>
  <c r="I62" i="63" s="1"/>
  <c r="H62" i="63" a="1"/>
  <c r="H62" i="63" s="1"/>
  <c r="G62" i="63" a="1"/>
  <c r="G62" i="63" s="1"/>
  <c r="F62" i="63" a="1"/>
  <c r="F62" i="63" s="1"/>
  <c r="E62" i="63" a="1"/>
  <c r="E62" i="63" s="1"/>
  <c r="D62" i="63" a="1"/>
  <c r="D62" i="63" s="1"/>
  <c r="K61" i="63" a="1"/>
  <c r="K61" i="63" s="1"/>
  <c r="J61" i="63" a="1"/>
  <c r="J61" i="63" s="1"/>
  <c r="I61" i="63" a="1"/>
  <c r="I61" i="63" s="1"/>
  <c r="H61" i="63" a="1"/>
  <c r="H61" i="63" s="1"/>
  <c r="G61" i="63" a="1"/>
  <c r="G61" i="63" s="1"/>
  <c r="F61" i="63" a="1"/>
  <c r="F61" i="63" s="1"/>
  <c r="E61" i="63" a="1"/>
  <c r="E61" i="63" s="1"/>
  <c r="D61" i="63" a="1"/>
  <c r="D61" i="63" s="1"/>
  <c r="K60" i="63" a="1"/>
  <c r="K60" i="63" s="1"/>
  <c r="J60" i="63" a="1"/>
  <c r="J60" i="63" s="1"/>
  <c r="I60" i="63" a="1"/>
  <c r="I60" i="63" s="1"/>
  <c r="H60" i="63" a="1"/>
  <c r="H60" i="63" s="1"/>
  <c r="G60" i="63" a="1"/>
  <c r="G60" i="63" s="1"/>
  <c r="F60" i="63" a="1"/>
  <c r="F60" i="63" s="1"/>
  <c r="E60" i="63" a="1"/>
  <c r="E60" i="63" s="1"/>
  <c r="D60" i="63" a="1"/>
  <c r="D60" i="63" s="1"/>
  <c r="K59" i="63" a="1"/>
  <c r="K59" i="63" s="1"/>
  <c r="J59" i="63" a="1"/>
  <c r="J59" i="63" s="1"/>
  <c r="I59" i="63" a="1"/>
  <c r="I59" i="63" s="1"/>
  <c r="H59" i="63" a="1"/>
  <c r="H59" i="63" s="1"/>
  <c r="G59" i="63" a="1"/>
  <c r="G59" i="63" s="1"/>
  <c r="F59" i="63" a="1"/>
  <c r="F59" i="63" s="1"/>
  <c r="E59" i="63" a="1"/>
  <c r="E59" i="63" s="1"/>
  <c r="D59" i="63" a="1"/>
  <c r="D59" i="63" s="1"/>
  <c r="K58" i="63" a="1"/>
  <c r="K58" i="63" s="1"/>
  <c r="J58" i="63" a="1"/>
  <c r="J58" i="63" s="1"/>
  <c r="I58" i="63" a="1"/>
  <c r="I58" i="63" s="1"/>
  <c r="H58" i="63" a="1"/>
  <c r="H58" i="63" s="1"/>
  <c r="G58" i="63" a="1"/>
  <c r="G58" i="63" s="1"/>
  <c r="F58" i="63" a="1"/>
  <c r="F58" i="63" s="1"/>
  <c r="E58" i="63" a="1"/>
  <c r="E58" i="63" s="1"/>
  <c r="D58" i="63" a="1"/>
  <c r="D58" i="63" s="1"/>
  <c r="E32" i="61" s="1"/>
  <c r="K57" i="63" a="1"/>
  <c r="K57" i="63" s="1"/>
  <c r="J57" i="63" a="1"/>
  <c r="J57" i="63" s="1"/>
  <c r="I57" i="63" a="1"/>
  <c r="I57" i="63" s="1"/>
  <c r="H57" i="63" a="1"/>
  <c r="H57" i="63" s="1"/>
  <c r="G57" i="63" a="1"/>
  <c r="G57" i="63" s="1"/>
  <c r="F57" i="63" a="1"/>
  <c r="F57" i="63" s="1"/>
  <c r="E57" i="63" a="1"/>
  <c r="E57" i="63" s="1"/>
  <c r="D57" i="63" a="1"/>
  <c r="D57" i="63" s="1"/>
  <c r="K56" i="63" a="1"/>
  <c r="K56" i="63" s="1"/>
  <c r="J56" i="63" a="1"/>
  <c r="J56" i="63" s="1"/>
  <c r="I56" i="63" a="1"/>
  <c r="I56" i="63" s="1"/>
  <c r="H56" i="63" a="1"/>
  <c r="H56" i="63" s="1"/>
  <c r="G56" i="63" a="1"/>
  <c r="G56" i="63" s="1"/>
  <c r="F56" i="63" a="1"/>
  <c r="F56" i="63" s="1"/>
  <c r="E56" i="63" a="1"/>
  <c r="E56" i="63" s="1"/>
  <c r="D56" i="63" a="1"/>
  <c r="D56" i="63" s="1"/>
  <c r="K55" i="63" a="1"/>
  <c r="K55" i="63" s="1"/>
  <c r="J55" i="63" a="1"/>
  <c r="J55" i="63" s="1"/>
  <c r="I55" i="63" a="1"/>
  <c r="I55" i="63" s="1"/>
  <c r="H55" i="63" a="1"/>
  <c r="H55" i="63" s="1"/>
  <c r="G55" i="63" a="1"/>
  <c r="G55" i="63" s="1"/>
  <c r="F55" i="63" a="1"/>
  <c r="F55" i="63" s="1"/>
  <c r="E55" i="63" a="1"/>
  <c r="E55" i="63" s="1"/>
  <c r="D55" i="63" a="1"/>
  <c r="D55" i="63" s="1"/>
  <c r="K54" i="63" a="1"/>
  <c r="K54" i="63" s="1"/>
  <c r="J54" i="63" a="1"/>
  <c r="J54" i="63" s="1"/>
  <c r="I54" i="63" a="1"/>
  <c r="I54" i="63" s="1"/>
  <c r="H54" i="63" a="1"/>
  <c r="H54" i="63" s="1"/>
  <c r="G54" i="63" a="1"/>
  <c r="G54" i="63" s="1"/>
  <c r="F54" i="63" a="1"/>
  <c r="F54" i="63" s="1"/>
  <c r="E54" i="63" a="1"/>
  <c r="E54" i="63" s="1"/>
  <c r="D54" i="63" a="1"/>
  <c r="D54" i="63" s="1"/>
  <c r="D52" i="63" a="1"/>
  <c r="D52" i="63" s="1"/>
  <c r="D51" i="63" a="1"/>
  <c r="D51" i="63" s="1"/>
  <c r="D50" i="63" a="1"/>
  <c r="D50" i="63" s="1"/>
  <c r="D49" i="63" a="1"/>
  <c r="D49" i="63" s="1"/>
  <c r="J43" i="63" a="1"/>
  <c r="J43" i="63" s="1"/>
  <c r="I43" i="63" a="1"/>
  <c r="I43" i="63" s="1"/>
  <c r="H43" i="63" a="1"/>
  <c r="H43" i="63" s="1"/>
  <c r="G43" i="63" a="1"/>
  <c r="G43" i="63" s="1"/>
  <c r="F43" i="63" a="1"/>
  <c r="F43" i="63" s="1"/>
  <c r="E43" i="63" a="1"/>
  <c r="E43" i="63" s="1"/>
  <c r="D43" i="63" a="1"/>
  <c r="D43" i="63" s="1"/>
  <c r="J42" i="63" a="1"/>
  <c r="J42" i="63" s="1"/>
  <c r="I42" i="63" a="1"/>
  <c r="I42" i="63" s="1"/>
  <c r="H42" i="63" a="1"/>
  <c r="H42" i="63" s="1"/>
  <c r="G42" i="63" a="1"/>
  <c r="G42" i="63" s="1"/>
  <c r="F42" i="63" a="1"/>
  <c r="F42" i="63" s="1"/>
  <c r="E42" i="63" a="1"/>
  <c r="E42" i="63" s="1"/>
  <c r="D42" i="63" a="1"/>
  <c r="D42" i="63" s="1"/>
  <c r="J41" i="63" a="1"/>
  <c r="J41" i="63" s="1"/>
  <c r="I41" i="63" a="1"/>
  <c r="I41" i="63" s="1"/>
  <c r="H41" i="63" a="1"/>
  <c r="H41" i="63" s="1"/>
  <c r="G41" i="63" a="1"/>
  <c r="G41" i="63" s="1"/>
  <c r="F41" i="63" a="1"/>
  <c r="F41" i="63" s="1"/>
  <c r="E41" i="63" a="1"/>
  <c r="E41" i="63" s="1"/>
  <c r="D41" i="63" a="1"/>
  <c r="D41" i="63" s="1"/>
  <c r="J40" i="63" a="1"/>
  <c r="J40" i="63" s="1"/>
  <c r="I40" i="63" a="1"/>
  <c r="I40" i="63" s="1"/>
  <c r="H40" i="63" a="1"/>
  <c r="H40" i="63" s="1"/>
  <c r="G40" i="63" a="1"/>
  <c r="G40" i="63" s="1"/>
  <c r="F40" i="63" a="1"/>
  <c r="F40" i="63" s="1"/>
  <c r="E40" i="63" a="1"/>
  <c r="E40" i="63" s="1"/>
  <c r="D40" i="63" a="1"/>
  <c r="D40" i="63" s="1"/>
  <c r="D38" i="63" a="1"/>
  <c r="D38" i="63" s="1"/>
  <c r="D37" i="63" a="1"/>
  <c r="D37" i="63" s="1"/>
  <c r="L34" i="63" a="1"/>
  <c r="L34" i="63" s="1"/>
  <c r="K34" i="63" a="1"/>
  <c r="K34" i="63" s="1"/>
  <c r="J34" i="63" a="1"/>
  <c r="J34" i="63" s="1"/>
  <c r="I34" i="63" a="1"/>
  <c r="I34" i="63" s="1"/>
  <c r="H34" i="63" a="1"/>
  <c r="H34" i="63" s="1"/>
  <c r="G34" i="63" a="1"/>
  <c r="G34" i="63" s="1"/>
  <c r="F34" i="63" a="1"/>
  <c r="F34" i="63" s="1"/>
  <c r="E34" i="63" a="1"/>
  <c r="E34" i="63" s="1"/>
  <c r="D34" i="63" a="1"/>
  <c r="D34" i="63" s="1"/>
  <c r="L33" i="63" a="1"/>
  <c r="L33" i="63" s="1"/>
  <c r="K33" i="63" a="1"/>
  <c r="K33" i="63" s="1"/>
  <c r="J33" i="63" a="1"/>
  <c r="J33" i="63" s="1"/>
  <c r="I33" i="63" a="1"/>
  <c r="I33" i="63" s="1"/>
  <c r="H33" i="63" a="1"/>
  <c r="H33" i="63" s="1"/>
  <c r="G33" i="63" a="1"/>
  <c r="G33" i="63" s="1"/>
  <c r="F33" i="63" a="1"/>
  <c r="F33" i="63" s="1"/>
  <c r="E33" i="63" a="1"/>
  <c r="E33" i="63" s="1"/>
  <c r="E39" i="60" s="1"/>
  <c r="D33" i="63" a="1"/>
  <c r="D33" i="63" s="1"/>
  <c r="L32" i="63" a="1"/>
  <c r="L32" i="63" s="1"/>
  <c r="K32" i="63" a="1"/>
  <c r="K32" i="63" s="1"/>
  <c r="J32" i="63" a="1"/>
  <c r="J32" i="63" s="1"/>
  <c r="I32" i="63" a="1"/>
  <c r="I32" i="63" s="1"/>
  <c r="H32" i="63" a="1"/>
  <c r="H32" i="63" s="1"/>
  <c r="G32" i="63" a="1"/>
  <c r="G32" i="63" s="1"/>
  <c r="F32" i="63" a="1"/>
  <c r="F32" i="63" s="1"/>
  <c r="E32" i="63" a="1"/>
  <c r="E32" i="63" s="1"/>
  <c r="D32" i="63" a="1"/>
  <c r="D32" i="63" s="1"/>
  <c r="L31" i="63" a="1"/>
  <c r="L31" i="63" s="1"/>
  <c r="K31" i="63" a="1"/>
  <c r="K31" i="63" s="1"/>
  <c r="J31" i="63" a="1"/>
  <c r="J31" i="63" s="1"/>
  <c r="I31" i="63" a="1"/>
  <c r="I31" i="63" s="1"/>
  <c r="H31" i="63" a="1"/>
  <c r="H31" i="63" s="1"/>
  <c r="G31" i="63" a="1"/>
  <c r="G31" i="63" s="1"/>
  <c r="F31" i="63" a="1"/>
  <c r="F31" i="63" s="1"/>
  <c r="E31" i="63" a="1"/>
  <c r="E31" i="63" s="1"/>
  <c r="D31" i="63" a="1"/>
  <c r="D31" i="63" s="1"/>
  <c r="L30" i="63" a="1"/>
  <c r="L30" i="63" s="1"/>
  <c r="K30" i="63" a="1"/>
  <c r="K30" i="63" s="1"/>
  <c r="J30" i="63" a="1"/>
  <c r="J30" i="63" s="1"/>
  <c r="I30" i="63" a="1"/>
  <c r="I30" i="63" s="1"/>
  <c r="H30" i="63" a="1"/>
  <c r="H30" i="63" s="1"/>
  <c r="G30" i="63" a="1"/>
  <c r="G30" i="63" s="1"/>
  <c r="F30" i="63" a="1"/>
  <c r="F30" i="63" s="1"/>
  <c r="E30" i="63" a="1"/>
  <c r="E30" i="63" s="1"/>
  <c r="E36" i="60" s="1"/>
  <c r="D30" i="63" a="1"/>
  <c r="D30" i="63" s="1"/>
  <c r="L29" i="63" a="1"/>
  <c r="L29" i="63" s="1"/>
  <c r="K29" i="63" a="1"/>
  <c r="K29" i="63" s="1"/>
  <c r="J29" i="63" a="1"/>
  <c r="J29" i="63" s="1"/>
  <c r="I29" i="63" a="1"/>
  <c r="I29" i="63" s="1"/>
  <c r="H29" i="63" a="1"/>
  <c r="H29" i="63" s="1"/>
  <c r="G29" i="63" a="1"/>
  <c r="G29" i="63" s="1"/>
  <c r="F29" i="63" a="1"/>
  <c r="F29" i="63" s="1"/>
  <c r="E29" i="63" a="1"/>
  <c r="E29" i="63" s="1"/>
  <c r="E35" i="60" s="1"/>
  <c r="D29" i="63" a="1"/>
  <c r="D29" i="63" s="1"/>
  <c r="L28" i="63" a="1"/>
  <c r="L28" i="63" s="1"/>
  <c r="K28" i="63" a="1"/>
  <c r="K28" i="63" s="1"/>
  <c r="J28" i="63" a="1"/>
  <c r="J28" i="63" s="1"/>
  <c r="I28" i="63" a="1"/>
  <c r="I28" i="63" s="1"/>
  <c r="H28" i="63" a="1"/>
  <c r="H28" i="63" s="1"/>
  <c r="G28" i="63" a="1"/>
  <c r="G28" i="63" s="1"/>
  <c r="F28" i="63" a="1"/>
  <c r="F28" i="63" s="1"/>
  <c r="E28" i="63" a="1"/>
  <c r="E28" i="63" s="1"/>
  <c r="E34" i="60" s="1"/>
  <c r="D28" i="63" a="1"/>
  <c r="D28" i="63" s="1"/>
  <c r="L27" i="63" a="1"/>
  <c r="L27" i="63" s="1"/>
  <c r="K27" i="63" a="1"/>
  <c r="K27" i="63" s="1"/>
  <c r="J27" i="63" a="1"/>
  <c r="J27" i="63" s="1"/>
  <c r="I27" i="63" a="1"/>
  <c r="I27" i="63" s="1"/>
  <c r="H27" i="63" a="1"/>
  <c r="H27" i="63" s="1"/>
  <c r="G27" i="63" a="1"/>
  <c r="G27" i="63" s="1"/>
  <c r="F27" i="63" a="1"/>
  <c r="F27" i="63" s="1"/>
  <c r="E27" i="63" a="1"/>
  <c r="E27" i="63" s="1"/>
  <c r="D27" i="63" a="1"/>
  <c r="D27" i="63" s="1"/>
  <c r="L26" i="63" a="1"/>
  <c r="L26" i="63" s="1"/>
  <c r="K26" i="63" a="1"/>
  <c r="K26" i="63" s="1"/>
  <c r="J26" i="63" a="1"/>
  <c r="J26" i="63" s="1"/>
  <c r="I26" i="63" a="1"/>
  <c r="I26" i="63" s="1"/>
  <c r="H26" i="63" a="1"/>
  <c r="H26" i="63" s="1"/>
  <c r="G26" i="63" a="1"/>
  <c r="G26" i="63" s="1"/>
  <c r="F26" i="63" a="1"/>
  <c r="F26" i="63" s="1"/>
  <c r="E26" i="63" a="1"/>
  <c r="E26" i="63" s="1"/>
  <c r="D26" i="63" a="1"/>
  <c r="D26" i="63" s="1"/>
  <c r="L25" i="63" a="1"/>
  <c r="L25" i="63" s="1"/>
  <c r="K25" i="63" a="1"/>
  <c r="K25" i="63" s="1"/>
  <c r="J25" i="63" a="1"/>
  <c r="J25" i="63" s="1"/>
  <c r="I25" i="63" a="1"/>
  <c r="I25" i="63" s="1"/>
  <c r="H25" i="63" a="1"/>
  <c r="H25" i="63" s="1"/>
  <c r="G25" i="63" a="1"/>
  <c r="G25" i="63" s="1"/>
  <c r="F25" i="63" a="1"/>
  <c r="F25" i="63" s="1"/>
  <c r="E25" i="63" a="1"/>
  <c r="E25" i="63" s="1"/>
  <c r="D25" i="63" a="1"/>
  <c r="D25" i="63" s="1"/>
  <c r="L24" i="63" a="1"/>
  <c r="L24" i="63" s="1"/>
  <c r="K24" i="63" a="1"/>
  <c r="K24" i="63" s="1"/>
  <c r="J24" i="63" a="1"/>
  <c r="J24" i="63" s="1"/>
  <c r="I24" i="63" a="1"/>
  <c r="I24" i="63" s="1"/>
  <c r="H24" i="63" a="1"/>
  <c r="H24" i="63" s="1"/>
  <c r="G24" i="63" a="1"/>
  <c r="G24" i="63" s="1"/>
  <c r="F24" i="63" a="1"/>
  <c r="F24" i="63" s="1"/>
  <c r="E24" i="63" a="1"/>
  <c r="E24" i="63" s="1"/>
  <c r="D24" i="63" a="1"/>
  <c r="D24" i="63" s="1"/>
  <c r="L23" i="63" a="1"/>
  <c r="L23" i="63" s="1"/>
  <c r="K23" i="63" a="1"/>
  <c r="K23" i="63" s="1"/>
  <c r="J23" i="63" a="1"/>
  <c r="J23" i="63" s="1"/>
  <c r="I23" i="63" a="1"/>
  <c r="I23" i="63" s="1"/>
  <c r="H23" i="63" a="1"/>
  <c r="H23" i="63" s="1"/>
  <c r="G23" i="63" a="1"/>
  <c r="G23" i="63" s="1"/>
  <c r="F23" i="63" a="1"/>
  <c r="F23" i="63" s="1"/>
  <c r="E23" i="63" a="1"/>
  <c r="E23" i="63" s="1"/>
  <c r="D23" i="63" a="1"/>
  <c r="D23" i="63" s="1"/>
  <c r="L22" i="63" a="1"/>
  <c r="L22" i="63" s="1"/>
  <c r="K22" i="63" a="1"/>
  <c r="K22" i="63" s="1"/>
  <c r="J22" i="63" a="1"/>
  <c r="J22" i="63" s="1"/>
  <c r="I22" i="63" a="1"/>
  <c r="I22" i="63" s="1"/>
  <c r="H22" i="63" a="1"/>
  <c r="H22" i="63" s="1"/>
  <c r="G22" i="63" a="1"/>
  <c r="G22" i="63" s="1"/>
  <c r="F22" i="63" a="1"/>
  <c r="F22" i="63" s="1"/>
  <c r="E22" i="63" a="1"/>
  <c r="E22" i="63" s="1"/>
  <c r="D22" i="63" a="1"/>
  <c r="D22" i="63" s="1"/>
  <c r="L21" i="63" a="1"/>
  <c r="L21" i="63" s="1"/>
  <c r="K21" i="63" a="1"/>
  <c r="K21" i="63" s="1"/>
  <c r="J21" i="63" a="1"/>
  <c r="J21" i="63" s="1"/>
  <c r="I21" i="63" a="1"/>
  <c r="I21" i="63" s="1"/>
  <c r="H21" i="63" a="1"/>
  <c r="H21" i="63" s="1"/>
  <c r="G21" i="63" a="1"/>
  <c r="G21" i="63" s="1"/>
  <c r="F21" i="63" a="1"/>
  <c r="F21" i="63" s="1"/>
  <c r="E21" i="63" a="1"/>
  <c r="E21" i="63" s="1"/>
  <c r="D21" i="63" a="1"/>
  <c r="D21" i="63" s="1"/>
  <c r="L20" i="63" a="1"/>
  <c r="L20" i="63" s="1"/>
  <c r="K20" i="63" a="1"/>
  <c r="K20" i="63" s="1"/>
  <c r="J20" i="63" a="1"/>
  <c r="J20" i="63" s="1"/>
  <c r="I20" i="63" a="1"/>
  <c r="I20" i="63" s="1"/>
  <c r="H20" i="63" a="1"/>
  <c r="H20" i="63" s="1"/>
  <c r="G20" i="63" a="1"/>
  <c r="G20" i="63" s="1"/>
  <c r="F20" i="63" a="1"/>
  <c r="F20" i="63" s="1"/>
  <c r="E20" i="63" a="1"/>
  <c r="E20" i="63" s="1"/>
  <c r="D20" i="63" a="1"/>
  <c r="D20" i="63" s="1"/>
  <c r="L19" i="63" a="1"/>
  <c r="L19" i="63" s="1"/>
  <c r="K19" i="63" a="1"/>
  <c r="K19" i="63" s="1"/>
  <c r="J19" i="63" a="1"/>
  <c r="J19" i="63" s="1"/>
  <c r="I19" i="63" a="1"/>
  <c r="I19" i="63" s="1"/>
  <c r="H19" i="63" a="1"/>
  <c r="H19" i="63" s="1"/>
  <c r="G19" i="63" a="1"/>
  <c r="G19" i="63" s="1"/>
  <c r="F19" i="63" a="1"/>
  <c r="F19" i="63" s="1"/>
  <c r="E19" i="63" a="1"/>
  <c r="E19" i="63" s="1"/>
  <c r="D19" i="63" a="1"/>
  <c r="D19" i="63" s="1"/>
  <c r="L18" i="63" a="1"/>
  <c r="L18" i="63" s="1"/>
  <c r="K18" i="63" a="1"/>
  <c r="K18" i="63" s="1"/>
  <c r="J18" i="63" a="1"/>
  <c r="J18" i="63" s="1"/>
  <c r="I18" i="63" a="1"/>
  <c r="I18" i="63" s="1"/>
  <c r="H18" i="63" a="1"/>
  <c r="H18" i="63" s="1"/>
  <c r="G18" i="63" a="1"/>
  <c r="G18" i="63" s="1"/>
  <c r="F18" i="63" a="1"/>
  <c r="F18" i="63" s="1"/>
  <c r="E18" i="63" a="1"/>
  <c r="E18" i="63" s="1"/>
  <c r="D18" i="63" a="1"/>
  <c r="D18" i="63" s="1"/>
  <c r="L17" i="63" a="1"/>
  <c r="L17" i="63" s="1"/>
  <c r="K17" i="63" a="1"/>
  <c r="K17" i="63" s="1"/>
  <c r="J17" i="63" a="1"/>
  <c r="J17" i="63" s="1"/>
  <c r="I17" i="63" a="1"/>
  <c r="I17" i="63" s="1"/>
  <c r="H17" i="63" a="1"/>
  <c r="H17" i="63" s="1"/>
  <c r="G17" i="63" a="1"/>
  <c r="G17" i="63" s="1"/>
  <c r="F17" i="63" a="1"/>
  <c r="F17" i="63" s="1"/>
  <c r="E17" i="63" a="1"/>
  <c r="E17" i="63" s="1"/>
  <c r="E32" i="60" s="1"/>
  <c r="D17" i="63" a="1"/>
  <c r="D17" i="63" s="1"/>
  <c r="L16" i="63" a="1"/>
  <c r="L16" i="63" s="1"/>
  <c r="K16" i="63" a="1"/>
  <c r="K16" i="63" s="1"/>
  <c r="J16" i="63" a="1"/>
  <c r="J16" i="63" s="1"/>
  <c r="I16" i="63" a="1"/>
  <c r="I16" i="63" s="1"/>
  <c r="H16" i="63" a="1"/>
  <c r="H16" i="63" s="1"/>
  <c r="G16" i="63" a="1"/>
  <c r="G16" i="63" s="1"/>
  <c r="F16" i="63" a="1"/>
  <c r="F16" i="63" s="1"/>
  <c r="E16" i="63" a="1"/>
  <c r="E16" i="63" s="1"/>
  <c r="E31" i="60" s="1"/>
  <c r="D16" i="63" a="1"/>
  <c r="D16" i="63" s="1"/>
  <c r="L15" i="63" a="1"/>
  <c r="L15" i="63" s="1"/>
  <c r="K15" i="63" a="1"/>
  <c r="K15" i="63" s="1"/>
  <c r="J15" i="63" a="1"/>
  <c r="J15" i="63" s="1"/>
  <c r="I15" i="63" a="1"/>
  <c r="I15" i="63" s="1"/>
  <c r="H15" i="63" a="1"/>
  <c r="H15" i="63" s="1"/>
  <c r="G15" i="63" a="1"/>
  <c r="G15" i="63" s="1"/>
  <c r="F15" i="63" a="1"/>
  <c r="F15" i="63" s="1"/>
  <c r="E15" i="63" a="1"/>
  <c r="E15" i="63" s="1"/>
  <c r="E30" i="60" s="1"/>
  <c r="D15" i="63" a="1"/>
  <c r="D15" i="63" s="1"/>
  <c r="L14" i="63" a="1"/>
  <c r="L14" i="63" s="1"/>
  <c r="K14" i="63" a="1"/>
  <c r="K14" i="63" s="1"/>
  <c r="J14" i="63" a="1"/>
  <c r="J14" i="63" s="1"/>
  <c r="I14" i="63" a="1"/>
  <c r="I14" i="63" s="1"/>
  <c r="H14" i="63" a="1"/>
  <c r="H14" i="63" s="1"/>
  <c r="G14" i="63" a="1"/>
  <c r="G14" i="63" s="1"/>
  <c r="F14" i="63" a="1"/>
  <c r="F14" i="63" s="1"/>
  <c r="E14" i="63" a="1"/>
  <c r="E14" i="63" s="1"/>
  <c r="E29" i="60" s="1"/>
  <c r="D14" i="63" a="1"/>
  <c r="D14" i="63" s="1"/>
  <c r="L13" i="63" a="1"/>
  <c r="L13" i="63" s="1"/>
  <c r="K13" i="63" a="1"/>
  <c r="K13" i="63" s="1"/>
  <c r="J13" i="63" a="1"/>
  <c r="J13" i="63" s="1"/>
  <c r="I13" i="63" a="1"/>
  <c r="I13" i="63" s="1"/>
  <c r="H13" i="63" a="1"/>
  <c r="H13" i="63" s="1"/>
  <c r="G13" i="63" a="1"/>
  <c r="G13" i="63" s="1"/>
  <c r="F13" i="63" a="1"/>
  <c r="F13" i="63" s="1"/>
  <c r="E13" i="63" a="1"/>
  <c r="E13" i="63" s="1"/>
  <c r="E28" i="60" s="1"/>
  <c r="D13" i="63" a="1"/>
  <c r="D13" i="63" s="1"/>
  <c r="L12" i="63" a="1"/>
  <c r="L12" i="63" s="1"/>
  <c r="K12" i="63" a="1"/>
  <c r="K12" i="63" s="1"/>
  <c r="J12" i="63" a="1"/>
  <c r="J12" i="63" s="1"/>
  <c r="I12" i="63" a="1"/>
  <c r="I12" i="63" s="1"/>
  <c r="H12" i="63" a="1"/>
  <c r="H12" i="63" s="1"/>
  <c r="G12" i="63" a="1"/>
  <c r="G12" i="63" s="1"/>
  <c r="F12" i="63" a="1"/>
  <c r="F12" i="63" s="1"/>
  <c r="E12" i="63" a="1"/>
  <c r="E12" i="63" s="1"/>
  <c r="E27" i="60" s="1"/>
  <c r="D12" i="63" a="1"/>
  <c r="D12" i="63" s="1"/>
  <c r="L11" i="63" a="1"/>
  <c r="L11" i="63" s="1"/>
  <c r="K11" i="63" a="1"/>
  <c r="K11" i="63" s="1"/>
  <c r="J11" i="63" a="1"/>
  <c r="J11" i="63" s="1"/>
  <c r="I11" i="63" a="1"/>
  <c r="I11" i="63" s="1"/>
  <c r="H11" i="63" a="1"/>
  <c r="H11" i="63" s="1"/>
  <c r="G11" i="63" a="1"/>
  <c r="G11" i="63" s="1"/>
  <c r="F11" i="63" a="1"/>
  <c r="F11" i="63" s="1"/>
  <c r="E11" i="63" a="1"/>
  <c r="E11" i="63" s="1"/>
  <c r="E26" i="60" s="1"/>
  <c r="D11" i="63" a="1"/>
  <c r="D11" i="63" s="1"/>
  <c r="L10" i="63" a="1"/>
  <c r="L10" i="63" s="1"/>
  <c r="K10" i="63" a="1"/>
  <c r="K10" i="63" s="1"/>
  <c r="J10" i="63" a="1"/>
  <c r="J10" i="63" s="1"/>
  <c r="I10" i="63" a="1"/>
  <c r="I10" i="63" s="1"/>
  <c r="H10" i="63" a="1"/>
  <c r="H10" i="63" s="1"/>
  <c r="G10" i="63" a="1"/>
  <c r="G10" i="63" s="1"/>
  <c r="F10" i="63" a="1"/>
  <c r="F10" i="63" s="1"/>
  <c r="E10" i="63" a="1"/>
  <c r="E10" i="63" s="1"/>
  <c r="D10" i="63" a="1"/>
  <c r="D10" i="63" s="1"/>
  <c r="D8" i="63" a="1"/>
  <c r="D8" i="63" s="1"/>
  <c r="D7" i="63" a="1"/>
  <c r="D7" i="63" s="1"/>
  <c r="D6" i="63" a="1"/>
  <c r="D6" i="63" s="1"/>
  <c r="D5" i="63" a="1"/>
  <c r="D5" i="63" s="1"/>
  <c r="H185" i="62"/>
  <c r="H179" i="62"/>
  <c r="H168" i="62"/>
  <c r="H144" i="62"/>
  <c r="H138" i="62"/>
  <c r="H127" i="62"/>
  <c r="H105" i="62" a="1"/>
  <c r="H105" i="62" s="1"/>
  <c r="D105" i="62" a="1"/>
  <c r="D105" i="62" s="1"/>
  <c r="E103" i="62" a="1"/>
  <c r="E103" i="62" s="1"/>
  <c r="E102" i="62" a="1"/>
  <c r="E102" i="62" s="1"/>
  <c r="D98" i="62" a="1"/>
  <c r="D98" i="62" s="1"/>
  <c r="D97" i="62" a="1"/>
  <c r="D97" i="62" s="1"/>
  <c r="D96" i="62" a="1"/>
  <c r="D96" i="62" s="1"/>
  <c r="J16" i="62" a="1"/>
  <c r="J16" i="62" s="1"/>
  <c r="I16" i="62" a="1"/>
  <c r="I16" i="62" s="1"/>
  <c r="J15" i="62" a="1"/>
  <c r="J15" i="62" s="1"/>
  <c r="I15" i="62" a="1"/>
  <c r="I15" i="62" s="1"/>
  <c r="J14" i="62" a="1"/>
  <c r="J14" i="62" s="1"/>
  <c r="I14" i="62" a="1"/>
  <c r="I14" i="62" s="1"/>
  <c r="J13" i="62" a="1"/>
  <c r="J13" i="62" s="1"/>
  <c r="I13" i="62" a="1"/>
  <c r="I13" i="62" s="1"/>
  <c r="G13" i="62" a="1"/>
  <c r="G13" i="62" s="1"/>
  <c r="D13" i="62" a="1"/>
  <c r="D13" i="62" s="1"/>
  <c r="E11" i="62" a="1"/>
  <c r="E11" i="62" s="1"/>
  <c r="E10" i="62" a="1"/>
  <c r="E10" i="62" s="1"/>
  <c r="D6" i="62" a="1"/>
  <c r="D6" i="62" s="1"/>
  <c r="D5" i="62" a="1"/>
  <c r="D5" i="62" s="1"/>
  <c r="D40" i="61"/>
  <c r="D38" i="61"/>
  <c r="D35" i="61"/>
  <c r="D33" i="61"/>
  <c r="D36" i="61"/>
  <c r="D31" i="61"/>
  <c r="D28" i="61"/>
  <c r="D26" i="61"/>
  <c r="D29" i="61"/>
  <c r="P18" i="61"/>
  <c r="P17" i="61"/>
  <c r="P16" i="61" a="1"/>
  <c r="P16" i="61" s="1"/>
  <c r="I16" i="61" a="1"/>
  <c r="I16" i="61" s="1"/>
  <c r="P15" i="61" a="1"/>
  <c r="P15" i="61" s="1"/>
  <c r="I15" i="61" a="1"/>
  <c r="I15" i="61" s="1"/>
  <c r="P14" i="61" a="1"/>
  <c r="P14" i="61" s="1"/>
  <c r="N14" i="61" a="1"/>
  <c r="N14" i="61" s="1"/>
  <c r="K14" i="61" a="1"/>
  <c r="K14" i="61" s="1"/>
  <c r="I14" i="61" a="1"/>
  <c r="I14" i="61" s="1"/>
  <c r="G14" i="61" a="1"/>
  <c r="G14" i="61" s="1"/>
  <c r="D14" i="61" a="1"/>
  <c r="D14" i="61" s="1"/>
  <c r="L12" i="61" a="1"/>
  <c r="L12" i="61" s="1"/>
  <c r="E12" i="61" a="1"/>
  <c r="E12" i="61" s="1"/>
  <c r="L11" i="61" a="1"/>
  <c r="L11" i="61" s="1"/>
  <c r="E11" i="61" a="1"/>
  <c r="E11" i="61" s="1"/>
  <c r="K7" i="61" a="1"/>
  <c r="K7" i="61" s="1"/>
  <c r="K6" i="61" a="1"/>
  <c r="K6" i="61" s="1"/>
  <c r="D6" i="61" a="1"/>
  <c r="D6" i="61" s="1"/>
  <c r="K5" i="61" a="1"/>
  <c r="K5" i="61" s="1"/>
  <c r="D5" i="61" a="1"/>
  <c r="D5" i="61" s="1"/>
  <c r="D38" i="60"/>
  <c r="D60" i="60"/>
  <c r="D36" i="60"/>
  <c r="D35" i="60"/>
  <c r="D54" i="60"/>
  <c r="D48" i="60"/>
  <c r="D29" i="60"/>
  <c r="D27" i="60"/>
  <c r="D42" i="60"/>
  <c r="P16" i="60" a="1"/>
  <c r="P16" i="60" s="1"/>
  <c r="I16" i="60" a="1"/>
  <c r="I16" i="60" s="1"/>
  <c r="P15" i="60" a="1"/>
  <c r="P15" i="60" s="1"/>
  <c r="I15" i="60" a="1"/>
  <c r="I15" i="60" s="1"/>
  <c r="P14" i="60" a="1"/>
  <c r="P14" i="60" s="1"/>
  <c r="N14" i="60" a="1"/>
  <c r="N14" i="60" s="1"/>
  <c r="K14" i="60" a="1"/>
  <c r="K14" i="60" s="1"/>
  <c r="I14" i="60" a="1"/>
  <c r="I14" i="60" s="1"/>
  <c r="G14" i="60" a="1"/>
  <c r="G14" i="60" s="1"/>
  <c r="D14" i="60" a="1"/>
  <c r="D14" i="60" s="1"/>
  <c r="L12" i="60" a="1"/>
  <c r="L12" i="60" s="1"/>
  <c r="E12" i="60" a="1"/>
  <c r="E12" i="60" s="1"/>
  <c r="L11" i="60" a="1"/>
  <c r="L11" i="60" s="1"/>
  <c r="E11" i="60" a="1"/>
  <c r="E11" i="60" s="1"/>
  <c r="K6" i="60" a="1"/>
  <c r="K6" i="60" s="1"/>
  <c r="D6" i="60" a="1"/>
  <c r="D6" i="60" s="1"/>
  <c r="K5" i="60" a="1"/>
  <c r="K5" i="60" s="1"/>
  <c r="D5" i="60" a="1"/>
  <c r="D5" i="60" s="1"/>
  <c r="H48" i="59"/>
  <c r="E48" i="59"/>
  <c r="H47" i="59"/>
  <c r="E47" i="59"/>
  <c r="H46" i="59"/>
  <c r="E46" i="59"/>
  <c r="H39" i="59"/>
  <c r="H38" i="59"/>
  <c r="H37" i="59"/>
  <c r="E16" i="59"/>
  <c r="E22" i="59" s="1"/>
  <c r="E6" i="59"/>
  <c r="H21" i="57"/>
  <c r="H20" i="57"/>
  <c r="H19" i="57"/>
  <c r="H18" i="57"/>
  <c r="H17" i="57"/>
  <c r="G44" i="56"/>
  <c r="J44" i="56" s="1"/>
  <c r="G43" i="56"/>
  <c r="J43" i="56" s="1"/>
  <c r="I42" i="56"/>
  <c r="G42" i="56"/>
  <c r="K33" i="56"/>
  <c r="G33" i="56"/>
  <c r="K32" i="56"/>
  <c r="G32" i="56"/>
  <c r="K31" i="56"/>
  <c r="G31" i="56"/>
  <c r="E305" i="19" s="1" a="1"/>
  <c r="E305" i="19" s="1"/>
  <c r="G22" i="56"/>
  <c r="G21" i="56"/>
  <c r="G20" i="56"/>
  <c r="E237" i="19" s="1" a="1"/>
  <c r="E237" i="19" s="1"/>
  <c r="I37" i="59"/>
  <c r="E259" i="51" a="1"/>
  <c r="E259" i="51" s="1"/>
  <c r="D259" i="51" a="1"/>
  <c r="D259" i="51" s="1"/>
  <c r="E258" i="51" a="1"/>
  <c r="E258" i="51" s="1"/>
  <c r="D258" i="51" a="1"/>
  <c r="D258" i="51" s="1"/>
  <c r="D256" i="51" a="1"/>
  <c r="D256" i="51" s="1"/>
  <c r="D255" i="51" a="1"/>
  <c r="D255" i="51" s="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a="1"/>
  <c r="D227" i="51" s="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D9" i="67" s="1"/>
  <c r="E188" i="51" a="1"/>
  <c r="E188" i="51" s="1"/>
  <c r="D188" i="51" a="1"/>
  <c r="D188" i="51" s="1"/>
  <c r="H187" i="51" a="1"/>
  <c r="H187" i="51" s="1"/>
  <c r="G187" i="51" a="1"/>
  <c r="G187" i="51" s="1"/>
  <c r="F187" i="51" a="1"/>
  <c r="F187" i="51" s="1"/>
  <c r="D8" i="67"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a="1"/>
  <c r="D163" i="51" s="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a="1"/>
  <c r="D105" i="51" s="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L8" i="61" a="1"/>
  <c r="E7" i="61" a="1"/>
  <c r="E7" i="60" a="1"/>
  <c r="E42" i="34"/>
  <c r="O79" i="34"/>
  <c r="E79" i="34"/>
  <c r="O42" i="34"/>
  <c r="O7" i="34"/>
  <c r="E7" i="34"/>
  <c r="E540" i="19"/>
  <c r="E523" i="19"/>
  <c r="E508" i="19"/>
  <c r="E99" i="62" a="1"/>
  <c r="E7" i="62" a="1"/>
  <c r="L7" i="60" a="1"/>
  <c r="G16" i="54" l="1" a="1"/>
  <c r="G16" i="54" s="1"/>
  <c r="P22" i="56"/>
  <c r="I19" i="57"/>
  <c r="H9" i="52" a="1"/>
  <c r="H9" i="52" s="1"/>
  <c r="K40" i="61" a="1"/>
  <c r="K40" i="61" s="1"/>
  <c r="M16" i="56" a="1"/>
  <c r="M16" i="56" s="1"/>
  <c r="M35" i="60" a="1"/>
  <c r="M35" i="60" s="1"/>
  <c r="L35" i="60" a="1"/>
  <c r="L35" i="60" s="1"/>
  <c r="M37" i="61" a="1"/>
  <c r="M37" i="61" s="1"/>
  <c r="M26" i="60" a="1"/>
  <c r="M26" i="60" s="1"/>
  <c r="M30" i="60" a="1"/>
  <c r="M30" i="60" s="1"/>
  <c r="M38" i="60" a="1"/>
  <c r="M38" i="60" s="1"/>
  <c r="L38" i="60" a="1"/>
  <c r="L38" i="60" s="1"/>
  <c r="M31" i="61" a="1"/>
  <c r="M31" i="61" s="1"/>
  <c r="L31" i="61" a="1"/>
  <c r="L31" i="61" s="1"/>
  <c r="J35" i="61"/>
  <c r="I35" i="61"/>
  <c r="H35" i="61"/>
  <c r="G35" i="61"/>
  <c r="K35" i="61"/>
  <c r="M27" i="61" a="1"/>
  <c r="M27" i="61" s="1"/>
  <c r="M38" i="61" a="1"/>
  <c r="M38" i="61" s="1"/>
  <c r="L38" i="61" a="1"/>
  <c r="L38" i="61" s="1"/>
  <c r="K37" i="61"/>
  <c r="J37" i="61"/>
  <c r="I37" i="61"/>
  <c r="H37" i="61"/>
  <c r="G37" i="61"/>
  <c r="J39" i="61"/>
  <c r="I39" i="61"/>
  <c r="H39" i="61"/>
  <c r="G39" i="61"/>
  <c r="M36" i="60" a="1"/>
  <c r="M36" i="60" s="1"/>
  <c r="L36" i="60" a="1"/>
  <c r="L36" i="60" s="1"/>
  <c r="M39" i="61" a="1"/>
  <c r="M39" i="61" s="1"/>
  <c r="M25" i="61" a="1"/>
  <c r="M25" i="61" s="1"/>
  <c r="L25" i="61" a="1"/>
  <c r="L25" i="61" s="1"/>
  <c r="L27" i="60" a="1"/>
  <c r="L27" i="60" s="1"/>
  <c r="M27" i="60" a="1"/>
  <c r="M27" i="60" s="1"/>
  <c r="M32" i="60" a="1"/>
  <c r="M32" i="60" s="1"/>
  <c r="H26" i="61"/>
  <c r="G26" i="61"/>
  <c r="K26" i="61"/>
  <c r="J26" i="61"/>
  <c r="I26" i="61"/>
  <c r="K31" i="61"/>
  <c r="J31" i="61"/>
  <c r="I31" i="61"/>
  <c r="H31" i="61"/>
  <c r="G31" i="61"/>
  <c r="M32" i="61" a="1"/>
  <c r="M32" i="61" s="1"/>
  <c r="M28" i="61" a="1"/>
  <c r="M28" i="61" s="1"/>
  <c r="L28" i="61" a="1"/>
  <c r="L28" i="61" s="1"/>
  <c r="M40" i="61" a="1"/>
  <c r="M40" i="61" s="1"/>
  <c r="M34" i="60" a="1"/>
  <c r="M34" i="60" s="1"/>
  <c r="L34" i="60" a="1"/>
  <c r="L34" i="60" s="1"/>
  <c r="H305" i="19" a="1"/>
  <c r="H305" i="19" s="1"/>
  <c r="G305" i="19" a="1"/>
  <c r="G305" i="19" s="1"/>
  <c r="F305" i="19" a="1"/>
  <c r="F305" i="19" s="1"/>
  <c r="M28" i="60" a="1"/>
  <c r="M28" i="60" s="1"/>
  <c r="M33" i="60" a="1"/>
  <c r="M33" i="60" s="1"/>
  <c r="M29" i="61" a="1"/>
  <c r="M29" i="61" s="1"/>
  <c r="L29" i="61" a="1"/>
  <c r="L29" i="61" s="1"/>
  <c r="Q29" i="61" s="1" a="1"/>
  <c r="Q29" i="61" s="1"/>
  <c r="K34" i="61"/>
  <c r="J34" i="61"/>
  <c r="I34" i="61"/>
  <c r="H34" i="61"/>
  <c r="G34" i="61"/>
  <c r="I29" i="61"/>
  <c r="H29" i="61"/>
  <c r="G29" i="61"/>
  <c r="K29" i="61"/>
  <c r="J29" i="61"/>
  <c r="M37" i="60" a="1"/>
  <c r="M37" i="60" s="1"/>
  <c r="L37" i="60" a="1"/>
  <c r="L37" i="60" s="1"/>
  <c r="M36" i="61" a="1"/>
  <c r="M36" i="61" s="1"/>
  <c r="L36" i="61" a="1"/>
  <c r="L36" i="61" s="1"/>
  <c r="H40" i="61"/>
  <c r="G40" i="61"/>
  <c r="J40" i="61"/>
  <c r="I40" i="61"/>
  <c r="M26" i="61" a="1"/>
  <c r="M26" i="61" s="1"/>
  <c r="L26" i="61" a="1"/>
  <c r="L26" i="61" s="1"/>
  <c r="M29" i="60" a="1"/>
  <c r="M29" i="60" s="1"/>
  <c r="L29" i="60" a="1"/>
  <c r="L29" i="60" s="1"/>
  <c r="O29" i="60" s="1" a="1"/>
  <c r="O29" i="60" s="1"/>
  <c r="M34" i="61" a="1"/>
  <c r="M34" i="61" s="1"/>
  <c r="M31" i="60" a="1"/>
  <c r="M31" i="60" s="1"/>
  <c r="M35" i="61" a="1"/>
  <c r="M35" i="61" s="1"/>
  <c r="L35" i="61" a="1"/>
  <c r="L35" i="61" s="1"/>
  <c r="Q35" i="61" s="1" a="1"/>
  <c r="Q35" i="61" s="1"/>
  <c r="I32" i="61"/>
  <c r="H32" i="61"/>
  <c r="G32" i="61"/>
  <c r="K32" i="61"/>
  <c r="J32" i="61"/>
  <c r="M25" i="60" a="1"/>
  <c r="M25" i="60" s="1"/>
  <c r="L25" i="60" a="1"/>
  <c r="L25" i="60" s="1"/>
  <c r="M33" i="61" a="1"/>
  <c r="M33" i="61" s="1"/>
  <c r="L33" i="61" a="1"/>
  <c r="L33" i="61" s="1"/>
  <c r="M30" i="61" a="1"/>
  <c r="M30" i="61" s="1"/>
  <c r="H194" i="20"/>
  <c r="L12" i="56" a="1"/>
  <c r="L12" i="56" s="1"/>
  <c r="G13" i="56"/>
  <c r="W13" i="56"/>
  <c r="T14" i="56" a="1"/>
  <c r="T14" i="56" s="1"/>
  <c r="Q15" i="56" a="1"/>
  <c r="Q15" i="56" s="1"/>
  <c r="N16" i="56" a="1"/>
  <c r="N16" i="56" s="1"/>
  <c r="I48" i="59"/>
  <c r="E59" i="62" a="1"/>
  <c r="H26" i="60" a="1"/>
  <c r="H26" i="60" s="1"/>
  <c r="I29" i="60" a="1"/>
  <c r="I29" i="60" s="1"/>
  <c r="J32" i="60" a="1"/>
  <c r="J32" i="60" s="1"/>
  <c r="I35" i="60" a="1"/>
  <c r="I35" i="60" s="1"/>
  <c r="E28" i="61"/>
  <c r="G7" i="54" a="1"/>
  <c r="G7" i="54" s="1"/>
  <c r="G195" i="20"/>
  <c r="M12" i="56" a="1"/>
  <c r="M12" i="56" s="1"/>
  <c r="J13" i="56" a="1"/>
  <c r="J13" i="56" s="1"/>
  <c r="X13" i="56"/>
  <c r="U14" i="56" a="1"/>
  <c r="U14" i="56" s="1"/>
  <c r="R15" i="56" a="1"/>
  <c r="R15" i="56" s="1"/>
  <c r="O16" i="56" a="1"/>
  <c r="O16" i="56" s="1"/>
  <c r="I26" i="60" a="1"/>
  <c r="I26" i="60" s="1"/>
  <c r="J29" i="60" a="1"/>
  <c r="J29" i="60" s="1"/>
  <c r="K32" i="60" a="1"/>
  <c r="K32" i="60" s="1"/>
  <c r="J35" i="60" a="1"/>
  <c r="J35" i="60" s="1"/>
  <c r="E37" i="60"/>
  <c r="H37" i="60" s="1" a="1"/>
  <c r="H37" i="60" s="1"/>
  <c r="E25" i="61"/>
  <c r="G8" i="54" a="1"/>
  <c r="G8" i="54" s="1"/>
  <c r="G183" i="20"/>
  <c r="H195" i="20"/>
  <c r="N12" i="56" a="1"/>
  <c r="N12" i="56" s="1"/>
  <c r="K13" i="56" a="1"/>
  <c r="K13" i="56" s="1"/>
  <c r="F14" i="56"/>
  <c r="S15" i="56" a="1"/>
  <c r="S15" i="56" s="1"/>
  <c r="P16" i="56" a="1"/>
  <c r="P16" i="56" s="1"/>
  <c r="D21" i="62" a="1"/>
  <c r="E25" i="60"/>
  <c r="J25" i="60" s="1" a="1"/>
  <c r="J25" i="60" s="1"/>
  <c r="J26" i="60" a="1"/>
  <c r="J26" i="60" s="1"/>
  <c r="K29" i="60" a="1"/>
  <c r="K29" i="60" s="1"/>
  <c r="G31" i="60" a="1"/>
  <c r="G31" i="60" s="1"/>
  <c r="K35" i="60" a="1"/>
  <c r="K35" i="60" s="1"/>
  <c r="G9" i="54" a="1"/>
  <c r="G9" i="54" s="1"/>
  <c r="G174" i="20"/>
  <c r="G196" i="20"/>
  <c r="O12" i="56" a="1"/>
  <c r="O12" i="56" s="1"/>
  <c r="Z221" i="19" s="1" a="1"/>
  <c r="Z221" i="19" s="1"/>
  <c r="L13" i="56" a="1"/>
  <c r="L13" i="56" s="1"/>
  <c r="G14" i="56"/>
  <c r="W14" i="56"/>
  <c r="T15" i="56" a="1"/>
  <c r="T15" i="56" s="1"/>
  <c r="Q16" i="56" a="1"/>
  <c r="Q16" i="56" s="1"/>
  <c r="E21" i="62" a="1"/>
  <c r="K26" i="60" a="1"/>
  <c r="K26" i="60" s="1"/>
  <c r="G28" i="60" a="1"/>
  <c r="G28" i="60" s="1"/>
  <c r="H31" i="60" a="1"/>
  <c r="H31" i="60" s="1"/>
  <c r="G34" i="60" a="1"/>
  <c r="G34" i="60" s="1"/>
  <c r="G37" i="60" a="1"/>
  <c r="G37" i="60" s="1"/>
  <c r="E36" i="61"/>
  <c r="G10" i="54" a="1"/>
  <c r="G10" i="54" s="1"/>
  <c r="H196" i="20"/>
  <c r="P12" i="56" a="1"/>
  <c r="P12" i="56" s="1"/>
  <c r="M13" i="56" a="1"/>
  <c r="M13" i="56" s="1"/>
  <c r="V221" i="19" s="1" a="1"/>
  <c r="V221" i="19" s="1"/>
  <c r="J14" i="56" a="1"/>
  <c r="J14" i="56" s="1"/>
  <c r="X14" i="56"/>
  <c r="U15" i="56" a="1"/>
  <c r="U15" i="56" s="1"/>
  <c r="R16" i="56" a="1"/>
  <c r="R16" i="56" s="1"/>
  <c r="J120" i="62" a="1"/>
  <c r="J120" i="62" s="1"/>
  <c r="D157" i="62" a="1"/>
  <c r="D157" i="62" s="1"/>
  <c r="H28" i="60" a="1"/>
  <c r="H28" i="60" s="1"/>
  <c r="I31" i="60" a="1"/>
  <c r="I31" i="60" s="1"/>
  <c r="H34" i="60" a="1"/>
  <c r="H34" i="60" s="1"/>
  <c r="E30" i="61"/>
  <c r="E33" i="61"/>
  <c r="G45" i="70"/>
  <c r="H7" i="52" a="1"/>
  <c r="H7" i="52" s="1"/>
  <c r="G11" i="54" a="1"/>
  <c r="G11" i="54" s="1"/>
  <c r="G175" i="20"/>
  <c r="G197" i="20"/>
  <c r="Q12" i="56" a="1"/>
  <c r="Q12" i="56" s="1"/>
  <c r="N13" i="56" a="1"/>
  <c r="N13" i="56" s="1"/>
  <c r="Y221" i="19" s="1" a="1"/>
  <c r="Y221" i="19" s="1"/>
  <c r="K14" i="56" a="1"/>
  <c r="K14" i="56" s="1"/>
  <c r="F15" i="56"/>
  <c r="S16" i="56" a="1"/>
  <c r="S16" i="56" s="1"/>
  <c r="E157" i="62" a="1"/>
  <c r="E157" i="62" s="1"/>
  <c r="I28" i="60" a="1"/>
  <c r="I28" i="60" s="1"/>
  <c r="J31" i="60" a="1"/>
  <c r="J31" i="60" s="1"/>
  <c r="E33" i="60"/>
  <c r="J33" i="60" s="1" a="1"/>
  <c r="J33" i="60" s="1"/>
  <c r="I34" i="60" a="1"/>
  <c r="I34" i="60" s="1"/>
  <c r="E27" i="61"/>
  <c r="G46" i="70"/>
  <c r="H8" i="52" a="1"/>
  <c r="H8" i="52" s="1"/>
  <c r="G12" i="54" a="1"/>
  <c r="G12" i="54" s="1"/>
  <c r="H197" i="20"/>
  <c r="R12" i="56" a="1"/>
  <c r="R12" i="56" s="1"/>
  <c r="O13" i="56" a="1"/>
  <c r="O13" i="56" s="1"/>
  <c r="L14" i="56" a="1"/>
  <c r="L14" i="56" s="1"/>
  <c r="G15" i="56"/>
  <c r="W15" i="56"/>
  <c r="T16" i="56" a="1"/>
  <c r="T16" i="56" s="1"/>
  <c r="J28" i="60" a="1"/>
  <c r="J28" i="60" s="1"/>
  <c r="K31" i="60" a="1"/>
  <c r="K31" i="60" s="1"/>
  <c r="J34" i="60" a="1"/>
  <c r="J34" i="60" s="1"/>
  <c r="J37" i="60" a="1"/>
  <c r="J37" i="60" s="1"/>
  <c r="G8" i="68"/>
  <c r="G13" i="54" a="1"/>
  <c r="G13" i="54" s="1"/>
  <c r="G176" i="20"/>
  <c r="S12" i="56" a="1"/>
  <c r="S12" i="56" s="1"/>
  <c r="P13" i="56" a="1"/>
  <c r="P13" i="56" s="1"/>
  <c r="M14" i="56" a="1"/>
  <c r="M14" i="56" s="1"/>
  <c r="J15" i="56" a="1"/>
  <c r="J15" i="56" s="1"/>
  <c r="X15" i="56"/>
  <c r="U16" i="56" a="1"/>
  <c r="U16" i="56" s="1"/>
  <c r="D116" i="62" a="1"/>
  <c r="D116" i="62" s="1"/>
  <c r="J157" i="62" a="1"/>
  <c r="J157" i="62" s="1"/>
  <c r="J164" i="62" a="1"/>
  <c r="J164" i="62" s="1"/>
  <c r="K28" i="60" a="1"/>
  <c r="K28" i="60" s="1"/>
  <c r="G30" i="60" a="1"/>
  <c r="G30" i="60" s="1"/>
  <c r="G33" i="60" a="1"/>
  <c r="G33" i="60" s="1"/>
  <c r="K34" i="60" a="1"/>
  <c r="K34" i="60" s="1"/>
  <c r="G36" i="60" a="1"/>
  <c r="G36" i="60" s="1"/>
  <c r="K37" i="60" a="1"/>
  <c r="K37" i="60" s="1"/>
  <c r="G39" i="60" a="1"/>
  <c r="G39" i="60" s="1"/>
  <c r="E38" i="61"/>
  <c r="G9" i="68"/>
  <c r="K39" i="61" a="1"/>
  <c r="K39" i="61" s="1"/>
  <c r="G14" i="54" a="1"/>
  <c r="G14" i="54" s="1"/>
  <c r="T12" i="56" a="1"/>
  <c r="T12" i="56" s="1"/>
  <c r="Q13" i="56" a="1"/>
  <c r="Q13" i="56" s="1"/>
  <c r="N14" i="56" a="1"/>
  <c r="N14" i="56" s="1"/>
  <c r="K15" i="56" a="1"/>
  <c r="K15" i="56" s="1"/>
  <c r="F16" i="56"/>
  <c r="E116" i="62" a="1"/>
  <c r="E116" i="62" s="1"/>
  <c r="J116" i="62" s="1" a="1"/>
  <c r="J116" i="62" s="1"/>
  <c r="K25" i="60" a="1"/>
  <c r="K25" i="60" s="1"/>
  <c r="G27" i="60" a="1"/>
  <c r="G27" i="60" s="1"/>
  <c r="H30" i="60" a="1"/>
  <c r="H30" i="60" s="1"/>
  <c r="H36" i="60" a="1"/>
  <c r="H36" i="60" s="1"/>
  <c r="H39" i="60" a="1"/>
  <c r="H39" i="60" s="1"/>
  <c r="G15" i="54" a="1"/>
  <c r="G15" i="54" s="1"/>
  <c r="U12" i="56" a="1"/>
  <c r="U12" i="56" s="1"/>
  <c r="R13" i="56" a="1"/>
  <c r="R13" i="56" s="1"/>
  <c r="O14" i="56" a="1"/>
  <c r="O14" i="56" s="1"/>
  <c r="L15" i="56" a="1"/>
  <c r="L15" i="56" s="1"/>
  <c r="G16" i="56"/>
  <c r="W16" i="56"/>
  <c r="J132" i="62" a="1"/>
  <c r="J132" i="62" s="1"/>
  <c r="H27" i="60" a="1"/>
  <c r="H27" i="60" s="1"/>
  <c r="I30" i="60" a="1"/>
  <c r="I30" i="60" s="1"/>
  <c r="I36" i="60" a="1"/>
  <c r="I36" i="60" s="1"/>
  <c r="O36" i="60" s="1" a="1"/>
  <c r="O36" i="60" s="1"/>
  <c r="I39" i="60" a="1"/>
  <c r="I39" i="60" s="1"/>
  <c r="F12" i="56"/>
  <c r="S13" i="56" a="1"/>
  <c r="S13" i="56" s="1"/>
  <c r="P14" i="56" a="1"/>
  <c r="P14" i="56" s="1"/>
  <c r="M15" i="56" a="1"/>
  <c r="M15" i="56" s="1"/>
  <c r="J16" i="56" a="1"/>
  <c r="J16" i="56" s="1"/>
  <c r="X16" i="56"/>
  <c r="I27" i="60" a="1"/>
  <c r="I27" i="60" s="1"/>
  <c r="J30" i="60" a="1"/>
  <c r="J30" i="60" s="1"/>
  <c r="J36" i="60" a="1"/>
  <c r="J36" i="60" s="1"/>
  <c r="E38" i="60"/>
  <c r="I38" i="60" s="1" a="1"/>
  <c r="I38" i="60" s="1"/>
  <c r="J39" i="60" a="1"/>
  <c r="J39" i="60" s="1"/>
  <c r="G12" i="56"/>
  <c r="I12" i="56" s="1"/>
  <c r="W12" i="56"/>
  <c r="T13" i="56" a="1"/>
  <c r="T13" i="56" s="1"/>
  <c r="Q14" i="56" a="1"/>
  <c r="Q14" i="56" s="1"/>
  <c r="N15" i="56" a="1"/>
  <c r="N15" i="56" s="1"/>
  <c r="K16" i="56" a="1"/>
  <c r="K16" i="56" s="1"/>
  <c r="P20" i="56"/>
  <c r="J27" i="60" a="1"/>
  <c r="J27" i="60" s="1"/>
  <c r="K30" i="60" a="1"/>
  <c r="K30" i="60" s="1"/>
  <c r="G32" i="60" a="1"/>
  <c r="G32" i="60" s="1"/>
  <c r="K36" i="60" a="1"/>
  <c r="K36" i="60" s="1"/>
  <c r="K39" i="60" a="1"/>
  <c r="K39" i="60" s="1"/>
  <c r="J12" i="56" a="1"/>
  <c r="J12" i="56" s="1"/>
  <c r="Q221" i="19" s="1" a="1"/>
  <c r="Q221" i="19" s="1"/>
  <c r="X12" i="56"/>
  <c r="U13" i="56" a="1"/>
  <c r="U13" i="56" s="1"/>
  <c r="R14" i="56" a="1"/>
  <c r="R14" i="56" s="1"/>
  <c r="O15" i="56" a="1"/>
  <c r="O15" i="56" s="1"/>
  <c r="L16" i="56" a="1"/>
  <c r="L16" i="56" s="1"/>
  <c r="P21" i="56"/>
  <c r="J124" i="62" a="1"/>
  <c r="J124" i="62" s="1"/>
  <c r="J144" i="62" a="1"/>
  <c r="J144" i="62" s="1"/>
  <c r="K27" i="60" a="1"/>
  <c r="K27" i="60" s="1"/>
  <c r="G29" i="60" a="1"/>
  <c r="G29" i="60" s="1"/>
  <c r="H32" i="60" a="1"/>
  <c r="H32" i="60" s="1"/>
  <c r="G35" i="60" a="1"/>
  <c r="G35" i="60" s="1"/>
  <c r="Q35" i="60" s="1" a="1"/>
  <c r="Q35" i="60" s="1"/>
  <c r="K12" i="56" a="1"/>
  <c r="K12" i="56" s="1"/>
  <c r="F13" i="56"/>
  <c r="S14" i="56" a="1"/>
  <c r="S14" i="56" s="1"/>
  <c r="P15" i="56" a="1"/>
  <c r="P15" i="56" s="1"/>
  <c r="D59" i="62" a="1"/>
  <c r="J160" i="62" a="1"/>
  <c r="J160" i="62" s="1"/>
  <c r="G26" i="60" a="1"/>
  <c r="G26" i="60" s="1"/>
  <c r="H29" i="60" a="1"/>
  <c r="H29" i="60" s="1"/>
  <c r="I32" i="60" a="1"/>
  <c r="I32" i="60" s="1"/>
  <c r="H35" i="60" a="1"/>
  <c r="H35" i="60" s="1"/>
  <c r="J368" i="67"/>
  <c r="M363" i="67"/>
  <c r="N363" i="67"/>
  <c r="L363" i="67"/>
  <c r="L364" i="67"/>
  <c r="N364" i="67"/>
  <c r="M366" i="67"/>
  <c r="N366" i="67"/>
  <c r="H87" i="67"/>
  <c r="H91" i="67"/>
  <c r="P98" i="67"/>
  <c r="O98" i="67"/>
  <c r="N98" i="67"/>
  <c r="K101" i="67"/>
  <c r="L101" i="67"/>
  <c r="P105" i="67"/>
  <c r="O105" i="67"/>
  <c r="N105" i="67"/>
  <c r="L108" i="67"/>
  <c r="K108" i="67"/>
  <c r="O112" i="67"/>
  <c r="N112" i="67"/>
  <c r="P112" i="67"/>
  <c r="L115" i="67"/>
  <c r="K115" i="67"/>
  <c r="M91" i="67"/>
  <c r="M87" i="67"/>
  <c r="H93" i="67"/>
  <c r="H89" i="67"/>
  <c r="F106" i="67"/>
  <c r="J8" i="48" s="1" a="1"/>
  <c r="J8" i="48" s="1"/>
  <c r="F102" i="67"/>
  <c r="N87" i="67"/>
  <c r="O91" i="67"/>
  <c r="N91" i="67"/>
  <c r="P87" i="67"/>
  <c r="O87" i="67"/>
  <c r="P91" i="67"/>
  <c r="P97" i="67"/>
  <c r="O97" i="67"/>
  <c r="N97" i="67"/>
  <c r="L100" i="67"/>
  <c r="K100" i="67"/>
  <c r="N104" i="67"/>
  <c r="O104" i="67"/>
  <c r="P104" i="67"/>
  <c r="K107" i="67"/>
  <c r="L107" i="67"/>
  <c r="P111" i="67"/>
  <c r="N111" i="67"/>
  <c r="O111" i="67"/>
  <c r="K114" i="67"/>
  <c r="L114" i="67"/>
  <c r="K93" i="67"/>
  <c r="L89" i="67"/>
  <c r="K89" i="67"/>
  <c r="L93" i="67"/>
  <c r="L96" i="67"/>
  <c r="K96" i="67"/>
  <c r="P100" i="67"/>
  <c r="O100" i="67"/>
  <c r="N100" i="67"/>
  <c r="L103" i="67"/>
  <c r="K103" i="67"/>
  <c r="P107" i="67"/>
  <c r="O107" i="67"/>
  <c r="N107" i="67"/>
  <c r="K110" i="67"/>
  <c r="L110" i="67"/>
  <c r="P114" i="67"/>
  <c r="O114" i="67"/>
  <c r="N114" i="67"/>
  <c r="L117" i="67"/>
  <c r="K117" i="67"/>
  <c r="M93" i="67"/>
  <c r="M89" i="67"/>
  <c r="G93" i="67"/>
  <c r="G89" i="67"/>
  <c r="O93" i="67"/>
  <c r="N89" i="67"/>
  <c r="P89" i="67"/>
  <c r="O89" i="67"/>
  <c r="N93" i="67"/>
  <c r="P93" i="67"/>
  <c r="L95" i="67"/>
  <c r="K95" i="67"/>
  <c r="O99" i="67"/>
  <c r="N99" i="67"/>
  <c r="P99" i="67"/>
  <c r="K102" i="67"/>
  <c r="L102" i="67"/>
  <c r="N106" i="67"/>
  <c r="P106" i="67"/>
  <c r="O106" i="67"/>
  <c r="L109" i="67"/>
  <c r="K109" i="67"/>
  <c r="P113" i="67"/>
  <c r="O113" i="67"/>
  <c r="N113" i="67"/>
  <c r="L116" i="67"/>
  <c r="K116" i="67"/>
  <c r="L91" i="67"/>
  <c r="K91" i="67"/>
  <c r="L87" i="67"/>
  <c r="K87" i="67"/>
  <c r="G91" i="67"/>
  <c r="G87" i="67"/>
  <c r="G147" i="67" s="1"/>
  <c r="P95" i="67"/>
  <c r="O95" i="67"/>
  <c r="N95" i="67"/>
  <c r="K98" i="67"/>
  <c r="L98" i="67"/>
  <c r="P102" i="67"/>
  <c r="O102" i="67"/>
  <c r="N102" i="67"/>
  <c r="K105" i="67"/>
  <c r="L105" i="67"/>
  <c r="P109" i="67"/>
  <c r="O109" i="67"/>
  <c r="N109" i="67"/>
  <c r="L112" i="67"/>
  <c r="K112" i="67"/>
  <c r="O116" i="67"/>
  <c r="P116" i="67"/>
  <c r="N116" i="67"/>
  <c r="L238" i="67"/>
  <c r="K238" i="67"/>
  <c r="L97" i="67"/>
  <c r="K97" i="67"/>
  <c r="L237" i="67"/>
  <c r="K237" i="67"/>
  <c r="P101" i="67"/>
  <c r="O101" i="67"/>
  <c r="K111" i="67"/>
  <c r="L111" i="67"/>
  <c r="L244" i="67"/>
  <c r="K244" i="67"/>
  <c r="N96" i="67"/>
  <c r="P96" i="67"/>
  <c r="O96" i="67"/>
  <c r="L94" i="67"/>
  <c r="K94" i="67"/>
  <c r="F224" i="67"/>
  <c r="F228" i="67"/>
  <c r="G230" i="67"/>
  <c r="G226" i="67"/>
  <c r="G90" i="67"/>
  <c r="G86" i="67"/>
  <c r="O115" i="67"/>
  <c r="N115" i="67"/>
  <c r="F223" i="67"/>
  <c r="F227" i="67"/>
  <c r="G225" i="67"/>
  <c r="G229" i="67"/>
  <c r="L243" i="67"/>
  <c r="K243" i="67"/>
  <c r="G223" i="67"/>
  <c r="G227" i="67"/>
  <c r="K233" i="67"/>
  <c r="L233" i="67"/>
  <c r="H227" i="67"/>
  <c r="H223" i="67"/>
  <c r="L106" i="67"/>
  <c r="K106" i="67"/>
  <c r="N251" i="67"/>
  <c r="P251" i="67"/>
  <c r="O251" i="67"/>
  <c r="I86" i="67"/>
  <c r="I90" i="67"/>
  <c r="N110" i="67"/>
  <c r="P110" i="67"/>
  <c r="O110" i="67"/>
  <c r="L99" i="67"/>
  <c r="K99" i="67"/>
  <c r="J93" i="67"/>
  <c r="J89" i="67"/>
  <c r="L104" i="67"/>
  <c r="K104" i="67"/>
  <c r="I92" i="67"/>
  <c r="I148" i="67" s="1"/>
  <c r="L226" i="67"/>
  <c r="K226" i="67"/>
  <c r="L230" i="67"/>
  <c r="K230" i="67"/>
  <c r="P232" i="67"/>
  <c r="O232" i="67"/>
  <c r="N232" i="67"/>
  <c r="L240" i="67"/>
  <c r="K240" i="67"/>
  <c r="N242" i="67"/>
  <c r="P242" i="67"/>
  <c r="O242" i="67"/>
  <c r="J227" i="67"/>
  <c r="J223" i="67"/>
  <c r="M230" i="67"/>
  <c r="M226" i="67"/>
  <c r="P241" i="67"/>
  <c r="O241" i="67"/>
  <c r="N241" i="67"/>
  <c r="O253" i="67"/>
  <c r="N253" i="67"/>
  <c r="P253" i="67"/>
  <c r="J86" i="67"/>
  <c r="J90" i="67"/>
  <c r="I89" i="67"/>
  <c r="I93" i="67"/>
  <c r="P94" i="67"/>
  <c r="O94" i="67"/>
  <c r="N94" i="67"/>
  <c r="J91" i="67"/>
  <c r="J87" i="67"/>
  <c r="O108" i="67"/>
  <c r="N108" i="67"/>
  <c r="P108" i="67"/>
  <c r="P115" i="67"/>
  <c r="K229" i="67"/>
  <c r="L225" i="67"/>
  <c r="K225" i="67"/>
  <c r="L229" i="67"/>
  <c r="N230" i="67"/>
  <c r="P226" i="67"/>
  <c r="O226" i="67"/>
  <c r="N226" i="67"/>
  <c r="P230" i="67"/>
  <c r="O230" i="67"/>
  <c r="L247" i="67"/>
  <c r="K247" i="67"/>
  <c r="L86" i="67"/>
  <c r="K86" i="67"/>
  <c r="K90" i="67"/>
  <c r="M90" i="67"/>
  <c r="M86" i="67"/>
  <c r="G88" i="67"/>
  <c r="G92" i="67"/>
  <c r="H92" i="67"/>
  <c r="H88" i="67"/>
  <c r="H90" i="67"/>
  <c r="H86" i="67"/>
  <c r="J88" i="67"/>
  <c r="J92" i="67"/>
  <c r="K92" i="67"/>
  <c r="L88" i="67"/>
  <c r="K88" i="67"/>
  <c r="L92" i="67"/>
  <c r="M88" i="67"/>
  <c r="M92" i="67"/>
  <c r="I91" i="67"/>
  <c r="I87" i="67"/>
  <c r="N88" i="67"/>
  <c r="P92" i="67"/>
  <c r="O92" i="67"/>
  <c r="N92" i="67"/>
  <c r="P88" i="67"/>
  <c r="O88" i="67"/>
  <c r="P103" i="67"/>
  <c r="O103" i="67"/>
  <c r="N103" i="67"/>
  <c r="L113" i="67"/>
  <c r="K113" i="67"/>
  <c r="P86" i="67"/>
  <c r="O86" i="67"/>
  <c r="N86" i="67"/>
  <c r="P90" i="67"/>
  <c r="O90" i="67"/>
  <c r="N90" i="67"/>
  <c r="N117" i="67"/>
  <c r="P117" i="67"/>
  <c r="O117" i="67"/>
  <c r="L224" i="67"/>
  <c r="K224" i="67"/>
  <c r="L228" i="67"/>
  <c r="K228" i="67"/>
  <c r="H230" i="67"/>
  <c r="H226" i="67"/>
  <c r="L249" i="67"/>
  <c r="K249" i="67"/>
  <c r="L250" i="67"/>
  <c r="K250" i="67"/>
  <c r="P223" i="67"/>
  <c r="O223" i="67"/>
  <c r="N223" i="67"/>
  <c r="P227" i="67"/>
  <c r="O227" i="67"/>
  <c r="N227" i="67"/>
  <c r="J229" i="67"/>
  <c r="J225" i="67"/>
  <c r="I230" i="67"/>
  <c r="I226" i="67"/>
  <c r="P233" i="67"/>
  <c r="O233" i="67"/>
  <c r="N233" i="67"/>
  <c r="L235" i="67"/>
  <c r="K235" i="67"/>
  <c r="P240" i="67"/>
  <c r="O240" i="67"/>
  <c r="N240" i="67"/>
  <c r="L254" i="67"/>
  <c r="K254" i="67"/>
  <c r="M228" i="67"/>
  <c r="M224" i="67"/>
  <c r="J230" i="67"/>
  <c r="J226" i="67"/>
  <c r="P234" i="67"/>
  <c r="O234" i="67"/>
  <c r="N234" i="67"/>
  <c r="L242" i="67"/>
  <c r="K242" i="67"/>
  <c r="P247" i="67"/>
  <c r="O247" i="67"/>
  <c r="N247" i="67"/>
  <c r="O248" i="67"/>
  <c r="N248" i="67"/>
  <c r="P248" i="67"/>
  <c r="P249" i="67"/>
  <c r="O249" i="67"/>
  <c r="N249" i="67"/>
  <c r="L236" i="67"/>
  <c r="K236" i="67"/>
  <c r="P228" i="67"/>
  <c r="O228" i="67"/>
  <c r="N228" i="67"/>
  <c r="P224" i="67"/>
  <c r="O224" i="67"/>
  <c r="N224" i="67"/>
  <c r="M225" i="67"/>
  <c r="M229" i="67"/>
  <c r="O235" i="67"/>
  <c r="N235" i="67"/>
  <c r="P235" i="67"/>
  <c r="K251" i="67"/>
  <c r="L251" i="67"/>
  <c r="P225" i="67"/>
  <c r="O225" i="67"/>
  <c r="N225" i="67"/>
  <c r="P229" i="67"/>
  <c r="O229" i="67"/>
  <c r="N229" i="67"/>
  <c r="P236" i="67"/>
  <c r="O236" i="67"/>
  <c r="N236" i="67"/>
  <c r="P254" i="67"/>
  <c r="O254" i="67"/>
  <c r="N254" i="67"/>
  <c r="L231" i="67"/>
  <c r="K231" i="67"/>
  <c r="O243" i="67"/>
  <c r="N243" i="67"/>
  <c r="P243" i="67"/>
  <c r="F225" i="67"/>
  <c r="F229" i="67"/>
  <c r="L245" i="67"/>
  <c r="K245" i="67"/>
  <c r="L252" i="67"/>
  <c r="K252" i="67"/>
  <c r="I227" i="67"/>
  <c r="I223" i="67"/>
  <c r="G228" i="67"/>
  <c r="G224" i="67"/>
  <c r="P231" i="67"/>
  <c r="O231" i="67"/>
  <c r="N231" i="67"/>
  <c r="O237" i="67"/>
  <c r="N237" i="67"/>
  <c r="P237" i="67"/>
  <c r="L239" i="67"/>
  <c r="K239" i="67"/>
  <c r="N244" i="67"/>
  <c r="P244" i="67"/>
  <c r="O244" i="67"/>
  <c r="L246" i="67"/>
  <c r="K246" i="67"/>
  <c r="H228" i="67"/>
  <c r="H224" i="67"/>
  <c r="F226" i="67"/>
  <c r="F230" i="67"/>
  <c r="I224" i="67"/>
  <c r="I228" i="67"/>
  <c r="H225" i="67"/>
  <c r="H229" i="67"/>
  <c r="P238" i="67"/>
  <c r="O238" i="67"/>
  <c r="N238" i="67"/>
  <c r="P245" i="67"/>
  <c r="O245" i="67"/>
  <c r="N245" i="67"/>
  <c r="K227" i="67"/>
  <c r="L223" i="67"/>
  <c r="K223" i="67"/>
  <c r="L227" i="67"/>
  <c r="J224" i="67"/>
  <c r="J228" i="67"/>
  <c r="I225" i="67"/>
  <c r="I229" i="67"/>
  <c r="L234" i="67"/>
  <c r="K234" i="67"/>
  <c r="O239" i="67"/>
  <c r="N239" i="67"/>
  <c r="P239" i="67"/>
  <c r="L241" i="67"/>
  <c r="K241" i="67"/>
  <c r="P246" i="67"/>
  <c r="O246" i="67"/>
  <c r="N246" i="67"/>
  <c r="K248" i="67"/>
  <c r="L248" i="67"/>
  <c r="J364" i="67"/>
  <c r="I364" i="67"/>
  <c r="M223" i="67"/>
  <c r="M227" i="67"/>
  <c r="L232" i="67"/>
  <c r="K232" i="67"/>
  <c r="P252" i="67"/>
  <c r="O252" i="67"/>
  <c r="N252" i="67"/>
  <c r="I362" i="67"/>
  <c r="J362" i="67"/>
  <c r="M365" i="67"/>
  <c r="N365" i="67"/>
  <c r="J366" i="67"/>
  <c r="J363" i="67"/>
  <c r="I369" i="67"/>
  <c r="J369" i="67"/>
  <c r="K253" i="67"/>
  <c r="M362" i="67"/>
  <c r="L362" i="67"/>
  <c r="N250" i="67"/>
  <c r="O250" i="67"/>
  <c r="J367" i="67"/>
  <c r="I367" i="67"/>
  <c r="N368" i="67"/>
  <c r="M368" i="67"/>
  <c r="M369" i="67"/>
  <c r="L369" i="67"/>
  <c r="L368" i="67"/>
  <c r="M367" i="67"/>
  <c r="N367" i="67"/>
  <c r="L367" i="67"/>
  <c r="J365" i="67"/>
  <c r="N362" i="67"/>
  <c r="L365" i="67"/>
  <c r="E99" i="62"/>
  <c r="E7" i="62"/>
  <c r="F192" i="62"/>
  <c r="F151" i="62"/>
  <c r="E7" i="61"/>
  <c r="L8" i="61"/>
  <c r="F58" i="61"/>
  <c r="F49" i="61"/>
  <c r="F57" i="61"/>
  <c r="F46" i="61"/>
  <c r="F56" i="61"/>
  <c r="F45" i="61"/>
  <c r="F55" i="61"/>
  <c r="F44" i="61"/>
  <c r="F52" i="61"/>
  <c r="F43" i="61"/>
  <c r="F51" i="61"/>
  <c r="F50" i="61"/>
  <c r="O29" i="61" a="1"/>
  <c r="O29" i="61" s="1"/>
  <c r="N29" i="61" a="1"/>
  <c r="N29" i="61" s="1"/>
  <c r="D27" i="61"/>
  <c r="D34" i="61"/>
  <c r="L34" i="61" s="1" a="1"/>
  <c r="L34" i="61" s="1"/>
  <c r="D39" i="61"/>
  <c r="L39" i="61" s="1" a="1"/>
  <c r="L39" i="61" s="1"/>
  <c r="D42" i="61"/>
  <c r="D30" i="61"/>
  <c r="L30" i="61" s="1" a="1"/>
  <c r="L30" i="61" s="1"/>
  <c r="D37" i="61"/>
  <c r="L37" i="61" s="1" a="1"/>
  <c r="L37" i="61" s="1"/>
  <c r="D48" i="61"/>
  <c r="E7" i="60"/>
  <c r="L7" i="60"/>
  <c r="N36" i="60" a="1"/>
  <c r="N36" i="60" s="1"/>
  <c r="Q36" i="60" a="1"/>
  <c r="Q36" i="60" s="1"/>
  <c r="F70" i="60"/>
  <c r="F61" i="60"/>
  <c r="F51" i="60"/>
  <c r="F69" i="60"/>
  <c r="F50" i="60"/>
  <c r="F58" i="60"/>
  <c r="F68" i="60"/>
  <c r="F49" i="60"/>
  <c r="F57" i="60"/>
  <c r="F67" i="60"/>
  <c r="F56" i="60"/>
  <c r="F46" i="60"/>
  <c r="F64" i="60"/>
  <c r="F55" i="60"/>
  <c r="F45" i="60"/>
  <c r="F63" i="60"/>
  <c r="F44" i="60"/>
  <c r="F62" i="60"/>
  <c r="F52" i="60"/>
  <c r="F43" i="60"/>
  <c r="N27" i="60" a="1"/>
  <c r="N27" i="60" s="1"/>
  <c r="D30" i="60"/>
  <c r="L30" i="60" s="1" a="1"/>
  <c r="L30" i="60" s="1"/>
  <c r="D39" i="60"/>
  <c r="D28" i="60"/>
  <c r="L28" i="60" s="1" a="1"/>
  <c r="L28" i="60" s="1"/>
  <c r="D32" i="60"/>
  <c r="L32" i="60" s="1" a="1"/>
  <c r="L32" i="60" s="1"/>
  <c r="D31" i="60"/>
  <c r="L31" i="60" s="1" a="1"/>
  <c r="L31" i="60" s="1"/>
  <c r="D26" i="60"/>
  <c r="L26" i="60" s="1" a="1"/>
  <c r="L26" i="60" s="1"/>
  <c r="I18" i="57"/>
  <c r="L32" i="61" s="1" a="1"/>
  <c r="L32" i="61" s="1"/>
  <c r="D29" i="56"/>
  <c r="I39" i="59"/>
  <c r="I46" i="59"/>
  <c r="I38" i="59"/>
  <c r="I47" i="59"/>
  <c r="I17" i="57"/>
  <c r="L40" i="61" s="1" a="1"/>
  <c r="L40" i="61" s="1"/>
  <c r="I21" i="57"/>
  <c r="I20" i="57"/>
  <c r="L33" i="60" s="1" a="1"/>
  <c r="L33" i="60" s="1"/>
  <c r="J42" i="56"/>
  <c r="I43" i="56"/>
  <c r="O576" i="19"/>
  <c r="I44" i="56"/>
  <c r="G576" i="19"/>
  <c r="H52" i="51"/>
  <c r="H49" i="51"/>
  <c r="H54" i="51"/>
  <c r="H48" i="51"/>
  <c r="H51" i="51"/>
  <c r="H53" i="51"/>
  <c r="H50" i="51"/>
  <c r="J88" i="34" s="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61" i="34" a="1"/>
  <c r="O26" i="34" a="1"/>
  <c r="AL221" i="19" l="1" a="1"/>
  <c r="AL221" i="19" s="1"/>
  <c r="AK221" i="19" a="1"/>
  <c r="AK221" i="19" s="1"/>
  <c r="I25" i="60" a="1"/>
  <c r="I25" i="60" s="1"/>
  <c r="J9" i="48" a="1"/>
  <c r="J9" i="48" s="1"/>
  <c r="J147" i="67"/>
  <c r="P36" i="60" a="1"/>
  <c r="P36" i="60" s="1"/>
  <c r="H33" i="60" a="1"/>
  <c r="H33" i="60" s="1"/>
  <c r="O34" i="60" a="1"/>
  <c r="O34" i="60" s="1"/>
  <c r="V13" i="56"/>
  <c r="O221" i="19" a="1"/>
  <c r="O221" i="19" s="1"/>
  <c r="H25" i="60" a="1"/>
  <c r="H25" i="60" s="1"/>
  <c r="I33" i="60" a="1"/>
  <c r="I33" i="60" s="1"/>
  <c r="E41" i="59"/>
  <c r="K33" i="60" a="1"/>
  <c r="K33" i="60" s="1"/>
  <c r="AC221" i="19" a="1"/>
  <c r="AC221" i="19" s="1"/>
  <c r="G25" i="60" a="1"/>
  <c r="G25" i="60" s="1"/>
  <c r="U221" i="19" a="1"/>
  <c r="U221" i="19" s="1"/>
  <c r="E50" i="59"/>
  <c r="P29" i="61" a="1"/>
  <c r="P29" i="61" s="1"/>
  <c r="J176" i="62" a="1"/>
  <c r="J176" i="62" s="1"/>
  <c r="J158" i="62" a="1"/>
  <c r="J158" i="62" s="1"/>
  <c r="O27" i="60" a="1"/>
  <c r="O27" i="60" s="1"/>
  <c r="AD221" i="19" a="1"/>
  <c r="AD221" i="19" s="1"/>
  <c r="J127" i="62" a="1"/>
  <c r="J127" i="62" s="1"/>
  <c r="J117" i="62" a="1"/>
  <c r="J117" i="62" s="1"/>
  <c r="P31" i="61" a="1"/>
  <c r="P31" i="61" s="1"/>
  <c r="J134" i="62" a="1"/>
  <c r="J134" i="62" s="1"/>
  <c r="R221" i="19" a="1"/>
  <c r="R221" i="19" s="1"/>
  <c r="J161" i="62" a="1"/>
  <c r="J161" i="62" s="1"/>
  <c r="AG221" i="19" a="1"/>
  <c r="AG221" i="19" s="1"/>
  <c r="AH221" i="19" a="1"/>
  <c r="AH221" i="19" s="1"/>
  <c r="J135" i="62" a="1"/>
  <c r="J135" i="62" s="1"/>
  <c r="N32" i="61" a="1"/>
  <c r="N32" i="61" s="1"/>
  <c r="O32" i="61" a="1"/>
  <c r="O32" i="61" s="1"/>
  <c r="Q32" i="61" a="1"/>
  <c r="Q32" i="61" s="1"/>
  <c r="P32" i="61" a="1"/>
  <c r="P32" i="61" s="1"/>
  <c r="J167" i="62" a="1"/>
  <c r="J167" i="62" s="1"/>
  <c r="J177" i="62" a="1"/>
  <c r="J177" i="62" s="1"/>
  <c r="D59" i="62"/>
  <c r="G89" i="62" a="1"/>
  <c r="G89" i="62" s="1"/>
  <c r="G80" i="62" a="1"/>
  <c r="G80" i="62" s="1"/>
  <c r="G73" i="62" a="1"/>
  <c r="G73" i="62" s="1"/>
  <c r="G65" i="62" a="1"/>
  <c r="G65" i="62" s="1"/>
  <c r="G88" i="62" a="1"/>
  <c r="G88" i="62" s="1"/>
  <c r="I88" i="62" s="1" a="1"/>
  <c r="I88" i="62" s="1"/>
  <c r="H186" i="62" s="1"/>
  <c r="G79" i="62" a="1"/>
  <c r="G79" i="62" s="1"/>
  <c r="G72" i="62" a="1"/>
  <c r="G72" i="62" s="1"/>
  <c r="G64" i="62" a="1"/>
  <c r="G64" i="62" s="1"/>
  <c r="I64" i="62" s="1" a="1"/>
  <c r="I64" i="62" s="1"/>
  <c r="H162" i="62" s="1"/>
  <c r="I162" i="62" s="1"/>
  <c r="K162" i="62" s="1" a="1"/>
  <c r="K162" i="62" s="1"/>
  <c r="G86" i="62" a="1"/>
  <c r="G86" i="62" s="1"/>
  <c r="I86" i="62" s="1" a="1"/>
  <c r="I86" i="62" s="1"/>
  <c r="H184" i="62" s="1"/>
  <c r="G78" i="62" a="1"/>
  <c r="G78" i="62" s="1"/>
  <c r="I78" i="62" s="1" a="1"/>
  <c r="I78" i="62" s="1"/>
  <c r="H176" i="62" s="1"/>
  <c r="I176" i="62" s="1"/>
  <c r="K176" i="62" s="1" a="1"/>
  <c r="K176" i="62" s="1"/>
  <c r="G71" i="62" a="1"/>
  <c r="G71" i="62" s="1"/>
  <c r="G63" i="62" a="1"/>
  <c r="G63" i="62" s="1"/>
  <c r="I63" i="62" s="1" a="1"/>
  <c r="I63" i="62" s="1"/>
  <c r="H161" i="62" s="1"/>
  <c r="I161" i="62" s="1"/>
  <c r="K161" i="62" s="1" a="1"/>
  <c r="K161" i="62" s="1"/>
  <c r="G85" i="62" a="1"/>
  <c r="G85" i="62" s="1"/>
  <c r="G77" i="62" a="1"/>
  <c r="G77" i="62" s="1"/>
  <c r="G69" i="62" a="1"/>
  <c r="G69" i="62" s="1"/>
  <c r="G62" i="62" a="1"/>
  <c r="G62" i="62" s="1"/>
  <c r="G92" i="62" a="1"/>
  <c r="G92" i="62" s="1"/>
  <c r="G84" i="62" a="1"/>
  <c r="G84" i="62" s="1"/>
  <c r="G76" i="62" a="1"/>
  <c r="G76" i="62" s="1"/>
  <c r="I76" i="62" s="1" a="1"/>
  <c r="I76" i="62" s="1"/>
  <c r="H174" i="62" s="1"/>
  <c r="G68" i="62" a="1"/>
  <c r="G68" i="62" s="1"/>
  <c r="G61" i="62" a="1"/>
  <c r="G61" i="62" s="1"/>
  <c r="G91" i="62" a="1"/>
  <c r="G91" i="62" s="1"/>
  <c r="G83" i="62" a="1"/>
  <c r="G83" i="62" s="1"/>
  <c r="G75" i="62" a="1"/>
  <c r="G75" i="62" s="1"/>
  <c r="I75" i="62" s="1" a="1"/>
  <c r="I75" i="62" s="1"/>
  <c r="H173" i="62" s="1"/>
  <c r="I173" i="62" s="1"/>
  <c r="G67" i="62" a="1"/>
  <c r="G67" i="62" s="1"/>
  <c r="G60" i="62" a="1"/>
  <c r="G60" i="62" s="1"/>
  <c r="G90" i="62" a="1"/>
  <c r="G90" i="62" s="1"/>
  <c r="G82" i="62" a="1"/>
  <c r="G82" i="62" s="1"/>
  <c r="G74" i="62" a="1"/>
  <c r="G74" i="62" s="1"/>
  <c r="G66" i="62" a="1"/>
  <c r="G66" i="62" s="1"/>
  <c r="J159" i="62" a="1"/>
  <c r="J159" i="62" s="1"/>
  <c r="J173" i="62" a="1"/>
  <c r="J173" i="62" s="1"/>
  <c r="I37" i="60" a="1"/>
  <c r="I37" i="60" s="1"/>
  <c r="O37" i="60" s="1" a="1"/>
  <c r="O37" i="60" s="1"/>
  <c r="J179" i="62" a="1"/>
  <c r="J179" i="62" s="1"/>
  <c r="K38" i="60" a="1"/>
  <c r="K38" i="60" s="1"/>
  <c r="J168" i="62" a="1"/>
  <c r="J168" i="62" s="1"/>
  <c r="J166" i="62" a="1"/>
  <c r="J166" i="62" s="1"/>
  <c r="J133" i="62" a="1"/>
  <c r="J133" i="62" s="1"/>
  <c r="J175" i="62" a="1"/>
  <c r="J175" i="62" s="1"/>
  <c r="J185" i="62" a="1"/>
  <c r="J185" i="62" s="1"/>
  <c r="J138" i="62" a="1"/>
  <c r="J138" i="62" s="1"/>
  <c r="J162" i="62" a="1"/>
  <c r="J162" i="62" s="1"/>
  <c r="J125" i="62" a="1"/>
  <c r="J125" i="62" s="1"/>
  <c r="K27" i="61"/>
  <c r="J27" i="61"/>
  <c r="I27" i="61"/>
  <c r="H27" i="61"/>
  <c r="G27" i="61"/>
  <c r="I13" i="56"/>
  <c r="Q27" i="60" a="1"/>
  <c r="Q27" i="60" s="1"/>
  <c r="J149" i="67"/>
  <c r="G146" i="67"/>
  <c r="G149" i="67"/>
  <c r="J123" i="62" a="1"/>
  <c r="J123" i="62" s="1"/>
  <c r="J165" i="62" a="1"/>
  <c r="J165" i="62" s="1"/>
  <c r="K38" i="61"/>
  <c r="J38" i="61"/>
  <c r="I38" i="61"/>
  <c r="H38" i="61"/>
  <c r="G38" i="61"/>
  <c r="J121" i="62" a="1"/>
  <c r="J121" i="62" s="1"/>
  <c r="P221" i="19" a="1"/>
  <c r="P221" i="19" s="1"/>
  <c r="J136" i="62" a="1"/>
  <c r="J136" i="62" s="1"/>
  <c r="J118" i="62" a="1"/>
  <c r="J118" i="62" s="1"/>
  <c r="D21" i="62"/>
  <c r="G189" i="62" a="1"/>
  <c r="G189" i="62" s="1"/>
  <c r="G177" i="62" a="1"/>
  <c r="G177" i="62" s="1"/>
  <c r="G145" i="62" a="1"/>
  <c r="G145" i="62" s="1"/>
  <c r="G125" i="62" a="1"/>
  <c r="G125" i="62" s="1"/>
  <c r="G118" i="62" a="1"/>
  <c r="G118" i="62" s="1"/>
  <c r="G40" i="62" a="1"/>
  <c r="G40" i="62" s="1"/>
  <c r="I40" i="62" s="1" a="1"/>
  <c r="I40" i="62" s="1"/>
  <c r="H135" i="62" s="1"/>
  <c r="G33" i="62" a="1"/>
  <c r="G33" i="62" s="1"/>
  <c r="G188" i="62" a="1"/>
  <c r="G188" i="62" s="1"/>
  <c r="G167" i="62" a="1"/>
  <c r="G167" i="62" s="1"/>
  <c r="G160" i="62" a="1"/>
  <c r="G160" i="62" s="1"/>
  <c r="G134" i="62" a="1"/>
  <c r="G134" i="62" s="1"/>
  <c r="G25" i="62" a="1"/>
  <c r="G25" i="62" s="1"/>
  <c r="G187" i="62" a="1"/>
  <c r="G187" i="62" s="1"/>
  <c r="G176" i="62" a="1"/>
  <c r="G176" i="62" s="1"/>
  <c r="G143" i="62" a="1"/>
  <c r="G143" i="62" s="1"/>
  <c r="G124" i="62" a="1"/>
  <c r="G124" i="62" s="1"/>
  <c r="G117" i="62" a="1"/>
  <c r="G117" i="62" s="1"/>
  <c r="G54" i="62" a="1"/>
  <c r="G54" i="62" s="1"/>
  <c r="I54" i="62" s="1" a="1"/>
  <c r="I54" i="62" s="1"/>
  <c r="H149" i="62" s="1"/>
  <c r="G47" i="62" a="1"/>
  <c r="G47" i="62" s="1"/>
  <c r="G39" i="62" a="1"/>
  <c r="G39" i="62" s="1"/>
  <c r="I39" i="62" s="1" a="1"/>
  <c r="I39" i="62" s="1"/>
  <c r="H134" i="62" s="1"/>
  <c r="I134" i="62" s="1"/>
  <c r="K134" i="62" s="1" a="1"/>
  <c r="K134" i="62" s="1"/>
  <c r="G31" i="62" a="1"/>
  <c r="G31" i="62" s="1"/>
  <c r="G186" i="62" a="1"/>
  <c r="G186" i="62" s="1"/>
  <c r="G166" i="62" a="1"/>
  <c r="G166" i="62" s="1"/>
  <c r="G159" i="62" a="1"/>
  <c r="G159" i="62" s="1"/>
  <c r="G142" i="62" a="1"/>
  <c r="G142" i="62" s="1"/>
  <c r="G133" i="62" a="1"/>
  <c r="G133" i="62" s="1"/>
  <c r="G24" i="62" a="1"/>
  <c r="G24" i="62" s="1"/>
  <c r="I24" i="62" s="1" a="1"/>
  <c r="I24" i="62" s="1"/>
  <c r="H119" i="62" s="1"/>
  <c r="I119" i="62" s="1"/>
  <c r="G175" i="62" a="1"/>
  <c r="G175" i="62" s="1"/>
  <c r="G141" i="62" a="1"/>
  <c r="G141" i="62" s="1"/>
  <c r="G123" i="62" a="1"/>
  <c r="G123" i="62" s="1"/>
  <c r="G53" i="62" a="1"/>
  <c r="G53" i="62" s="1"/>
  <c r="G46" i="62" a="1"/>
  <c r="G46" i="62" s="1"/>
  <c r="I46" i="62" s="1" a="1"/>
  <c r="I46" i="62" s="1"/>
  <c r="H141" i="62" s="1"/>
  <c r="G38" i="62" a="1"/>
  <c r="G38" i="62" s="1"/>
  <c r="G30" i="62" a="1"/>
  <c r="G30" i="62" s="1"/>
  <c r="I30" i="62" s="1" a="1"/>
  <c r="I30" i="62" s="1"/>
  <c r="H125" i="62" s="1"/>
  <c r="I125" i="62" s="1"/>
  <c r="K125" i="62" s="1" a="1"/>
  <c r="K125" i="62" s="1"/>
  <c r="G184" i="62" a="1"/>
  <c r="G184" i="62" s="1"/>
  <c r="G165" i="62" a="1"/>
  <c r="G165" i="62" s="1"/>
  <c r="G158" i="62" a="1"/>
  <c r="G158" i="62" s="1"/>
  <c r="G140" i="62" a="1"/>
  <c r="G140" i="62" s="1"/>
  <c r="G132" i="62" a="1"/>
  <c r="G132" i="62" s="1"/>
  <c r="G23" i="62" a="1"/>
  <c r="G23" i="62" s="1"/>
  <c r="G183" i="62" a="1"/>
  <c r="G183" i="62" s="1"/>
  <c r="G174" i="62" a="1"/>
  <c r="G174" i="62" s="1"/>
  <c r="G139" i="62" a="1"/>
  <c r="G139" i="62" s="1"/>
  <c r="G131" i="62" a="1"/>
  <c r="G131" i="62" s="1"/>
  <c r="G122" i="62" a="1"/>
  <c r="G122" i="62" s="1"/>
  <c r="G52" i="62" a="1"/>
  <c r="G52" i="62" s="1"/>
  <c r="I52" i="62" s="1" a="1"/>
  <c r="I52" i="62" s="1"/>
  <c r="H147" i="62" s="1"/>
  <c r="G45" i="62" a="1"/>
  <c r="G45" i="62" s="1"/>
  <c r="G37" i="62" a="1"/>
  <c r="G37" i="62" s="1"/>
  <c r="I37" i="62" s="1" a="1"/>
  <c r="I37" i="62" s="1"/>
  <c r="H132" i="62" s="1"/>
  <c r="I132" i="62" s="1"/>
  <c r="K132" i="62" s="1" a="1"/>
  <c r="K132" i="62" s="1"/>
  <c r="G29" i="62" a="1"/>
  <c r="G29" i="62" s="1"/>
  <c r="G182" i="62" a="1"/>
  <c r="G182" i="62" s="1"/>
  <c r="G164" i="62" a="1"/>
  <c r="G164" i="62" s="1"/>
  <c r="G130" i="62" a="1"/>
  <c r="G130" i="62" s="1"/>
  <c r="G22" i="62" a="1"/>
  <c r="G22" i="62" s="1"/>
  <c r="G181" i="62" a="1"/>
  <c r="G181" i="62" s="1"/>
  <c r="G173" i="62" a="1"/>
  <c r="G173" i="62" s="1"/>
  <c r="G129" i="62" a="1"/>
  <c r="G129" i="62" s="1"/>
  <c r="G121" i="62" a="1"/>
  <c r="G121" i="62" s="1"/>
  <c r="G51" i="62" a="1"/>
  <c r="G51" i="62" s="1"/>
  <c r="G44" i="62" a="1"/>
  <c r="G44" i="62" s="1"/>
  <c r="G36" i="62" a="1"/>
  <c r="G36" i="62" s="1"/>
  <c r="G28" i="62" a="1"/>
  <c r="G28" i="62" s="1"/>
  <c r="G180" i="62" a="1"/>
  <c r="G180" i="62" s="1"/>
  <c r="G172" i="62" a="1"/>
  <c r="G172" i="62" s="1"/>
  <c r="G163" i="62" a="1"/>
  <c r="G163" i="62" s="1"/>
  <c r="G137" i="62" a="1"/>
  <c r="G137" i="62" s="1"/>
  <c r="G128" i="62" a="1"/>
  <c r="G128" i="62" s="1"/>
  <c r="G171" i="62" a="1"/>
  <c r="G171" i="62" s="1"/>
  <c r="G149" i="62" a="1"/>
  <c r="G149" i="62" s="1"/>
  <c r="G120" i="62" a="1"/>
  <c r="G120" i="62" s="1"/>
  <c r="G50" i="62" a="1"/>
  <c r="G50" i="62" s="1"/>
  <c r="G42" i="62" a="1"/>
  <c r="G42" i="62" s="1"/>
  <c r="G35" i="62" a="1"/>
  <c r="G35" i="62" s="1"/>
  <c r="G27" i="62" a="1"/>
  <c r="G27" i="62" s="1"/>
  <c r="G170" i="62" a="1"/>
  <c r="G170" i="62" s="1"/>
  <c r="G162" i="62" a="1"/>
  <c r="G162" i="62" s="1"/>
  <c r="G148" i="62" a="1"/>
  <c r="G148" i="62" s="1"/>
  <c r="G136" i="62" a="1"/>
  <c r="G136" i="62" s="1"/>
  <c r="G178" i="62" a="1"/>
  <c r="G178" i="62" s="1"/>
  <c r="G169" i="62" a="1"/>
  <c r="G169" i="62" s="1"/>
  <c r="G147" i="62" a="1"/>
  <c r="G147" i="62" s="1"/>
  <c r="G126" i="62" a="1"/>
  <c r="G126" i="62" s="1"/>
  <c r="G119" i="62" a="1"/>
  <c r="G119" i="62" s="1"/>
  <c r="G41" i="62" a="1"/>
  <c r="G41" i="62" s="1"/>
  <c r="I41" i="62" s="1" a="1"/>
  <c r="I41" i="62" s="1"/>
  <c r="H136" i="62" s="1"/>
  <c r="I136" i="62" s="1"/>
  <c r="K136" i="62" s="1" a="1"/>
  <c r="K136" i="62" s="1"/>
  <c r="G34" i="62" a="1"/>
  <c r="G34" i="62" s="1"/>
  <c r="G190" i="62" a="1"/>
  <c r="G190" i="62" s="1"/>
  <c r="G161" i="62" a="1"/>
  <c r="G161" i="62" s="1"/>
  <c r="G146" i="62" a="1"/>
  <c r="G146" i="62" s="1"/>
  <c r="G135" i="62" a="1"/>
  <c r="G135" i="62" s="1"/>
  <c r="G48" i="62" a="1"/>
  <c r="G48" i="62" s="1"/>
  <c r="I48" i="62" s="1" a="1"/>
  <c r="I48" i="62" s="1"/>
  <c r="H143" i="62" s="1"/>
  <c r="G26" i="62" a="1"/>
  <c r="G26" i="62" s="1"/>
  <c r="I26" i="62" s="1" a="1"/>
  <c r="I26" i="62" s="1"/>
  <c r="H121" i="62" s="1"/>
  <c r="I121" i="62" s="1"/>
  <c r="K121" i="62" s="1" a="1"/>
  <c r="K121" i="62" s="1"/>
  <c r="E59" i="62"/>
  <c r="H59" i="62" s="1" a="1"/>
  <c r="H59" i="62" s="1"/>
  <c r="H88" i="62" a="1"/>
  <c r="H88" i="62" s="1"/>
  <c r="H79" i="62" a="1"/>
  <c r="H79" i="62" s="1"/>
  <c r="H72" i="62" a="1"/>
  <c r="H72" i="62" s="1"/>
  <c r="H64" i="62" a="1"/>
  <c r="H64" i="62" s="1"/>
  <c r="H86" i="62" a="1"/>
  <c r="H86" i="62" s="1"/>
  <c r="H78" i="62" a="1"/>
  <c r="H78" i="62" s="1"/>
  <c r="H71" i="62" a="1"/>
  <c r="H71" i="62" s="1"/>
  <c r="H63" i="62" a="1"/>
  <c r="H63" i="62" s="1"/>
  <c r="H85" i="62" a="1"/>
  <c r="H85" i="62" s="1"/>
  <c r="H77" i="62" a="1"/>
  <c r="H77" i="62" s="1"/>
  <c r="H69" i="62" a="1"/>
  <c r="H69" i="62" s="1"/>
  <c r="I69" i="62" s="1" a="1"/>
  <c r="I69" i="62" s="1"/>
  <c r="H167" i="62" s="1"/>
  <c r="I167" i="62" s="1"/>
  <c r="K167" i="62" s="1" a="1"/>
  <c r="K167" i="62" s="1"/>
  <c r="H62" i="62" a="1"/>
  <c r="H62" i="62" s="1"/>
  <c r="H92" i="62" a="1"/>
  <c r="H92" i="62" s="1"/>
  <c r="H84" i="62" a="1"/>
  <c r="H84" i="62" s="1"/>
  <c r="H76" i="62" a="1"/>
  <c r="H76" i="62" s="1"/>
  <c r="H68" i="62" a="1"/>
  <c r="H68" i="62" s="1"/>
  <c r="H61" i="62" a="1"/>
  <c r="H61" i="62" s="1"/>
  <c r="I61" i="62" s="1" a="1"/>
  <c r="I61" i="62" s="1"/>
  <c r="H159" i="62" s="1"/>
  <c r="I159" i="62" s="1"/>
  <c r="K159" i="62" s="1" a="1"/>
  <c r="K159" i="62" s="1"/>
  <c r="H91" i="62" a="1"/>
  <c r="H91" i="62" s="1"/>
  <c r="I91" i="62" s="1" a="1"/>
  <c r="I91" i="62" s="1"/>
  <c r="H189" i="62" s="1"/>
  <c r="H83" i="62" a="1"/>
  <c r="H83" i="62" s="1"/>
  <c r="H75" i="62" a="1"/>
  <c r="H75" i="62" s="1"/>
  <c r="H67" i="62" a="1"/>
  <c r="H67" i="62" s="1"/>
  <c r="I67" i="62" s="1" a="1"/>
  <c r="I67" i="62" s="1"/>
  <c r="H165" i="62" s="1"/>
  <c r="H60" i="62" a="1"/>
  <c r="H60" i="62" s="1"/>
  <c r="I60" i="62" s="1" a="1"/>
  <c r="I60" i="62" s="1"/>
  <c r="H158" i="62" s="1"/>
  <c r="I158" i="62" s="1"/>
  <c r="K158" i="62" s="1" a="1"/>
  <c r="K158" i="62" s="1"/>
  <c r="H90" i="62" a="1"/>
  <c r="H90" i="62" s="1"/>
  <c r="H82" i="62" a="1"/>
  <c r="H82" i="62" s="1"/>
  <c r="I82" i="62" s="1" a="1"/>
  <c r="I82" i="62" s="1"/>
  <c r="H180" i="62" s="1"/>
  <c r="H74" i="62" a="1"/>
  <c r="H74" i="62" s="1"/>
  <c r="I74" i="62" s="1" a="1"/>
  <c r="I74" i="62" s="1"/>
  <c r="H172" i="62" s="1"/>
  <c r="H66" i="62" a="1"/>
  <c r="H66" i="62" s="1"/>
  <c r="I66" i="62" s="1" a="1"/>
  <c r="I66" i="62" s="1"/>
  <c r="H164" i="62" s="1"/>
  <c r="H89" i="62" a="1"/>
  <c r="H89" i="62" s="1"/>
  <c r="H80" i="62" a="1"/>
  <c r="H80" i="62" s="1"/>
  <c r="H73" i="62" a="1"/>
  <c r="H73" i="62" s="1"/>
  <c r="H65" i="62" a="1"/>
  <c r="H65" i="62" s="1"/>
  <c r="H38" i="60" a="1"/>
  <c r="H38" i="60" s="1"/>
  <c r="P27" i="60" a="1"/>
  <c r="P27" i="60" s="1"/>
  <c r="E21" i="62"/>
  <c r="H21" i="62" s="1" a="1"/>
  <c r="H21" i="62" s="1"/>
  <c r="H25" i="62" a="1"/>
  <c r="H25" i="62" s="1"/>
  <c r="I25" i="62" s="1" a="1"/>
  <c r="I25" i="62" s="1"/>
  <c r="H120" i="62" s="1"/>
  <c r="I120" i="62" s="1"/>
  <c r="K120" i="62" s="1" a="1"/>
  <c r="K120" i="62" s="1"/>
  <c r="H54" i="62" a="1"/>
  <c r="H54" i="62" s="1"/>
  <c r="H47" i="62" a="1"/>
  <c r="H47" i="62" s="1"/>
  <c r="I47" i="62" s="1" a="1"/>
  <c r="I47" i="62" s="1"/>
  <c r="H142" i="62" s="1"/>
  <c r="H39" i="62" a="1"/>
  <c r="H39" i="62" s="1"/>
  <c r="H31" i="62" a="1"/>
  <c r="H31" i="62" s="1"/>
  <c r="H24" i="62" a="1"/>
  <c r="H24" i="62" s="1"/>
  <c r="H53" i="62" a="1"/>
  <c r="H53" i="62" s="1"/>
  <c r="H46" i="62" a="1"/>
  <c r="H46" i="62" s="1"/>
  <c r="H38" i="62" a="1"/>
  <c r="H38" i="62" s="1"/>
  <c r="H30" i="62" a="1"/>
  <c r="H30" i="62" s="1"/>
  <c r="H23" i="62" a="1"/>
  <c r="H23" i="62" s="1"/>
  <c r="I23" i="62" s="1" a="1"/>
  <c r="I23" i="62" s="1"/>
  <c r="H118" i="62" s="1"/>
  <c r="H52" i="62" a="1"/>
  <c r="H52" i="62" s="1"/>
  <c r="H45" i="62" a="1"/>
  <c r="H45" i="62" s="1"/>
  <c r="I45" i="62" s="1" a="1"/>
  <c r="I45" i="62" s="1"/>
  <c r="H140" i="62" s="1"/>
  <c r="H37" i="62" a="1"/>
  <c r="H37" i="62" s="1"/>
  <c r="H29" i="62" a="1"/>
  <c r="H29" i="62" s="1"/>
  <c r="H22" i="62" a="1"/>
  <c r="H22" i="62" s="1"/>
  <c r="H51" i="62" a="1"/>
  <c r="H51" i="62" s="1"/>
  <c r="H44" i="62" a="1"/>
  <c r="H44" i="62" s="1"/>
  <c r="H36" i="62" a="1"/>
  <c r="H36" i="62" s="1"/>
  <c r="H28" i="62" a="1"/>
  <c r="H28" i="62" s="1"/>
  <c r="I28" i="62" s="1" a="1"/>
  <c r="I28" i="62" s="1"/>
  <c r="H123" i="62" s="1"/>
  <c r="I123" i="62" s="1"/>
  <c r="K123" i="62" s="1" a="1"/>
  <c r="K123" i="62" s="1"/>
  <c r="H50" i="62" a="1"/>
  <c r="H50" i="62" s="1"/>
  <c r="H42" i="62" a="1"/>
  <c r="H42" i="62" s="1"/>
  <c r="I42" i="62" s="1" a="1"/>
  <c r="I42" i="62" s="1"/>
  <c r="H137" i="62" s="1"/>
  <c r="I137" i="62" s="1"/>
  <c r="K137" i="62" s="1" a="1"/>
  <c r="K137" i="62" s="1"/>
  <c r="H35" i="62" a="1"/>
  <c r="H35" i="62" s="1"/>
  <c r="H27" i="62" a="1"/>
  <c r="H27" i="62" s="1"/>
  <c r="H48" i="62" a="1"/>
  <c r="H48" i="62" s="1"/>
  <c r="H41" i="62" a="1"/>
  <c r="H41" i="62" s="1"/>
  <c r="H34" i="62" a="1"/>
  <c r="H34" i="62" s="1"/>
  <c r="H26" i="62" a="1"/>
  <c r="H26" i="62" s="1"/>
  <c r="H40" i="62" a="1"/>
  <c r="H40" i="62" s="1"/>
  <c r="H33" i="62" a="1"/>
  <c r="H33" i="62" s="1"/>
  <c r="K25" i="61"/>
  <c r="J25" i="61"/>
  <c r="I25" i="61"/>
  <c r="H25" i="61"/>
  <c r="G25" i="61"/>
  <c r="L27" i="61" a="1"/>
  <c r="L27" i="61" s="1"/>
  <c r="N27" i="61" s="1" a="1"/>
  <c r="N27" i="61" s="1"/>
  <c r="Q31" i="61" a="1"/>
  <c r="Q31" i="61" s="1"/>
  <c r="G38" i="60" a="1"/>
  <c r="G38" i="60" s="1"/>
  <c r="J174" i="62" a="1"/>
  <c r="J174" i="62" s="1"/>
  <c r="I15" i="56"/>
  <c r="V15" i="56"/>
  <c r="K33" i="61"/>
  <c r="J33" i="61"/>
  <c r="I33" i="61"/>
  <c r="H33" i="61"/>
  <c r="G33" i="61"/>
  <c r="Q33" i="61" s="1" a="1"/>
  <c r="Q33" i="61" s="1"/>
  <c r="J38" i="60" a="1"/>
  <c r="J38" i="60" s="1"/>
  <c r="N31" i="61" a="1"/>
  <c r="N31" i="61" s="1"/>
  <c r="J163" i="62" a="1"/>
  <c r="J163" i="62" s="1"/>
  <c r="L39" i="60" a="1"/>
  <c r="L39" i="60" s="1"/>
  <c r="P39" i="60" s="1" a="1"/>
  <c r="P39" i="60" s="1"/>
  <c r="O31" i="61" a="1"/>
  <c r="O31" i="61" s="1"/>
  <c r="J126" i="62" a="1"/>
  <c r="J126" i="62" s="1"/>
  <c r="K28" i="61"/>
  <c r="J28" i="61"/>
  <c r="I28" i="61"/>
  <c r="H28" i="61"/>
  <c r="G28" i="61"/>
  <c r="O28" i="61" s="1" a="1"/>
  <c r="O28" i="61" s="1"/>
  <c r="I16" i="56"/>
  <c r="V16" i="56"/>
  <c r="J122" i="62" a="1"/>
  <c r="J122" i="62" s="1"/>
  <c r="K30" i="61"/>
  <c r="Q30" i="61" s="1" a="1"/>
  <c r="Q30" i="61" s="1"/>
  <c r="J30" i="61"/>
  <c r="I30" i="61"/>
  <c r="O30" i="61" s="1" a="1"/>
  <c r="O30" i="61" s="1"/>
  <c r="H30" i="61"/>
  <c r="G30" i="61"/>
  <c r="J178" i="62" a="1"/>
  <c r="J178" i="62" s="1"/>
  <c r="V12" i="56"/>
  <c r="J137" i="62" a="1"/>
  <c r="J137" i="62" s="1"/>
  <c r="K36" i="61"/>
  <c r="J36" i="61"/>
  <c r="I36" i="61"/>
  <c r="H36" i="61"/>
  <c r="G36" i="61"/>
  <c r="O36" i="61" s="1" a="1"/>
  <c r="O36" i="61" s="1"/>
  <c r="I14" i="56"/>
  <c r="V14" i="56"/>
  <c r="J119" i="62" a="1"/>
  <c r="J119" i="62" s="1"/>
  <c r="N34" i="60" a="1"/>
  <c r="N34" i="60" s="1"/>
  <c r="Q34" i="60" a="1"/>
  <c r="Q34" i="60" s="1"/>
  <c r="E58" i="60" s="1"/>
  <c r="Q33" i="60" a="1"/>
  <c r="Q33" i="60" s="1"/>
  <c r="E52" i="60" s="1"/>
  <c r="P33" i="60" a="1"/>
  <c r="P33" i="60" s="1"/>
  <c r="E51" i="60" s="1"/>
  <c r="O33" i="60" a="1"/>
  <c r="O33" i="60" s="1"/>
  <c r="E50" i="60" s="1"/>
  <c r="P29" i="60" a="1"/>
  <c r="P29" i="60" s="1"/>
  <c r="N29" i="60" a="1"/>
  <c r="N29" i="60" s="1"/>
  <c r="M146" i="67"/>
  <c r="P148" i="67"/>
  <c r="J148" i="67"/>
  <c r="H149" i="67"/>
  <c r="O146" i="67"/>
  <c r="G148" i="67"/>
  <c r="I149" i="67"/>
  <c r="O147" i="67"/>
  <c r="M149" i="67"/>
  <c r="P146" i="67"/>
  <c r="P147" i="67"/>
  <c r="M148" i="67"/>
  <c r="J146" i="67"/>
  <c r="K147" i="67"/>
  <c r="L147" i="67"/>
  <c r="K148" i="67"/>
  <c r="K146" i="67"/>
  <c r="N147" i="67"/>
  <c r="L148" i="67"/>
  <c r="L146" i="67"/>
  <c r="O148" i="67"/>
  <c r="I146" i="67"/>
  <c r="H146" i="67"/>
  <c r="K149" i="67"/>
  <c r="M147" i="67"/>
  <c r="L149" i="67"/>
  <c r="H148" i="67"/>
  <c r="O149" i="67"/>
  <c r="N148" i="67"/>
  <c r="P149" i="67"/>
  <c r="N146" i="67"/>
  <c r="I147" i="67"/>
  <c r="N149" i="67"/>
  <c r="H147" i="67"/>
  <c r="I77" i="62" a="1"/>
  <c r="I77" i="62" s="1"/>
  <c r="H175" i="62" s="1"/>
  <c r="I175" i="62" s="1"/>
  <c r="K175" i="62" s="1" a="1"/>
  <c r="K175" i="62" s="1"/>
  <c r="I53" i="62" a="1"/>
  <c r="I53" i="62" s="1"/>
  <c r="H148" i="62" s="1"/>
  <c r="I34" i="62" a="1"/>
  <c r="I34" i="62" s="1"/>
  <c r="H129" i="62" s="1"/>
  <c r="I80" i="62" a="1"/>
  <c r="I80" i="62" s="1"/>
  <c r="H178" i="62" s="1"/>
  <c r="I178" i="62" s="1"/>
  <c r="K178" i="62" s="1" a="1"/>
  <c r="K178" i="62" s="1"/>
  <c r="I73" i="62" a="1"/>
  <c r="I73" i="62" s="1"/>
  <c r="H171" i="62" s="1"/>
  <c r="I85" i="62" a="1"/>
  <c r="I85" i="62" s="1"/>
  <c r="H183" i="62" s="1"/>
  <c r="I22" i="62" a="1"/>
  <c r="I22" i="62" s="1"/>
  <c r="H117" i="62" s="1"/>
  <c r="I117" i="62" s="1"/>
  <c r="K117" i="62" s="1" a="1"/>
  <c r="K117" i="62" s="1"/>
  <c r="I35" i="62" a="1"/>
  <c r="I35" i="62" s="1"/>
  <c r="H130" i="62" s="1"/>
  <c r="I71" i="62" a="1"/>
  <c r="I71" i="62" s="1"/>
  <c r="H169" i="62" s="1"/>
  <c r="Q40" i="61" a="1"/>
  <c r="Q40" i="61" s="1"/>
  <c r="Q28" i="61" a="1"/>
  <c r="Q28" i="61" s="1"/>
  <c r="P37" i="61" a="1"/>
  <c r="P37" i="61" s="1"/>
  <c r="O37" i="61" a="1"/>
  <c r="O37" i="61" s="1"/>
  <c r="N37" i="61" a="1"/>
  <c r="N37" i="61" s="1"/>
  <c r="Q37" i="61" a="1"/>
  <c r="Q37" i="61" s="1"/>
  <c r="N34" i="61" a="1"/>
  <c r="N34" i="61" s="1"/>
  <c r="P34" i="61" a="1"/>
  <c r="P34" i="61" s="1"/>
  <c r="O34" i="61" a="1"/>
  <c r="O34" i="61" s="1"/>
  <c r="N40" i="61" a="1"/>
  <c r="N40" i="61" s="1"/>
  <c r="O40" i="61" a="1"/>
  <c r="O40" i="61" s="1"/>
  <c r="P28" i="61" a="1"/>
  <c r="P28" i="61" s="1"/>
  <c r="N28" i="61" a="1"/>
  <c r="N28" i="61" s="1"/>
  <c r="P40" i="61" a="1"/>
  <c r="P40" i="61" s="1"/>
  <c r="P39" i="61" a="1"/>
  <c r="P39" i="61" s="1"/>
  <c r="O39" i="61" a="1"/>
  <c r="O39" i="61" s="1"/>
  <c r="N39" i="61" a="1"/>
  <c r="N39" i="61" s="1"/>
  <c r="P26" i="61" a="1"/>
  <c r="P26" i="61" s="1"/>
  <c r="O26" i="61" a="1"/>
  <c r="O26" i="61" s="1"/>
  <c r="N26" i="61" a="1"/>
  <c r="N26" i="61" s="1"/>
  <c r="P30" i="61" a="1"/>
  <c r="P30" i="61" s="1"/>
  <c r="Q34" i="61" a="1"/>
  <c r="Q34" i="61" s="1"/>
  <c r="Q26" i="61" a="1"/>
  <c r="Q26" i="61" s="1"/>
  <c r="Q39" i="61" a="1"/>
  <c r="Q39" i="61" s="1"/>
  <c r="P35" i="61" a="1"/>
  <c r="P35" i="61" s="1"/>
  <c r="O35" i="61" a="1"/>
  <c r="O35" i="61" s="1"/>
  <c r="N35" i="61" a="1"/>
  <c r="N35" i="61" s="1"/>
  <c r="O32" i="60" a="1"/>
  <c r="O32" i="60" s="1"/>
  <c r="N32" i="60" a="1"/>
  <c r="N32" i="60" s="1"/>
  <c r="P32" i="60" a="1"/>
  <c r="P32" i="60" s="1"/>
  <c r="P34" i="60" a="1"/>
  <c r="P34" i="60" s="1"/>
  <c r="Q26" i="60" a="1"/>
  <c r="Q26" i="60" s="1"/>
  <c r="P26" i="60" a="1"/>
  <c r="P26" i="60" s="1"/>
  <c r="O26" i="60" a="1"/>
  <c r="O26" i="60" s="1"/>
  <c r="N26" i="60" a="1"/>
  <c r="N26" i="60" s="1"/>
  <c r="P30" i="60" a="1"/>
  <c r="P30" i="60" s="1"/>
  <c r="O30" i="60" a="1"/>
  <c r="O30" i="60" s="1"/>
  <c r="N30" i="60" a="1"/>
  <c r="N30" i="60" s="1"/>
  <c r="Q29" i="60" a="1"/>
  <c r="Q29" i="60" s="1"/>
  <c r="N33" i="60" a="1"/>
  <c r="N33" i="60" s="1"/>
  <c r="E49" i="60" s="1"/>
  <c r="P31" i="60" a="1"/>
  <c r="P31" i="60" s="1"/>
  <c r="O31" i="60" a="1"/>
  <c r="O31" i="60" s="1"/>
  <c r="N31" i="60" a="1"/>
  <c r="N31" i="60" s="1"/>
  <c r="Q25" i="60" a="1"/>
  <c r="Q25" i="60" s="1"/>
  <c r="P25" i="60" a="1"/>
  <c r="P25" i="60" s="1"/>
  <c r="O25" i="60" a="1"/>
  <c r="O25" i="60" s="1"/>
  <c r="N25" i="60" a="1"/>
  <c r="N25" i="60" s="1"/>
  <c r="P28" i="60" a="1"/>
  <c r="P28" i="60" s="1"/>
  <c r="O28" i="60" a="1"/>
  <c r="O28" i="60" s="1"/>
  <c r="N28" i="60" a="1"/>
  <c r="N28" i="60" s="1"/>
  <c r="Q28" i="60" a="1"/>
  <c r="Q28" i="60" s="1"/>
  <c r="N35" i="60" a="1"/>
  <c r="N35" i="60" s="1"/>
  <c r="Q30" i="60" a="1"/>
  <c r="Q30" i="60" s="1"/>
  <c r="Q31" i="60" a="1"/>
  <c r="Q31" i="60" s="1"/>
  <c r="N37" i="60" a="1"/>
  <c r="N37" i="60" s="1"/>
  <c r="Q37" i="60" a="1"/>
  <c r="Q37" i="60" s="1"/>
  <c r="P37" i="60" a="1"/>
  <c r="P37" i="60" s="1"/>
  <c r="O35" i="60" a="1"/>
  <c r="O35" i="60" s="1"/>
  <c r="E56" i="60" s="1"/>
  <c r="P35" i="60" a="1"/>
  <c r="P35" i="60" s="1"/>
  <c r="Q32" i="60" a="1"/>
  <c r="Q32" i="60" s="1"/>
  <c r="I50" i="34"/>
  <c r="J15" i="34"/>
  <c r="O61" i="34"/>
  <c r="O26" i="34"/>
  <c r="N30" i="61" l="1" a="1"/>
  <c r="N30" i="61" s="1"/>
  <c r="I27" i="62" a="1"/>
  <c r="I27" i="62" s="1"/>
  <c r="H122" i="62" s="1"/>
  <c r="I122" i="62" s="1"/>
  <c r="K122" i="62" s="1" a="1"/>
  <c r="K122" i="62" s="1"/>
  <c r="I92" i="62" a="1"/>
  <c r="I92" i="62" s="1"/>
  <c r="H190" i="62" s="1"/>
  <c r="I38" i="62" a="1"/>
  <c r="I38" i="62" s="1"/>
  <c r="H133" i="62" s="1"/>
  <c r="I133" i="62" s="1"/>
  <c r="K133" i="62" s="1" a="1"/>
  <c r="K133" i="62" s="1"/>
  <c r="I29" i="62" a="1"/>
  <c r="I29" i="62" s="1"/>
  <c r="H124" i="62" s="1"/>
  <c r="I124" i="62" s="1"/>
  <c r="K124" i="62" s="1" a="1"/>
  <c r="K124" i="62" s="1"/>
  <c r="I31" i="62" a="1"/>
  <c r="I31" i="62" s="1"/>
  <c r="H126" i="62" s="1"/>
  <c r="I126" i="62" s="1"/>
  <c r="K126" i="62" s="1" a="1"/>
  <c r="K126" i="62" s="1"/>
  <c r="I33" i="62" a="1"/>
  <c r="I33" i="62" s="1"/>
  <c r="H128" i="62" s="1"/>
  <c r="I127" i="62" s="1"/>
  <c r="K127" i="62" s="1" a="1"/>
  <c r="K127" i="62" s="1"/>
  <c r="Q27" i="61" a="1"/>
  <c r="Q27" i="61" s="1"/>
  <c r="I62" i="62" a="1"/>
  <c r="I62" i="62" s="1"/>
  <c r="H160" i="62" s="1"/>
  <c r="I160" i="62" s="1"/>
  <c r="K160" i="62" s="1" a="1"/>
  <c r="K160" i="62" s="1"/>
  <c r="I89" i="62" a="1"/>
  <c r="I89" i="62" s="1"/>
  <c r="H187" i="62" s="1"/>
  <c r="I185" i="62" s="1"/>
  <c r="K185" i="62" s="1" a="1"/>
  <c r="K185" i="62" s="1"/>
  <c r="I135" i="62"/>
  <c r="K135" i="62" s="1" a="1"/>
  <c r="K135" i="62" s="1"/>
  <c r="I50" i="62" a="1"/>
  <c r="I50" i="62" s="1"/>
  <c r="H145" i="62" s="1"/>
  <c r="I144" i="62" s="1"/>
  <c r="K144" i="62" s="1" a="1"/>
  <c r="K144" i="62" s="1"/>
  <c r="I36" i="62" a="1"/>
  <c r="I36" i="62" s="1"/>
  <c r="H131" i="62" s="1"/>
  <c r="P36" i="61" a="1"/>
  <c r="P36" i="61" s="1"/>
  <c r="I44" i="62" a="1"/>
  <c r="I44" i="62" s="1"/>
  <c r="H139" i="62" s="1"/>
  <c r="I83" i="62" a="1"/>
  <c r="I83" i="62" s="1"/>
  <c r="H181" i="62" s="1"/>
  <c r="E221" i="19" a="1"/>
  <c r="E221" i="19" s="1"/>
  <c r="I174" i="62"/>
  <c r="K174" i="62" s="1" a="1"/>
  <c r="K174" i="62" s="1"/>
  <c r="P38" i="60" a="1"/>
  <c r="P38" i="60" s="1"/>
  <c r="I118" i="62"/>
  <c r="K118" i="62" s="1" a="1"/>
  <c r="K118" i="62" s="1"/>
  <c r="I68" i="62" a="1"/>
  <c r="I68" i="62" s="1"/>
  <c r="H166" i="62" s="1"/>
  <c r="I166" i="62" s="1"/>
  <c r="K166" i="62" s="1" a="1"/>
  <c r="K166" i="62" s="1"/>
  <c r="I79" i="62" a="1"/>
  <c r="I79" i="62" s="1"/>
  <c r="H177" i="62" s="1"/>
  <c r="I177" i="62" s="1"/>
  <c r="K177" i="62" s="1" a="1"/>
  <c r="K177" i="62" s="1"/>
  <c r="I84" i="62" a="1"/>
  <c r="I84" i="62" s="1"/>
  <c r="H182" i="62" s="1"/>
  <c r="I179" i="62" s="1"/>
  <c r="K179" i="62" s="1" a="1"/>
  <c r="K179" i="62" s="1"/>
  <c r="I65" i="62" a="1"/>
  <c r="I65" i="62" s="1"/>
  <c r="H163" i="62" s="1"/>
  <c r="I163" i="62" s="1"/>
  <c r="K163" i="62" s="1" a="1"/>
  <c r="K163" i="62" s="1"/>
  <c r="I164" i="62"/>
  <c r="K164" i="62" s="1" a="1"/>
  <c r="K164" i="62" s="1"/>
  <c r="Q38" i="61" a="1"/>
  <c r="Q38" i="61" s="1"/>
  <c r="K119" i="62" a="1"/>
  <c r="K119" i="62" s="1"/>
  <c r="G59" i="62" a="1"/>
  <c r="G59" i="62" s="1"/>
  <c r="I59" i="62" s="1" a="1"/>
  <c r="I59" i="62" s="1"/>
  <c r="H157" i="62" s="1"/>
  <c r="I157" i="62" s="1"/>
  <c r="K157" i="62" s="1" a="1"/>
  <c r="K157" i="62" s="1"/>
  <c r="O39" i="60" a="1"/>
  <c r="O39" i="60" s="1"/>
  <c r="P25" i="61" a="1"/>
  <c r="P25" i="61" s="1"/>
  <c r="O25" i="61" a="1"/>
  <c r="O25" i="61" s="1"/>
  <c r="N25" i="61" a="1"/>
  <c r="N25" i="61" s="1"/>
  <c r="Q39" i="60" a="1"/>
  <c r="Q39" i="60" s="1"/>
  <c r="I90" i="62" a="1"/>
  <c r="I90" i="62" s="1"/>
  <c r="H188" i="62" s="1"/>
  <c r="N38" i="60" a="1"/>
  <c r="N38" i="60" s="1"/>
  <c r="E61" i="60" s="1"/>
  <c r="O38" i="60" a="1"/>
  <c r="O38" i="60" s="1"/>
  <c r="E62" i="60" s="1"/>
  <c r="Q38" i="60" a="1"/>
  <c r="Q38" i="60" s="1"/>
  <c r="E64" i="60" s="1"/>
  <c r="N33" i="61" a="1"/>
  <c r="N33" i="61" s="1"/>
  <c r="K173" i="62" a="1"/>
  <c r="K173" i="62" s="1"/>
  <c r="Q25" i="61" a="1"/>
  <c r="Q25" i="61" s="1"/>
  <c r="E46" i="61" s="1"/>
  <c r="I51" i="62" a="1"/>
  <c r="I51" i="62" s="1"/>
  <c r="H146" i="62" s="1"/>
  <c r="N39" i="60" a="1"/>
  <c r="N39" i="60" s="1"/>
  <c r="O33" i="61" a="1"/>
  <c r="O33" i="61" s="1"/>
  <c r="P33" i="61" a="1"/>
  <c r="P33" i="61" s="1"/>
  <c r="Q36" i="61" a="1"/>
  <c r="Q36" i="61" s="1"/>
  <c r="G116" i="62" a="1"/>
  <c r="G116" i="62" s="1"/>
  <c r="G157" i="62" a="1"/>
  <c r="G157" i="62" s="1"/>
  <c r="G21" i="62" a="1"/>
  <c r="G21" i="62" s="1"/>
  <c r="I21" i="62" s="1" a="1"/>
  <c r="I21" i="62" s="1"/>
  <c r="H116" i="62" s="1"/>
  <c r="O27" i="61" a="1"/>
  <c r="O27" i="61" s="1"/>
  <c r="P27" i="61" a="1"/>
  <c r="P27" i="61" s="1"/>
  <c r="N36" i="61" a="1"/>
  <c r="N36" i="61" s="1"/>
  <c r="P38" i="61" a="1"/>
  <c r="P38" i="61" s="1"/>
  <c r="N38" i="61" a="1"/>
  <c r="N38" i="61" s="1"/>
  <c r="O38" i="61" a="1"/>
  <c r="O38" i="61" s="1"/>
  <c r="E50" i="61" s="1"/>
  <c r="I165" i="62"/>
  <c r="K165" i="62" s="1" a="1"/>
  <c r="K165" i="62" s="1"/>
  <c r="I72" i="62" a="1"/>
  <c r="I72" i="62" s="1"/>
  <c r="H170" i="62" s="1"/>
  <c r="I168" i="62" s="1"/>
  <c r="K168" i="62" s="1" a="1"/>
  <c r="K168" i="62" s="1"/>
  <c r="E55" i="60"/>
  <c r="I138" i="62"/>
  <c r="K138" i="62" s="1" a="1"/>
  <c r="K138" i="62" s="1"/>
  <c r="E43" i="61"/>
  <c r="E44" i="60"/>
  <c r="E45" i="60"/>
  <c r="E63" i="60"/>
  <c r="E46" i="60"/>
  <c r="E43" i="60"/>
  <c r="E57" i="60"/>
  <c r="E51" i="61" l="1"/>
  <c r="E57" i="61" s="1"/>
  <c r="I116" i="62"/>
  <c r="K116" i="62" s="1" a="1"/>
  <c r="K116" i="62" s="1"/>
  <c r="E49" i="61"/>
  <c r="E52" i="61"/>
  <c r="E58" i="61" s="1"/>
  <c r="E44" i="61"/>
  <c r="E45" i="61"/>
  <c r="E192" i="62"/>
  <c r="E55" i="61"/>
  <c r="E151" i="62"/>
  <c r="E56" i="61"/>
  <c r="E67" i="60"/>
  <c r="E70" i="60"/>
  <c r="E69" i="60"/>
  <c r="E68" i="60"/>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I68" i="34" l="1"/>
  <c r="I49" i="34"/>
  <c r="D36" i="41"/>
  <c r="D35" i="41"/>
  <c r="D28" i="41"/>
  <c r="D27" i="41"/>
  <c r="D26" i="41"/>
  <c r="D25" i="41"/>
  <c r="D24" i="41"/>
  <c r="D14" i="41"/>
  <c r="D13" i="41"/>
  <c r="D12" i="41"/>
  <c r="D11" i="41"/>
  <c r="I53" i="34" l="1"/>
  <c r="H102" i="13"/>
  <c r="H101" i="13"/>
  <c r="H100" i="13"/>
  <c r="H99" i="13"/>
  <c r="H98" i="13"/>
  <c r="H97" i="13"/>
  <c r="H96" i="13"/>
  <c r="H95" i="13"/>
  <c r="H94" i="13"/>
  <c r="H93" i="13"/>
  <c r="F627" i="19" a="1"/>
  <c r="F627" i="19" s="1"/>
  <c r="E627" i="19" a="1"/>
  <c r="E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13" i="19" l="1" a="1"/>
  <c r="J613" i="19" s="1"/>
  <c r="J635" i="19" a="1"/>
  <c r="J635" i="19" s="1"/>
  <c r="J627" i="19" a="1"/>
  <c r="J627"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588" i="19" l="1"/>
  <c r="E639" i="19"/>
  <c r="F36" i="41" s="1"/>
  <c r="E621" i="19"/>
  <c r="F35" i="41" s="1"/>
  <c r="D33" i="41" a="1"/>
  <c r="D33" i="41" s="1"/>
  <c r="E33" i="41" l="1"/>
  <c r="F33" i="41" s="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61" i="34" a="1"/>
  <c r="E561" i="19" a="1"/>
  <c r="E26" i="34"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P237" i="19" a="1"/>
  <c r="P237" i="19" s="1"/>
  <c r="O237" i="19" a="1"/>
  <c r="O237" i="19" s="1"/>
  <c r="D202" i="19" a="1"/>
  <c r="D202" i="19" s="1"/>
  <c r="E207" i="19" a="1"/>
  <c r="E207" i="19" s="1"/>
  <c r="E206" i="19" a="1"/>
  <c r="E206" i="19" s="1"/>
  <c r="D201" i="19" a="1"/>
  <c r="D201" i="19" s="1"/>
  <c r="D200" i="19" a="1"/>
  <c r="D200" i="19" s="1"/>
  <c r="D430" i="19" a="1"/>
  <c r="D430" i="19" s="1"/>
  <c r="E430" i="19" a="1"/>
  <c r="F430" i="19" a="1"/>
  <c r="J435" i="19" s="1" a="1"/>
  <c r="J435" i="19" s="1"/>
  <c r="E355" i="19" a="1"/>
  <c r="E203" i="19" a="1"/>
  <c r="E290" i="19" a="1"/>
  <c r="E258" i="19" a="1"/>
  <c r="E188" i="19" a="1"/>
  <c r="E174" i="19" a="1"/>
  <c r="E100" i="19" a="1"/>
  <c r="E385" i="19" a="1"/>
  <c r="E418" i="19" a="1"/>
  <c r="E323"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G12" i="53" l="1" a="1"/>
  <c r="G12" i="53" s="1"/>
  <c r="G11" i="53" a="1"/>
  <c r="G11" i="53" s="1"/>
  <c r="G10" i="53" a="1"/>
  <c r="G10" i="53" s="1"/>
  <c r="G9" i="53" a="1"/>
  <c r="G9" i="53" s="1"/>
  <c r="G8" i="53" a="1"/>
  <c r="G8" i="53" s="1"/>
  <c r="G7" i="53" a="1"/>
  <c r="G7" i="53" s="1"/>
  <c r="G16" i="53" a="1"/>
  <c r="G16" i="53" s="1"/>
  <c r="G15" i="53" a="1"/>
  <c r="G15" i="53" s="1"/>
  <c r="G14" i="53" a="1"/>
  <c r="G14" i="53" s="1"/>
  <c r="G13" i="53" a="1"/>
  <c r="G13" i="53" s="1"/>
  <c r="F79" i="19"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G270" i="19" l="1" a="1"/>
  <c r="G270" i="19" s="1"/>
  <c r="E283" i="19" s="1"/>
  <c r="E18" i="41" s="1"/>
  <c r="I270" i="19" a="1"/>
  <c r="I270" i="19" s="1"/>
  <c r="E284" i="19" s="1"/>
  <c r="F18" i="41" s="1"/>
  <c r="E533" i="19" l="1" a="1"/>
  <c r="E533" i="19" s="1"/>
  <c r="E30" i="41" l="1"/>
  <c r="F30" i="41" s="1"/>
  <c r="I550" i="19"/>
  <c r="I551" i="19"/>
  <c r="O74" i="34" a="1"/>
  <c r="O74" i="34" s="1"/>
  <c r="T86" i="34" s="1"/>
  <c r="O90" i="34" s="1" a="1"/>
  <c r="O90" i="34" s="1"/>
  <c r="R571" i="19" s="1"/>
  <c r="E555" i="19" l="1" a="1"/>
  <c r="E555" i="19" s="1"/>
  <c r="E31" i="41" s="1"/>
  <c r="F31" i="41" s="1"/>
  <c r="E35" i="34" a="1"/>
  <c r="E35" i="34" s="1"/>
  <c r="I48" i="34" s="1"/>
  <c r="O35" i="34" a="1"/>
  <c r="O35" i="34" s="1"/>
  <c r="S48" i="34" s="1"/>
  <c r="O55" i="34" s="1" a="1"/>
  <c r="O55" i="34" s="1"/>
  <c r="R570" i="19" s="1"/>
  <c r="M573" i="19" s="1" a="1"/>
  <c r="M573" i="19" s="1"/>
  <c r="O575" i="19" s="1"/>
  <c r="M578" i="19" s="1" a="1"/>
  <c r="M578" i="19" s="1"/>
  <c r="F32" i="41"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AE242" i="19" l="1"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H221" i="19" l="1" a="1"/>
  <c r="H221" i="19" s="1"/>
  <c r="E251" i="19" s="1"/>
  <c r="E17" i="41" s="1"/>
  <c r="G221" i="19" a="1"/>
  <c r="G221" i="19" s="1"/>
  <c r="E248" i="19" s="1"/>
  <c r="K221" i="19" a="1"/>
  <c r="K221" i="19" s="1"/>
  <c r="E252" i="19" s="1"/>
  <c r="F17" i="41" s="1"/>
  <c r="E249" i="19"/>
  <c r="E74" i="34" a="1"/>
  <c r="E74" i="34" s="1"/>
  <c r="J86" i="34" s="1"/>
  <c r="E130" i="19"/>
  <c r="E144" i="19" s="1"/>
  <c r="E15" i="41" s="1"/>
  <c r="E131" i="19"/>
  <c r="E145" i="19" s="1"/>
  <c r="F15"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<sst xmlns="http://schemas.openxmlformats.org/spreadsheetml/2006/main" count="2614" uniqueCount="918">
  <si>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</si>
  <si>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</si>
  <si>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</si>
  <si>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</si>
  <si>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</si>
  <si>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</si>
  <si>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</si>
  <si>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</si>
  <si>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</si>
  <si>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</si>
  <si>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</si>
  <si>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</si>
  <si>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</si>
  <si>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</si>
  <si>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</si>
  <si>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</si>
  <si>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</si>
  <si>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</si>
  <si>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</si>
  <si>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</si>
  <si>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</si>
  <si>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</si>
  <si>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</si>
  <si>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</si>
  <si>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</si>
  <si>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</si>
  <si>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</si>
  <si>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</si>
  <si>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</si>
  <si>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</si>
  <si>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</si>
  <si>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</si>
  <si>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</si>
  <si>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</si>
  <si>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</si>
  <si>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</si>
  <si>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</si>
  <si>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</si>
  <si>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</si>
  <si>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</si>
  <si>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</si>
  <si>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</si>
  <si>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</si>
  <si>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</si>
  <si>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</si>
  <si>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</si>
  <si>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</si>
  <si>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</si>
  <si>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</si>
  <si>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</si>
  <si>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</si>
  <si>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</si>
  <si>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</si>
  <si>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</si>
  <si>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</si>
  <si>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</si>
  <si>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</si>
  <si>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</si>
  <si>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</si>
  <si>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</si>
  <si>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</si>
  <si>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</si>
  <si>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</si>
  <si>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</si>
  <si>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</si>
  <si>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</si>
  <si>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</si>
  <si>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</si>
  <si>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</si>
  <si>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</si>
  <si>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</si>
  <si>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</si>
  <si>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</si>
  <si>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</si>
  <si>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</si>
  <si>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</si>
  <si>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</si>
  <si>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</si>
  <si>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</si>
  <si>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</si>
  <si>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</si>
  <si>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</si>
  <si>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</si>
  <si>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</si>
  <si>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</si>
  <si>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</si>
  <si>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</si>
  <si>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</si>
  <si>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</si>
  <si>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</si>
  <si>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</si>
  <si>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</si>
  <si>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</si>
  <si>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</si>
  <si>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</si>
  <si>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</si>
  <si>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</si>
  <si>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</si>
  <si>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</si>
  <si>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</si>
  <si>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</si>
  <si>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</si>
  <si>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</si>
  <si>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</si>
  <si>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</si>
  <si>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</si>
  <si>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</si>
  <si>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</si>
  <si>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</si>
  <si>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</si>
  <si>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</si>
  <si>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</si>
  <si>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</si>
  <si>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</si>
  <si>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</si>
  <si>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</si>
  <si>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</si>
  <si>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</si>
  <si>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</si>
  <si>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</si>
  <si>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</si>
  <si>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</si>
  <si>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</si>
  <si>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</si>
  <si>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</si>
  <si>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</si>
  <si>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</si>
  <si>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</si>
  <si>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</si>
  <si>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</si>
  <si>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</si>
  <si>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</si>
  <si>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</si>
  <si>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</si>
  <si>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</si>
  <si>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</si>
  <si>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</si>
  <si>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</si>
  <si>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</si>
  <si>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</si>
  <si>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</si>
  <si>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</si>
  <si>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</si>
  <si>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</si>
  <si>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</si>
  <si>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</si>
  <si>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</si>
  <si>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</si>
  <si>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</si>
  <si>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</si>
  <si>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</si>
  <si>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</si>
  <si>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</si>
  <si>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</si>
  <si>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</si>
  <si>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</si>
  <si>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</si>
  <si>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</si>
  <si>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</si>
  <si>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</si>
  <si>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</si>
  <si>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</si>
  <si>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</si>
  <si>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</si>
  <si>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</si>
  <si>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</si>
  <si>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</si>
  <si>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</si>
  <si>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</si>
  <si>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</si>
  <si>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</si>
  <si>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</si>
  <si>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</si>
  <si>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</si>
  <si>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</si>
  <si>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</si>
  <si>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</si>
  <si>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</si>
  <si>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</si>
  <si>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</si>
  <si>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</si>
  <si>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</si>
  <si>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</si>
  <si>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</si>
  <si>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</si>
  <si>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</si>
  <si>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</si>
  <si>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</si>
  <si>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</si>
  <si>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</si>
  <si>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</si>
  <si>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</si>
  <si>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</si>
  <si>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</si>
  <si>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</si>
  <si>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</si>
  <si>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</si>
  <si>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</si>
  <si>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</si>
  <si>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</si>
  <si>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</si>
  <si>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</si>
  <si>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</si>
  <si>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</si>
  <si>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</si>
  <si>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</si>
  <si>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</si>
  <si>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</si>
  <si>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</si>
  <si>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</si>
  <si>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</si>
  <si>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</si>
  <si>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</si>
  <si>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</si>
  <si>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</si>
  <si>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</si>
  <si>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</si>
  <si>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</si>
  <si>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</si>
  <si>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</si>
  <si>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</si>
  <si>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</si>
  <si>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</si>
  <si>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</si>
  <si>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</si>
  <si>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</si>
  <si>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</si>
  <si>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</si>
  <si>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</si>
  <si>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</si>
  <si>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</si>
  <si>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</si>
  <si>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</si>
  <si>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</si>
  <si>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</si>
  <si>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</si>
  <si>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</si>
  <si>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</si>
  <si>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</si>
  <si>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</si>
  <si>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</si>
  <si>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</si>
  <si>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</si>
  <si>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</si>
  <si>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</si>
  <si>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</si>
  <si>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</si>
  <si>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</si>
  <si>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</si>
  <si>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</si>
  <si>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</si>
  <si>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</si>
  <si>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</si>
  <si>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</si>
  <si>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</si>
  <si>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</si>
  <si>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</si>
  <si>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</si>
  <si>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</si>
  <si>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</si>
  <si>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</si>
  <si>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</si>
  <si>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</si>
  <si>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</si>
  <si>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</si>
  <si>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</si>
  <si>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</si>
  <si>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</si>
  <si>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</si>
  <si>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</si>
  <si>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</si>
  <si>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</si>
  <si>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</si>
  <si>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</si>
  <si>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</si>
  <si>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</si>
  <si>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</si>
  <si>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</si>
  <si>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</si>
  <si>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</si>
  <si>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</si>
  <si>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</si>
  <si>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</si>
  <si>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</si>
  <si>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</si>
  <si>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</si>
  <si>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</si>
  <si>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</si>
  <si>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</si>
  <si>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</si>
  <si>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</si>
  <si>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</si>
  <si>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</si>
  <si>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</si>
  <si>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</si>
  <si>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</si>
  <si>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</si>
  <si>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</si>
  <si>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</si>
  <si>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</si>
  <si>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</si>
  <si>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</si>
  <si>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</si>
  <si>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</si>
  <si>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</si>
  <si>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</si>
  <si>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</si>
  <si>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</si>
  <si>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</si>
  <si>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</si>
  <si>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</si>
  <si>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</si>
  <si>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</si>
  <si>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</si>
  <si>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</si>
  <si>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</si>
  <si>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</si>
  <si>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</si>
  <si>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</si>
  <si>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</si>
  <si>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</si>
  <si>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</si>
  <si>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</si>
  <si>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</si>
  <si>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</si>
  <si>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</si>
  <si>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</si>
  <si>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</si>
  <si>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</si>
  <si>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</si>
  <si>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</si>
  <si>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</si>
  <si>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</si>
  <si>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</si>
  <si>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</si>
  <si>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</si>
  <si>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</si>
  <si>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</si>
  <si>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</si>
  <si>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</si>
  <si>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</si>
  <si>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</si>
  <si>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</si>
  <si>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</si>
  <si>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</si>
  <si>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</si>
  <si>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</si>
  <si>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</si>
  <si>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</si>
  <si>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</si>
  <si>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</si>
  <si>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</si>
  <si>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</si>
  <si>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</si>
  <si>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</si>
  <si>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</si>
  <si>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</si>
  <si>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</si>
  <si>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</si>
  <si>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</si>
  <si>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</si>
  <si>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</si>
  <si>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</si>
  <si>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</si>
  <si>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</si>
  <si>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</si>
  <si>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</si>
  <si>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</si>
  <si>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</si>
  <si>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</si>
  <si>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</si>
  <si>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</si>
  <si>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</si>
  <si>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</si>
  <si>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</si>
  <si>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</si>
  <si>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</si>
  <si>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</si>
  <si>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</si>
  <si>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</si>
  <si>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</si>
  <si>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</si>
  <si>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</si>
  <si>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</si>
  <si>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</si>
  <si>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</si>
  <si>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</si>
  <si>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</si>
  <si>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</si>
  <si>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</si>
  <si>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</si>
  <si>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</si>
  <si>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</si>
  <si>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</si>
  <si>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</si>
  <si>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</si>
  <si>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</si>
  <si>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</si>
  <si>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</si>
  <si>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</si>
  <si>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</si>
  <si>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</si>
  <si>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</si>
  <si>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</si>
  <si>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</si>
  <si>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</si>
  <si>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</si>
  <si>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</si>
  <si>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</si>
  <si>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</si>
  <si>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</si>
  <si>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</si>
  <si>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</si>
  <si>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</si>
  <si>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</si>
  <si>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</si>
  <si>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</si>
  <si>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</si>
  <si>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</si>
  <si>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</si>
  <si>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</si>
  <si>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</si>
  <si>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</si>
  <si>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</si>
  <si>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</si>
  <si>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</si>
  <si>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</si>
  <si>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</si>
  <si>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</si>
  <si>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</si>
  <si>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</si>
  <si>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</si>
  <si>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</si>
  <si>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</si>
  <si>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</si>
  <si>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</si>
  <si>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</si>
  <si>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</si>
  <si>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</si>
  <si>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</si>
  <si>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</si>
  <si>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</si>
  <si>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</si>
  <si>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</si>
  <si>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</si>
  <si>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</si>
  <si>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</si>
  <si>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</si>
  <si>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</si>
  <si>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</si>
  <si>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</si>
  <si>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</si>
  <si>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</si>
  <si>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</si>
  <si>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</si>
  <si>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</si>
  <si>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</si>
  <si>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</si>
  <si>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</si>
  <si>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</si>
  <si>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</si>
  <si>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</si>
  <si>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</si>
  <si>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</si>
  <si>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</si>
  <si>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</si>
  <si>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</si>
  <si>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</si>
  <si>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</si>
  <si>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</si>
  <si>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</si>
  <si>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</si>
  <si>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</si>
  <si>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</si>
  <si>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</si>
  <si>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</si>
  <si>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</si>
  <si>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</si>
  <si>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</si>
  <si>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</si>
  <si>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</si>
  <si>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</si>
  <si>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</si>
  <si>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</si>
  <si>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</si>
  <si>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</si>
  <si>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</si>
  <si>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</si>
  <si>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</si>
  <si>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</si>
  <si>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</si>
  <si>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</si>
  <si>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</si>
  <si>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</si>
  <si>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</si>
  <si>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</si>
  <si>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</si>
  <si>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</si>
  <si>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</si>
  <si>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</si>
  <si>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</si>
  <si>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</si>
  <si>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</si>
  <si>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</si>
  <si>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</si>
  <si>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</si>
  <si>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</si>
  <si>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</si>
  <si>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</si>
  <si>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</si>
  <si>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</si>
  <si>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</si>
  <si>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</si>
  <si>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</si>
  <si>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</si>
  <si>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</si>
  <si>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</si>
  <si>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</si>
  <si>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</si>
  <si>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</si>
  <si>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</si>
  <si>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</si>
  <si>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</si>
  <si>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</si>
  <si>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</si>
  <si>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</si>
  <si>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</si>
  <si>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</si>
  <si>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</si>
  <si>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</si>
  <si>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</si>
  <si>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</si>
  <si>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</si>
  <si>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</si>
  <si>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</si>
  <si>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</si>
  <si>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</si>
  <si>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</si>
  <si>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</si>
  <si>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</si>
  <si>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</si>
  <si>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</si>
  <si>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</si>
  <si>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</si>
  <si>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</si>
  <si>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</si>
  <si>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</si>
  <si>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</si>
  <si>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</si>
  <si>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</si>
  <si>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</si>
  <si>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</si>
  <si>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</si>
  <si>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</si>
  <si>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</si>
  <si>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</si>
  <si>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</si>
  <si>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</si>
  <si>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</si>
  <si>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</si>
  <si>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</si>
  <si>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</si>
  <si>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</si>
  <si>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</si>
  <si>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</si>
  <si>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</si>
  <si>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</si>
  <si>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</si>
  <si>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</si>
  <si>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</si>
  <si>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</si>
  <si>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</si>
  <si>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</si>
  <si>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</si>
  <si>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</si>
  <si>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</si>
  <si>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</si>
  <si>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</si>
  <si>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</si>
  <si>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</si>
  <si>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</si>
  <si>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</si>
  <si>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</si>
  <si>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</si>
  <si>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</si>
  <si>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</si>
  <si>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</si>
  <si>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</si>
  <si>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</si>
  <si>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</si>
  <si>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</si>
  <si>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</si>
  <si>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</si>
  <si>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</si>
  <si>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</si>
  <si>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</si>
  <si>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</si>
  <si>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</si>
  <si>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</si>
  <si>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</si>
  <si>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</si>
  <si>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</si>
  <si>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</si>
  <si>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</si>
  <si>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</si>
  <si>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</si>
  <si>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</si>
  <si>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</si>
  <si>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</si>
  <si>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</si>
  <si>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</si>
  <si>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</si>
  <si>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</si>
  <si>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</si>
  <si>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</si>
  <si>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</si>
  <si>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</si>
  <si>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</si>
  <si>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</si>
  <si>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</si>
  <si>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</si>
  <si>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</si>
  <si>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</si>
  <si>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</si>
  <si>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</si>
  <si>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</si>
  <si>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</si>
  <si>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</si>
  <si>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</si>
  <si>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</si>
  <si>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</si>
  <si>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</si>
  <si>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</si>
  <si>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</si>
  <si>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</si>
  <si>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</si>
  <si>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</si>
  <si>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</si>
  <si>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</si>
  <si>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</si>
  <si>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</si>
  <si>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</si>
  <si>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</si>
  <si>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</si>
  <si>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</si>
  <si>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</si>
  <si>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</si>
  <si>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</si>
  <si>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</si>
  <si>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</si>
  <si>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</si>
  <si>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</si>
  <si>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</si>
  <si>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</si>
  <si>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</si>
  <si>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</si>
  <si>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</si>
  <si>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</si>
  <si>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</si>
  <si>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</si>
  <si>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</si>
  <si>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</si>
  <si>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</si>
  <si>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</si>
  <si>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</si>
  <si>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</si>
  <si>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</si>
  <si>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</si>
  <si>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</si>
  <si>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</si>
  <si>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</si>
  <si>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</si>
  <si>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</si>
  <si>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</si>
  <si>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</si>
  <si>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</si>
  <si>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</si>
  <si>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</si>
  <si>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</si>
  <si>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</si>
  <si>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</si>
  <si>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</si>
  <si>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</si>
  <si>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</si>
  <si>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</si>
  <si>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</si>
  <si>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</si>
  <si>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</si>
  <si>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</si>
  <si>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</si>
  <si>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</si>
  <si>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</si>
  <si>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</si>
  <si>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</si>
  <si>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</si>
  <si>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</si>
  <si>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</si>
  <si>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</si>
  <si>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</si>
  <si>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</si>
  <si>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</si>
  <si>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</si>
  <si>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</si>
  <si>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</si>
  <si>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</si>
  <si>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</si>
  <si>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</si>
  <si>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</si>
  <si>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</si>
  <si>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</si>
  <si>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</si>
  <si>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</si>
  <si>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</si>
  <si>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</si>
  <si>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</si>
  <si>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</si>
  <si>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</si>
  <si>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</si>
  <si>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</si>
  <si>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</si>
  <si>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</si>
  <si>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</si>
  <si>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</si>
  <si>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</si>
  <si>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</si>
  <si>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</si>
  <si>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</si>
  <si>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</si>
  <si>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</si>
  <si>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</si>
  <si>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</si>
  <si>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</si>
  <si>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</si>
  <si>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</si>
  <si>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</si>
  <si>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</si>
  <si>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</si>
  <si>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</si>
  <si>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</si>
  <si>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</si>
  <si>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</si>
  <si>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</si>
  <si>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</si>
  <si>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</si>
  <si>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</si>
  <si>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</si>
  <si>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</si>
  <si>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</si>
  <si>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</si>
  <si>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</si>
  <si>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</si>
  <si>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</si>
  <si>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</si>
  <si>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</si>
  <si>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</si>
  <si>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</si>
  <si>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</si>
  <si>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</si>
  <si>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</si>
  <si>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</si>
  <si>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</si>
  <si>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</si>
  <si>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</si>
  <si>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</si>
  <si>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</si>
  <si>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</si>
  <si>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</si>
  <si>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</si>
  <si>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</si>
  <si>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</si>
  <si>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</si>
  <si>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</si>
  <si>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</si>
  <si>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</si>
  <si>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</si>
  <si>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</si>
  <si>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</si>
  <si>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</si>
  <si>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</si>
  <si>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</si>
  <si>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</si>
  <si>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</si>
  <si>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</si>
  <si>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</si>
  <si>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</si>
  <si>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</si>
  <si>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</si>
  <si>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</si>
  <si>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</si>
  <si>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</si>
  <si>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</si>
  <si>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</si>
  <si>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</si>
  <si>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</si>
  <si>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</si>
  <si>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</si>
  <si>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</si>
  <si>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</si>
  <si>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</si>
  <si>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</si>
  <si>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</si>
  <si>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</si>
  <si>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</si>
  <si>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</si>
  <si>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</si>
  <si>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</si>
  <si>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</si>
  <si>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</si>
  <si>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</si>
  <si>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</si>
  <si>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</si>
  <si>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</si>
  <si>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</si>
  <si>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</si>
  <si>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</si>
  <si>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</si>
  <si>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</si>
  <si>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</si>
  <si>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</si>
  <si>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</si>
  <si>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</si>
  <si>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</si>
  <si>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</si>
  <si>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</si>
  <si>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</si>
  <si>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</si>
  <si>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</si>
  <si>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</si>
  <si>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</si>
  <si>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</si>
  <si>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</si>
  <si>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</si>
  <si>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</si>
  <si>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</si>
  <si>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</si>
  <si>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</si>
  <si>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</si>
  <si>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</si>
  <si>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</si>
  <si>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</si>
  <si>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</si>
  <si>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</si>
  <si>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</si>
  <si>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</si>
  <si>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</si>
  <si>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</si>
  <si>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</si>
  <si>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</si>
  <si>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</si>
  <si>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</si>
  <si>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Livestock Purchases</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</si>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</sst>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39" fillId="2" borderId="0">
      <alignment vertical="center"/>
    </xf>
    <xf numFmtId="166" fontId="11" fillId="0" borderId="1">
      <alignment horizontal="center" vertical="center"/>
    </xf>
    <xf numFmtId="3" fontId="24" fillId="2" borderId="1">
      <alignment horizontal="center" vertical="center"/>
    </xf>
    <xf numFmtId="167" fontId="43" fillId="2" borderId="20">
      <alignment horizontal="center" vertical="center"/>
    </xf>
    <xf numFmtId="0" fontId="48"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0" fillId="2" borderId="0">
      <alignment horizontal="left" vertical="center"/>
    </xf>
    <xf numFmtId="0" fontId="23" fillId="10" borderId="0">
      <alignment horizontal="left" vertical="center" indent="1"/>
    </xf>
    <xf numFmtId="0" fontId="24" fillId="2" borderId="1">
      <alignment horizontal="left" vertical="center"/>
    </xf>
    <xf numFmtId="0" fontId="55" fillId="16" borderId="1">
      <alignment horizontal="center" vertical="center"/>
    </xf>
    <xf numFmtId="0" fontId="56" fillId="15" borderId="1">
      <alignment horizontal="center" vertical="center"/>
    </xf>
    <xf numFmtId="0" fontId="57" fillId="2" borderId="1">
      <alignment horizontal="left" vertical="center"/>
    </xf>
    <xf numFmtId="0" fontId="60" fillId="2" borderId="0">
      <alignment horizontal="left" vertical="center"/>
    </xf>
    <xf numFmtId="0" fontId="55" fillId="14" borderId="1">
      <alignment horizontal="center" vertical="center"/>
    </xf>
    <xf numFmtId="4" fontId="24" fillId="2" borderId="1">
      <alignment horizontal="center" vertical="center"/>
    </xf>
    <xf numFmtId="0" fontId="74" fillId="0" borderId="0" applyNumberFormat="0" applyFill="0" applyBorder="0" applyAlignment="0" applyProtection="0"/>
    <xf numFmtId="0" fontId="78" fillId="18" borderId="0">
      <alignment horizontal="center" vertical="center"/>
    </xf>
    <xf numFmtId="167" fontId="43" fillId="2" borderId="0">
      <alignment horizontal="center" vertical="center"/>
    </xf>
  </cellStyleXfs>
  <cellXfs count="231">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39"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0"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1"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2" fillId="0" borderId="0" xfId="32" applyFont="1" applyBorder="1">
      <alignment horizontal="center" vertical="center"/>
    </xf>
    <xf numFmtId="167" fontId="43" fillId="2" borderId="0" xfId="41" applyBorder="1">
      <alignment horizontal="center" vertical="center"/>
    </xf>
    <xf numFmtId="4" fontId="42" fillId="2" borderId="0" xfId="32" applyFont="1" applyFill="1" applyBorder="1">
      <alignment horizontal="center" vertical="center"/>
    </xf>
    <xf numFmtId="0" fontId="42" fillId="2" borderId="0" xfId="29" applyFont="1" applyAlignment="1">
      <alignment horizontal="center" vertical="center"/>
    </xf>
    <xf numFmtId="0" fontId="42" fillId="2" borderId="0" xfId="6" applyFont="1" applyAlignment="1">
      <alignment horizontal="center" vertical="center"/>
    </xf>
    <xf numFmtId="164" fontId="42" fillId="2" borderId="0" xfId="6" applyNumberFormat="1" applyFont="1" applyAlignment="1">
      <alignment horizontal="center" vertical="center"/>
    </xf>
    <xf numFmtId="9" fontId="42" fillId="2" borderId="0" xfId="36" applyFont="1" applyFill="1" applyBorder="1" applyAlignment="1">
      <alignment horizontal="center" vertical="center"/>
    </xf>
    <xf numFmtId="0" fontId="44" fillId="2" borderId="0" xfId="3" applyFont="1" applyFill="1" applyAlignment="1">
      <alignment horizontal="center" vertical="center"/>
    </xf>
    <xf numFmtId="0" fontId="44" fillId="2" borderId="0" xfId="3" applyFont="1" applyFill="1"/>
    <xf numFmtId="0" fontId="42" fillId="2" borderId="0" xfId="3" applyFont="1" applyFill="1"/>
    <xf numFmtId="0" fontId="42" fillId="0" borderId="0" xfId="3" applyFont="1"/>
    <xf numFmtId="0" fontId="45" fillId="2" borderId="0" xfId="4" applyFont="1" applyAlignment="1">
      <alignment horizontal="center" vertical="center"/>
    </xf>
    <xf numFmtId="0" fontId="46" fillId="2" borderId="0" xfId="4" applyFont="1" applyAlignment="1">
      <alignment horizontal="center" vertical="center"/>
    </xf>
    <xf numFmtId="164" fontId="46" fillId="2" borderId="0" xfId="4" applyNumberFormat="1" applyFont="1" applyAlignment="1">
      <alignment horizontal="center" vertical="center"/>
    </xf>
    <xf numFmtId="0" fontId="46" fillId="2" borderId="0" xfId="3" applyFont="1" applyFill="1" applyAlignment="1">
      <alignment horizontal="center" vertical="center"/>
    </xf>
    <xf numFmtId="0" fontId="47" fillId="2" borderId="0" xfId="3" applyFont="1" applyFill="1" applyAlignment="1">
      <alignment horizontal="center" vertical="center"/>
    </xf>
    <xf numFmtId="0" fontId="47"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8"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49" fillId="2" borderId="0" xfId="3" applyFont="1" applyFill="1"/>
    <xf numFmtId="0" fontId="0" fillId="0" borderId="0" xfId="35" applyFont="1" applyBorder="1">
      <alignment horizontal="center" vertical="center"/>
    </xf>
    <xf numFmtId="0" fontId="50"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0" fontId="4" fillId="11" borderId="21" xfId="19" applyBorder="1">
      <alignment horizontal="center" vertical="center"/>
    </xf>
    <xf numFmtId="0" fontId="11" fillId="0" borderId="21" xfId="30" applyBorder="1">
      <alignment horizontal="center" vertical="center"/>
    </xf>
    <xf numFmtId="0" fontId="53" fillId="2" borderId="1" xfId="20" applyFont="1">
      <alignment horizontal="center" vertical="center"/>
    </xf>
    <xf numFmtId="0" fontId="51" fillId="10" borderId="0" xfId="6" applyFont="1" applyFill="1">
      <alignment horizontal="left" vertical="center"/>
    </xf>
    <xf numFmtId="0" fontId="51"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4"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5" fillId="16" borderId="1" xfId="49">
      <alignment horizontal="center" vertical="center"/>
    </xf>
    <xf numFmtId="0" fontId="56" fillId="15" borderId="1" xfId="50">
      <alignment horizontal="center" vertical="center"/>
    </xf>
    <xf numFmtId="0" fontId="57" fillId="2" borderId="1" xfId="51">
      <alignment horizontal="left" vertical="center"/>
    </xf>
    <xf numFmtId="0" fontId="24" fillId="2" borderId="23" xfId="48" applyBorder="1">
      <alignment horizontal="left" vertical="center"/>
    </xf>
    <xf numFmtId="0" fontId="60"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4" fillId="2" borderId="10" xfId="6" applyFont="1" applyBorder="1">
      <alignment horizontal="left" vertical="center"/>
    </xf>
    <xf numFmtId="0" fontId="65" fillId="2" borderId="10" xfId="6" applyFont="1" applyBorder="1">
      <alignment horizontal="left" vertical="center"/>
    </xf>
    <xf numFmtId="0" fontId="66" fillId="2" borderId="10" xfId="10" applyFont="1" applyBorder="1">
      <alignment horizontal="left" vertical="center"/>
    </xf>
    <xf numFmtId="0" fontId="67"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3" fillId="2" borderId="1" xfId="20" applyNumberFormat="1" applyFont="1">
      <alignment horizontal="center" vertical="center"/>
    </xf>
    <xf numFmtId="4" fontId="24" fillId="2" borderId="21" xfId="54" applyBorder="1">
      <alignment horizontal="center" vertical="center"/>
    </xf>
    <xf numFmtId="169" fontId="53"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3" fillId="2" borderId="27" xfId="20" applyNumberFormat="1" applyFont="1" applyBorder="1">
      <alignment horizontal="center" vertical="center"/>
    </xf>
    <xf numFmtId="169" fontId="53" fillId="2" borderId="25" xfId="20" applyNumberFormat="1" applyFont="1" applyBorder="1">
      <alignment horizontal="center" vertical="center"/>
    </xf>
    <xf numFmtId="0" fontId="24" fillId="2" borderId="27" xfId="20" applyBorder="1">
      <alignment horizontal="center" vertical="center"/>
    </xf>
    <xf numFmtId="0" fontId="53"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0" fillId="2" borderId="28" xfId="3" applyNumberFormat="1" applyFont="1" applyFill="1" applyBorder="1" applyAlignment="1">
      <alignment vertical="center"/>
    </xf>
    <xf numFmtId="171" fontId="53" fillId="2" borderId="1" xfId="54" applyNumberFormat="1" applyFont="1">
      <alignment horizontal="center" vertical="center"/>
    </xf>
    <xf numFmtId="171" fontId="53" fillId="2" borderId="21" xfId="54" applyNumberFormat="1" applyFont="1" applyBorder="1">
      <alignment horizontal="center" vertical="center"/>
    </xf>
    <xf numFmtId="171" fontId="53"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5" fillId="0" borderId="0" xfId="1" applyFont="1"/>
    <xf numFmtId="0" fontId="5" fillId="17" borderId="0" xfId="5" applyFill="1">
      <alignment vertical="center"/>
    </xf>
    <xf numFmtId="2" fontId="0" fillId="2" borderId="0" xfId="0" applyNumberFormat="1" applyFill="1" applyAlignment="1">
      <alignment vertical="center"/>
    </xf>
    <xf numFmtId="0" fontId="76" fillId="2" borderId="0" xfId="0" applyFont="1" applyFill="1"/>
    <xf numFmtId="2" fontId="77" fillId="2" borderId="0" xfId="0" applyNumberFormat="1" applyFont="1" applyFill="1"/>
    <xf numFmtId="0" fontId="78" fillId="18" borderId="0" xfId="56">
      <alignment horizontal="center" vertical="center"/>
    </xf>
    <xf numFmtId="167" fontId="43" fillId="2" borderId="0" xfId="57">
      <alignment horizontal="center" vertical="center"/>
    </xf>
    <xf numFmtId="0" fontId="6" fillId="2" borderId="0" xfId="6" applyAlignment="1">
      <alignment horizontal="left" vertical="center" indent="2"/>
    </xf>
    <xf numFmtId="0" fontId="74" fillId="2" borderId="0" xfId="55" applyFill="1" applyAlignment="1">
      <alignment horizontal="left" vertical="center"/>
    </xf>
    <xf numFmtId="0" fontId="4" fillId="2" borderId="10" xfId="4" applyBorder="1" applyAlignment="1">
      <alignment horizontal="center" vertical="center"/>
    </xf>
    <xf numFmtId="0" fontId="79" fillId="0" borderId="0" xfId="6" applyFont="1" applyFill="1">
      <alignment horizontal="left" vertical="center"/>
    </xf>
    <xf numFmtId="0" fontId="74" fillId="0" borderId="0" xfId="55"/>
    <xf numFmtId="0" fontId="80" fillId="5" borderId="2" xfId="12" applyFont="1">
      <alignment horizontal="left" vertical="center" indent="1"/>
    </xf>
    <xf numFmtId="0" fontId="3" fillId="0" borderId="0" xfId="3" applyAlignment="1" applyProtection="1">
      <alignment horizontal="center" vertical="center" wrapText="1"/>
      <protection locked="0"/>
    </xf>
    <xf numFmtId="0" fontId="4" fillId="5" borderId="1" xfId="19" applyFill="1" applyAlignment="1">
      <alignment horizontal="center" vertical="center" wrapText="1"/>
    </xf>
    <xf numFmtId="4" fontId="0" fillId="0" borderId="1" xfId="32" applyFont="1"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5" fillId="14" borderId="1" xfId="53">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0"/>
      <tableStyleElement type="headerRow" dxfId="599"/>
      <tableStyleElement type="totalRow" dxfId="598"/>
      <tableStyleElement type="firstColumn" dxfId="597"/>
      <tableStyleElement type="firstRowStripe" dxfId="596"/>
      <tableStyleElement type="secondRowStripe" dxfId="595"/>
    </tableStyle>
    <tableStyle name="Equation table" pivot="0" count="6" xr9:uid="{0B4491E8-4F2C-4EE8-9336-DC99561B4B77}">
      <tableStyleElement type="wholeTable" dxfId="594"/>
      <tableStyleElement type="headerRow" dxfId="593"/>
      <tableStyleElement type="totalRow" dxfId="592"/>
      <tableStyleElement type="firstColumn" dxfId="591"/>
      <tableStyleElement type="firstRowStripe" dxfId="590"/>
      <tableStyleElement type="secondRowStripe" dxfId="589"/>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microsoft.com/office/2017/06/relationships/rdRichValueStructure" Target="richData/rdrichvaluestructure.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22/10/relationships/richValueRel" Target="richData/richValueRel.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A6B574-D641-4C1E-BBB5-33A45AA5FD24}" name="Table_Input_Fuel" displayName="Table_Input_Fuel" ref="D16:J21" totalsRowDxfId="575"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F3A6E1B-54B6-4F08-8C03-0D9C38A193E9}" name="Fuel use (select)" totalsRowFunction="average" totalsRowDxfId="574" dataCellStyle="Input select" totalsRowCellStyle="Input select"/>
    <tableColumn id="3" xr3:uid="{F3B22F5F-32AB-4AB4-9D92-291079B0E009}" name="Fuel type (select)" totalsRowDxfId="573" dataCellStyle="Input select" totalsRowCellStyle="Input select"/>
    <tableColumn id="4" xr3:uid="{B83BA05B-8760-41BD-AC6B-D6F258C4B2A6}" name="Amount purchased" totalsRowDxfId="572" totalsRowCellStyle="Content bold"/>
    <tableColumn id="6" xr3:uid="{C72790B1-D545-4434-9C66-BD6EDE1431D4}" name="Amount unit" totalsRowDxfId="571" dataCellStyle="Input number general calculated" totalsRowCellStyle="Input text calculated"/>
    <tableColumn id="5" xr3:uid="{DED2B6A8-8871-4F82-BF68-0123EE33E6D3}" name="Percent consumed" totalsRowDxfId="570" totalsRowCellStyle="Input percent">
      <calculatedColumnFormula>1</calculatedColumnFormula>
    </tableColumn>
    <tableColumn id="1" xr3:uid="{420FBA2E-73D2-4D10-9D6F-40A070E92B94}" name="Amount consumed" totalsRowFunction="custom" totalsRowDxfId="569"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3A60E53-73D2-4522-A3E6-1EE0023DA763}" name="Amount consumed unit" totalsRowDxfId="568"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4E397E-5796-4647-B505-ED29964DA7BC}" name="Table_Input_InorganicFertiliser_Brands" displayName="Table_Input_InorganicFertiliser_Brands" ref="D11:X16" headerRowDxfId="567" dataDxfId="566" totalsRowDxfId="565">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9A01597-CBDF-4920-B6F9-73ECD80F754D}" name="Product (select)" dataDxfId="564" totalsRowDxfId="563" dataCellStyle="Input select"/>
    <tableColumn id="23" xr3:uid="{AB23DA3E-DEBD-4FBE-82CF-6CB30C3E71B8}" name="Amount applied per hectare" totalsRowFunction="custom" dataDxfId="562" totalsRowDxfId="561">
      <totalsRowFormula>SUM(Table_Input_InorganicFertiliser_Brands[[#Headers],[#Data],[Amount applied per hectare]])</totalsRowFormula>
    </tableColumn>
    <tableColumn id="12" xr3:uid="{18AF7A4E-8C5A-436D-9731-7560EC6BBF77}" name="Application unit" dataDxfId="560" totalsRowDxfId="559" dataCellStyle="Input number 2 decimal places"/>
    <tableColumn id="9" xr3:uid="{7082C3E6-B56C-419C-862E-725D49AC2E37}" name="Density" dataDxfId="558" totalsRowDxfId="557" dataCellStyle="Input number 2 decimal places"/>
    <tableColumn id="6" xr3:uid="{16DFF96E-FA84-40A3-8489-80A6419902FE}" name="Application area (ha)" dataDxfId="556" totalsRowDxfId="555"/>
    <tableColumn id="1" xr3:uid="{F3E2130B-8CA6-4823-A5F5-680515D3CDE2}" name="Total applied (kg)" dataDxfId="554" totalsRowDxfId="55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91466F2-4778-4902-935F-E01AF56539AF}" name="Ingredient 1" dataDxfId="552" totalsRowDxfId="551" dataCellStyle="Input number general calculated"/>
    <tableColumn id="4" xr3:uid="{6567688D-BA71-41F4-B8BE-F1306ED7A1C9}" name="Ingredient 1 percent" dataDxfId="550" totalsRowDxfId="549" dataCellStyle="Input number general calculated"/>
    <tableColumn id="7" xr3:uid="{2BA7BD61-550F-470B-BF94-3D19584324D9}" name="Ingredient 2" dataDxfId="548" dataCellStyle="Input number general calculated"/>
    <tableColumn id="8" xr3:uid="{145735F6-E57C-4A7D-9E8F-5C169DC3E9CF}" name="Ingredient 2 percent" dataDxfId="547" totalsRowDxfId="546" dataCellStyle="Input number general calculated"/>
    <tableColumn id="10" xr3:uid="{0A1B4289-E4AD-47AC-AB7E-4D2EC2A9F9F3}" name="Ingredient 3" dataDxfId="545" totalsRowDxfId="544" dataCellStyle="Input number general calculated"/>
    <tableColumn id="11" xr3:uid="{E2992782-C67C-4D71-B4BB-FABFBFF26EC8}" name="Ingredient 3 percent" dataDxfId="543" totalsRowDxfId="542" dataCellStyle="Input number general calculated"/>
    <tableColumn id="13" xr3:uid="{9D0C7F1B-13A1-4030-8124-E1722921E4A7}" name="Ingredient 4" dataDxfId="541" totalsRowDxfId="540" dataCellStyle="Input number general calculated"/>
    <tableColumn id="14" xr3:uid="{4C9D8859-A934-4E37-A660-2BD882BF4125}" name="Ingredient 4 percent" dataDxfId="539" dataCellStyle="Input number general calculated"/>
    <tableColumn id="16" xr3:uid="{C5CDA41D-1C75-4167-8308-6E21407D407F}" name="Ingredient 5" dataDxfId="538" dataCellStyle="Input number general calculated"/>
    <tableColumn id="17" xr3:uid="{84572289-5DBA-4E2C-99BD-E13B1A156266}" name="Ingredient 5 percent" dataDxfId="537" dataCellStyle="Input number general calculated"/>
    <tableColumn id="19" xr3:uid="{EFC1F2EA-3644-43AB-84B3-130FB7522EB6}" name="Ingredient 6" dataDxfId="536" dataCellStyle="Input number general calculated"/>
    <tableColumn id="20" xr3:uid="{C6B44DCC-F02A-4AC8-897F-9680DEF965C5}" name="Ingredient 6 percent" dataDxfId="535" dataCellStyle="Input number general calculated"/>
    <tableColumn id="5" xr3:uid="{11998F4F-9C7F-4BA8-8749-2C9C5EAF9FFD}" name="N application rate (kg/ha)" dataDxfId="534" totalsRowDxfId="533" dataCellStyle="Input number general calculated"/>
    <tableColumn id="15" xr3:uid="{2EF052D6-D6B9-4895-920C-BA2D601AE6E4}" name="Urea source" dataDxfId="532" totalsRowDxfId="531" dataCellStyle="Input number general calculated"/>
    <tableColumn id="18" xr3:uid="{14454ACA-4761-4BF3-A8D3-7FFB32BBAE90}" name="Ammonia source" dataDxfId="530" totalsRowDxfId="529"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3098518-89E7-4688-99E9-9D63E2BFE930}" name="Table_Input_InorganicFertiliser_Custom" displayName="Table_Input_InorganicFertiliser_Custom" ref="D19:R22" totalsRowShown="0" headerRowDxfId="528" dataDxfId="527">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C3C40D8-037F-4D4D-A569-99C3B5E48188}" name="Custom blend name" dataCellStyle="Input text"/>
    <tableColumn id="2" xr3:uid="{94E4A98D-4C21-4B75-9B4B-4063F0BD9D23}" name="Amount applied (kg / ha)" dataDxfId="526"/>
    <tableColumn id="3" xr3:uid="{9317B0C5-24FD-4910-816B-6925938529AB}" name="Application area (ha)" dataDxfId="525" dataCellStyle="Input number 2 decimal places"/>
    <tableColumn id="4" xr3:uid="{FF84BF07-0983-4D90-BE0C-BB04F4556C9A}" name="Total applied (kg)" dataDxfId="524" dataCellStyle="Input number general calculated">
      <calculatedColumnFormula>Table_Input_InorganicFertiliser_Custom[[#This Row],[Amount applied (kg / ha)]]*Table_Input_InorganicFertiliser_Custom[[#This Row],[Application area (ha)]]</calculatedColumnFormula>
    </tableColumn>
    <tableColumn id="5" xr3:uid="{DB0887F8-992F-4EDB-93DB-19525D538A2E}" name="Ingredient 1 (select)" dataDxfId="523" dataCellStyle="Input select"/>
    <tableColumn id="6" xr3:uid="{6ED10138-A07A-4840-AB59-7A25A5F609B6}" name="Ingredient 1 percent" dataDxfId="522"/>
    <tableColumn id="8" xr3:uid="{C75326F5-5EEC-4C92-9D0E-D0F9671FCB47}" name="Ingredient 2" dataDxfId="521" dataCellStyle="Input select"/>
    <tableColumn id="9" xr3:uid="{497A6A6A-A7AD-4952-98F4-855563F3EAE5}" name="Ingredient 2 percent" dataDxfId="520"/>
    <tableColumn id="11" xr3:uid="{C44AB45C-A730-4849-8419-D3E8E4050FD8}" name="Ingredient 3" dataDxfId="519" dataCellStyle="Input select"/>
    <tableColumn id="12" xr3:uid="{63812E8B-3479-4B33-8754-51D44572B655}" name="Ingredient 3 percent" dataDxfId="518"/>
    <tableColumn id="14" xr3:uid="{7C7A536C-3F11-415F-B0C5-94EF79615E8F}" name="Ingredient 4" dataDxfId="517" dataCellStyle="Input select"/>
    <tableColumn id="15" xr3:uid="{568F78E6-0414-4595-BFEE-3BDD32BE650F}" name="Ingredient 4 percent" dataCellStyle="Input percent"/>
    <tableColumn id="7" xr3:uid="{ADBE0230-07EE-4B13-8177-69875A36F112}" name="N application rate (kg/ha)" dataDxfId="516" dataCellStyle="Input number general calculated"/>
    <tableColumn id="10" xr3:uid="{874651A1-84E3-41E4-A001-80F0F93E768E}" name="Urea source (Select)" dataCellStyle="Input select"/>
    <tableColumn id="13" xr3:uid="{E9297C5A-5FE2-4C9B-8463-CFACBA31D523}"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80B157-6769-4AE2-B612-4F7D190228EA}" name="Table_Input_Lime" displayName="Table_Input_Lime" ref="D30:K33" totalsRowShown="0" headerRowDxfId="515" dataDxfId="514"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28E99A2-30C0-4DE9-9589-7720FA21DF36}" name="Product" dataDxfId="513"/>
    <tableColumn id="2" xr3:uid="{3E4C76D4-A9E4-49C2-A64C-CC59F620FE6E}" name="Amount applied (t/hectare)" dataDxfId="512"/>
    <tableColumn id="4" xr3:uid="{9FAC43C1-05C8-42BF-BDFD-D2F108E31C38}" name="Application area (ha)" dataDxfId="511" dataCellStyle="Input number 2 decimal places"/>
    <tableColumn id="3" xr3:uid="{B2139156-86FA-4253-9C8B-89B3FE7459FB}" name="Total amount applied (t)" dataDxfId="510" dataCellStyle="Input number general calculated">
      <calculatedColumnFormula>IFERROR(Table_Input_Lime[[#This Row],[Amount applied (t/hectare)]]*Table_Input_Lime[[#This Row],[Application area (ha)]], 0)</calculatedColumnFormula>
    </tableColumn>
    <tableColumn id="6" xr3:uid="{E87CD9A4-42DF-4604-8283-A9FF0D7B13D1}" name="Percent Lime CaCO3" dataDxfId="509"/>
    <tableColumn id="8" xr3:uid="{51F1C864-871C-4B7A-9357-BF4F34013F60}" name="Percent Dolomite CaMg(CO3)2" dataDxfId="508"/>
    <tableColumn id="7" xr3:uid="{1EFC18C5-7A4E-4020-BC68-A871CA205C17}" name="Percent Gypsum" dataDxfId="507"/>
    <tableColumn id="10" xr3:uid="{4C7D4595-8B33-409C-BBD0-2478A48CFBFD}" name="Total" dataDxfId="506">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FE779E-0C69-42B9-9CBD-CB8E904381BA}" name="Table_Input_OrganicFertiliser" displayName="Table_Input_OrganicFertiliser" ref="D41:J44" totalsRowShown="0" headerRowDxfId="505" dataDxfId="504"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376C42-23D4-42D8-8736-48DC46621229}" name="Organic fertiliser type (select)" dataDxfId="503" dataCellStyle="Input select"/>
    <tableColumn id="5" xr3:uid="{D6C798A9-E90B-4E42-BAE9-79E674DF9282}" name="Percentage of N in fertiliser" dataDxfId="502"/>
    <tableColumn id="2" xr3:uid="{F3297107-69C5-4912-8629-85A12B66B717}" name="Amount applied (kg/hectare)" dataDxfId="501"/>
    <tableColumn id="11" xr3:uid="{653E495A-7B48-43BF-ABAA-3A26DA7E2D0B}" name="Amount N applied (kg/hectare)" dataDxfId="500" dataCellStyle="Input number general calculated">
      <calculatedColumnFormula>Table_Input_OrganicFertiliser[[#This Row],[Amount applied (kg/hectare)]]*Table_Input_OrganicFertiliser[[#This Row],[Percentage of N in fertiliser]]</calculatedColumnFormula>
    </tableColumn>
    <tableColumn id="4" xr3:uid="{197F4E2F-3007-452B-9965-0F7E1A2CE88C}" name="Application area (ha)" dataDxfId="499" dataCellStyle="Input number 2 decimal places"/>
    <tableColumn id="7" xr3:uid="{BAC8AC21-22C8-4123-AC3F-E3E3F31F37C2}" name="Total organic fertliser applied" dataDxfId="498" dataCellStyle="Input number general calculated">
      <calculatedColumnFormula>Table_Input_OrganicFertiliser[[#This Row],[Amount applied (kg/hectare)]]*Table_Input_OrganicFertiliser[[#This Row],[Application area (ha)]]</calculatedColumnFormula>
    </tableColumn>
    <tableColumn id="3" xr3:uid="{2B93F603-9107-4C12-B496-68BBCDA9A720}" name="Total nitrogen applied (kg)" dataDxfId="49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96"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95"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94">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93" dataCellStyle="Input select"/>
    <tableColumn id="2" xr3:uid="{5B0AEBA4-AB33-4382-8634-3F4C8D3B2A9B}" name="Number of head treated" dataDxfId="49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91" dataCellStyle="Input select"/>
    <tableColumn id="2" xr3:uid="{FA43F52A-7609-4014-A6D3-CAC2C970F57C}" name="Purchase class (select)" dataDxfId="490" dataCellStyle="Input select"/>
    <tableColumn id="6" xr3:uid="{41EDEC1E-1793-4BBD-B0C8-66DE9A0925D5}" name="Source region (Select)" dataDxfId="489"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88">
  <autoFilter ref="D6:I16" xr:uid="{E938BFB3-949A-45DE-8033-0682BC494B81}"/>
  <tableColumns count="6">
    <tableColumn id="9" xr3:uid="{9915AEA9-40DA-4CFD-B08A-11FBE10BE9CF}" name="Transaction name" dataCellStyle="Input text"/>
    <tableColumn id="11" xr3:uid="{7A96FDED-4DC0-48EE-B346-DC4E5D93138D}" name="Class (select)" dataDxfId="487"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86">
  <autoFilter ref="D6:H16" xr:uid="{14ED7533-62DD-410F-8832-CD98B0CD652B}"/>
  <tableColumns count="5">
    <tableColumn id="9" xr3:uid="{FC1CEF00-A0CC-4545-ADAB-9F52D190F90C}" name="Transaction name" dataCellStyle="Input text"/>
    <tableColumn id="11" xr3:uid="{45625588-179B-4EE3-98B4-2E94FA489CC5}" name="Class (select)" dataDxfId="485"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84"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8F3A3F-8F06-4DAA-A2B4-73F45132536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4924C41-E9B3-4253-80E9-3FA5E5F76964}" name="Description"/>
    <tableColumn id="5" xr3:uid="{89B043D5-8925-4AC4-B5F4-9087B6FD7AB9}" name="Treatment type (select)" dataCellStyle="Input select"/>
    <tableColumn id="2" xr3:uid="{A792CE96-8884-4BDB-A8BF-81BBA66C2DCD}" name="Waste type (select)" dataCellStyle="Input select"/>
    <tableColumn id="3" xr3:uid="{7D30120A-F7AB-4C8A-960C-E90F9CC45440}" name="Treatment location (select)" dataCellStyle="Input select"/>
    <tableColumn id="4" xr3:uid="{634A174A-915C-4828-94D5-1DEF9676AB5E}" name="Amount" dataCellStyle="Input number general"/>
    <tableColumn id="7" xr3:uid="{3E986D34-114C-4B06-B875-B7BF9399B52C}"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A8F71C-FAC0-44DF-8FCA-0CD54100ECA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18C3E9D-9260-46D2-877D-1E3E4F2F6105}" name="Description"/>
    <tableColumn id="5" xr3:uid="{1282F40A-9566-4610-94C3-B5D1F024EFA3}" name="Source (select)" dataCellStyle="Input select"/>
    <tableColumn id="2" xr3:uid="{1FBB5EDE-0173-4163-B774-BF7006AB6A5B}" name="Generation date" dataDxfId="483"/>
    <tableColumn id="3" xr3:uid="{997A9C57-BE49-4168-B5CE-B28BCEA8673D}" name="Number of certificates"/>
    <tableColumn id="4" xr3:uid="{125919D8-D42F-4288-97EF-4EF8C8BF4198}" name="MWh" dataCellStyle="Input number general calculated">
      <calculatedColumnFormula>Table_Input_RECSurrendered[[#This Row],[Number of certificates]]</calculatedColumnFormula>
    </tableColumn>
    <tableColumn id="7" xr3:uid="{F3E1A664-78C2-4085-A09D-B0DBEC2DF1E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C4F64FC-955F-4CB3-B58D-6F226B94D3FC}"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7C2BEEB-0AEB-4B3A-829B-7DDEEC287E5D}" name="Description"/>
    <tableColumn id="5" xr3:uid="{1F02C4F8-BFFF-4AF8-9970-09436BC5C75B}" name="Source" dataCellStyle="Input text calculated">
      <calculatedColumnFormula>"Issued for generated electricity"</calculatedColumnFormula>
    </tableColumn>
    <tableColumn id="2" xr3:uid="{FF172C79-6AAC-47D6-B8D1-2FD6210D1FD2}" name="Generation date" dataDxfId="482"/>
    <tableColumn id="3" xr3:uid="{51EEF9AD-1AE9-46A6-9F74-380F519EEEF8}" name="Number of certificates"/>
    <tableColumn id="4" xr3:uid="{CA46ABBA-2A11-443C-A3D2-5499E52B7ABC}" name="MWh" dataCellStyle="Input number general calculated">
      <calculatedColumnFormula>Table_Input_RECConsumedByEntity[[#This Row],[Number of certificates]]</calculatedColumnFormula>
    </tableColumn>
    <tableColumn id="7" xr3:uid="{10BF1B2C-1B9B-45EB-825B-144C764C889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81"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80"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79"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78"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77"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76"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75"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74"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73"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72"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71"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70"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69"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68"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67"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66"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65"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64"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63"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62"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61"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60"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59"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58"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57"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56"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55"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54"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53"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52"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51"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50"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49"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48"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47"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46"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45"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44"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43"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42"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41"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40"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39"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38"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37"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36"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35"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34"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33"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32"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31"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30"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29"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28"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27"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26"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25"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24"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23"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22"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421"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20"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419"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418"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17"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16"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15"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414"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13"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412"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411"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410"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409"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2DBCDD8-93C2-4468-A992-F8AA73831CF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48F3F7-1D2E-493B-B1B0-DE44E4EA65F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DF6A07-466B-4FFD-8896-A1636B32F5C4}" name="Waste type w" dataDxfId="40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783A4E0-FE63-4365-8DB5-96A0ED3E67E7}" name="EFwt" dataDxfId="40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8D51028-9337-47DD-8EA9-B85DB8140B21}" name="EF source" dataDxfId="40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D84B430-D43F-40ED-8537-F291099C09F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B3B6CE-B78C-44D0-B9A7-A6995F05B98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57E3C20-65D3-4F4A-908F-10AB285F45FB}" name="VTMw" dataDxfId="40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805A6E4-01D4-4C5E-B0EF-EFDDDB56E4B8}" name="Table_WasteTypes_Landfill" displayName="Table_WasteTypes_Landfill" ref="I16:I27" totalsRowShown="0">
  <autoFilter ref="I16:I27" xr:uid="{99B942E3-1D24-4166-921C-DCC10960718D}">
    <filterColumn colId="0" hiddenButton="1"/>
  </autoFilter>
  <tableColumns count="1">
    <tableColumn id="1" xr3:uid="{4E03EB4F-13F3-409E-BC89-2A60B2A3C86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64868E-F713-4662-8401-8A430BB4D969}" name="Table_WasteTypes_Incineration" displayName="Table_WasteTypes_Incineration" ref="K16:K26" totalsRowShown="0" headerRowDxfId="404" headerRowCellStyle="Content normal" dataCellStyle="Content normal">
  <autoFilter ref="K16:K26" xr:uid="{9A900595-7035-4239-9059-ACC16835BF72}">
    <filterColumn colId="0" hiddenButton="1"/>
  </autoFilter>
  <tableColumns count="1">
    <tableColumn id="1" xr3:uid="{5B94E92F-7EEC-4F49-B1AD-23AB6CE0D769}"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5E4D830-7272-493E-A2BF-6157AABE7DAE}" name="Table_WasteTypes_Composting" displayName="Table_WasteTypes_Composting" ref="M16:M21" totalsRowShown="0" headerRowDxfId="403" headerRowCellStyle="Content normal" dataCellStyle="Content normal">
  <autoFilter ref="M16:M21" xr:uid="{5C8D39D3-1330-49EB-B431-1B2B8C8238DC}">
    <filterColumn colId="0" hiddenButton="1"/>
  </autoFilter>
  <tableColumns count="1">
    <tableColumn id="1" xr3:uid="{48A9F6B6-C4C2-497F-927B-F8594D934ED4}" name="Waste type w" totalsRowDxfId="402"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994E626-0D31-4F63-97F0-EEA1F3C32FB6}" name="Table_WasteTypes_Anaerobicdigestion" displayName="Table_WasteTypes_Anaerobicdigestion" ref="O16:O21" totalsRowShown="0" headerRowDxfId="401" headerRowCellStyle="Content normal" dataCellStyle="Content normal">
  <autoFilter ref="O16:O21" xr:uid="{331EC43E-DF68-429F-A2A4-58BFE6216EC3}">
    <filterColumn colId="0" hiddenButton="1"/>
  </autoFilter>
  <tableColumns count="1">
    <tableColumn id="1" xr3:uid="{38BBAE05-6DA1-4AA0-A146-03E766C50A53}" name="Waste type w" totalsRowDxfId="400"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DD7071-6ABB-4740-88A0-4C3AAE73A34F}" name="Table_Fuel_EFs_StationaryLiquid" displayName="Table_Fuel_EFs_StationaryLiquid" ref="D53:K77" totalsRowShown="0" headerRowDxfId="399" dataDxfId="39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BD81BA1-F16A-424C-A5BA-34123FD368CE}" name="Fuel combusted" dataDxfId="397">
      <calculatedColumnFormula array="1">Common_InputFunctions.Utility_DisplayArrayInTable(Fuel_SourceData.Fuel_Scope1Scope3EmissionFactorsStationaryLiquid_Data(), Table_Fuel_EFs_StationaryLiquid[[#Headers],[Fuel combusted]],0)</calculatedColumnFormula>
    </tableColumn>
    <tableColumn id="2" xr3:uid="{7EAC2878-235C-4148-9A84-7614A4C7B3C7}" name="Energy Content Factor (GJ per unit of fuel)" dataDxfId="396">
      <calculatedColumnFormula array="1">Common_InputFunctions.Utility_DisplayArrayInTable(Fuel_SourceData.Fuel_Scope1Scope3EmissionFactorsStationaryLiquid_Data(), Table_Fuel_EFs_StationaryLiquid[[#Headers],[Fuel combusted]],0)</calculatedColumnFormula>
    </tableColumn>
    <tableColumn id="3" xr3:uid="{D68F9C70-B0C4-455D-BC83-2360D2795CF6}" name="Fuel unit" dataDxfId="395">
      <calculatedColumnFormula array="1">Common_InputFunctions.Utility_DisplayArrayInTable(Fuel_SourceData.Fuel_Scope1Scope3EmissionFactorsStationaryLiquid_Data(), Table_Fuel_EFs_StationaryLiquid[[#Headers],[Fuel combusted]],0)</calculatedColumnFormula>
    </tableColumn>
    <tableColumn id="4" xr3:uid="{CF5248B8-D62D-4B8A-9C10-B1A0D65F823D}" name="Scope 1 Emission Factor (kg CO2 - e / GJ) CO2" dataDxfId="394">
      <calculatedColumnFormula array="1">Common_InputFunctions.Utility_DisplayArrayInTable(Fuel_SourceData.Fuel_Scope1Scope3EmissionFactorsStationaryLiquid_Data(), Table_Fuel_EFs_StationaryLiquid[[#Headers],[Fuel combusted]],0)</calculatedColumnFormula>
    </tableColumn>
    <tableColumn id="5" xr3:uid="{54559FB3-5271-474C-B0DA-FB78B7BD0754}" name="Scope 1 Emission Factor (kg CO2 - e / GJ) CH4" dataDxfId="393">
      <calculatedColumnFormula array="1">Common_InputFunctions.Utility_DisplayArrayInTable(Fuel_SourceData.Fuel_Scope1Scope3EmissionFactorsStationaryLiquid_Data(), Table_Fuel_EFs_StationaryLiquid[[#Headers],[Fuel combusted]],0)</calculatedColumnFormula>
    </tableColumn>
    <tableColumn id="6" xr3:uid="{0FD993C0-4C57-4C92-A36D-D580A20DECAB}" name="Scope 1 Emission Factor (kg CO2 - e / GJ) N2O" dataDxfId="392">
      <calculatedColumnFormula array="1">Common_InputFunctions.Utility_DisplayArrayInTable(Fuel_SourceData.Fuel_Scope1Scope3EmissionFactorsStationaryLiquid_Data(), Table_Fuel_EFs_StationaryLiquid[[#Headers],[Fuel combusted]],0)</calculatedColumnFormula>
    </tableColumn>
    <tableColumn id="7" xr3:uid="{E9B5CF99-ACA1-428E-851E-AADCC0261CE0}" name="Scope 1 Emission Factor (kg CO2 - e / GJ) Combined gases" dataDxfId="391">
      <calculatedColumnFormula array="1">Common_InputFunctions.Utility_DisplayArrayInTable(Fuel_SourceData.Fuel_Scope1Scope3EmissionFactorsStationaryLiquid_Data(), Table_Fuel_EFs_StationaryLiquid[[#Headers],[Fuel combusted]],0)</calculatedColumnFormula>
    </tableColumn>
    <tableColumn id="8" xr3:uid="{5AC21AB7-1324-497E-9BA2-600FF837D6CE}" name="Scope 3 Emission Factor (kg CO2 - e / GJ)" dataDxfId="39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3EF40D5-E046-4520-9C1D-507F36CBA168}" name="Table_Fuel_EFs_Transport" displayName="Table_Fuel_EFs_Transport" ref="D9:L34" totalsRowShown="0" headerRowDxfId="389" dataDxfId="38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379F8AF-E7CD-4F1D-9020-1FD7FB6ABAE5}" name="Transport type" dataDxfId="387">
      <calculatedColumnFormula array="1">Common_InputFunctions.Utility_DisplayArrayInTable(Fuel_SourceData.Fuel_Scope1Scope3EmissionFactorsTransport_Data(), Table_Fuel_EFs_Transport[[#Headers],[Transport type]], 0)</calculatedColumnFormula>
    </tableColumn>
    <tableColumn id="2" xr3:uid="{2460FCB0-2416-45BA-9AF5-5DD470B04EFF}" name="Fuel combusted" dataDxfId="386">
      <calculatedColumnFormula array="1">Common_InputFunctions.Utility_DisplayArrayInTable(Fuel_SourceData.Fuel_Scope1Scope3EmissionFactorsTransport_Data(), Table_Fuel_EFs_Transport[[#Headers],[Transport type]], 0)</calculatedColumnFormula>
    </tableColumn>
    <tableColumn id="3" xr3:uid="{7766F4A8-97D4-4121-A209-6F6CC7FCBEFC}" name="Energy Content Factor (GJ per unit of fuel)" dataDxfId="385">
      <calculatedColumnFormula array="1">Common_InputFunctions.Utility_DisplayArrayInTable(Fuel_SourceData.Fuel_Scope1Scope3EmissionFactorsTransport_Data(), Table_Fuel_EFs_Transport[[#Headers],[Transport type]], 0)</calculatedColumnFormula>
    </tableColumn>
    <tableColumn id="4" xr3:uid="{436D89A9-6D65-4D72-BADB-0F0F5EB1E218}" name="Fuel unit" dataDxfId="384">
      <calculatedColumnFormula array="1">Common_InputFunctions.Utility_DisplayArrayInTable(Fuel_SourceData.Fuel_Scope1Scope3EmissionFactorsTransport_Data(), Table_Fuel_EFs_Transport[[#Headers],[Transport type]], 0)</calculatedColumnFormula>
    </tableColumn>
    <tableColumn id="8" xr3:uid="{B1E82776-2880-4CC7-ADB3-5AA5A7A3BB92}" name="Scope 1 Emission Factor (kg CO2 - e / GJ) CO2" dataDxfId="383">
      <calculatedColumnFormula array="1">Common_InputFunctions.Utility_DisplayArrayInTable(Fuel_SourceData.Fuel_Scope1Scope3EmissionFactorsTransport_Data(), Table_Fuel_EFs_Transport[[#Headers],[Transport type]], 0)</calculatedColumnFormula>
    </tableColumn>
    <tableColumn id="9" xr3:uid="{53432114-CF21-4F21-8BD0-2F272DE62529}" name="Scope 1 Emission Factor (kg CO2 - e / GJ) CH4" dataDxfId="382">
      <calculatedColumnFormula array="1">Common_InputFunctions.Utility_DisplayArrayInTable(Fuel_SourceData.Fuel_Scope1Scope3EmissionFactorsTransport_Data(), Table_Fuel_EFs_Transport[[#Headers],[Transport type]], 0)</calculatedColumnFormula>
    </tableColumn>
    <tableColumn id="10" xr3:uid="{9F064582-03CD-467C-B3AC-E66523B2385C}" name="Scope 1 Emission Factor (kg CO2 - e / GJ) N2O" dataDxfId="381">
      <calculatedColumnFormula array="1">Common_InputFunctions.Utility_DisplayArrayInTable(Fuel_SourceData.Fuel_Scope1Scope3EmissionFactorsTransport_Data(), Table_Fuel_EFs_Transport[[#Headers],[Transport type]], 0)</calculatedColumnFormula>
    </tableColumn>
    <tableColumn id="11" xr3:uid="{3B914974-B8B2-4525-8289-1F00DC1D0530}" name="Scope 1 Emission Factor (kg CO2 - e / GJ) Combined gases" dataDxfId="380">
      <calculatedColumnFormula array="1">Common_InputFunctions.Utility_DisplayArrayInTable(Fuel_SourceData.Fuel_Scope1Scope3EmissionFactorsTransport_Data(), Table_Fuel_EFs_Transport[[#Headers],[Transport type]], 0)</calculatedColumnFormula>
    </tableColumn>
    <tableColumn id="12" xr3:uid="{BC60C8CE-97C7-4A12-B1E2-7B53C70625D9}" name="Scope 3 Emission Factor (kg CO2 - e / GJ)" dataDxfId="37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319A444-0620-4607-8D67-75B84CFDB0F6}" name="Table_FuelTypesPerUse" displayName="Table_FuelTypesPerUse" ref="D130:I139" totalsRowShown="0" headerRowDxfId="378" dataDxfId="37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D3F924E-9D8A-4DB0-BB02-8C9FC15DB7BC}" name="Generators" dataDxfId="376"/>
    <tableColumn id="2" xr3:uid="{137AD0D6-971A-443C-94D6-7F5BE423C34F}" name="Power standalone machinery or heating" dataDxfId="375"/>
    <tableColumn id="3" xr3:uid="{D4712709-7FD6-4457-987D-64B164054A44}" name="Aviation" dataDxfId="374"/>
    <tableColumn id="5" xr3:uid="{64BC57A6-CC25-434D-8AF4-2649F58F5608}" name="Cars and light commercial vehicles" dataDxfId="373"/>
    <tableColumn id="7" xr3:uid="{E36B40BF-755F-4B2A-8561-BFB2A7625644}" name="Off-road Agriculture and forestry equipment" dataDxfId="372" dataCellStyle="Content bold"/>
    <tableColumn id="8" xr3:uid="{5588F13B-3C15-43B9-A20F-57DD09E0F8EF}" name="Vessels" dataDxfId="371"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5485F95-9E92-436E-8675-068FEDEAAB6A}" name="Table_Fuel_EFs_StationaryGaseous" displayName="Table_Fuel_EFs_StationaryGaseous" ref="D86:J104" totalsRowShown="0" headerRowDxfId="370" dataDxfId="36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73DE08-2EF5-48D3-9035-2DD8777A591F}" name="Fuel combusted" dataDxfId="368">
      <calculatedColumnFormula array="1">Common_InputFunctions.Utility_DisplayArrayInTable(Fuel_SourceData.Fuel_Scope1EmissionFactorsStationaryGaseous_Data(), Table_Fuel_EFs_StationaryGaseous[[#Headers],[Fuel combusted]],0)</calculatedColumnFormula>
    </tableColumn>
    <tableColumn id="2" xr3:uid="{43D0576A-F27F-474B-9885-15B03FA5E53F}" name="Energy Content Factor (GJ per unit of fuel)" dataDxfId="367">
      <calculatedColumnFormula array="1">Common_InputFunctions.Utility_DisplayArrayInTable(Fuel_SourceData.Fuel_Scope1EmissionFactorsStationaryGaseous_Data(), Table_Fuel_EFs_StationaryGaseous[[#Headers],[Fuel combusted]],0)</calculatedColumnFormula>
    </tableColumn>
    <tableColumn id="3" xr3:uid="{55CFA6EC-021B-4579-9B3F-BD1528B2987D}" name="Fuel unit" dataDxfId="366">
      <calculatedColumnFormula array="1">Common_InputFunctions.Utility_DisplayArrayInTable(Fuel_SourceData.Fuel_Scope1EmissionFactorsStationaryGaseous_Data(), Table_Fuel_EFs_StationaryGaseous[[#Headers],[Fuel combusted]],0)</calculatedColumnFormula>
    </tableColumn>
    <tableColumn id="4" xr3:uid="{DC7A7259-3EA0-4EB8-A661-8070715A7E3C}" name="Scope 1 Emission Factor (kg CO2 - e / GJ) CO2" dataDxfId="365">
      <calculatedColumnFormula array="1">Common_InputFunctions.Utility_DisplayArrayInTable(Fuel_SourceData.Fuel_Scope1EmissionFactorsStationaryGaseous_Data(), Table_Fuel_EFs_StationaryGaseous[[#Headers],[Fuel combusted]],0)</calculatedColumnFormula>
    </tableColumn>
    <tableColumn id="5" xr3:uid="{2218EBB6-E717-4AC1-BF1E-C31D7DE5E723}" name="Scope 1 Emission Factor (kg CO2 - e / GJ) CH4" dataDxfId="364">
      <calculatedColumnFormula array="1">Common_InputFunctions.Utility_DisplayArrayInTable(Fuel_SourceData.Fuel_Scope1EmissionFactorsStationaryGaseous_Data(), Table_Fuel_EFs_StationaryGaseous[[#Headers],[Fuel combusted]],0)</calculatedColumnFormula>
    </tableColumn>
    <tableColumn id="6" xr3:uid="{A3F0A2AF-D3C9-452B-A018-8E37911B643F}" name="Scope 1 Emission Factor (kg CO2 - e / GJ) N2O" dataDxfId="363">
      <calculatedColumnFormula array="1">Common_InputFunctions.Utility_DisplayArrayInTable(Fuel_SourceData.Fuel_Scope1EmissionFactorsStationaryGaseous_Data(), Table_Fuel_EFs_StationaryGaseous[[#Headers],[Fuel combusted]],0)</calculatedColumnFormula>
    </tableColumn>
    <tableColumn id="7" xr3:uid="{D1C4BA01-6895-4E40-94CF-E60782B8E4BF}" name="Scope 1 Emission Factor (kg CO2 - e / GJ) Combined gases" dataDxfId="36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BF19FD6-46A9-4BA7-8171-AE7F261DCEA0}" name="Table_Fuel_EFs_StationaryGaseous34" displayName="Table_Fuel_EFs_StationaryGaseous34" ref="D112:F120" headerRowDxfId="361" totalsRowDxfId="360">
  <autoFilter ref="D112:F120" xr:uid="{7D6CE29D-2354-4FAC-9965-9A66FFA42416}">
    <filterColumn colId="0" hiddenButton="1"/>
    <filterColumn colId="1" hiddenButton="1"/>
    <filterColumn colId="2" hiddenButton="1"/>
  </autoFilter>
  <tableColumns count="3">
    <tableColumn id="1" xr3:uid="{B0907965-F4B0-48E5-A082-FF2D0FD7AA8C}" name="State or territory" totalsRowDxfId="359">
      <calculatedColumnFormula array="1">Common_InputFunctions.Utility_DisplayArrayInTable(Fuel_SourceData.Fuel_Scope3EmissionFactorsStationaryGaseous_Data(), Table_Fuel_EFs_StationaryGaseous34[[#Headers],[State or territory]],0)</calculatedColumnFormula>
    </tableColumn>
    <tableColumn id="2" xr3:uid="{58C6F686-F906-4CC6-B49C-12BC0771E95C}" name="Metro" totalsRowDxfId="358">
      <calculatedColumnFormula array="1">Common_InputFunctions.Utility_DisplayArrayInTable(Fuel_SourceData.Fuel_Scope3EmissionFactorsStationaryGaseous_Data(), Table_Fuel_EFs_StationaryGaseous34[[#Headers],[State or territory]],0)</calculatedColumnFormula>
    </tableColumn>
    <tableColumn id="3" xr3:uid="{456676C8-542D-4671-9CB1-8080BE415BF0}" name="Non-metro" totalsRowDxfId="35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DBF385F-54E9-47F7-89C0-50D6D15C503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119F08F5-D970-4967-BFC8-5C3CE0677591}" name="Fuel type"/>
    <tableColumn id="2" xr3:uid="{DF7FE105-CF61-4BAC-AFB8-F426E1ECF94D}" name="Unit"/>
    <tableColumn id="3" xr3:uid="{68C4D15B-958F-4F11-B737-69A09BE6E9B8}" name="Input Unit" dataDxfId="356"/>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BFA840-A1BD-4613-89E8-291C5D6B87A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56ECFB7-E9F8-44E3-8D90-4EADE6E021E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EBF7D6F-C44C-453E-848D-C2E820831CB0}" name="Fuel type q" dataDxfId="3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FF3B211-0413-4E72-98FB-550FD70596DC}" name="ECTrans,q (GJ/kL)" dataDxfId="3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D3832F1-26A7-41CB-8FA1-A31F19B09BBC}" name="Scope 1 CO2 EFTran,1,tqg (kg CO2-e/GJ)" dataDxfId="3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F30B90-8F31-42FD-9010-15F92E9B4D0A}" name="Scope 1 CH4 EFTran,1,tgg (kg CO2-e/GJ)" dataDxfId="3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572896E-49A3-44A1-8DBD-BD5C8C474CBC}" name="Scope 1 N2O EFTran,1,tgg (kg CO2-e/GJ)" dataDxfId="3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932A880-C8F4-4EA2-A481-990F31BC93A4}" name="Scope 3 EFTrans,3,q (kg CO2-e/GJ)" dataDxfId="35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B767E073-DBC4-4055-8A92-376C92DAC9F5}"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46D61E0E-8794-47A1-BC08-4691426B1C0D}"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EDC64F76-3006-410A-B26B-6DF85D440370}" name="Layers" dataDxfId="34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33AD3B8-CF78-4BF4-8BBF-6DDDF8F18F13}" name="Meat chicken growers" dataDxfId="34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0DC44FD8-95EF-4D10-BC8C-671A3D267E55}" name="Meat chicken breeder" dataDxfId="34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0E22136A-DA24-4685-AFA9-4CECE520D2B0}" name="Meat other" dataDxfId="346"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5065417-E17F-4A9A-811F-70EA078B2D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321FAB88-9B78-43B8-A5BE-712C67E3E578}"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55788CE0-3B56-4B39-8725-203198D97967}" name="B0" dataDxfId="345"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A465D37-0C57-4DC8-9D13-54BF8BCF99FE}" name="Table_SourceData_PoultryMMS" displayName="Table_SourceData_PoultryMMS" ref="D28:E38" totalsRowShown="0">
  <autoFilter ref="D28:E38" xr:uid="{AF7090B5-6718-41B7-9B26-A00EDB46BAC3}">
    <filterColumn colId="0" hiddenButton="1"/>
    <filterColumn colId="1" hiddenButton="1"/>
  </autoFilter>
  <tableColumns count="2">
    <tableColumn id="1" xr3:uid="{506DD6A3-884F-47C9-95A0-329991A8595E}" name="MMS"/>
    <tableColumn id="2" xr3:uid="{8F824F97-F4F6-45B2-A5B6-353DCAD0E980}" name="Symbol and MMS" dataDxfId="344"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6F6F473-A05D-472A-AEC2-1BA5979BB1C4}" name="Table_SourceData_Poultry_ProductionSystems" displayName="Table_SourceData_Poultry_ProductionSystems" ref="D44:D47" totalsRowShown="0">
  <autoFilter ref="D44:D47" xr:uid="{5810106E-36C6-489E-8962-5DE08C5F2EAC}">
    <filterColumn colId="0" hiddenButton="1"/>
  </autoFilter>
  <tableColumns count="1">
    <tableColumn id="1" xr3:uid="{9CF22791-BB5B-40A6-8D2C-85F13D91E4B7}"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C2FB1A0C-4BE2-4E7D-B336-24FE54C7175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C612FA2-799C-4C49-B0A4-5E0093D710B2}" name="MMS m">
      <calculatedColumnFormula array="1">Common_InputFunctions.Utility_DisplayArrayInTable(SourceData_Poultry.SourceData_Poultry_MCF_Data(), Table_SourceData_Poultry_MMSMCF[[#Headers],[MMS m]], 0)</calculatedColumnFormula>
    </tableColumn>
    <tableColumn id="2" xr3:uid="{4C471221-3EF9-4544-8FC7-6B6476F953E0}" name="All states" dataDxfId="343" dataCellStyle="Content normal">
      <calculatedColumnFormula array="1">Common_InputFunctions.Utility_DisplayArrayInTable(SourceData_Poultry.SourceData_Poultry_MCF_Data(), Table_SourceData_Poultry_MMSMCF[[#Headers],[MMS m]], 0)</calculatedColumnFormula>
    </tableColumn>
    <tableColumn id="3" xr3:uid="{D9E901BA-2693-493E-9F43-D5E7B408FB06}" name="NSW" dataDxfId="342" dataCellStyle="Content normal">
      <calculatedColumnFormula array="1">Common_InputFunctions.Utility_DisplayArrayInTable(SourceData_Poultry.SourceData_Poultry_MCF_Data(), Table_SourceData_Poultry_MMSMCF[[#Headers],[MMS m]], 0)</calculatedColumnFormula>
    </tableColumn>
    <tableColumn id="4" xr3:uid="{E37CAEEA-CC05-4B01-B6BB-EF5BC3EB140D}" name="ACT" dataDxfId="341" dataCellStyle="Content normal">
      <calculatedColumnFormula array="1">Common_InputFunctions.Utility_DisplayArrayInTable(SourceData_Poultry.SourceData_Poultry_MCF_Data(), Table_SourceData_Poultry_MMSMCF[[#Headers],[MMS m]], 0)</calculatedColumnFormula>
    </tableColumn>
    <tableColumn id="5" xr3:uid="{A5CD5339-25D8-4537-854B-74CA576506AC}" name="QLD" dataDxfId="340" dataCellStyle="Content normal">
      <calculatedColumnFormula array="1">Common_InputFunctions.Utility_DisplayArrayInTable(SourceData_Poultry.SourceData_Poultry_MCF_Data(), Table_SourceData_Poultry_MMSMCF[[#Headers],[MMS m]], 0)</calculatedColumnFormula>
    </tableColumn>
    <tableColumn id="6" xr3:uid="{17AB0594-A3E1-460D-BACF-9B511AB9D8A8}" name="NT" dataDxfId="339" dataCellStyle="Content normal">
      <calculatedColumnFormula array="1">Common_InputFunctions.Utility_DisplayArrayInTable(SourceData_Poultry.SourceData_Poultry_MCF_Data(), Table_SourceData_Poultry_MMSMCF[[#Headers],[MMS m]], 0)</calculatedColumnFormula>
    </tableColumn>
    <tableColumn id="7" xr3:uid="{1A2E0296-57E3-4C2E-9A36-17804C954859}" name="VIC" dataDxfId="338" dataCellStyle="Content normal">
      <calculatedColumnFormula array="1">Common_InputFunctions.Utility_DisplayArrayInTable(SourceData_Poultry.SourceData_Poultry_MCF_Data(), Table_SourceData_Poultry_MMSMCF[[#Headers],[MMS m]], 0)</calculatedColumnFormula>
    </tableColumn>
    <tableColumn id="8" xr3:uid="{267038E1-30D9-4F25-AC4A-FC1681E356DE}" name="SA" dataDxfId="337" dataCellStyle="Content normal">
      <calculatedColumnFormula array="1">Common_InputFunctions.Utility_DisplayArrayInTable(SourceData_Poultry.SourceData_Poultry_MCF_Data(), Table_SourceData_Poultry_MMSMCF[[#Headers],[MMS m]], 0)</calculatedColumnFormula>
    </tableColumn>
    <tableColumn id="9" xr3:uid="{E12D4A88-C51B-4B83-AFE4-3192DCEA89AA}" name="WA" dataDxfId="336" dataCellStyle="Content normal">
      <calculatedColumnFormula array="1">Common_InputFunctions.Utility_DisplayArrayInTable(SourceData_Poultry.SourceData_Poultry_MCF_Data(), Table_SourceData_Poultry_MMSMCF[[#Headers],[MMS m]], 0)</calculatedColumnFormula>
    </tableColumn>
    <tableColumn id="10" xr3:uid="{28F3C659-FBBA-4B2B-B478-849C7A2C738F}" name="TAS" dataDxfId="335" dataCellStyle="Content normal">
      <calculatedColumnFormula array="1">Common_InputFunctions.Utility_DisplayArrayInTable(SourceData_Poultry.SourceData_Poultry_MCF_Data(), Table_SourceData_Poultry_MMSMCF[[#Headers],[MMS m]], 0)</calculatedColumnFormula>
    </tableColumn>
    <tableColumn id="11" xr3:uid="{3396127B-01AF-457C-93D4-33D3A1D2ED67}" name="NIR definition" dataDxfId="334"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4DF41D5F-C23E-4569-813B-968EED5E77F0}"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33CDFCD1-1BC9-48D4-AFF8-7C48D9FAC118}" name="MMS"/>
    <tableColumn id="2" xr3:uid="{AE110FBA-CB34-40AA-9F90-94B8C80A2B68}" name="Symbol and MMS" dataDxfId="333"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347ACDA8-23DE-4C65-BA32-DF7A411EC9A6}"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383EFCEA-4B23-4C72-BDC0-D9597A9B85D2}" name="MMS"/>
    <tableColumn id="2" xr3:uid="{BE03992B-BD94-4CA7-9986-5779D02EDA47}" name="Symbol and MMS" dataDxfId="332"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E006354-8427-4CF8-8AA4-FA6F9DE7BD8F}"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E3628AD0-99F2-4EE1-9C33-AD0723AC3D37}" name="MMS">
      <calculatedColumnFormula array="1">Common_InputFunctions.Utility_DisplayArrayInTable(SourceData_Poultry.SourceData_Poultry_VSL_Data(), Table_SourceData_Poultry_MMSVSL[[#Headers],[MMS]], 0)</calculatedColumnFormula>
    </tableColumn>
    <tableColumn id="2" xr3:uid="{AFF6B17E-68AB-44E7-8343-C229C16A2325}" name="VSL" dataDxfId="331" dataCellStyle="Content normal">
      <calculatedColumnFormula array="1">Common_InputFunctions.Utility_DisplayArrayInTable(SourceData_Poultry.SourceData_Poultry_VSL_Data(), Table_SourceData_Poultry_MMSVSL[[#Headers],[MMS]], 0)</calculatedColumnFormula>
    </tableColumn>
    <tableColumn id="3" xr3:uid="{0162C2DD-6EC6-49FC-93FD-695BBD688843}" name="NIR definition" dataDxfId="330"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0B469894-022E-486B-BD25-AF535B1585B0}"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FE38ED51-BAEF-4C13-B6C0-39AED7707206}" name="MMSm">
      <calculatedColumnFormula array="1">Common_InputFunctions.Utility_DisplayArrayInTable(SourceData_Poultry.SourceData_Poultry_FracGASMmT_Data(), Table_SourceData_Poultry_FracGASM[[#Headers],[MMSm]], 0)</calculatedColumnFormula>
    </tableColumn>
    <tableColumn id="2" xr3:uid="{7533CCFD-788E-4255-AC65-6FF8360A6B8A}" name="FracGASMmT" dataDxfId="329" dataCellStyle="Content normal">
      <calculatedColumnFormula array="1">Common_InputFunctions.Utility_DisplayArrayInTable(SourceData_Poultry.SourceData_Poultry_FracGASMmT_Data(), Table_SourceData_Poultry_FracGASM[[#Headers],[MMSm]], 0)</calculatedColumnFormula>
    </tableColumn>
    <tableColumn id="3" xr3:uid="{5756F79C-8731-4C2C-99B8-1291851C7F34}" name="NIR reference" dataDxfId="328"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4ACF707-F52C-430B-A4C0-592E4173F72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BEC1188A-76CE-4814-9F3C-F7B582C3B594}" name="MMSm">
      <calculatedColumnFormula array="1">Common_InputFunctions.Utility_DisplayArrayInTable(SourceData_Poultry.SourceData_Poultry_EFmT_Data(),Table_SourceData_Poultry_EFmT[[#Headers],[MMSm]], 0)</calculatedColumnFormula>
    </tableColumn>
    <tableColumn id="2" xr3:uid="{538CB4F9-55FB-4F25-8088-B378DDD8137C}" name="EFmT" dataDxfId="327" dataCellStyle="Content normal">
      <calculatedColumnFormula array="1">Common_InputFunctions.Utility_DisplayArrayInTable(SourceData_Poultry.SourceData_Poultry_EFmT_Data(),Table_SourceData_Poultry_EFmT[[#Headers],[MMSm]], 0)</calculatedColumnFormula>
    </tableColumn>
    <tableColumn id="3" xr3:uid="{2E1F6587-83FD-4091-BED4-D7602936E03E}" name="NIR reference" dataDxfId="326"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7ADE5081-C1CF-40A7-9446-7907A282CF95}"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81C11626-7A0B-4508-8337-0285E2CBF422}" name="Livestock class j">
      <calculatedColumnFormula array="1">Common_InputFunctions.Utility_DisplayArrayInTable(SourceData_Poultry.SourceData_Poultry_Liveweights_Data(),Table_SourceData_Poultry_Liveweights[[#Headers],[Livestock class j]],0)</calculatedColumnFormula>
    </tableColumn>
    <tableColumn id="2" xr3:uid="{E0BC9C47-BCE7-4DA7-8605-1601405AE4ED}" name="Average liveweight (kg)" dataDxfId="325"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1FAF01F9-1F00-42CF-B4D5-52F98D00F311}" name="Table_SourceData_Poultry_CropProdSystems" displayName="Table_SourceData_Poultry_CropProdSystems" ref="G44:G46" totalsRowShown="0">
  <autoFilter ref="G44:G46" xr:uid="{8EDB544D-AFFC-41EF-8AD9-9AD07200476D}"/>
  <tableColumns count="1">
    <tableColumn id="1" xr3:uid="{92AADCB2-7215-4F76-A099-2851C660A564}"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10A6D905-4521-45D1-87E7-3CFB7579A8A0}" name="Table_SourceData_Poultry_IrrigationMethods" displayName="Table_SourceData_Poultry_IrrigationMethods" ref="J44:J49" totalsRowShown="0">
  <autoFilter ref="J44:J49" xr:uid="{C0841426-764B-45EC-B52F-AFA2B3E2A193}"/>
  <tableColumns count="1">
    <tableColumn id="1" xr3:uid="{CC658A58-6D8E-4691-B169-41C8E91FAC97}"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C85DF2F5-7F0C-4F95-AEC4-0539FD144669}"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18493504-FF51-41B7-A670-1F5D9C7AC5A7}" name="Class">
      <calculatedColumnFormula array="1">Common_InputFunctions.Utility_DisplayArrayInTable(SourceData_Swine.SourceData_Swine_VolatileSolids_Data(), Table_SourceData_Swine_VolatileSolids[[#Headers],[Class]], 0)</calculatedColumnFormula>
    </tableColumn>
    <tableColumn id="2" xr3:uid="{C725129A-DBD8-408D-8B7D-47EBF02F2AB4}" name="VSj" dataDxfId="324"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7B8F17B-95E6-4ADD-89F2-64C9CC098228}"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BD71EFC-6ADE-40A4-A66C-0B37DADE67F6}" name="MMS">
      <calculatedColumnFormula array="1">Common_InputFunctions.Utility_DisplayArrayInTable(SourceData_Swine.SourceData_Swine_MMS_MCFs_Data(),Table_SourceData_Swine_MMSMCF[[#Headers],[MMS]],0)</calculatedColumnFormula>
    </tableColumn>
    <tableColumn id="2" xr3:uid="{BCD5D347-62C9-4DA3-80C6-78338C41D896}" name="NSW" dataDxfId="323" dataCellStyle="Content normal">
      <calculatedColumnFormula array="1">Common_InputFunctions.Utility_DisplayArrayInTable(SourceData_Swine.SourceData_Swine_MMS_MCFs_Data(),Table_SourceData_Swine_MMSMCF[[#Headers],[MMS]],0)</calculatedColumnFormula>
    </tableColumn>
    <tableColumn id="3" xr3:uid="{C690A017-28A3-49C3-BA4F-1EC381658C8C}" name="ACT" dataDxfId="322" dataCellStyle="Content normal">
      <calculatedColumnFormula array="1">Common_InputFunctions.Utility_DisplayArrayInTable(SourceData_Swine.SourceData_Swine_MMS_MCFs_Data(),Table_SourceData_Swine_MMSMCF[[#Headers],[MMS]],0)</calculatedColumnFormula>
    </tableColumn>
    <tableColumn id="4" xr3:uid="{97A533D9-7E2D-41EF-9290-ABCDD56F7B39}" name="QLD" dataDxfId="321" dataCellStyle="Content normal">
      <calculatedColumnFormula array="1">Common_InputFunctions.Utility_DisplayArrayInTable(SourceData_Swine.SourceData_Swine_MMS_MCFs_Data(),Table_SourceData_Swine_MMSMCF[[#Headers],[MMS]],0)</calculatedColumnFormula>
    </tableColumn>
    <tableColumn id="5" xr3:uid="{5768B222-461F-4660-9A5D-D9110FE9EE92}" name="NT" dataDxfId="320" dataCellStyle="Content normal">
      <calculatedColumnFormula array="1">Common_InputFunctions.Utility_DisplayArrayInTable(SourceData_Swine.SourceData_Swine_MMS_MCFs_Data(),Table_SourceData_Swine_MMSMCF[[#Headers],[MMS]],0)</calculatedColumnFormula>
    </tableColumn>
    <tableColumn id="6" xr3:uid="{4B950FA6-407B-4420-81F3-2BF3110712B5}" name="SA" dataDxfId="319" dataCellStyle="Content normal">
      <calculatedColumnFormula array="1">Common_InputFunctions.Utility_DisplayArrayInTable(SourceData_Swine.SourceData_Swine_MMS_MCFs_Data(),Table_SourceData_Swine_MMSMCF[[#Headers],[MMS]],0)</calculatedColumnFormula>
    </tableColumn>
    <tableColumn id="7" xr3:uid="{57851AF8-0BB6-4FE3-AC81-09B56CE3835F}" name="TAS" dataDxfId="318" dataCellStyle="Content normal">
      <calculatedColumnFormula array="1">Common_InputFunctions.Utility_DisplayArrayInTable(SourceData_Swine.SourceData_Swine_MMS_MCFs_Data(),Table_SourceData_Swine_MMSMCF[[#Headers],[MMS]],0)</calculatedColumnFormula>
    </tableColumn>
    <tableColumn id="8" xr3:uid="{DC9A5A27-AC1C-4AD3-A120-845C4058D05C}" name="VIC" dataDxfId="317" dataCellStyle="Content normal">
      <calculatedColumnFormula array="1">Common_InputFunctions.Utility_DisplayArrayInTable(SourceData_Swine.SourceData_Swine_MMS_MCFs_Data(),Table_SourceData_Swine_MMSMCF[[#Headers],[MMS]],0)</calculatedColumnFormula>
    </tableColumn>
    <tableColumn id="9" xr3:uid="{9AE7FEDB-4745-40ED-A44A-37A9DB06AC6F}" name="WA" dataDxfId="316" dataCellStyle="Content normal">
      <calculatedColumnFormula array="1">Common_InputFunctions.Utility_DisplayArrayInTable(SourceData_Swine.SourceData_Swine_MMS_MCFs_Data(),Table_SourceData_Swine_MMSMCF[[#Headers],[MMS]],0)</calculatedColumnFormula>
    </tableColumn>
    <tableColumn id="10" xr3:uid="{C8A3CB1F-2F09-4313-AEA7-2678E2B8D731}" name="NIR definition" dataDxfId="315"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D576C27-B136-4D86-BAEF-652970FBAAA8}" name="Table_SourceData_SwineMMS" displayName="Table_SourceData_SwineMMS" ref="D40:E47" totalsRowShown="0">
  <autoFilter ref="D40:E47" xr:uid="{42F7033B-606B-4A24-9223-A30737FDC1FE}">
    <filterColumn colId="0" hiddenButton="1"/>
    <filterColumn colId="1" hiddenButton="1"/>
  </autoFilter>
  <tableColumns count="2">
    <tableColumn id="1" xr3:uid="{1082C0F3-0385-4F0D-BC51-8E5205C8A118}" name="MMS"/>
    <tableColumn id="2" xr3:uid="{1C9145CB-B44F-46D2-BC92-642A12E00F44}"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29843868-0FB0-4482-88B2-66FA6F63D13B}" name="Table_SourceData_SwineVSL" displayName="Table_SourceData_SwineVSL" ref="D53:E60" totalsRowShown="0">
  <autoFilter ref="D53:E60" xr:uid="{079C074C-6E98-47B5-B4E5-F8A1F12104F2}">
    <filterColumn colId="0" hiddenButton="1"/>
    <filterColumn colId="1" hiddenButton="1"/>
  </autoFilter>
  <tableColumns count="2">
    <tableColumn id="1" xr3:uid="{79EFB8D0-06C0-47AC-B506-2EFF0B3212EC}" name="MMS"/>
    <tableColumn id="2" xr3:uid="{FAB79CE2-CDCE-4ED5-908C-C0B966A3D6C4}"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E37DE3C6-C201-4200-AE61-3532D17E9A1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E86DE1C3-4967-4DAE-9503-A284637BE07A}" name="MMS"/>
    <tableColumn id="2" xr3:uid="{069E811E-A5E1-4C4E-BB30-1ACB6DFFD308}"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84F616A-E017-4A44-A5C2-F1D60805D67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FC57628D-D41C-4971-9A4C-DC6FA5AC7C8D}" name="MMS"/>
    <tableColumn id="2" xr3:uid="{28F53057-A522-48EB-BB90-D15B60763ED7}"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1A77653-4530-47F1-8061-C3DCE949FB41}" name="Table_SourceData_Swine_ProductionSystems" displayName="Table_SourceData_Swine_ProductionSystems" ref="G53:G56" totalsRowShown="0">
  <autoFilter ref="G53:G56" xr:uid="{A6BE3FFD-EB90-45EB-8756-16A72E0C6869}">
    <filterColumn colId="0" hiddenButton="1"/>
  </autoFilter>
  <tableColumns count="1">
    <tableColumn id="1" xr3:uid="{2159DEC9-E5B7-422D-9091-7363CC587E6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507D3582-2EDC-45B2-B7CD-D7B5338319CC}" name="Table_SourceData_Swine_NitrogenInWaste" displayName="Table_SourceData_Swine_NitrogenInWaste" ref="D89:G93" totalsRowShown="0" dataDxfId="314" dataCellStyle="Content normal">
  <autoFilter ref="D89:G93" xr:uid="{61D86DCB-D80D-4593-96F3-A897FC93073F}">
    <filterColumn colId="0" hiddenButton="1"/>
    <filterColumn colId="1" hiddenButton="1"/>
    <filterColumn colId="2" hiddenButton="1"/>
    <filterColumn colId="3" hiddenButton="1"/>
  </autoFilter>
  <tableColumns count="4">
    <tableColumn id="1" xr3:uid="{45BDE086-34D1-4A03-9D34-43E5204241C4}" name="Class" dataDxfId="313" dataCellStyle="Content normal">
      <calculatedColumnFormula array="1">Common_InputFunctions.Utility_DisplayArrayInTable(SourceData_Swine.SourceData_Swine_NitrogenInWaste_Data(), Table_SourceData_Swine_NitrogenInWaste[[#Headers],[Class]], 0)</calculatedColumnFormula>
    </tableColumn>
    <tableColumn id="2" xr3:uid="{A45B13D6-6649-43AD-BE80-DC6C170336AF}" name="NWj" dataDxfId="312" dataCellStyle="Content normal">
      <calculatedColumnFormula array="1">Common_InputFunctions.Utility_DisplayArrayInTable(SourceData_Swine.SourceData_Swine_NitrogenInWaste_Data(), Table_SourceData_Swine_NitrogenInWaste[[#Headers],[Class]], 0)</calculatedColumnFormula>
    </tableColumn>
    <tableColumn id="3" xr3:uid="{2C94EBF1-822A-49B8-9180-E5A0C02AA119}" name="NWj Daily" dataDxfId="311" dataCellStyle="Content normal">
      <calculatedColumnFormula array="1">Common_InputFunctions.Utility_DisplayArrayInTable(SourceData_Swine.SourceData_Swine_NitrogenInWaste_Data(), Table_SourceData_Swine_NitrogenInWaste[[#Headers],[Class]], 0)</calculatedColumnFormula>
    </tableColumn>
    <tableColumn id="4" xr3:uid="{60F1F482-A5F7-4904-8A57-47E4FB25E715}" name="Class name" dataDxfId="310"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08C9C42-B4BF-48F7-8E74-9571BEB33EB4}" name="Table_SourceData_Swine_FeedIntake" displayName="Table_SourceData_Swine_FeedIntake" ref="D78:E82" totalsRowShown="0" dataDxfId="309" dataCellStyle="Content normal">
  <autoFilter ref="D78:E82" xr:uid="{E34928EB-73E5-43B2-830B-089F30DA4EF0}">
    <filterColumn colId="0" hiddenButton="1"/>
    <filterColumn colId="1" hiddenButton="1"/>
  </autoFilter>
  <tableColumns count="2">
    <tableColumn id="1" xr3:uid="{070A5DA4-5A77-42EE-9F2E-0DA9648BCB83}" name="Class" dataDxfId="308" dataCellStyle="Content normal">
      <calculatedColumnFormula array="1">Common_InputFunctions.Utility_DisplayArrayInTable(SourceData_Swine.SourceData_Swine_FeedIntake_Data(), Table_SourceData_Swine_FeedIntake[[#Headers],[Class]], 0)</calculatedColumnFormula>
    </tableColumn>
    <tableColumn id="2" xr3:uid="{E2BEA915-9A0C-4158-8538-8CF58E56EC03}" name="Ij" dataDxfId="307"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82B8942E-6618-4CA2-8784-901164A009A3}"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58C817D5-E972-4ED0-93A7-8FD28EC80AE1}" name="MMSm">
      <calculatedColumnFormula array="1">Common_InputFunctions.Utility_DisplayArrayInTable(SourceData_Swine.SourceData_Swine_FractionNVolatilised_Data(), Table_SourceData_Swine_FracGASM[[#Headers],[MMSm]],0)</calculatedColumnFormula>
    </tableColumn>
    <tableColumn id="2" xr3:uid="{AFD6DE39-26D6-47FC-A807-F46F60884138}" name="FracGASMmT">
      <calculatedColumnFormula array="1">Common_InputFunctions.Utility_DisplayArrayInTable(SourceData_Swine.SourceData_Swine_FractionNVolatilised_Data(), Table_SourceData_Swine_FracGASM[[#Headers],[MMSm]],0)</calculatedColumnFormula>
    </tableColumn>
    <tableColumn id="3" xr3:uid="{A90760B7-E5CE-49FB-AF25-314798E54E3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982835C8-FB98-4104-AEE3-0F9ACF28639A}" name="Table_SourceData_Swine_FracGASM28" displayName="Table_SourceData_Swine_FracGASM28" ref="D111:F117" totalsRowShown="0" dataDxfId="306" dataCellStyle="Content normal">
  <autoFilter ref="D111:F117" xr:uid="{1333872B-E46C-4DC7-8E2D-1F3D704794C8}">
    <filterColumn colId="0" hiddenButton="1"/>
    <filterColumn colId="1" hiddenButton="1"/>
    <filterColumn colId="2" hiddenButton="1"/>
  </autoFilter>
  <tableColumns count="3">
    <tableColumn id="1" xr3:uid="{79BE25D2-AC98-4196-AF5E-88CAF8B33E29}" name="MMSm" dataDxfId="305" dataCellStyle="Content normal">
      <calculatedColumnFormula array="1">Common_InputFunctions.Utility_DisplayArrayInTable(SourceData_Swine.SourceData_Swine_NitrousOxideEFs_Data(), Table_SourceData_Swine_FracGASM28[[#Headers],[MMSm]],0)</calculatedColumnFormula>
    </tableColumn>
    <tableColumn id="2" xr3:uid="{0C0BC0DA-FB98-4206-B3A1-0AA603B124A5}" name="EFmT" dataDxfId="304" dataCellStyle="Content normal">
      <calculatedColumnFormula array="1">Common_InputFunctions.Utility_DisplayArrayInTable(SourceData_Swine.SourceData_Swine_NitrousOxideEFs_Data(), Table_SourceData_Swine_FracGASM28[[#Headers],[MMSm]],0)</calculatedColumnFormula>
    </tableColumn>
    <tableColumn id="3" xr3:uid="{0DDAB840-9014-4495-8307-979CB85708D1}" name="NIR reference" dataDxfId="303"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C7EDAAD8-52F5-46E4-ADDB-8B3D3D9F96D5}" name="Table_SourceData_Swine_CropProdSystems" displayName="Table_SourceData_Swine_CropProdSystems" ref="D8:D10" totalsRowShown="0">
  <autoFilter ref="D8:D10" xr:uid="{1DC3FD95-46BB-428C-8DAB-6CC542C27F2F}">
    <filterColumn colId="0" hiddenButton="1"/>
  </autoFilter>
  <tableColumns count="1">
    <tableColumn id="1" xr3:uid="{9F82257D-B03C-45AA-B9DC-785C80247EE9}"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D4B556ED-677E-487A-9C73-CB49F6C00007}" name="Table_SourceData_Swine_IrrigationMethods" displayName="Table_SourceData_Swine_IrrigationMethods" ref="G8:G13" totalsRowShown="0">
  <autoFilter ref="G8:G13" xr:uid="{AA6B756B-6FF9-48AC-BC54-06A8937EFD12}">
    <filterColumn colId="0" hiddenButton="1"/>
  </autoFilter>
  <tableColumns count="1">
    <tableColumn id="1" xr3:uid="{AA9F7325-DCF3-4AE7-B126-8591E5C6DFDA}"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FC82AA18-56B8-41C3-88BE-E85C3C6601E0}" name="Table_SourceData_Dairy_MMS" displayName="Table_SourceData_Dairy_MMS" ref="D7:E11" totalsRowShown="0">
  <autoFilter ref="D7:E11" xr:uid="{D5C443B2-EDE2-4250-B2EE-016878D19AD9}">
    <filterColumn colId="0" hiddenButton="1"/>
    <filterColumn colId="1" hiddenButton="1"/>
  </autoFilter>
  <tableColumns count="2">
    <tableColumn id="1" xr3:uid="{E8A890AF-9846-42DA-B166-2CDBAE7E9921}" name="MMS"/>
    <tableColumn id="2" xr3:uid="{8110984F-4478-4F00-BBE5-3686BD7AC640}" name="Symbol and MMS" dataDxfId="302"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7A1E993D-6972-4521-A1B8-D941248230CE}" name="Table_SourceData_Dairy_CropProdSystems" displayName="Table_SourceData_Dairy_CropProdSystems" ref="G7:G9" totalsRowShown="0">
  <autoFilter ref="G7:G9" xr:uid="{B6F3FE3A-A0B5-47E7-85B2-8426FB75A7C8}">
    <filterColumn colId="0" hiddenButton="1"/>
  </autoFilter>
  <tableColumns count="1">
    <tableColumn id="1" xr3:uid="{B6BFE7CA-C9A8-4756-AECD-1A6D2C4B1D72}" name="Production system">
      <calculatedColumnFormula>#REF!</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3095E266-208B-40AA-86F0-6FC1E38913C4}" name="Table_SourceData_Dairy_IrrigationMethods" displayName="Table_SourceData_Dairy_IrrigationMethods" ref="J7:J12" totalsRowShown="0">
  <autoFilter ref="J7:J12" xr:uid="{FE172B77-CEA3-430C-84BC-392A64D0B8FF}">
    <filterColumn colId="0" hiddenButton="1"/>
  </autoFilter>
  <tableColumns count="1">
    <tableColumn id="1" xr3:uid="{92A29078-9C43-459B-9EE6-4A5696405FB4}" name="Irrigation method"/>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6B1B4AF9-6538-4BAB-A058-6AD5DCB24835}"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C3E79DB-A4B8-423E-982A-FFEDB4BFC1B5}" name="Breed">
      <calculatedColumnFormula array="1">Common_InputFunctions.Utility_DisplayArrayInTable(SourceData_Dairy.SourceData_Dairy_LiveweightCowsAndHeifers_Data(), Table_SourceData_Dairy_WjCowsHeifers[[#Headers],[Breed]], 0)</calculatedColumnFormula>
    </tableColumn>
    <tableColumn id="2" xr3:uid="{9109B7D2-ABFB-4BBD-A347-D1D154C79AAA}" name="Milking cows" dataDxfId="301" dataCellStyle="Content normal">
      <calculatedColumnFormula array="1">Common_InputFunctions.Utility_DisplayArrayInTable(SourceData_Dairy.SourceData_Dairy_LiveweightCowsAndHeifers_Data(), Table_SourceData_Dairy_WjCowsHeifers[[#Headers],[Breed]], 0)</calculatedColumnFormula>
    </tableColumn>
    <tableColumn id="3" xr3:uid="{5C10E9D8-DC59-4FC0-B30C-29A7BE28067D}" name="Heifers &gt; 1" dataDxfId="300" dataCellStyle="Content normal">
      <calculatedColumnFormula array="1">Common_InputFunctions.Utility_DisplayArrayInTable(SourceData_Dairy.SourceData_Dairy_LiveweightCowsAndHeifers_Data(), Table_SourceData_Dairy_WjCowsHeifers[[#Headers],[Breed]], 0)</calculatedColumnFormula>
    </tableColumn>
    <tableColumn id="4" xr3:uid="{9440E997-0A75-459D-9C34-50A12C81489D}" name="Heifers &lt; 1 (weaned)" dataDxfId="299"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FA9CD4F8-60C5-4A77-9E2F-D3C235C770A8}"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D498294-6B7D-48FE-A45B-E6AD4E26AAAD}" name="Breed">
      <calculatedColumnFormula array="1">Common_InputFunctions.Utility_DisplayArrayInTable(SourceData_Dairy.SourceData_Dairy_LiveweightBulls_Data(), Table_SourceData_Dairy_WjBulls[[#Headers],[Breed]], 0)</calculatedColumnFormula>
    </tableColumn>
    <tableColumn id="2" xr3:uid="{2B56750C-2FB6-450B-A792-D4722130C5CB}" name="Bulls &gt; 1" dataDxfId="298" dataCellStyle="Content normal">
      <calculatedColumnFormula array="1">Common_InputFunctions.Utility_DisplayArrayInTable(SourceData_Dairy.SourceData_Dairy_LiveweightBulls_Data(), Table_SourceData_Dairy_WjBulls[[#Headers],[Breed]], 0)</calculatedColumnFormula>
    </tableColumn>
    <tableColumn id="3" xr3:uid="{2529D91E-07F5-4760-9188-E0AFF183BD9A}" name="Bulls &lt; 1 (weaned)" dataDxfId="297"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CAEAB3E-00CB-4318-B08B-E46F7C0179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4E812AF8-04C7-4A76-944C-7C9A5D8A87B5}" name="Milking cows">
      <calculatedColumnFormula array="1">Common_InputFunctions.Utility_DisplayArrayInTable(SourceData_Dairy.SourceData_Dairy_LiveweightGain_Data(), Table_SourceData_Dairy_LWGj[[#Headers],[Milking cows]], 0)</calculatedColumnFormula>
    </tableColumn>
    <tableColumn id="2" xr3:uid="{CDE3444B-EE6B-4788-85C3-53408D714329}" name="Heifers &gt; 1" dataDxfId="296" dataCellStyle="Content normal">
      <calculatedColumnFormula array="1">Common_InputFunctions.Utility_DisplayArrayInTable(SourceData_Dairy.SourceData_Dairy_LiveweightGain_Data(), Table_SourceData_Dairy_LWGj[[#Headers],[Milking cows]], 0)</calculatedColumnFormula>
    </tableColumn>
    <tableColumn id="3" xr3:uid="{D58010B4-6B87-49BD-9071-FA0D1FE40A36}" name="Heifers &lt; 1 (weaned)" dataDxfId="295" dataCellStyle="Content normal">
      <calculatedColumnFormula array="1">Common_InputFunctions.Utility_DisplayArrayInTable(SourceData_Dairy.SourceData_Dairy_LiveweightGain_Data(), Table_SourceData_Dairy_LWGj[[#Headers],[Milking cows]], 0)</calculatedColumnFormula>
    </tableColumn>
    <tableColumn id="4" xr3:uid="{84AFB612-70CC-4A33-9940-AF1D42DCBC19}" name="Bulls &gt; 1" dataDxfId="294" dataCellStyle="Content normal">
      <calculatedColumnFormula array="1">Common_InputFunctions.Utility_DisplayArrayInTable(SourceData_Dairy.SourceData_Dairy_LiveweightGain_Data(), Table_SourceData_Dairy_LWGj[[#Headers],[Milking cows]], 0)</calculatedColumnFormula>
    </tableColumn>
    <tableColumn id="5" xr3:uid="{05B11EC5-A260-416B-8F63-D7365AB3488F}" name="Bulls &lt; 1 (weaned)" dataDxfId="293"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F3F1B85D-B0A1-489C-8564-15CC46B128B1}" name="Table_SourceData_Dairy_WRj" displayName="Table_SourceData_Dairy_WRj" ref="D54:H55" totalsRowShown="0" headerRowDxfId="292"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141251B3-9581-4A68-8CD3-0BB533AA12FA}"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69792D40-2AD9-4F24-A0C7-08DB6FE30A9D}"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7C5BBA5-CB04-4550-A23E-1BCE6673D246}"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46AE96E-466E-4ECC-B59A-A6FF2CBC7CD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11DBC07-DE78-401B-B0FD-07AFD67CF76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56F8D4B0-7688-4C48-B644-5A16A741C06C}" name="Table_SourceData_Dairy_DataPreWeaned" displayName="Table_SourceData_Dairy_DataPreWeaned" ref="D62:G64" totalsRowShown="0" dataDxfId="291" dataCellStyle="Content normal">
  <autoFilter ref="D62:G64" xr:uid="{968BB314-DB2C-4CA2-BAA9-E66557777E59}">
    <filterColumn colId="0" hiddenButton="1"/>
    <filterColumn colId="1" hiddenButton="1"/>
    <filterColumn colId="2" hiddenButton="1"/>
    <filterColumn colId="3" hiddenButton="1"/>
  </autoFilter>
  <tableColumns count="4">
    <tableColumn id="1" xr3:uid="{262F0DDC-8247-461F-91A0-11EFB22715C0}" name="Animal class j" dataDxfId="290" dataCellStyle="Content normal">
      <calculatedColumnFormula array="1">Common_InputFunctions.Utility_DisplayArrayInTable(SourceData_Dairy.SourceData_Dairy_PreWeanedCalves_Data(), Table_SourceData_Dairy_DataPreWeaned[[#Headers],[Animal class j]], -1)</calculatedColumnFormula>
    </tableColumn>
    <tableColumn id="2" xr3:uid="{2D9EDED7-EFEF-4FDA-B30D-38D7A36ADFF3}" name="CH4 production" dataDxfId="289" dataCellStyle="Content normal">
      <calculatedColumnFormula array="1">Common_InputFunctions.Utility_DisplayArrayInTable(SourceData_Dairy.SourceData_Dairy_PreWeanedCalves_Data(), Table_SourceData_Dairy_DataPreWeaned[[#Headers],[Animal class j]], -1)</calculatedColumnFormula>
    </tableColumn>
    <tableColumn id="3" xr3:uid="{F1B5F525-21EE-4FA4-A0B1-7ADC9F18172A}" name="Volatile solids (VSj=3,5)" dataDxfId="288" dataCellStyle="Content normal">
      <calculatedColumnFormula array="1">Common_InputFunctions.Utility_DisplayArrayInTable(SourceData_Dairy.SourceData_Dairy_PreWeanedCalves_Data(), Table_SourceData_Dairy_DataPreWeaned[[#Headers],[Animal class j]], -1)</calculatedColumnFormula>
    </tableColumn>
    <tableColumn id="4" xr3:uid="{6581D8D6-7E90-41B9-9B39-E3F10AE80F48}" name="Nitrogen Excreted (NPWj=3,5)" dataDxfId="287"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811BD56-BCD6-47EE-8CFC-CFEB1E8AD748}"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1644018-381E-4AE2-A73E-0D1DBE63189C}" name="MMS m">
      <calculatedColumnFormula array="1">Common_InputFunctions.Utility_DisplayArrayInTable(SourceData_Dairy.SourceData_Dairy_MCF_Data(), Table_SourceData_Dairy_MCFjm[[#Headers],[MMS m]], 0)</calculatedColumnFormula>
    </tableColumn>
    <tableColumn id="2" xr3:uid="{C520CD5B-220C-4AD8-8A08-6BC0AE9A1FF4}" name="ACT" dataDxfId="286" dataCellStyle="Content normal">
      <calculatedColumnFormula array="1">Common_InputFunctions.Utility_DisplayArrayInTable(SourceData_Dairy.SourceData_Dairy_MCF_Data(), Table_SourceData_Dairy_MCFjm[[#Headers],[MMS m]], 0)</calculatedColumnFormula>
    </tableColumn>
    <tableColumn id="3" xr3:uid="{051AD914-7DC3-46D5-9836-27902E9C3BAD}" name="NSW" dataDxfId="285" dataCellStyle="Content normal">
      <calculatedColumnFormula array="1">Common_InputFunctions.Utility_DisplayArrayInTable(SourceData_Dairy.SourceData_Dairy_MCF_Data(), Table_SourceData_Dairy_MCFjm[[#Headers],[MMS m]], 0)</calculatedColumnFormula>
    </tableColumn>
    <tableColumn id="4" xr3:uid="{D2A955DE-707E-49C3-A3E6-4D54FC2AFDB7}" name="NT" dataDxfId="284" dataCellStyle="Content normal">
      <calculatedColumnFormula array="1">Common_InputFunctions.Utility_DisplayArrayInTable(SourceData_Dairy.SourceData_Dairy_MCF_Data(), Table_SourceData_Dairy_MCFjm[[#Headers],[MMS m]], 0)</calculatedColumnFormula>
    </tableColumn>
    <tableColumn id="5" xr3:uid="{A68E04AF-0273-4A46-8F59-6BFB7368CBBA}" name="QLD" dataDxfId="283" dataCellStyle="Content normal">
      <calculatedColumnFormula array="1">Common_InputFunctions.Utility_DisplayArrayInTable(SourceData_Dairy.SourceData_Dairy_MCF_Data(), Table_SourceData_Dairy_MCFjm[[#Headers],[MMS m]], 0)</calculatedColumnFormula>
    </tableColumn>
    <tableColumn id="6" xr3:uid="{6130DB63-E338-4D80-A264-C1337EA43852}" name="SA" dataDxfId="282" dataCellStyle="Content normal">
      <calculatedColumnFormula array="1">Common_InputFunctions.Utility_DisplayArrayInTable(SourceData_Dairy.SourceData_Dairy_MCF_Data(), Table_SourceData_Dairy_MCFjm[[#Headers],[MMS m]], 0)</calculatedColumnFormula>
    </tableColumn>
    <tableColumn id="7" xr3:uid="{4686B8BF-E23D-418F-9FF6-C850E5709A82}" name="TAS" dataDxfId="281" dataCellStyle="Content normal">
      <calculatedColumnFormula array="1">Common_InputFunctions.Utility_DisplayArrayInTable(SourceData_Dairy.SourceData_Dairy_MCF_Data(), Table_SourceData_Dairy_MCFjm[[#Headers],[MMS m]], 0)</calculatedColumnFormula>
    </tableColumn>
    <tableColumn id="8" xr3:uid="{68B73B9E-CD96-4FF0-B4E7-8A83D0FCD3A6}" name="VIC" dataDxfId="280" dataCellStyle="Content normal">
      <calculatedColumnFormula array="1">Common_InputFunctions.Utility_DisplayArrayInTable(SourceData_Dairy.SourceData_Dairy_MCF_Data(), Table_SourceData_Dairy_MCFjm[[#Headers],[MMS m]], 0)</calculatedColumnFormula>
    </tableColumn>
    <tableColumn id="9" xr3:uid="{7201A2BF-13E2-4C72-845C-42E660B746A5}" name="WA" dataDxfId="279" dataCellStyle="Content normal">
      <calculatedColumnFormula array="1">Common_InputFunctions.Utility_DisplayArrayInTable(SourceData_Dairy.SourceData_Dairy_MCF_Data(), Table_SourceData_Dairy_MCFjm[[#Headers],[MMS m]], 0)</calculatedColumnFormula>
    </tableColumn>
    <tableColumn id="10" xr3:uid="{7C85C687-22FD-4A52-BBFD-AE6CBA952FDC}" name="NIR reference" dataDxfId="278"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C85F6507-6573-49F6-842F-BAF33AEB45EC}"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9F12896B-F4B7-4AA3-8804-DCAAF3451B6D}" name="MMS m">
      <calculatedColumnFormula array="1">Common_InputFunctions.Utility_DisplayArrayInTable(SourceData_Dairy.SourceData_Dairy_NitrousOxideEFsAndFracGASM_Data(), Table_SourceData_Dairy_EFmFracGASM[[#Headers],[MMS m]], 0)</calculatedColumnFormula>
    </tableColumn>
    <tableColumn id="2" xr3:uid="{7DFA8E1A-3464-46C7-8C54-C4E1A42BE380}" name="EFm" dataDxfId="277" dataCellStyle="Content normal">
      <calculatedColumnFormula array="1">Common_InputFunctions.Utility_DisplayArrayInTable(SourceData_Dairy.SourceData_Dairy_NitrousOxideEFsAndFracGASM_Data(), Table_SourceData_Dairy_EFmFracGASM[[#Headers],[MMS m]], 0)</calculatedColumnFormula>
    </tableColumn>
    <tableColumn id="3" xr3:uid="{01066B3A-8F9B-4D69-89C5-B35E5A182A81}" name="FracGASMm" dataDxfId="276" dataCellStyle="Content normal">
      <calculatedColumnFormula array="1">Common_InputFunctions.Utility_DisplayArrayInTable(SourceData_Dairy.SourceData_Dairy_NitrousOxideEFsAndFracGASM_Data(), Table_SourceData_Dairy_EFmFracGASM[[#Headers],[MMS m]], 0)</calculatedColumnFormula>
    </tableColumn>
    <tableColumn id="4" xr3:uid="{BBA9D6FE-F9E3-451B-8340-4690A9D36A23}" name="NIR reference" dataDxfId="275"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EDD2D85-E02D-473C-AC7B-292F7DD012F7}"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93F9F05C-24C9-480A-BD0C-6B862EA89BC2}"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CCC2BAF-D290-4864-AC0E-3100E2FFF724}" name="MPW ENTERIC" dataDxfId="274"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F0C822E0-1B36-44AE-8BC0-354902CA29D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6E7F29E-51CE-4C6F-89BF-E1545E3FCC22}" name="Animal class j">
      <calculatedColumnFormula array="1">Common_InputFunctions.Utility_DisplayArrayInTable(SourceData_Dairy.SourceData_Dairy_IncreasedMetabolicRateMilk_Data(), Table_SourceData_Dairy_MRj[[#Headers],[Animal class j]], 0)</calculatedColumnFormula>
    </tableColumn>
    <tableColumn id="2" xr3:uid="{0BE9C84D-68D5-4F35-BF07-3E4ABD2369CD}" name="MRj" dataDxfId="273"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3ADA4E68-0F3A-40EC-B545-5A40B7039B29}"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B3DD8A-016F-4B2F-8F3B-26C93224F32B}" name="Area">
      <calculatedColumnFormula array="1">Common_InputFunctions.Utility_DisplayArrayInTable(SourceData_Dairy.SourceData_Dairy_FractionVolatileSolidsVoidedMMS_Data(), Table_SourceData_Dairy_ProductionSystemTemplates[[#Headers],[Area]], 0)</calculatedColumnFormula>
    </tableColumn>
    <tableColumn id="2" xr3:uid="{DB0D7127-0AAE-4A00-BE02-49136DD5C813}" name="Pasture" dataDxfId="27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B5C3144-8AA0-4DB4-906A-12F8BFCB084E}" name="Milking shed" dataDxfId="27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6273B409-408D-4D62-A3AC-5AA72E16F3D5}" name="Feedpad" dataDxfId="27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B780EF83-3E5E-4EB0-AF35-88532A15399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5E2D142-3747-4684-BFDB-9161E2B951FB}" name="MMS m">
      <calculatedColumnFormula array="1">Common_InputFunctions.Utility_DisplayArrayInTable(SourceData_Dairy.SourceData_Dairy_EFNitrousOxidePerMMS_Data(), Table_SourceData_Dairy_EFm[[#Headers],[MMS m]], 0)</calculatedColumnFormula>
    </tableColumn>
    <tableColumn id="2" xr3:uid="{EA088719-BB82-4821-BB56-A314B830ED7D}" name="EFm" dataDxfId="269" dataCellStyle="Content normal">
      <calculatedColumnFormula array="1">Common_InputFunctions.Utility_DisplayArrayInTable(SourceData_Dairy.SourceData_Dairy_EFNitrousOxidePerMMS_Data(), Table_SourceData_Dairy_EFm[[#Headers],[MMS m]], 0)</calculatedColumnFormula>
    </tableColumn>
    <tableColumn id="3" xr3:uid="{1A0FB567-AA76-47ED-9228-01F29B56C984}" name="NIR reference" dataDxfId="268"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90409F3-F7FA-4C93-AF1B-30D1BA5E277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6543E9C-5380-429A-9912-3F3791C60117}" name="Animal class j">
      <calculatedColumnFormula array="1">Common_InputFunctions.Utility_DisplayArrayInTable(SourceData_Dairy.SourceData_Dairy_DurationOfStay_Data(), Table_SourceData_Dairy_Duration[[#Headers],[Animal class j]], 0)</calculatedColumnFormula>
    </tableColumn>
    <tableColumn id="2" xr3:uid="{2822A62D-AD43-43B2-BA97-CE0CA0A43E3A}" name="Duration (weaned)" dataDxfId="267" dataCellStyle="Content normal">
      <calculatedColumnFormula array="1">Common_InputFunctions.Utility_DisplayArrayInTable(SourceData_Dairy.SourceData_Dairy_DurationOfStay_Data(), Table_SourceData_Dairy_Duration[[#Headers],[Animal class j]], 0)</calculatedColumnFormula>
    </tableColumn>
    <tableColumn id="3" xr3:uid="{276C1038-1DDF-47FB-919A-DAAA1FE8E8A4}" name="Duration (pre-weaned)" dataDxfId="266"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D82B021-430D-4BEF-9E1A-C7D54E095886}" name="Table_SourceData_PastureBeef_CropProdSystems" displayName="Table_SourceData_PastureBeef_CropProdSystems" ref="D7:D9" totalsRowShown="0">
  <autoFilter ref="D7:D9" xr:uid="{B6F3FE3A-A0B5-47E7-85B2-8426FB75A7C8}">
    <filterColumn colId="0" hiddenButton="1"/>
  </autoFilter>
  <tableColumns count="1">
    <tableColumn id="1" xr3:uid="{2A73F18D-25CE-42ED-BEC5-65EA631747B0}" name="Production system">
      <calculatedColumnFormula>#REF!</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3A6C177-4668-47BC-B738-D43DD899389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D23FE23-5448-4568-A6AD-EE951E8A54DE}" name="Irrigation method"/>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D2E0FAB-EFE2-46D1-A8EE-14895BA757A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9118E-6ADE-495F-8F76-40234D3781E0}" name="State">
      <calculatedColumnFormula array="1">Common_InputFunctions.Utility_DisplayArrayInTable(SourceData_PastureBeef.SourceData_PastureBeef_Liveweight_Data(), Table_SourceData_PastureBeef_Liveweight[[#Headers],[State]], 0)</calculatedColumnFormula>
    </tableColumn>
    <tableColumn id="2" xr3:uid="{A66543BF-BF84-45AC-AA0B-B9906FC87566}" name="Region" dataDxfId="26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C0D3518-35BB-44CE-AE5B-912BDFB9EBB7}" name="Season" dataDxfId="26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BBF3FD0-3586-4BE3-B11F-49D3EFCD1232}" name="Bull &lt; 1" dataDxfId="26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948FEF8-0E83-4E53-8873-B02F1A0921B6}" name="Bull &gt; 1" dataDxfId="26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C7B5096-72F6-44F9-B79B-8044B4990214}" name="Cow &lt; 1" dataDxfId="26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4CB187B-8008-45BA-9EAF-86EA2042D761}" name="Cow 1-2" dataDxfId="26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77CFBF69-0F50-486F-B9FA-00EFC96F4078}" name="Cow &gt; 2" dataDxfId="25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370F665-2852-4D3C-A8DF-6BEB1DAAB96A}" name="Steer &lt; 1" dataDxfId="25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EB81762E-1FDB-4E77-B329-4AA1625D07AB}" name="Steer &gt; 1" dataDxfId="25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BEEFBCC-E4FC-4078-9014-61B68B87A3FE}"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50189C0-5BC7-4942-8501-B445F937ABAF}" name="State">
      <calculatedColumnFormula array="1">Common_InputFunctions.Utility_DisplayArrayInTable(SourceData_PastureBeef.SourceData_PastureBeef_LiveweightNTQLD_Data(),Table_SourceData_PastureBeef_LiveweightNTQD[[#Headers],[State]], 0)</calculatedColumnFormula>
    </tableColumn>
    <tableColumn id="2" xr3:uid="{A13868B4-1427-4A18-9956-48954E67894E}" name="Region" dataDxfId="25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1393044B-89FD-4C0D-A22A-A2FA3D985775}" name="Season" dataDxfId="2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32E5AC9-84A3-400B-941A-B7C74FC62B87}" name="Bull &lt;1" dataDxfId="2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4EE9314D-5D3D-4200-8281-1EA18468C816}" name="Bull &gt;1" dataDxfId="2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88A2FF3E-AF19-4121-B889-19AE12D8255F}" name="Cows &lt;1" dataDxfId="2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8BC5CD70-DD15-420B-982B-B1ADAB5BEB7B}" name="Cows 1-2" dataDxfId="2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414E355-B36F-4F64-87C2-10AFA3F1A861}" name="Cows 2-3" dataDxfId="2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AEB9666-4898-4BA7-87C6-EE1612810AD2}" name="Cows &gt;3" dataDxfId="2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9638D75-888A-44AD-9360-4FA021F917DF}" name="Steer &lt;1" dataDxfId="2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61E0B1D3-C34C-4F9B-841E-46EEBF5930FE}" name="Steer 1-2" dataDxfId="2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5F66C63-500D-4C60-AB1B-631233483809}" name="Steer 2-3" dataDxfId="2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4F58BC39-B862-4EC7-B0E7-467934F1801D}" name="Steer &gt;3" dataDxfId="24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36BC9AC-99AD-44D2-B428-EC61CD7299E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3567A3E-84B3-427D-B1F2-E0C84630E4AB}" name="State"/>
    <tableColumn id="2" xr3:uid="{49E50501-A977-4DC8-8227-5C7DCAF2DA5D}" name="Region">
      <calculatedColumnFormula>E22</calculatedColumnFormula>
    </tableColumn>
    <tableColumn id="3" xr3:uid="{098AB665-CF9D-46CC-93A8-2C3FCE2A4B84}" name="Season">
      <calculatedColumnFormula>F22</calculatedColumnFormula>
    </tableColumn>
    <tableColumn id="4" xr3:uid="{6BA0CD88-B24B-4BB1-86BF-D28B233FE6F7}" name="Bulls &lt; 1 year">
      <calculatedColumnFormula>G22</calculatedColumnFormula>
    </tableColumn>
    <tableColumn id="5" xr3:uid="{ED45F866-5683-483D-82BA-5230C58A138B}" name="Bulls &gt; 1 year">
      <calculatedColumnFormula>H22</calculatedColumnFormula>
    </tableColumn>
    <tableColumn id="6" xr3:uid="{42A0CADD-281E-4D32-9A4B-7747CCDCD8A5}" name="Cows &lt; 1 year">
      <calculatedColumnFormula>I22</calculatedColumnFormula>
    </tableColumn>
    <tableColumn id="7" xr3:uid="{F444D1A6-4A8F-4DF6-85A8-E2A1EF6F8ED4}" name="Cows 1-2 years">
      <calculatedColumnFormula>J22</calculatedColumnFormula>
    </tableColumn>
    <tableColumn id="8" xr3:uid="{8F043A6B-E862-4713-A0B2-99F7C3FFAE60}" name="Cows 2-3 years">
      <calculatedColumnFormula>K22</calculatedColumnFormula>
    </tableColumn>
    <tableColumn id="9" xr3:uid="{608A5D25-A8E3-4A8A-8DAB-005C95EC7D25}" name="Cows &gt; 3 years">
      <calculatedColumnFormula>L22</calculatedColumnFormula>
    </tableColumn>
    <tableColumn id="10" xr3:uid="{D6B540A4-4576-4DBF-918C-8AFE54B625EA}" name="Steers &lt; 1 year">
      <calculatedColumnFormula>M22</calculatedColumnFormula>
    </tableColumn>
    <tableColumn id="11" xr3:uid="{41B924F1-D172-453F-9877-8E840510162F}" name="Steers 1-2 years">
      <calculatedColumnFormula>N22</calculatedColumnFormula>
    </tableColumn>
    <tableColumn id="12" xr3:uid="{CB7409B0-C833-4137-9C9D-DFBC2707EC93}" name="Steers 2-3 years">
      <calculatedColumnFormula>#REF!</calculatedColumnFormula>
    </tableColumn>
    <tableColumn id="13" xr3:uid="{9339E621-062B-4EA7-86C2-81C808DFAA28}" name="Steers &gt;3 years">
      <calculatedColumnFormula>P22</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4F00271-C648-40B5-B9B7-98CC65FB2BA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81F29028-1320-4474-8CF0-158464978140}"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85879B0-342B-474B-94E4-195C85164FD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D40F9513-69F7-4E78-B255-CA420C5BC6C4}"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CC578583-E8F6-4658-8557-9948DD1BC93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A11F315-C71C-4D40-BA33-1D77D2119486}"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1EACE79E-3020-4CC8-98EA-BC564DF01A5F}" name="Table_SourceData_PastureBeef_Region_Victoria" displayName="Table_SourceData_PastureBeef_Region_Victoria" ref="S7:S8" totalsRowShown="0">
  <autoFilter ref="S7:S8" xr:uid="{7D474D93-C1E0-4898-A434-69585070D0B9}">
    <filterColumn colId="0" hiddenButton="1"/>
  </autoFilter>
  <tableColumns count="1">
    <tableColumn id="1" xr3:uid="{F43D2B67-D0E2-40E0-B716-1E5966803F82}"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15D2E20B-F1D0-46A5-B4A3-026E200F25CA}"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50BDEC8B-C11D-4059-AE57-C5AFAF3278BA}"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00CA43A-13E3-492D-A89E-D58E39F7529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8B3B5E1C-10FE-4E46-9AF1-01338688E1C2}"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5923B0B-3E55-4DA4-A117-96ADD0F44622}" name="Table_SourceData_PastureBeef_Region_Tasmania" displayName="Table_SourceData_PastureBeef_Region_Tasmania" ref="S22:S23" totalsRowShown="0">
  <autoFilter ref="S22:S23" xr:uid="{4E5A7E40-F6AE-4323-873A-9AB20571A18A}">
    <filterColumn colId="0" hiddenButton="1"/>
  </autoFilter>
  <tableColumns count="1">
    <tableColumn id="1" xr3:uid="{A0B14B02-007B-49F0-8A50-D50A9F0DB05D}"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339A4D6-9107-4BE9-88EA-572E7581BDA6}" name="Table_SourceData_PastureBeef_Region_ACT" displayName="Table_SourceData_PastureBeef_Region_ACT" ref="S27:S28" totalsRowShown="0">
  <autoFilter ref="S27:S28" xr:uid="{3655B7FD-A2CC-4B05-9668-16F7A54ED6C1}">
    <filterColumn colId="0" hiddenButton="1"/>
  </autoFilter>
  <tableColumns count="1">
    <tableColumn id="1" xr3:uid="{A565EFDF-4C86-4EB8-A03A-ED0E675E9B4A}"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A514496-AB0E-46C3-930C-AA8AAD5161D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C146671-7151-4147-9947-6B31D2556B56}" name="State">
      <calculatedColumnFormula array="1">Common_InputFunctions.Utility_DisplayArrayInTable(SourceData_PastureBeef.SourceData_PastureBeef_LiveweightGain_Data(), Table_SourceData_PastureBeef_LiveweightGain[[#Headers],[State]],0)</calculatedColumnFormula>
    </tableColumn>
    <tableColumn id="2" xr3:uid="{56023DEE-383C-4C1B-8A44-7CACA6BA2485}" name="Region" dataDxfId="24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5CEE0B93-AF7E-44D2-8BC0-38B543420AE7}" name="Season" dataDxfId="2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787923F6-277D-45DA-97AB-E7F082F2430B}" name="Bull &lt;1" dataDxfId="2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A46837F-72C0-4AE1-9CA3-2803066F50BE}" name="Bull &gt;1" dataDxfId="2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F67B146D-FE34-4916-9245-968BA430BA2A}" name="Cow &lt;1" dataDxfId="24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E0582A9-9AE8-40E7-8EB7-1A8763FE992D}" name="Cow 1-2" dataDxfId="23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7F30A6C-8D15-4EC6-B126-8AAC00B1D3DE}" name="Cow &gt;2" dataDxfId="2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FAC59FAF-F50B-4764-A4B9-CEE7844401C6}" name="Steer &lt;1" dataDxfId="23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26809FEB-7772-413E-9A30-8DA05A0FA45B}" name="Steer &gt;1" dataDxfId="23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23E2AAAE-0A27-48E9-A9E9-CE9A8C20928A}"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15011C2-B6ED-41DC-9193-4248D234A84C}" name="State">
      <calculatedColumnFormula array="1">Common_InputFunctions.Utility_DisplayArrayInTable(SourceData_PastureBeef.SourceData_PastureBeef_LiveweightGainNTQLD_Data(),Table_SourceData_PastureBeef_LiveweightGainNTQLD[[#Headers],[State]],0)</calculatedColumnFormula>
    </tableColumn>
    <tableColumn id="2" xr3:uid="{1572BFD7-9733-4844-8A73-E5563DBDDF42}" name="Region" dataDxfId="23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7EFD8F6-31C7-4421-8791-40BAED8A19D6}" name="Season" dataDxfId="2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5A789F-1204-4FE6-9417-53EF67FD241E}" name="Bull &lt;1" dataDxfId="2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18C4DE6-CE52-40FA-9D5A-8C8ED49EB535}" name="Bull &gt;1" dataDxfId="2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F3C9563-A483-4B31-9A44-7D615CB09BC3}" name="Cow &lt;1" dataDxfId="2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C017C18-C0D0-46C8-87DE-35866461E8B0}" name="Cow 1-2" dataDxfId="2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4B61FC-D763-45BC-80F4-65029B1CE355}" name="Cow 2-3" dataDxfId="2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11A8EF6-5900-4ACC-83EA-44C6FF47BF34}" name="Cow &gt;3" dataDxfId="2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6F631DC-4633-4C09-B089-D7C1FF6C3A28}" name="Steer &lt;1" dataDxfId="2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57DDB5B-A0AB-43E8-BFB3-D22E162E236D}" name="Steer 1-2" dataDxfId="2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23FFCAE-C873-4354-A943-E79B75F539CD}" name="Steer 2-3" dataDxfId="2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B210A10-6923-4FC8-91ED-954353433220}" name="Steer &gt;3" dataDxfId="2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978B9968-BCAF-4A19-9C7B-D39AAC272407}"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AF33353-46E1-4637-BC25-8EACBDBC0CED}" name="State"/>
    <tableColumn id="2" xr3:uid="{3A779565-023E-462F-B29F-9E93A0E30AED}" name="Region">
      <calculatedColumnFormula>E159</calculatedColumnFormula>
    </tableColumn>
    <tableColumn id="3" xr3:uid="{9692B987-E5D8-4410-BA85-DAFEF9E200AB}" name="Season">
      <calculatedColumnFormula>F159</calculatedColumnFormula>
    </tableColumn>
    <tableColumn id="4" xr3:uid="{397A7FDE-AE68-472D-BEDD-01574766AA72}" name="Bulls &lt; 1 year">
      <calculatedColumnFormula>G159</calculatedColumnFormula>
    </tableColumn>
    <tableColumn id="5" xr3:uid="{F72B75EE-A140-467F-8EB4-635842165578}" name="Bulls &gt; 1 year">
      <calculatedColumnFormula>H159</calculatedColumnFormula>
    </tableColumn>
    <tableColumn id="6" xr3:uid="{B600DB83-C519-4BB8-85C3-1F635DA42204}" name="Cows &lt; 1 year">
      <calculatedColumnFormula>I159</calculatedColumnFormula>
    </tableColumn>
    <tableColumn id="7" xr3:uid="{510F6108-77A5-44B3-8D75-CE7B029B0CDA}" name="Cows 1-2 years">
      <calculatedColumnFormula>J159</calculatedColumnFormula>
    </tableColumn>
    <tableColumn id="8" xr3:uid="{0AD4F4B2-F467-4B97-93DA-FA6A4CF6EB8E}" name="Cows 2-3 years">
      <calculatedColumnFormula>K159</calculatedColumnFormula>
    </tableColumn>
    <tableColumn id="9" xr3:uid="{1963A824-81CC-412B-8A44-C678BF458157}" name="Cows &gt; 3 years">
      <calculatedColumnFormula>L159</calculatedColumnFormula>
    </tableColumn>
    <tableColumn id="10" xr3:uid="{915DF40C-EADB-4964-BD49-04618EA70B79}" name="Steers &lt; 1 year">
      <calculatedColumnFormula>M159</calculatedColumnFormula>
    </tableColumn>
    <tableColumn id="11" xr3:uid="{D6FF5CFC-2173-4FC3-8F70-72159D4D7CA0}" name="Steers 1-2 years">
      <calculatedColumnFormula>N159</calculatedColumnFormula>
    </tableColumn>
    <tableColumn id="12" xr3:uid="{18E7049B-C5EA-4E33-B406-E10202B69C49}" name="Steers 2-3 years">
      <calculatedColumnFormula>O159</calculatedColumnFormula>
    </tableColumn>
    <tableColumn id="13" xr3:uid="{427864BC-CF57-4A7C-9301-5D4F204D5CED}" name="Steers &gt;3 years">
      <calculatedColumnFormula>P159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94EA1EC-A36A-4CFE-9EAD-48F6E55B5925}"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9A0F4A0-0FB3-4AC9-9C32-F48033F518D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417F20F-9216-4848-A952-C2AAD2BB9890}" name="Region" dataDxfId="22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BED2CB00-1A4E-4315-A4AE-66773645CBAA}" name="Spring" dataDxfId="22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247FF7BB-F220-47EE-BD02-EBE20A9D6158}" name="Summer" dataDxfId="22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80F6F6E5-FE31-44ED-B949-2482DDEAB1BE}" name="Autumn" dataDxfId="22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90EA3BD-AA2E-4C4C-AE7E-C169247C0B61}" name="Winter" dataDxfId="21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35042CC3-A28A-430F-8B1B-512DF090B260}" name="Table_SourceData_PastureBeef_CrudeProtein" displayName="Table_SourceData_PastureBeef_CrudeProtein" ref="D313:I328" totalsRowShown="0" dataDxfId="21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736EE4E2-845F-4FEC-9A0C-ADC853C042D1}" name="State" dataDxfId="21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09060B1-05BC-45D3-98C7-3D9660663F7A}" name="Region" dataDxfId="2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1C972F9D-09ED-4636-B5E7-11A5BCF5305D}" name="Spring" dataDxfId="21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45958B65-79B2-4BD8-9700-511350665C5D}" name="Summer" dataDxfId="21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B2AB9C1-522C-476B-BB45-58B3CE405EA3}" name="Autumn" dataDxfId="21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656412EB-00BF-4CA6-9C32-5A046160ED75}" name="Winter" dataDxfId="21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1C8CCC08-3B6C-4CA5-B0FD-F72113C0DBF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AF7705A-0B05-4B8B-87C6-D2FBDA6A989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0E5A1340-609D-4A56-875D-12E309FAFC7A}" name="Season" dataDxfId="21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F2555534-4FB1-4D67-A7A7-ADC944475BDB}" name="Feed adjustment" dataDxfId="21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BF6FC6B-3801-4A38-88ED-DE3AEE9B13F6}" name="Milk intake/production" dataDxfId="20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CF376F9-75DD-41F8-BFD3-C8D7A41ABE89}"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A3A4DC4-CD57-4486-9E1E-003BD3F131B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C7D878C-3144-461D-9559-4F722A22EAC5}" name="Bulls &lt;1" dataDxfId="20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26125DB1-9AAD-4573-B0A7-D09E6313747D}" name="Bulls &gt;1" dataDxfId="2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66CF3B3-4B87-4E88-8469-38FE5CC9C188}" name="Cows &lt;1" dataDxfId="2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CEDECA9-3CAA-4BC5-8F76-6B96399BC140}" name="Cows 1-2" dataDxfId="2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25C2331-B9E1-41C0-9611-1D7D1D127904}" name="Cows &gt;2" dataDxfId="20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9EEEBCED-9316-48B3-909D-B76474A8F396}" name="Steer &lt;1" dataDxfId="20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1800002-1BB7-45C7-B8F7-891440FD982F}" name="Steer &gt;1" dataDxfId="2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B06FE75-EBCE-4CB0-AC8C-DF75381E0FF3}" name="State abbreviation" dataDxfId="20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CA48566-F409-4F7C-AA70-88FE32384AB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CE42A65-F975-42AE-9C09-0C032FEC1A54}" name="State" dataDxfId="200" dataCellStyle="Content normal">
      <calculatedColumnFormula>D351</calculatedColumnFormula>
    </tableColumn>
    <tableColumn id="2" xr3:uid="{E89D7C7D-7543-4947-9D4E-78532E03F95C}" name="Bulls &lt; 1 year" dataDxfId="199" dataCellStyle="Content normal">
      <calculatedColumnFormula>E351</calculatedColumnFormula>
    </tableColumn>
    <tableColumn id="3" xr3:uid="{EA042284-DED8-4BCC-8C64-F6A3EA3A72BC}" name="Bulls &gt; 1 year" dataDxfId="198" dataCellStyle="Content normal">
      <calculatedColumnFormula>F351</calculatedColumnFormula>
    </tableColumn>
    <tableColumn id="4" xr3:uid="{DEEF68DB-E6A3-441C-B2F6-F21EA9C21B80}" name="Cows &lt; 1 year" dataDxfId="197" dataCellStyle="Content normal">
      <calculatedColumnFormula>G351</calculatedColumnFormula>
    </tableColumn>
    <tableColumn id="5" xr3:uid="{B2378F01-F7E7-4B1D-AAA1-3222B7103645}" name="Cows 1-2 years" dataDxfId="196" dataCellStyle="Content normal">
      <calculatedColumnFormula>H351</calculatedColumnFormula>
    </tableColumn>
    <tableColumn id="6" xr3:uid="{42C18EDC-CB4B-4033-AE63-7D3E52772E4D}" name="Cows 2-3 years" dataDxfId="195" dataCellStyle="Content normal">
      <calculatedColumnFormula>I351</calculatedColumnFormula>
    </tableColumn>
    <tableColumn id="7" xr3:uid="{3C471A7A-F02E-4CF5-AF3C-D76D8F0C05FF}" name="Cows &gt; 3 years" dataDxfId="194" dataCellStyle="Content normal">
      <calculatedColumnFormula>I351</calculatedColumnFormula>
    </tableColumn>
    <tableColumn id="8" xr3:uid="{02AA85FB-38BF-4DB4-8CEC-5920FDD6CCF0}" name="Steers &lt; 1 year" dataDxfId="193" dataCellStyle="Content normal">
      <calculatedColumnFormula>J351</calculatedColumnFormula>
    </tableColumn>
    <tableColumn id="9" xr3:uid="{2F245764-9CA2-4B41-92BF-64F9438B0B16}" name="Steers 1-2 years" dataDxfId="192" dataCellStyle="Content normal">
      <calculatedColumnFormula>K351</calculatedColumnFormula>
    </tableColumn>
    <tableColumn id="10" xr3:uid="{AEA8FE2B-897E-4311-9AA9-2D104D25663D}" name="Steers 2-3 years" dataDxfId="191" dataCellStyle="Content normal">
      <calculatedColumnFormula>K351</calculatedColumnFormula>
    </tableColumn>
    <tableColumn id="11" xr3:uid="{4AEB3629-E569-4AA2-B135-BC9310F921FA}" name="Steers &gt;3 years" dataDxfId="190" dataCellStyle="Content normal">
      <calculatedColumnFormula>K351</calculatedColumnFormula>
    </tableColumn>
    <tableColumn id="12" xr3:uid="{3561B4C8-E3D2-4FE9-A84C-5DA20EF6E8C2}" name="State abbreviation" dataDxfId="189" dataCellStyle="Content normal">
      <calculatedColumnFormula>L351</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DE3D9ABB-0B3B-4581-A7DA-9D160623974F}"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1EDA295-936B-46B8-909E-80179AFDB28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8CDC48-1E9B-45A0-82EC-298189239B29}" name="Region" dataDxfId="18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59B3356-A0F7-46E2-9712-300AD6D49A5A}" name="Pasture range and paddock" dataDxfId="18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68DF343-FF55-4C1C-966B-FED14FE4A5DA}" name="Uncovered Anaerobic lagoon" dataDxfId="18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2A76D215-A8BF-4DC7-9AB1-7A497BC8CB8D}" name="Table_SourceData_PastureBeef_MethaneConversionFactor" displayName="Table_SourceData_PastureBeef_MethaneConversionFactor" ref="D400:G415" totalsRowShown="0" dataDxfId="18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89E9B94-397A-4CC0-8E5F-AB5DE4A80E9A}" name="State" dataDxfId="18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CDF551F-E8AD-4F96-AE0C-E6CB8B0EFDA6}" name="Region" dataDxfId="18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DF848F8-2B68-4A13-8B65-AFEF9FCB1706}" name="Pasture range and paddock" dataDxfId="18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11518F5-DD3B-4BEA-994D-224EC347D4DF}" name="Uncovered Anaerobic lagoon" dataDxfId="18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93B44934-CE91-4A15-AA17-2A4DCDE5371E}"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84BBA0D7-F5B6-4669-8A89-F7AD6CC7C8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9F69068-4972-453E-9D92-471077F2AD46}" name="Season" dataDxfId="18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6AC0A61-6483-4AF0-B1BF-383218E97C21}" name="Feed adjustment" dataDxfId="17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4D65C032-5359-4C3B-BA4B-07AF2E8C7B7E}" name="Milk intake/production" dataDxfId="17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8A91643-AD20-4476-A98B-B5399184BEE3}" name="Table_LivestockClasses_Beefcattle" displayName="Table_LivestockClasses_Beefcattle" ref="O18:O28" totalsRowShown="0">
  <autoFilter ref="O18:O28" xr:uid="{13BB371D-1A6A-420B-8F76-A006E7FBF483}">
    <filterColumn colId="0" hiddenButton="1"/>
  </autoFilter>
  <tableColumns count="1">
    <tableColumn id="1" xr3:uid="{5D60E1E6-9856-46B5-AB88-A43E36B64209}" name="Livestock class"/>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4119E9DE-FC5A-4325-8CAE-E0D1CC403F7E}" name="Table_ProductRegions_Beefcattle153" displayName="Table_ProductRegions_Beefcattle153" ref="O32:P48" totalsRowShown="0">
  <autoFilter ref="O32:P48" xr:uid="{7E277F33-A0AF-471E-A609-92C95103FA9F}">
    <filterColumn colId="0" hiddenButton="1"/>
    <filterColumn colId="1" hiddenButton="1"/>
  </autoFilter>
  <tableColumns count="2">
    <tableColumn id="1" xr3:uid="{F4422472-6DBD-4408-8C71-037EE38B9661}" name="Region"/>
    <tableColumn id="2" xr3:uid="{7ABEDC58-DF3D-40E0-9C76-EB63019BF36C}" name="Scope3 regio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C7D9269D-D88E-4421-8A86-03081FA501D3}" name="Table_SourceData_Scope3_Animals154" displayName="Table_SourceData_Scope3_Animals154"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3496E59-675C-4EA2-B0A6-64C81D48F71C}" name="Category" dataDxfId="177" dataCellStyle="Content normal">
      <calculatedColumnFormula array="1">Common_InputFunctions.Utility_DisplayArrayInTable(Scope3_SourceData.Scope3_Livestock_Data(), Table_SourceData_Scope3_Animals154[[#Headers],[Category]], 0, 2)</calculatedColumnFormula>
    </tableColumn>
    <tableColumn id="2" xr3:uid="{3792F2D0-554A-4593-875F-18DBB91BC1FE}" name="Product" dataDxfId="176" dataCellStyle="Content normal">
      <calculatedColumnFormula array="1">Common_InputFunctions.Utility_DisplayArrayInTable(Scope3_SourceData.Scope3_Livestock_Data(), Table_SourceData_Scope3_Animals154[[#Headers],[Category]], 0, 2)</calculatedColumnFormula>
    </tableColumn>
    <tableColumn id="3" xr3:uid="{77FCDE14-7C25-40B6-90F4-143A2FF1B229}" name="Region of origin" dataDxfId="175" dataCellStyle="Content normal">
      <calculatedColumnFormula array="1">Common_InputFunctions.Utility_DisplayArrayInTable(Scope3_SourceData.Scope3_Livestock_Data(), Table_SourceData_Scope3_Animals154[[#Headers],[Category]], 0, 2)</calculatedColumnFormula>
    </tableColumn>
    <tableColumn id="8" xr3:uid="{F2900B47-8D1D-48E9-93AD-93999B084DE2}" name="Quantity Unit" dataDxfId="174" dataCellStyle="Content normal">
      <calculatedColumnFormula array="1">Common_InputFunctions.Utility_DisplayArrayInTable(Scope3_SourceData.Scope3_Livestock_Data(), Table_SourceData_Scope3_Animals154[[#Headers],[Category]], 0, 2)</calculatedColumnFormula>
    </tableColumn>
    <tableColumn id="9" xr3:uid="{1F332EA5-8A10-46D9-A9FB-A7E58EAB455E}" name="AusLCI Emissions intensity" dataDxfId="173" dataCellStyle="Content normal">
      <calculatedColumnFormula array="1">Common_InputFunctions.Utility_DisplayArrayInTable(Scope3_SourceData.Scope3_Livestock_Data(), Table_SourceData_Scope3_Animals154[[#Headers],[Category]], 0, 2)</calculatedColumnFormula>
    </tableColumn>
    <tableColumn id="10" xr3:uid="{9F2BA56B-9BB8-439A-B38F-90E21868292E}" name="System boundary" dataDxfId="172" dataCellStyle="Content normal">
      <calculatedColumnFormula array="1">Common_InputFunctions.Utility_DisplayArrayInTable(Scope3_SourceData.Scope3_Livestock_Data(), Table_SourceData_Scope3_Animals154[[#Headers],[Category]], 0, 2)</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4536F0E-1F94-4D29-8AD5-52E19B96881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14B00CA-C270-46A5-882A-E5121A4DEE5D}" name="Symbol">
      <calculatedColumnFormula array="1">Common_InputFunctions.Utility_DisplayArrayInTable(CommonLivestock_SourceData.SourceData_Livestock_Common_SymbolsMMS_Data(), Table_Data_MMSSymbols[[#Headers],[Symbol]], 0)</calculatedColumnFormula>
    </tableColumn>
    <tableColumn id="2" xr3:uid="{087E212C-95C1-4A2A-9D99-3014F9F8E59C}" name="Manure management system">
      <calculatedColumnFormula array="1">Common_InputFunctions.Utility_DisplayArrayInTable(CommonLivestock_SourceData.SourceData_Livestock_Common_SymbolsMMS_Data(), Table_Data_MMSSymbols[[#Headers],[Symbol]], 0)</calculatedColumnFormula>
    </tableColumn>
    <tableColumn id="3" xr3:uid="{4CFDF9A2-4629-498D-A789-DD51DB88741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EBCF18F1-CCE2-4338-A300-DB0BC6FE2A94}" name="Table_SourceData_LivestockProduct_Beefcattle" displayName="Table_SourceData_LivestockProduct_Beefcattle" ref="D31:E39" totalsRowShown="0">
  <autoFilter ref="D31:E39" xr:uid="{953E8E36-CE90-4001-9CFA-9307A0C836A9}"/>
  <tableColumns count="2">
    <tableColumn id="1" xr3:uid="{A9013461-7A3A-4BB8-871D-FC0070D2D3D0}" name="Product">
      <calculatedColumnFormula array="1">Common_InputFunctions.Utility_DisplayArrayInTable(CommonLivestock_SourceData.SourceData_Livestock_Product_BeefCattle_Data(),Table_SourceData_LivestockProduct_Beefcattle[[#Headers],[Product]],0)</calculatedColumnFormula>
    </tableColumn>
    <tableColumn id="2" xr3:uid="{D8C8D461-B50A-4BBF-8802-19BBAEC8586B}" name="Source region" dataDxfId="58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BD3A2D3E-E226-4441-B4E6-7008A5081978}" name="Table_SourceData_LivestockProduct_Sheep" displayName="Table_SourceData_LivestockProduct_Sheep" ref="D43:E50" totalsRowShown="0" dataDxfId="587" dataCellStyle="Content normal">
  <autoFilter ref="D43:E50" xr:uid="{995536B5-6CA5-4D7D-A704-9B6B595C2491}"/>
  <tableColumns count="2">
    <tableColumn id="1" xr3:uid="{8C10888A-6AD2-4797-90CE-BA42137BA259}" name="Product" dataDxfId="58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5C569EA-9B5E-49E2-90CD-E10B6B27AA28}" name="Source region" dataDxfId="58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A65B9DD9-0CCE-4A9C-BD8B-806EBD6D1B39}" name="Table_SourceData_LivestockProduct_Chickens" displayName="Table_SourceData_LivestockProduct_Chickens" ref="D54:E55" totalsRowShown="0" dataDxfId="584" dataCellStyle="Content normal">
  <autoFilter ref="D54:E55" xr:uid="{257D8456-031C-4EEF-A8C4-474F215C3208}"/>
  <tableColumns count="2">
    <tableColumn id="1" xr3:uid="{C9BD9879-938B-4299-B860-EEC59F04616F}" name="Product" dataDxfId="58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CE88D7C-1B21-4842-A035-A3DD4FCD3D1D}" name="Source region" dataDxfId="58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8C40F421-631C-4D35-90EE-B9EA10FC8572}" name="Table_SourceData_LivestockProduct_Dairycattle" displayName="Table_SourceData_LivestockProduct_Dairycattle" ref="D59:E60" totalsRowShown="0" dataDxfId="581" dataCellStyle="Content normal">
  <autoFilter ref="D59:E60" xr:uid="{71833C62-BA2B-4519-92E0-B189E393D12F}"/>
  <tableColumns count="2">
    <tableColumn id="1" xr3:uid="{4761750C-B12C-4488-8CA0-7A86EE5D8E7C}" name="Product" dataDxfId="58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296BBD66-754F-47B9-9899-491CF54C6DA0}" name="Source region" dataDxfId="57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1F76D625-640B-4F91-B409-4B631614EE0B}" name="Table_SourceData_LivestockProduct_Pigs" displayName="Table_SourceData_LivestockProduct_Pigs" ref="D64:E65" totalsRowShown="0" dataDxfId="578" dataCellStyle="Content normal">
  <autoFilter ref="D64:E65" xr:uid="{65FF5EF6-2A75-4137-9345-8328E2DA8F9C}"/>
  <tableColumns count="2">
    <tableColumn id="1" xr3:uid="{88A75088-6DB0-45D4-9FA4-3F6ECB3956E2}" name="Product" dataDxfId="57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5D350A86-F622-4249-BC8E-11B45736F380}" name="Source region" dataDxfId="57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4E448CC-A6B9-44CE-8E91-600B1C4A6D9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47ECCEA-37E9-4096-A3E4-8183CD9A944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057C136-4C78-4C06-9ABB-798A21303839}" name="FNinorganic f">
      <calculatedColumnFormula array="1">Common_InputFunctions.Utility_DisplayArrayInTable(Fertiliser_SourceData.Fertiliser_ChemicalCompoundElements_Data(),Table_Fertiliser_ChemicalCompounds[[#Headers],[Fertiliser type f]], 0)</calculatedColumnFormula>
    </tableColumn>
    <tableColumn id="3" xr3:uid="{9D38B3A2-0FAD-48A1-80D0-34EF0C1DDEB4}" name="FU f">
      <calculatedColumnFormula array="1">Common_InputFunctions.Utility_DisplayArrayInTable(Fertiliser_SourceData.Fertiliser_ChemicalCompoundElements_Data(),Table_Fertiliser_ChemicalCompounds[[#Headers],[Fertiliser type f]], 0)</calculatedColumnFormula>
    </tableColumn>
    <tableColumn id="4" xr3:uid="{EC03AD34-F1E3-4266-92CD-06F0977097DE}" name="Basis">
      <calculatedColumnFormula array="1">Common_InputFunctions.Utility_DisplayArrayInTable(Fertiliser_SourceData.Fertiliser_ChemicalCompoundElements_Data(),Table_Fertiliser_ChemicalCompounds[[#Headers],[Fertiliser type f]], 0)</calculatedColumnFormula>
    </tableColumn>
    <tableColumn id="5" xr3:uid="{F5875325-E31A-494D-A82A-F7F6DB7D957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A41A0F-3F57-49B7-903B-E77C3C11081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9C74F1-997F-437A-A912-5CF775A6A12C}"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09ED99F-4146-470A-BE59-BB57C0DF90E7}" name="Include or Exclude" dataDxfId="171" totalsRowDxfId="170">
      <calculatedColumnFormula array="1">Common_InputFunctions.Utility_DisplayArrayInTable(Fertiliser_SourceData.Fertiliser_Products_Data1(),FertiliserProducts[[#Headers],[Include or Exclude]], -1)</calculatedColumnFormula>
    </tableColumn>
    <tableColumn id="2" xr3:uid="{FB565EC4-A68C-41AD-9FE0-0B325209C7E0}" name="Notes" dataDxfId="169" totalsRowDxfId="168">
      <calculatedColumnFormula array="1">Common_InputFunctions.Utility_DisplayArrayInTable(Fertiliser_SourceData.Fertiliser_Products_Data1(),FertiliserProducts[[#Headers],[Include or Exclude]], 0)</calculatedColumnFormula>
    </tableColumn>
    <tableColumn id="3" xr3:uid="{DB586351-B6A7-4265-8D2B-C0347F8B461F}" name="Company" dataDxfId="167" totalsRowDxfId="166">
      <calculatedColumnFormula array="1">Common_InputFunctions.Utility_DisplayArrayInTable(Fertiliser_SourceData.Fertiliser_Products_Data1(),FertiliserProducts[[#Headers],[Include or Exclude]], 0)</calculatedColumnFormula>
    </tableColumn>
    <tableColumn id="4" xr3:uid="{8A96CA77-1D2F-423E-AA73-5CFAD899A174}" name="Product name" dataDxfId="165" totalsRowDxfId="164">
      <calculatedColumnFormula array="1">Common_InputFunctions.Utility_DisplayArrayInTable(Fertiliser_SourceData.Fertiliser_Products_Data1(),FertiliserProducts[[#Headers],[Include or Exclude]], 0)</calculatedColumnFormula>
    </tableColumn>
    <tableColumn id="5" xr3:uid="{4C5F9A06-89C9-4D9F-8B7F-6396DD576FCA}" name="Unit" dataDxfId="163" totalsRowDxfId="162">
      <calculatedColumnFormula array="1">Common_InputFunctions.Utility_DisplayArrayInTable(Fertiliser_SourceData.Fertiliser_Products_Data1(),FertiliserProducts[[#Headers],[Include or Exclude]], 0,4)</calculatedColumnFormula>
    </tableColumn>
    <tableColumn id="6" xr3:uid="{B2E13AA7-FDB4-40E1-8BD7-340B8998E3DA}" name="Density / gravity" dataDxfId="161" totalsRowDxfId="160">
      <calculatedColumnFormula array="1">Common_InputFunctions.Utility_DisplayArrayInTable(Fertiliser_SourceData.Fertiliser_Products_Data1(),FertiliserProducts[[#Headers],[Include or Exclude]], 0,4)</calculatedColumnFormula>
    </tableColumn>
    <tableColumn id="7" xr3:uid="{2C089971-3DB3-482F-8C71-E70969CF1DD5}" name="Urea source" dataDxfId="159" totalsRowDxfId="158">
      <calculatedColumnFormula array="1">Common_InputFunctions.Utility_DisplayArrayInTable(Fertiliser_SourceData.Fertiliser_Products_Data1(),FertiliserProducts[[#Headers],[Include or Exclude]], 0,4)</calculatedColumnFormula>
    </tableColumn>
    <tableColumn id="8" xr3:uid="{E65274ED-EF42-48B5-9483-CC5E727A2B6B}" name="Ammonia source" dataDxfId="157" totalsRowDxfId="156">
      <calculatedColumnFormula array="1">Common_InputFunctions.Utility_DisplayArrayInTable(Fertiliser_SourceData.Fertiliser_Products_Data1(),FertiliserProducts[[#Headers],[Include or Exclude]], 0,4)</calculatedColumnFormula>
    </tableColumn>
    <tableColumn id="9" xr3:uid="{C336820A-ABC4-40C3-B347-0DE3FD117C84}" name="Ingredient 1" dataDxfId="155" totalsRowDxfId="154">
      <calculatedColumnFormula array="1">Common_InputFunctions.Utility_DisplayArrayInTable(Fertiliser_SourceData.Fertiliser_Products_Data1(),FertiliserProducts[[#Headers],[Include or Exclude]], 0,4)</calculatedColumnFormula>
    </tableColumn>
    <tableColumn id="10" xr3:uid="{6C5E867F-81E7-4BB2-978C-D8361D49FFEE}" name="Ingredient 1 percent" dataDxfId="153" totalsRowDxfId="152">
      <calculatedColumnFormula array="1">Common_InputFunctions.Utility_DisplayArrayInTable(Fertiliser_SourceData.Fertiliser_Products_Data1(),FertiliserProducts[[#Headers],[Include or Exclude]], 0,4)</calculatedColumnFormula>
    </tableColumn>
    <tableColumn id="11" xr3:uid="{E4D3070F-5223-41BD-90DA-8BF13711B02C}" name="Ingredient 2" dataDxfId="151" totalsRowDxfId="150">
      <calculatedColumnFormula array="1">Common_InputFunctions.Utility_DisplayArrayInTable(Fertiliser_SourceData.Fertiliser_Products_Data1(),FertiliserProducts[[#Headers],[Include or Exclude]], 0,4)</calculatedColumnFormula>
    </tableColumn>
    <tableColumn id="12" xr3:uid="{F8E99635-D449-4D98-9528-1E2D69A827F7}" name="Ingredient 2 percent" dataDxfId="149" totalsRowDxfId="148">
      <calculatedColumnFormula array="1">Common_InputFunctions.Utility_DisplayArrayInTable(Fertiliser_SourceData.Fertiliser_Products_Data1(),FertiliserProducts[[#Headers],[Include or Exclude]], 0,4)</calculatedColumnFormula>
    </tableColumn>
    <tableColumn id="13" xr3:uid="{824B66A4-44BF-4A09-84A1-5E92E451E162}" name="Ingredient 3" dataDxfId="147" totalsRowDxfId="146">
      <calculatedColumnFormula array="1">Common_InputFunctions.Utility_DisplayArrayInTable(Fertiliser_SourceData.Fertiliser_Products_Data1(),FertiliserProducts[[#Headers],[Include or Exclude]], 0,4)</calculatedColumnFormula>
    </tableColumn>
    <tableColumn id="14" xr3:uid="{316A0A41-1F2E-4A90-BFE8-A4CF52DDEE91}" name="Ingredient 3 percent" dataDxfId="145" totalsRowDxfId="144">
      <calculatedColumnFormula array="1">Common_InputFunctions.Utility_DisplayArrayInTable(Fertiliser_SourceData.Fertiliser_Products_Data1(),FertiliserProducts[[#Headers],[Include or Exclude]], 0,4)</calculatedColumnFormula>
    </tableColumn>
    <tableColumn id="15" xr3:uid="{24880B72-1F73-4A69-A5FE-FA6FFDB29EC2}" name="Ingredient 4" dataDxfId="143" totalsRowDxfId="142">
      <calculatedColumnFormula array="1">Common_InputFunctions.Utility_DisplayArrayInTable(Fertiliser_SourceData.Fertiliser_Products_Data1(),FertiliserProducts[[#Headers],[Include or Exclude]], 0,4)</calculatedColumnFormula>
    </tableColumn>
    <tableColumn id="16" xr3:uid="{7EA80D50-F014-446C-AD51-00D40E475350}" name="Ingredient 4 percent" dataDxfId="141" totalsRowDxfId="140">
      <calculatedColumnFormula array="1">Common_InputFunctions.Utility_DisplayArrayInTable(Fertiliser_SourceData.Fertiliser_Products_Data1(),FertiliserProducts[[#Headers],[Include or Exclude]], 0,4)</calculatedColumnFormula>
    </tableColumn>
    <tableColumn id="17" xr3:uid="{676E8928-0CB1-47DB-8487-2CF7A61FFEF1}" name="Ingredient 5" dataDxfId="139" totalsRowDxfId="138">
      <calculatedColumnFormula array="1">Common_InputFunctions.Utility_DisplayArrayInTable(Fertiliser_SourceData.Fertiliser_Products_Data1(),FertiliserProducts[[#Headers],[Include or Exclude]], 0,4)</calculatedColumnFormula>
    </tableColumn>
    <tableColumn id="18" xr3:uid="{817DD0E4-9AAD-405D-99F8-20DF449094DC}" name="Ingredient 5 percent" dataDxfId="137" totalsRowDxfId="136">
      <calculatedColumnFormula array="1">Common_InputFunctions.Utility_DisplayArrayInTable(Fertiliser_SourceData.Fertiliser_Products_Data1(),FertiliserProducts[[#Headers],[Include or Exclude]], 0,4)</calculatedColumnFormula>
    </tableColumn>
    <tableColumn id="19" xr3:uid="{790D5713-2935-477F-AC1D-16DEEB94D564}" name="Ingredient 6" dataDxfId="135" totalsRowDxfId="134">
      <calculatedColumnFormula array="1">Common_InputFunctions.Utility_DisplayArrayInTable(Fertiliser_SourceData.Fertiliser_Products_Data1(),FertiliserProducts[[#Headers],[Include or Exclude]], 0,4)</calculatedColumnFormula>
    </tableColumn>
    <tableColumn id="37" xr3:uid="{1757D094-7144-416B-9E51-5FD33CE881E4}" name="Ingredient 6 percent" dataDxfId="133" totalsRowDxfId="132">
      <calculatedColumnFormula array="1">Common_InputFunctions.Utility_DisplayArrayInTable(Fertiliser_SourceData.Fertiliser_Products_Data1(),FertiliserProducts[[#Headers],[Include or Exclude]], 0,4)</calculatedColumnFormula>
    </tableColumn>
    <tableColumn id="20" xr3:uid="{0847D751-AD2A-433B-B1F7-6511F6703924}" name="Ingredient 7" dataDxfId="131">
      <calculatedColumnFormula array="1">Common_InputFunctions.Utility_DisplayArrayInTable(Fertiliser_SourceData.Fertiliser_Products_Data1(),FertiliserProducts[[#Headers],[Include or Exclude]], 0,4)</calculatedColumnFormula>
    </tableColumn>
    <tableColumn id="24" xr3:uid="{E69C07E3-20C9-45F5-B9E0-23D5F0F412A4}" name="Ingredient 7 percent" dataDxfId="130">
      <calculatedColumnFormula array="1">Common_InputFunctions.Utility_DisplayArrayInTable(Fertiliser_SourceData.Fertiliser_Products_Data1(),FertiliserProducts[[#Headers],[Include or Exclude]], 0,4)</calculatedColumnFormula>
    </tableColumn>
    <tableColumn id="23" xr3:uid="{25249029-B401-4223-9B9F-B6CF948B6009}" name="Ingredient 8" dataDxfId="129">
      <calculatedColumnFormula array="1">Common_InputFunctions.Utility_DisplayArrayInTable(Fertiliser_SourceData.Fertiliser_Products_Data1(),FertiliserProducts[[#Headers],[Include or Exclude]], 0,4)</calculatedColumnFormula>
    </tableColumn>
    <tableColumn id="26" xr3:uid="{CF08E276-8EF2-4FED-805D-FA5A62F7149E}" name="Ingredient 8 percent" dataDxfId="128">
      <calculatedColumnFormula array="1">Common_InputFunctions.Utility_DisplayArrayInTable(Fertiliser_SourceData.Fertiliser_Products_Data1(),FertiliserProducts[[#Headers],[Include or Exclude]], 0,4)</calculatedColumnFormula>
    </tableColumn>
    <tableColumn id="25" xr3:uid="{9DE9587B-D51B-406F-BE6A-AE6A13527AFE}" name="Ingredient 9" dataDxfId="127">
      <calculatedColumnFormula array="1">Common_InputFunctions.Utility_DisplayArrayInTable(Fertiliser_SourceData.Fertiliser_Products_Data1(),FertiliserProducts[[#Headers],[Include or Exclude]], 0,4)</calculatedColumnFormula>
    </tableColumn>
    <tableColumn id="30" xr3:uid="{4A7651DC-0FEE-48C8-8639-B0C61A667074}" name="Ingredient 9 percent" dataDxfId="126">
      <calculatedColumnFormula array="1">Common_InputFunctions.Utility_DisplayArrayInTable(Fertiliser_SourceData.Fertiliser_Products_Data1(),FertiliserProducts[[#Headers],[Include or Exclude]], 0,4)</calculatedColumnFormula>
    </tableColumn>
    <tableColumn id="29" xr3:uid="{63FE15C9-FC5E-4D5B-8616-82CC4605307E}" name="Imngredient 10" dataDxfId="125">
      <calculatedColumnFormula array="1">Common_InputFunctions.Utility_DisplayArrayInTable(Fertiliser_SourceData.Fertiliser_Products_Data1(),FertiliserProducts[[#Headers],[Include or Exclude]], 0,4)</calculatedColumnFormula>
    </tableColumn>
    <tableColumn id="28" xr3:uid="{EE4DD2C3-5739-40E1-80A6-5E01605E7381}" name="Ingredient 10 percent" dataDxfId="12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F86EF34-7C91-4447-8681-3DAF4A59D74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74A24C4-6BC0-4310-A328-9A40C84F9B7D}" name="Fertiliser type f">
      <calculatedColumnFormula array="1">Common_InputFunctions.Utility_DisplayArrayInTable(Fertiliser_SourceData.Fertiliser_FracGASF_Data(), Table_SourceData_Fertiliser_FracGASF[[#Headers],[Fertiliser type f]], 0)</calculatedColumnFormula>
    </tableColumn>
    <tableColumn id="2" xr3:uid="{3CFA35DD-558E-4D48-88EA-36A0329D22FF}" name="FracGASF f" dataDxfId="12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AA2EA71-A44C-4EDF-BCC2-6B510BE22E67}" name="Table_SourceData_Fertiliser_CropProdSystems" displayName="Table_SourceData_Fertiliser_CropProdSystems" ref="D41:D43" totalsRowShown="0">
  <autoFilter ref="D41:D43" xr:uid="{24F3A11E-40F5-4BB9-BFF4-A71FA2ADA0EF}">
    <filterColumn colId="0" hiddenButton="1"/>
  </autoFilter>
  <tableColumns count="1">
    <tableColumn id="1" xr3:uid="{4113A7DF-44E8-406B-B24D-1C77AC61B1B6}" name="Production system">
      <calculatedColumnFormula>#REF!</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401D924-B1BC-43B1-8365-B466C1928A7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8D78949-D28A-4271-931D-6C156E0C9F44}" name="Irrigation method"/>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A1EE4B-EC13-454E-A178-A2FA50A3DD9C}" name="Table_SourceData_Fertiliser_CropTypes" displayName="Table_SourceData_Fertiliser_CropTypes" ref="F41:F45" totalsRowShown="0">
  <autoFilter ref="F41:F45" xr:uid="{CB5044B5-FA3C-4AA2-B1AB-72F7E61D072F}">
    <filterColumn colId="0" hiddenButton="1"/>
  </autoFilter>
  <tableColumns count="1">
    <tableColumn id="1" xr3:uid="{083336A3-62EA-4FD5-A1CE-FBF9071F4E86}" name="Production system"/>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289C28C-92A2-40CD-A691-62F2903BED04}" name="Table_SourceData_OrganicFertiliserTypes" displayName="Table_SourceData_OrganicFertiliserTypes" ref="J41:J46" totalsRowShown="0">
  <autoFilter ref="J41:J46" xr:uid="{B44627B1-537E-4ABC-92C3-57282CEE5B40}">
    <filterColumn colId="0" hiddenButton="1"/>
  </autoFilter>
  <tableColumns count="1">
    <tableColumn id="1" xr3:uid="{BCA5E44F-C977-460E-BFE2-FD2B47C47036}" name="Organic fertiliser type"/>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953A683-14DE-4907-B4E5-15A8CA0D287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4887A6E-B089-4BBC-8504-BBCB76D37B5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A10B596-3D6A-4DCE-BA1A-70F582E7A099}" name="P"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5A6337B-AC27-4C87-B85E-658A8B6C5703}" name="EF" dataDxfId="12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FF3BD11-508E-4A1A-9308-6964EC9F8B91}" name="Table2" displayName="Table2" ref="K19:L28" totalsRowShown="0" dataDxfId="120" dataCellStyle="Content normal">
  <autoFilter ref="K19:L28" xr:uid="{27B93029-EB1F-4C4A-A946-CD673A8A6C46}">
    <filterColumn colId="0" hiddenButton="1"/>
    <filterColumn colId="1" hiddenButton="1"/>
  </autoFilter>
  <tableColumns count="2">
    <tableColumn id="1" xr3:uid="{66177B69-DF20-4D13-BF5C-C78C8670A355}" name="Fertiliser type f" dataDxfId="119" dataCellStyle="Content normal">
      <calculatedColumnFormula array="1">Common_InputFunctions.Utility_DisplayArrayInTable(Fertiliser_SourceData.Fertiliser_FractionNCommonFertilisers_Data(), Table2[[#Headers],[Fertiliser type f]], 0)</calculatedColumnFormula>
    </tableColumn>
    <tableColumn id="2" xr3:uid="{3CF3D580-30A5-4260-A8CC-C444744CD26A}" name="FNinorganic f" dataDxfId="11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8545FD-F22A-48F5-926A-A2D42E20FB1E}" name="Table28" displayName="Table28" ref="Q19:R28" totalsRowShown="0" dataDxfId="117" dataCellStyle="Content normal">
  <autoFilter ref="Q19:R28" xr:uid="{791CEA59-796C-47AB-86BC-41E8F699030C}">
    <filterColumn colId="0" hiddenButton="1"/>
    <filterColumn colId="1" hiddenButton="1"/>
  </autoFilter>
  <tableColumns count="2">
    <tableColumn id="1" xr3:uid="{AE209ADA-F6E2-4690-8C87-917238E1F317}" name="Fertiliser type f" dataDxfId="116" dataCellStyle="Content normal">
      <calculatedColumnFormula array="1">Common_InputFunctions.Utility_DisplayArrayInTable(Fertiliser_SourceData.Fertiliser_FractionUreaCommonFertilisers_Data(), Table28[[#Headers],[Fertiliser type f]], 0)</calculatedColumnFormula>
    </tableColumn>
    <tableColumn id="2" xr3:uid="{B0756CAB-F8DD-422E-BD54-2891DA512DC6}" name="FNinorganic f" dataDxfId="11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2B5A7E-81FA-437E-8134-7B4A83F8676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4CD0C80-8CC3-476E-BADA-58F839F5BA4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A46C3-6743-490F-8359-344F8CB7035D}" name="Table_SourceData_ElectricityEFs" displayName="Table_SourceData_ElectricityEFs" ref="D9:F19" totalsRowShown="0" headerRowDxfId="114">
  <autoFilter ref="D9:F19" xr:uid="{3144A982-7A4D-4CF2-8790-1A30DAE3E0A4}">
    <filterColumn colId="0" hiddenButton="1"/>
    <filterColumn colId="1" hiddenButton="1"/>
    <filterColumn colId="2" hiddenButton="1"/>
  </autoFilter>
  <tableColumns count="3">
    <tableColumn id="1" xr3:uid="{5ECE81E0-3E13-461A-98FE-51BD947DB0AC}"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8EE018B-BCE8-4A9E-BDBD-1FFC3EBFC10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FF48D4E-CCB7-4E6D-BAE0-16939A2EB34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C8D1E9-03DE-4582-8D8A-37A58275C1A8}"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228312C-16E1-4993-A5B3-0A4D5EFA3EB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7CF37EE-C0E5-454D-A9B2-57E8007CF4F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5845E8E8-B658-4044-AE39-FA8A651D5940}"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9C2AD65-CFC7-4BEE-86AB-15346073811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BC2377B-F014-4DD9-BBC1-D93ABA8E2C9A}"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9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9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9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9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9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9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7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2" Type="http://schemas.openxmlformats.org/officeDocument/2006/relationships/table" Target="../tables/table93.xml"/><Relationship Id="rId1" Type="http://schemas.openxmlformats.org/officeDocument/2006/relationships/table" Target="../tables/table92.xml"/><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4.xml"/><Relationship Id="rId13" Type="http://schemas.openxmlformats.org/officeDocument/2006/relationships/table" Target="../tables/table119.xml"/><Relationship Id="rId18" Type="http://schemas.openxmlformats.org/officeDocument/2006/relationships/table" Target="../tables/table124.xml"/><Relationship Id="rId26" Type="http://schemas.openxmlformats.org/officeDocument/2006/relationships/table" Target="../tables/table132.xml"/><Relationship Id="rId3" Type="http://schemas.openxmlformats.org/officeDocument/2006/relationships/table" Target="../tables/table109.xml"/><Relationship Id="rId21" Type="http://schemas.openxmlformats.org/officeDocument/2006/relationships/table" Target="../tables/table127.xml"/><Relationship Id="rId7" Type="http://schemas.openxmlformats.org/officeDocument/2006/relationships/table" Target="../tables/table113.xml"/><Relationship Id="rId12" Type="http://schemas.openxmlformats.org/officeDocument/2006/relationships/table" Target="../tables/table118.xml"/><Relationship Id="rId17" Type="http://schemas.openxmlformats.org/officeDocument/2006/relationships/table" Target="../tables/table123.xml"/><Relationship Id="rId25" Type="http://schemas.openxmlformats.org/officeDocument/2006/relationships/table" Target="../tables/table131.xml"/><Relationship Id="rId2" Type="http://schemas.openxmlformats.org/officeDocument/2006/relationships/table" Target="../tables/table108.xml"/><Relationship Id="rId16" Type="http://schemas.openxmlformats.org/officeDocument/2006/relationships/table" Target="../tables/table122.xml"/><Relationship Id="rId20" Type="http://schemas.openxmlformats.org/officeDocument/2006/relationships/table" Target="../tables/table126.xml"/><Relationship Id="rId1" Type="http://schemas.openxmlformats.org/officeDocument/2006/relationships/table" Target="../tables/table107.xml"/><Relationship Id="rId6" Type="http://schemas.openxmlformats.org/officeDocument/2006/relationships/table" Target="../tables/table112.xml"/><Relationship Id="rId11" Type="http://schemas.openxmlformats.org/officeDocument/2006/relationships/table" Target="../tables/table117.xml"/><Relationship Id="rId24" Type="http://schemas.openxmlformats.org/officeDocument/2006/relationships/table" Target="../tables/table130.xml"/><Relationship Id="rId5" Type="http://schemas.openxmlformats.org/officeDocument/2006/relationships/table" Target="../tables/table111.xml"/><Relationship Id="rId15" Type="http://schemas.openxmlformats.org/officeDocument/2006/relationships/table" Target="../tables/table121.xml"/><Relationship Id="rId23" Type="http://schemas.openxmlformats.org/officeDocument/2006/relationships/table" Target="../tables/table129.xml"/><Relationship Id="rId10" Type="http://schemas.openxmlformats.org/officeDocument/2006/relationships/table" Target="../tables/table116.xml"/><Relationship Id="rId19" Type="http://schemas.openxmlformats.org/officeDocument/2006/relationships/table" Target="../tables/table125.xml"/><Relationship Id="rId4" Type="http://schemas.openxmlformats.org/officeDocument/2006/relationships/table" Target="../tables/table110.xml"/><Relationship Id="rId9" Type="http://schemas.openxmlformats.org/officeDocument/2006/relationships/table" Target="../tables/table115.xml"/><Relationship Id="rId14" Type="http://schemas.openxmlformats.org/officeDocument/2006/relationships/table" Target="../tables/table120.xml"/><Relationship Id="rId22" Type="http://schemas.openxmlformats.org/officeDocument/2006/relationships/table" Target="../tables/table128.xml"/><Relationship Id="rId27" Type="http://schemas.openxmlformats.org/officeDocument/2006/relationships/table" Target="../tables/table133.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5.xml"/><Relationship Id="rId7" Type="http://schemas.openxmlformats.org/officeDocument/2006/relationships/table" Target="../tables/table139.xml"/><Relationship Id="rId2" Type="http://schemas.openxmlformats.org/officeDocument/2006/relationships/table" Target="../tables/table134.xml"/><Relationship Id="rId1" Type="http://schemas.openxmlformats.org/officeDocument/2006/relationships/printerSettings" Target="../printerSettings/printerSettings11.bin"/><Relationship Id="rId6" Type="http://schemas.openxmlformats.org/officeDocument/2006/relationships/table" Target="../tables/table138.xml"/><Relationship Id="rId5" Type="http://schemas.openxmlformats.org/officeDocument/2006/relationships/table" Target="../tables/table137.xml"/><Relationship Id="rId4" Type="http://schemas.openxmlformats.org/officeDocument/2006/relationships/table" Target="../tables/table136.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6.xml"/><Relationship Id="rId3" Type="http://schemas.openxmlformats.org/officeDocument/2006/relationships/table" Target="../tables/table141.xml"/><Relationship Id="rId7" Type="http://schemas.openxmlformats.org/officeDocument/2006/relationships/table" Target="../tables/table145.xml"/><Relationship Id="rId12" Type="http://schemas.openxmlformats.org/officeDocument/2006/relationships/table" Target="../tables/table150.xml"/><Relationship Id="rId2" Type="http://schemas.openxmlformats.org/officeDocument/2006/relationships/table" Target="../tables/table140.xml"/><Relationship Id="rId1" Type="http://schemas.openxmlformats.org/officeDocument/2006/relationships/printerSettings" Target="../printerSettings/printerSettings12.bin"/><Relationship Id="rId6" Type="http://schemas.openxmlformats.org/officeDocument/2006/relationships/table" Target="../tables/table144.xml"/><Relationship Id="rId11" Type="http://schemas.openxmlformats.org/officeDocument/2006/relationships/table" Target="../tables/table149.xml"/><Relationship Id="rId5" Type="http://schemas.openxmlformats.org/officeDocument/2006/relationships/table" Target="../tables/table143.xml"/><Relationship Id="rId10" Type="http://schemas.openxmlformats.org/officeDocument/2006/relationships/table" Target="../tables/table148.xml"/><Relationship Id="rId4" Type="http://schemas.openxmlformats.org/officeDocument/2006/relationships/table" Target="../tables/table142.xml"/><Relationship Id="rId9" Type="http://schemas.openxmlformats.org/officeDocument/2006/relationships/table" Target="../tables/table147.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52.xml"/><Relationship Id="rId1" Type="http://schemas.openxmlformats.org/officeDocument/2006/relationships/table" Target="../tables/table151.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59.xml"/><Relationship Id="rId13" Type="http://schemas.openxmlformats.org/officeDocument/2006/relationships/table" Target="../tables/table164.xml"/><Relationship Id="rId18" Type="http://schemas.openxmlformats.org/officeDocument/2006/relationships/table" Target="../tables/table169.xml"/><Relationship Id="rId3" Type="http://schemas.openxmlformats.org/officeDocument/2006/relationships/table" Target="../tables/table154.xml"/><Relationship Id="rId7" Type="http://schemas.openxmlformats.org/officeDocument/2006/relationships/table" Target="../tables/table158.xml"/><Relationship Id="rId12" Type="http://schemas.openxmlformats.org/officeDocument/2006/relationships/table" Target="../tables/table163.xml"/><Relationship Id="rId17" Type="http://schemas.openxmlformats.org/officeDocument/2006/relationships/table" Target="../tables/table168.xml"/><Relationship Id="rId2" Type="http://schemas.openxmlformats.org/officeDocument/2006/relationships/table" Target="../tables/table153.xml"/><Relationship Id="rId16" Type="http://schemas.openxmlformats.org/officeDocument/2006/relationships/table" Target="../tables/table167.xml"/><Relationship Id="rId1" Type="http://schemas.openxmlformats.org/officeDocument/2006/relationships/printerSettings" Target="../printerSettings/printerSettings13.bin"/><Relationship Id="rId6" Type="http://schemas.openxmlformats.org/officeDocument/2006/relationships/table" Target="../tables/table157.xml"/><Relationship Id="rId11" Type="http://schemas.openxmlformats.org/officeDocument/2006/relationships/table" Target="../tables/table162.xml"/><Relationship Id="rId5" Type="http://schemas.openxmlformats.org/officeDocument/2006/relationships/table" Target="../tables/table156.xml"/><Relationship Id="rId15" Type="http://schemas.openxmlformats.org/officeDocument/2006/relationships/table" Target="../tables/table166.xml"/><Relationship Id="rId10" Type="http://schemas.openxmlformats.org/officeDocument/2006/relationships/table" Target="../tables/table161.xml"/><Relationship Id="rId4" Type="http://schemas.openxmlformats.org/officeDocument/2006/relationships/table" Target="../tables/table155.xml"/><Relationship Id="rId9" Type="http://schemas.openxmlformats.org/officeDocument/2006/relationships/table" Target="../tables/table160.xml"/><Relationship Id="rId14" Type="http://schemas.openxmlformats.org/officeDocument/2006/relationships/table" Target="../tables/table16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9" t="s">
        <v>825</v>
      </c>
    </row>
    <row r="2" spans="1:12" s="2" customFormat="1" ht="20.100000000000001" customHeight="1" x14ac:dyDescent="0.25">
      <c r="A2"/>
    </row>
    <row r="3" spans="1:12" ht="20.100000000000001" customHeight="1" x14ac:dyDescent="0.25">
      <c r="A3" s="220" t="str">
        <f>HYPERLINK("#'Overview'!A1", "Overview")</f>
        <v>Overview</v>
      </c>
      <c r="C3" s="210"/>
      <c r="D3" s="210"/>
      <c r="E3" s="210"/>
      <c r="F3" s="210"/>
      <c r="G3" s="210"/>
      <c r="H3" s="210"/>
      <c r="I3" s="210"/>
      <c r="J3" s="210"/>
      <c r="K3" s="210"/>
      <c r="L3" s="210"/>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row>
    <row r="14" spans="1:12" ht="20.100000000000001" customHeight="1" x14ac:dyDescent="0.25">
      <c r="A14" s="16" t="str">
        <f>HYPERLINK("#'Input - Pig purchases'!A1", "Pig purchases")</f>
        <v>Pig purchases</v>
      </c>
    </row>
    <row r="15" spans="1:12" ht="20.100000000000001" customHeight="1" x14ac:dyDescent="0.25">
      <c r="A15" s="16" t="str">
        <f>HYPERLINK("#'Input - Poultry purchases'!A1", "Poultry purchases")</f>
        <v>Poultry purchases</v>
      </c>
    </row>
    <row r="16" spans="1:12" ht="20.100000000000001" customHeight="1" x14ac:dyDescent="0.25">
      <c r="A16" s="16" t="str">
        <f>HYPERLINK("#'Input - Freight'!A1", "Freight")</f>
        <v>Freight</v>
      </c>
    </row>
    <row r="17" spans="1:1" ht="20.100000000000001" customHeight="1" x14ac:dyDescent="0.25">
      <c r="A17" s="16" t="str">
        <f>HYPERLINK("#'Input - Solid waste'!A1", "Solid waste")</f>
        <v>Solid waste</v>
      </c>
    </row>
    <row r="18" spans="1:1" ht="20.100000000000001" customHeight="1" x14ac:dyDescent="0.25">
      <c r="A18" s="16" t="str">
        <f>HYPERLINK("#'Input - Manure sent off-site'!A1", "Manure sent off-site")</f>
        <v>Manure sent off-site</v>
      </c>
    </row>
    <row r="19" spans="1:1" ht="20.100000000000001" customHeight="1" x14ac:dyDescent="0.25">
      <c r="A19" s="16" t="str">
        <f>HYPERLINK("#'Input - Electricity'!A1", "Electricity")</f>
        <v>Electricity</v>
      </c>
    </row>
    <row r="20" spans="1:1" ht="20.100000000000001" customHeight="1" x14ac:dyDescent="0.25"/>
    <row r="21" spans="1:1" ht="20.100000000000001" customHeight="1" x14ac:dyDescent="0.25"/>
    <row r="22" spans="1:1" ht="20.100000000000001" customHeight="1" x14ac:dyDescent="0.25">
      <c r="A22" s="21" t="s">
        <v>77</v>
      </c>
    </row>
    <row r="23" spans="1:1" ht="20.100000000000001" customHeight="1" x14ac:dyDescent="0.25">
      <c r="A23" s="16" t="str">
        <f>HYPERLINK("#'15 Scope 3'!A1", "15 Scope 3")</f>
        <v>15 Scope 3</v>
      </c>
    </row>
    <row r="24" spans="1:1" ht="20.100000000000001" customHeight="1" x14ac:dyDescent="0.25">
      <c r="A24" s="16" t="str">
        <f>HYPERLINK("#'10.1.1-2 Solid waste treatment'!A1", "10.1.1-2 Solid waste treatment")</f>
        <v>10.1.1-2 Solid waste treatment</v>
      </c>
    </row>
    <row r="25" spans="1:1" ht="20.100000000000001" customHeight="1" x14ac:dyDescent="0.25">
      <c r="A25" s="16" t="str">
        <f>HYPERLINK("#'Calcs - Manure sent off-site'!A1", "Calcs - Manure sent off-site")</f>
        <v>Calcs - Manure sent off-site</v>
      </c>
    </row>
    <row r="26" spans="1:1" ht="20.100000000000001" customHeight="1" x14ac:dyDescent="0.25">
      <c r="A26" s="16" t="str">
        <f>HYPERLINK("#'8.1.1.1-2 Transport fuel'!A1", "8.1.1.1-2 Transport fuel")</f>
        <v>8.1.1.1-2 Transport fuel</v>
      </c>
    </row>
    <row r="27" spans="1:1" ht="20.100000000000001" customHeight="1" x14ac:dyDescent="0.25">
      <c r="A27" s="16" t="str">
        <f>HYPERLINK("#'8.2.1.1-2 Stationary fuel'!A1", "8.2.1.1-2 Stationary fuel")</f>
        <v>8.2.1.1-2 Stationary fuel</v>
      </c>
    </row>
    <row r="28" spans="1:1" ht="20.100000000000001" customHeight="1" x14ac:dyDescent="0.25"/>
    <row r="29" spans="1:1" ht="20.100000000000001" customHeight="1" x14ac:dyDescent="0.25"/>
    <row r="30" spans="1:1" ht="20.100000000000001" customHeight="1" x14ac:dyDescent="0.25">
      <c r="A30" s="221" t="s">
        <v>78</v>
      </c>
    </row>
    <row r="31" spans="1:1" ht="20.100000000000001" customHeight="1" x14ac:dyDescent="0.25">
      <c r="A31" s="16" t="str">
        <f>HYPERLINK("#'Constants - Scope 3'!A1", "Constants - Scope 3")</f>
        <v>Constants - Scope 3</v>
      </c>
    </row>
    <row r="32" spans="1:1"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16"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9" t="s">
        <v>826</v>
      </c>
    </row>
    <row r="2" spans="1:12" s="2" customFormat="1" ht="20.100000000000001" customHeight="1" x14ac:dyDescent="0.25">
      <c r="A2"/>
    </row>
    <row r="3" spans="1:12" ht="20.100000000000001" customHeight="1" x14ac:dyDescent="0.25">
      <c r="A3" s="16" t="str">
        <f>HYPERLINK("#'Overview'!A1", "Overview")</f>
        <v>Overview</v>
      </c>
      <c r="C3" s="210"/>
      <c r="D3" s="210"/>
      <c r="E3" s="210"/>
      <c r="F3" s="210"/>
      <c r="G3" s="210"/>
      <c r="H3" s="210"/>
      <c r="I3" s="210"/>
      <c r="J3" s="210"/>
      <c r="K3" s="210"/>
      <c r="L3" s="210"/>
    </row>
    <row r="4" spans="1:12" ht="20.100000000000001" customHeight="1" x14ac:dyDescent="0.25">
      <c r="A4" s="220" t="str">
        <f>HYPERLINK("#'Results'!A1", "Results")</f>
        <v>Results</v>
      </c>
    </row>
    <row r="5" spans="1:12" ht="20.100000000000001" customHeight="1" x14ac:dyDescent="0.25">
      <c r="D5" s="9" t="s">
        <v>827</v>
      </c>
      <c r="E5" s="211"/>
      <c r="F5" s="211"/>
      <c r="G5" s="211"/>
      <c r="H5" s="9"/>
      <c r="I5" s="9"/>
      <c r="J5" s="9"/>
    </row>
    <row r="6" spans="1:12" ht="20.100000000000001" customHeight="1" x14ac:dyDescent="0.3">
      <c r="D6" s="212"/>
      <c r="E6" s="213"/>
      <c r="F6" s="213"/>
      <c r="G6" s="213"/>
      <c r="H6" s="211"/>
      <c r="I6" s="147"/>
      <c r="J6" s="147"/>
    </row>
    <row r="7" spans="1:12" ht="20.100000000000001" customHeight="1" x14ac:dyDescent="0.25">
      <c r="A7" s="19" t="s">
        <v>67</v>
      </c>
      <c r="D7" s="95" t="s">
        <v>828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4" t="s">
        <v>829</v>
      </c>
      <c r="E9" s="214" t="s">
        <v>830</v>
      </c>
      <c r="F9" s="214" t="s">
        <v>831</v>
      </c>
      <c r="G9" s="214"/>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5" t="s">
        <v>844</v>
      </c>
      <c r="F10" s="215" t="s">
        <v>844</v>
      </c>
      <c r="G10" s="13" t="s">
        <v>832</v>
      </c>
    </row>
    <row r="11" spans="1:12" ht="20.100000000000001" customHeight="1" x14ac:dyDescent="0.25">
      <c r="A11" s="16" t="str">
        <f>HYPERLINK("#'Input - Farm Inputs'!A1", "Farm Inputs")</f>
        <v>Farm Inputs</v>
      </c>
      <c r="D11" s="216" t="str">
        <f>'15 Scope 3'!D21</f>
        <v>Beef cattle</v>
      </c>
      <c r="E11" s="215">
        <f>VEERG_15_1_1_1__1_EmissionsFromPurchasedLivestock_BeefCattle_Result_Method1</f>
        <v>1052.5</v>
      </c>
      <c r="F11" s="215">
        <f>VEERG_15_1_1_1__1_EmissionsFromPurchasedLivestock_BeefCattle_Result_Method2</f>
        <v>1014.5</v>
      </c>
      <c r="G11" s="13" t="s">
        <v>832</v>
      </c>
    </row>
    <row r="12" spans="1:12" ht="20.100000000000001" customHeight="1" x14ac:dyDescent="0.25">
      <c r="A12" s="16" t="str">
        <f>HYPERLINK("#'Input - Beef cattle purchases'!A1", "Beef cattle purchases")</f>
        <v>Beef cattle purchases</v>
      </c>
      <c r="D12" s="216" t="str">
        <f>'15 Scope 3'!D38</f>
        <v>Dairy cattle</v>
      </c>
      <c r="E12" s="215">
        <f>VEERG_15_1_1_1__1_EmissionsFromPurchasedLivestock_DairyCattle_Result_Method1</f>
        <v>295.47000000000003</v>
      </c>
      <c r="F12" s="215">
        <f>VEERG_15_1_1_1__1_EmissionsFromPurchasedLivestock_DairyCattle_Result_Method2</f>
        <v>415.625</v>
      </c>
      <c r="G12" s="13" t="s">
        <v>832</v>
      </c>
    </row>
    <row r="13" spans="1:12" ht="20.100000000000001" customHeight="1" x14ac:dyDescent="0.25">
      <c r="A13" s="16" t="str">
        <f>HYPERLINK("#'Input - Dairy cattle purchases'!A1", "Dairy cattle purchases")</f>
        <v>Dairy cattle purchases</v>
      </c>
      <c r="D13" s="216" t="str">
        <f>'15 Scope 3'!D57</f>
        <v>Pigs</v>
      </c>
      <c r="E13" s="215">
        <f>VEERG_15_1_1_1__1_EmissionsFromPurchasedLivestock_Pigs_Result_Method1</f>
        <v>0</v>
      </c>
      <c r="F13" s="215">
        <f>VEERG_15_1_1_1__1_EmissionsFromPurchasedLivestock_Pigs_Result_Method2</f>
        <v>73.38000000000001</v>
      </c>
      <c r="G13" s="13" t="s">
        <v>832</v>
      </c>
    </row>
    <row r="14" spans="1:12" ht="20.100000000000001" customHeight="1" x14ac:dyDescent="0.25">
      <c r="A14" s="16" t="str">
        <f>HYPERLINK("#'Input - Pig purchases'!A1", "Pig purchases")</f>
        <v>Pig purchases</v>
      </c>
      <c r="D14" s="216" t="str">
        <f>'15 Scope 3'!D75</f>
        <v>Poultry</v>
      </c>
      <c r="E14" s="215">
        <f>VEERG_15_1_1_1__1_EmissionsFromPurchasedLivestock_Poultry_Result_Method1</f>
        <v>0.36720000000000003</v>
      </c>
      <c r="F14" s="215">
        <f>VEERG_15_1_1_1__1_EmissionsFromPurchasedLivestock_Poultry_Result_Method2</f>
        <v>0.35940000000000005</v>
      </c>
      <c r="G14" s="13" t="s">
        <v>832</v>
      </c>
    </row>
    <row r="15" spans="1:12" ht="20.100000000000001" customHeight="1" x14ac:dyDescent="0.25">
      <c r="A15" s="16" t="str">
        <f>HYPERLINK("#'Input - Poultry purchases'!A1", "Poultry purchases")</f>
        <v>Poultry purchases</v>
      </c>
      <c r="C15" s="217"/>
      <c r="D15" s="8" t="str" cm="1">
        <f t="array" ref="D15">Common_InputFunctions.Utility_ResultsItemFromEquationTitleAndSource('15 Scope 3'!D98,'15 Scope 3'!D99)</f>
        <v>15.2.1.1 Emissions from purchased feed</v>
      </c>
      <c r="E15" s="215">
        <f>VEERG_15_2_1_1__1_EmissionsFromPurchasedFeed_Result_Method1</f>
        <v>377.05200000000002</v>
      </c>
      <c r="F15" s="215">
        <f>VEERG_15_2_1_1__1_EmissionsFromPurchasedFeed_Result_Method2</f>
        <v>529.78</v>
      </c>
      <c r="G15" s="13" t="s">
        <v>832</v>
      </c>
    </row>
    <row r="16" spans="1:12" ht="20.100000000000001" customHeight="1" x14ac:dyDescent="0.25">
      <c r="A16" s="16" t="str">
        <f>HYPERLINK("#'Input - Freight'!A1", "Freight")</f>
        <v>Freight</v>
      </c>
      <c r="C16" s="217"/>
      <c r="D16" s="8" t="str" cm="1">
        <f t="array" ref="D16">Common_InputFunctions.Utility_ResultsItemFromEquationTitleAndSource('15 Scope 3'!D149,'15 Scope 3'!D150)</f>
        <v>15.3.1.1 Total emissions from purchased mineral supplements</v>
      </c>
      <c r="E16" s="215">
        <f>VEERG_15_3_1_1__1_EmissionsFromPurchasedMineralSupplements_Result_Method1</f>
        <v>178.9</v>
      </c>
      <c r="F16" s="215">
        <f>VEERG_15_3_1_1__1_EmissionsFromPurchasedMineralSupplements_Result_Method2</f>
        <v>160</v>
      </c>
      <c r="G16" s="13" t="s">
        <v>832</v>
      </c>
    </row>
    <row r="17" spans="1:8" ht="20.100000000000001" customHeight="1" x14ac:dyDescent="0.25">
      <c r="A17" s="16" t="str">
        <f>HYPERLINK("#'Input - Solid waste'!A1", "Solid waste")</f>
        <v>Solid waste</v>
      </c>
      <c r="D17" s="8" t="str" cm="1">
        <f t="array" ref="D17">Common_InputFunctions.Utility_ResultsItemFromEquationTitleAndSource('15 Scope 3'!D186,'15 Scope 3'!D187)</f>
        <v>15.4.1.1 Emissions from purchased fertiliser</v>
      </c>
      <c r="E17" s="215">
        <f>VEERG_15_4_1_1__2_EmissionsFromPurchasedFertiliserComponentsVariation_Result_Method1</f>
        <v>78.284322000000003</v>
      </c>
      <c r="F17" s="215">
        <f>VEERG_15_4_1_1__2_EmissionsFromPurchasedFertiliserComponentsVariation_Result_Method2</f>
        <v>75.743047000000004</v>
      </c>
      <c r="G17" s="13" t="s">
        <v>832</v>
      </c>
    </row>
    <row r="18" spans="1:8" ht="20.100000000000001" customHeight="1" x14ac:dyDescent="0.25">
      <c r="A18" s="16" t="str">
        <f>HYPERLINK("#'Input - Manure sent off-site'!A1", "Manure sent off-site")</f>
        <v>Manure sent off-site</v>
      </c>
      <c r="D18" s="8" t="str" cm="1">
        <f t="array" ref="D18">Common_InputFunctions.Utility_ResultsItemFromEquationTitleAndSource('15 Scope 3'!D256,'15 Scope 3'!D257)</f>
        <v>15.5.1.1 Total emissions from purchased agrichemicals</v>
      </c>
      <c r="E18" s="215">
        <f>VEERG_15_5_1_1__1_EmissionsFromPurchasedAgrichemicals_Result_Method1</f>
        <v>7.5159999999999991</v>
      </c>
      <c r="F18" s="215">
        <f>VEERG_15_5_1_1__1_EmissionsFromPurchasedAgrichemicals_Result_Method2</f>
        <v>7.4959999999999996</v>
      </c>
      <c r="G18" s="13" t="s">
        <v>832</v>
      </c>
    </row>
    <row r="19" spans="1:8" ht="20.100000000000001" customHeight="1" x14ac:dyDescent="0.25">
      <c r="A19" s="16" t="str">
        <f>HYPERLINK("#'Input - Electricity'!A1", "Electricity")</f>
        <v>Electricity</v>
      </c>
      <c r="D19" s="8" t="str" cm="1">
        <f t="array" ref="D19">Common_InputFunctions.Utility_ResultsItemFromEquationTitleAndSource('15 Scope 3'!D288,'15 Scope 3'!D289)</f>
        <v>15.6.1.1 Embedded emissions for purchased lime</v>
      </c>
      <c r="E19" s="215">
        <f>VEERG_15_6_1_1__1_EmissionsFromPurchasedLime_Result_Method1</f>
        <v>1.6553999999999999E-2</v>
      </c>
      <c r="F19" s="215">
        <f>VEERG_15_6_1_1__1_EmissionsFromPurchasedLime_Result_Method2</f>
        <v>1.4400000000000001E-2</v>
      </c>
      <c r="G19" s="13" t="s">
        <v>832</v>
      </c>
    </row>
    <row r="20" spans="1:8" ht="20.100000000000001" customHeight="1" x14ac:dyDescent="0.25">
      <c r="D20" s="8" t="str" cm="1">
        <f t="array" ref="D20">Common_InputFunctions.Utility_ResultsItemFromEquationTitleAndSource('15 Scope 3'!D321,'15 Scope 3'!D322)</f>
        <v>15.7.1.1 Emissions of purchased services and contractor operations</v>
      </c>
      <c r="E20" s="215" t="str">
        <f>VEERG_15_7_1_1__1_EmissionsFromPurchasedServices_Result_Method1</f>
        <v>No data</v>
      </c>
      <c r="F20" s="215">
        <f>VEERG_15_7_1_1__1_EmissionsFromPurchasedServices_Result_Method2</f>
        <v>42</v>
      </c>
      <c r="G20" s="13" t="s">
        <v>832</v>
      </c>
      <c r="H20" s="217"/>
    </row>
    <row r="21" spans="1:8" ht="20.100000000000001" customHeight="1" x14ac:dyDescent="0.25">
      <c r="D21" s="8" t="str" cm="1">
        <f t="array" ref="D21">Common_InputFunctions.Utility_ResultsItemFromEquationTitleAndSource('15 Scope 3'!D352,'15 Scope 3'!D353)</f>
        <v>15.8.1.1 Embedded emissions from use of packaging materials</v>
      </c>
      <c r="E21" s="215">
        <f>VEERG_15_8_1_1__1_EmissionsFromPurchasedPackaging_Result_Method1</f>
        <v>7.44</v>
      </c>
      <c r="F21" s="215">
        <f>VEERG_15_8_1_1__1_EmissionsFromPurchasedPackaging_Result_Method2</f>
        <v>6</v>
      </c>
      <c r="G21" s="13" t="s">
        <v>832</v>
      </c>
    </row>
    <row r="22" spans="1:8" ht="20.100000000000001" customHeight="1" x14ac:dyDescent="0.25">
      <c r="A22" s="21" t="s">
        <v>77</v>
      </c>
      <c r="D22" s="8" t="str" cm="1">
        <f t="array" ref="D22">Common_InputFunctions.Utility_ResultsItemFromEquationTitleAndSource('15 Scope 3'!D383,'15 Scope 3'!D384)</f>
        <v>15.9.1.1 Embedded emissions from use of grow media products</v>
      </c>
      <c r="E22" s="215" t="str">
        <f>VEERG_15_9_1_1__1_EmissionsFromPurchasedGrowMedia_Result_Method1</f>
        <v>No data</v>
      </c>
      <c r="F22" s="215">
        <f>VEERG_15_9_1_1__1_EmissionsFromPurchasedGrowMedia_Result_Method2</f>
        <v>40.200000000000003</v>
      </c>
      <c r="G22" s="13" t="s">
        <v>832</v>
      </c>
    </row>
    <row r="23" spans="1:8" ht="20.100000000000001" customHeight="1" x14ac:dyDescent="0.25">
      <c r="A23" s="16" t="str">
        <f>HYPERLINK("#'15 Scope 3'!A1", "15 Scope 3")</f>
        <v>15 Scope 3</v>
      </c>
      <c r="D23" s="8" t="str" cm="1">
        <f t="array" ref="D23">Common_InputFunctions.Utility_ResultsItemFromEquationTitleAndSource('15 Scope 3'!D415,'15 Scope 3'!D416)</f>
        <v>15.10 Other purchased goods and services generic estimate</v>
      </c>
      <c r="E23" s="215" t="s">
        <v>844</v>
      </c>
      <c r="F23" s="215" t="s">
        <v>844</v>
      </c>
      <c r="G23" s="13" t="s">
        <v>832</v>
      </c>
    </row>
    <row r="24" spans="1:8" ht="20.100000000000001" customHeight="1" x14ac:dyDescent="0.25">
      <c r="A24" s="16" t="str">
        <f>HYPERLINK("#'10.1.1-2 Solid waste treatment'!A1", "10.1.1-2 Solid waste treatment")</f>
        <v>10.1.1-2 Solid waste treatment</v>
      </c>
      <c r="D24" s="216" t="str">
        <f>'15 Scope 3'!D427</f>
        <v>Cleaning chemical purchases</v>
      </c>
      <c r="E24" s="215">
        <f>VEERG_15_10_1_1__1_OtherPurchasedGoodsAndServices_CleaningChemicals_Result_Method1</f>
        <v>0.50509999999999999</v>
      </c>
      <c r="F24" s="215">
        <f>VEERG_15_10_1_1__1_OtherPurchasedGoodsAndServices_CleaningChemicals_Result_Method2</f>
        <v>2.73</v>
      </c>
      <c r="G24" s="13" t="s">
        <v>832</v>
      </c>
    </row>
    <row r="25" spans="1:8" ht="20.100000000000001" customHeight="1" x14ac:dyDescent="0.25">
      <c r="A25" s="16" t="str">
        <f>HYPERLINK("#'Calcs - Manure sent off-site'!A1", "Calcs - Manure sent off-site")</f>
        <v>Calcs - Manure sent off-site</v>
      </c>
      <c r="D25" s="216" t="str">
        <f>'15 Scope 3'!D445</f>
        <v>Pharmacy chemical purchases</v>
      </c>
      <c r="E25" s="215">
        <f>VEERG_15_10_1_1__1_OtherPurchasedGoodsAndServices_PharmacyChemicals_Result_Method1</f>
        <v>1.5636000000000001E-2</v>
      </c>
      <c r="F25" s="215">
        <f>VEERG_15_10_1_1__1_OtherPurchasedGoodsAndServices_PharmacyChemicals_Result_Method2</f>
        <v>1.3400000000000002E-2</v>
      </c>
      <c r="G25" s="13" t="s">
        <v>832</v>
      </c>
    </row>
    <row r="26" spans="1:8" ht="20.100000000000001" customHeight="1" x14ac:dyDescent="0.25">
      <c r="A26" s="16" t="str">
        <f>HYPERLINK("#'8.1.1.1-2 Transport fuel'!A1", "8.1.1.1-2 Transport fuel")</f>
        <v>8.1.1.1-2 Transport fuel</v>
      </c>
      <c r="D26" s="216" t="str">
        <f>'15 Scope 3'!D463</f>
        <v>Seed</v>
      </c>
      <c r="E26" s="215">
        <f>VEERG_15_10_1_1__1_OtherPurchasedGoodsAndServices_Seed_Result_Method1</f>
        <v>0.84389999999999998</v>
      </c>
      <c r="F26" s="215">
        <f>VEERG_15_10_1_1__1_OtherPurchasedGoodsAndServices_Seed_Result_Method2</f>
        <v>0.71420000000000006</v>
      </c>
      <c r="G26" s="13" t="s">
        <v>832</v>
      </c>
    </row>
    <row r="27" spans="1:8" ht="20.100000000000001" customHeight="1" x14ac:dyDescent="0.25">
      <c r="A27" s="16" t="str">
        <f>HYPERLINK("#'8.2.1.1-2 Stationary fuel'!A1", "8.2.1.1-2 Stationary fuel")</f>
        <v>8.2.1.1-2 Stationary fuel</v>
      </c>
      <c r="D27" s="216" t="str">
        <f>'15 Scope 3'!D476</f>
        <v>Miscellaneous Inputs</v>
      </c>
      <c r="E27" s="215">
        <f>VEERG_15_10_1_1__1_OtherPurchasedGoodsAndServices_Misc_Result_Method1</f>
        <v>2.9531000000000005</v>
      </c>
      <c r="F27" s="215">
        <f>VEERG_15_10_1_1__1_OtherPurchasedGoodsAndServices_Misc_Result_Method2</f>
        <v>8.5860000000000006E-2</v>
      </c>
      <c r="G27" s="13" t="s">
        <v>832</v>
      </c>
    </row>
    <row r="28" spans="1:8" ht="20.100000000000001" customHeight="1" x14ac:dyDescent="0.25">
      <c r="D28" s="216" t="str">
        <f>'15 Scope 3'!D487</f>
        <v>Uncategorised products with no Method 1 EF data</v>
      </c>
      <c r="E28" s="215" t="str">
        <f>VEERG_15_10_1_1__1_OtherPurchasedGoodsAndServices_Uncategorised_Result_Method1</f>
        <v>No data</v>
      </c>
      <c r="F28" s="215">
        <f>VEERG_15_10_1_1__1_OtherPurchasedGoodsAndServices_Uncategorised_Result_Method2</f>
        <v>4000</v>
      </c>
      <c r="G28" s="13" t="s">
        <v>832</v>
      </c>
    </row>
    <row r="29" spans="1:8" ht="20.100000000000001" customHeight="1" x14ac:dyDescent="0.25">
      <c r="D29" s="8" t="str" cm="1">
        <f t="array" ref="D29">Common_InputFunctions.Utility_ResultsItemFromEquationTitleAndSource('15 Scope 3'!D506,'15 Scope 3'!D507)</f>
        <v>15.11.1.1 Total upstream emissions from scope 1 fuel consumption</v>
      </c>
      <c r="E29" s="215">
        <f>VEERG_15_11_1_1__1_TotalUpstreamEmissionsFromFuel_Result</f>
        <v>26.794</v>
      </c>
      <c r="F29" s="215">
        <f>E29</f>
        <v>26.794</v>
      </c>
      <c r="G29" s="13" t="s">
        <v>832</v>
      </c>
    </row>
    <row r="30" spans="1:8" ht="20.100000000000001" customHeight="1" x14ac:dyDescent="0.25">
      <c r="A30" s="221" t="s">
        <v>78</v>
      </c>
      <c r="D30" s="8" t="str" cm="1">
        <f t="array" ref="D30">Common_InputFunctions.Utility_ResultsItemFromEquationTitleAndSource('15 Scope 3'!D521,'15 Scope 3'!D522)</f>
        <v>15.12.1.1 Scope 3 emissions from purchased electricity location based</v>
      </c>
      <c r="E30" s="215">
        <f>VEERG_15_12_1_1__1_UpstreamPurchasedElectricityLocationBased_Result</f>
        <v>2.7</v>
      </c>
      <c r="F30" s="215">
        <f>E30</f>
        <v>2.7</v>
      </c>
      <c r="G30" s="13" t="s">
        <v>832</v>
      </c>
    </row>
    <row r="31" spans="1:8" ht="20.100000000000001" customHeight="1" x14ac:dyDescent="0.25">
      <c r="A31" s="16" t="str">
        <f>HYPERLINK("#'Constants - Scope 3'!A1", "Constants - Scope 3")</f>
        <v>Constants - Scope 3</v>
      </c>
      <c r="D31" s="8" t="str" cm="1">
        <f t="array" ref="D31">Common_InputFunctions.Utility_ResultsItemFromEquationTitleAndSource('15 Scope 3'!D537,'15 Scope 3'!D538)</f>
        <v>15.12.1.2 Scope 3 emissions from purchased electricity market based</v>
      </c>
      <c r="E31" s="215">
        <f>VEERG_15_12_1_2__1_UpstreamPurchasedElectricityMarketBasedVariation_Result</f>
        <v>1.5</v>
      </c>
      <c r="F31" s="215">
        <f>E31</f>
        <v>1.5</v>
      </c>
      <c r="G31" s="13" t="s">
        <v>832</v>
      </c>
    </row>
    <row r="32" spans="1:8" ht="20.100000000000001" customHeight="1" x14ac:dyDescent="0.25">
      <c r="A32" s="16" t="str">
        <f>HYPERLINK("#'Constants - Solid Waste'!A1", "Constants - Solid Waste")</f>
        <v>Constants - Solid Waste</v>
      </c>
      <c r="D32" s="8" t="str" cm="1">
        <f t="array" ref="D32">Common_InputFunctions.Utility_ResultsItemFromEquationTitleAndSource('15 Scope 3'!D559,'15 Scope 3'!D560)</f>
        <v>15.13.1.1 Emissions from manure sent off site applied to soils in another farming system or enterprise</v>
      </c>
      <c r="E32" s="215">
        <f>VEERG_15_13_1_1__1_EmissionsFromManureSentOffSite_Result_Method1_CO2e</f>
        <v>3.7936642857142857</v>
      </c>
      <c r="F32" s="215">
        <f>VEERG_15_13_1_1__1_EmissionsFromManureSentOffSite_Result_Method2_CO2e</f>
        <v>7.5873285714285714</v>
      </c>
      <c r="G32" s="13" t="s">
        <v>832</v>
      </c>
    </row>
    <row r="33" spans="1:7" ht="20.100000000000001" customHeight="1" x14ac:dyDescent="0.25">
      <c r="A33" s="16" t="str">
        <f>HYPERLINK("#'Constants - Fuel'!A1", "Constants - Fuel")</f>
        <v>Constants - Fuel</v>
      </c>
      <c r="D33" s="8" t="str" cm="1">
        <f t="array" ref="D33">Common_InputFunctions.Utility_ResultsItemFromEquationTitleAndSource('15 Scope 3'!D582,'15 Scope 3'!D583&amp;",")</f>
        <v>15.13.1.3 Emissions from solid waste sent to a treatment facility</v>
      </c>
      <c r="E33" s="215">
        <f>VEERG_10_1_1_1__1_EmissionsFromWasteManagement_Scope3_Result_Method1</f>
        <v>441.15000000000003</v>
      </c>
      <c r="F33" s="215">
        <f>E33</f>
        <v>441.15000000000003</v>
      </c>
      <c r="G33" s="13" t="s">
        <v>832</v>
      </c>
    </row>
    <row r="34" spans="1:7" ht="20.100000000000001" customHeight="1" x14ac:dyDescent="0.25">
      <c r="A34" s="16" t="str">
        <f>HYPERLINK("#'Constants - Poultry'!A1", "Constants - Poultry")</f>
        <v>Constants - Poultry</v>
      </c>
      <c r="D34" s="8" t="str" cm="1">
        <f t="array" ref="D34">Common_InputFunctions.Utility_ResultsItemFromEquationTitleAndSource('15 Scope 3'!D592,'15 Scope 3'!D593)</f>
        <v>15.14.1.1 Embedded emissions from upstream freight</v>
      </c>
      <c r="E34" s="215" t="s">
        <v>844</v>
      </c>
      <c r="F34" s="215" t="s">
        <v>844</v>
      </c>
      <c r="G34" s="13" t="s">
        <v>832</v>
      </c>
    </row>
    <row r="35" spans="1:7" ht="20.100000000000001" customHeight="1" x14ac:dyDescent="0.25">
      <c r="A35" s="16" t="str">
        <f>HYPERLINK("#'Constants - Swine'!A1", "Constants - Swine")</f>
        <v>Constants - Swine</v>
      </c>
      <c r="D35" s="216" t="str">
        <f>'15 Scope 3'!D606</f>
        <v>Incoming freight</v>
      </c>
      <c r="E35" s="215" t="str">
        <f>VEERG_15_14_1_1__1_EmbeddedEmissionsFromUpstreamFreight_Incoming_Result_Method1</f>
        <v>No data</v>
      </c>
      <c r="F35" s="215">
        <f>VEERG_15_14_1_1__1_EmbeddedEmissionsFromUpstreamFreight_Incoming_Result_Method2</f>
        <v>5146700</v>
      </c>
      <c r="G35" s="13" t="s">
        <v>832</v>
      </c>
    </row>
    <row r="36" spans="1:7" ht="20.100000000000001" customHeight="1" x14ac:dyDescent="0.25">
      <c r="A36" s="16" t="str">
        <f>HYPERLINK("#'Constants - Dairy'!A1", "Constants - Dairy")</f>
        <v>Constants - Dairy</v>
      </c>
      <c r="D36" s="216" t="str">
        <f>'15 Scope 3'!D624</f>
        <v>Outgoing freight</v>
      </c>
      <c r="E36" s="215" t="str">
        <f>VEERG_15_14_1_1__1_EmbeddedEmissionsFromUpstreamFreight_Outgoing_Result_Method1</f>
        <v>No data</v>
      </c>
      <c r="F36" s="215">
        <f>VEERG_15_14_1_1__1_EmbeddedEmissionsFromUpstreamFreight_Outgoing_Result_Method2</f>
        <v>432640</v>
      </c>
      <c r="G36" s="13" t="s">
        <v>832</v>
      </c>
    </row>
    <row r="37" spans="1:7" ht="20.100000000000001" customHeight="1" x14ac:dyDescent="0.25">
      <c r="A37" s="16" t="str">
        <f>HYPERLINK("#'Constants - Pasture Beef'!A1", "Constants - Pasture Beef")</f>
        <v>Constants - Pasture Beef</v>
      </c>
      <c r="D37" s="60" t="s">
        <v>218</v>
      </c>
      <c r="E37" s="218">
        <f>SUM(E10:E36)</f>
        <v>2477.8014762857151</v>
      </c>
      <c r="F37" s="218">
        <f>SUM(F10:F36)</f>
        <v>5586188.3726355713</v>
      </c>
      <c r="G37" s="174" t="s">
        <v>832</v>
      </c>
    </row>
    <row r="38" spans="1:7" ht="20.100000000000001" customHeight="1" x14ac:dyDescent="0.25">
      <c r="A38" s="16" t="str">
        <f>HYPERLINK("#'Constants - Common Livestock'!A1", "Constants - Common Livestock")</f>
        <v>Constants - Common Livestock</v>
      </c>
    </row>
    <row r="39" spans="1:7" ht="20.100000000000001" customHeight="1" x14ac:dyDescent="0.25">
      <c r="A39" s="16" t="str">
        <f>HYPERLINK("#'Constants - Fertiliser'!A1", "Constants - Fertiliser")</f>
        <v>Constants - Fertiliser</v>
      </c>
    </row>
    <row r="40" spans="1:7" ht="20.100000000000001" customHeight="1" x14ac:dyDescent="0.25">
      <c r="A40" s="16" t="str">
        <f>HYPERLINK("#'Constants - Electricity'!A1", "Constants - Electricity")</f>
        <v>Constants - Electricity</v>
      </c>
    </row>
    <row r="41" spans="1:7" ht="20.100000000000001" customHeight="1" x14ac:dyDescent="0.25">
      <c r="A41" s="16" t="str">
        <f>HYPERLINK("#'Constants - Common'!A1", "Constants - Common")</f>
        <v>Constants - Common</v>
      </c>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9D2D7-2466-41E1-8008-B78684068F40}">
  <sheetPr>
    <pageSetUpPr autoPageBreaks="0"/>
  </sheetPr>
  <dimension ref="A1:AA160"/>
  <sheetViews>
    <sheetView showGridLines="0" zoomScaleNormal="100" workbookViewId="0">
      <selection activeCell="A41" sqref="A41"/>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259</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260</v>
      </c>
      <c r="N5" s="104"/>
    </row>
    <row r="6" spans="1:24" ht="20.100000000000001" customHeight="1" x14ac:dyDescent="0.25">
      <c r="A6"/>
      <c r="D6" s="105"/>
      <c r="N6" s="106"/>
    </row>
    <row r="7" spans="1:24" ht="20.100000000000001" customHeight="1" x14ac:dyDescent="0.25">
      <c r="A7" s="19" t="s">
        <v>67</v>
      </c>
      <c r="D7" s="8" t="s">
        <v>261</v>
      </c>
      <c r="E7" s="82" t="s">
        <v>262</v>
      </c>
      <c r="F7" s="65"/>
    </row>
    <row r="8" spans="1:24" ht="20.100000000000001" customHeight="1" x14ac:dyDescent="0.25">
      <c r="A8" s="42" t="str">
        <f>HYPERLINK("#'Input - Site'!A1", "Site")</f>
        <v>Site</v>
      </c>
      <c r="D8" s="107" t="s">
        <v>263</v>
      </c>
      <c r="E8" s="82" t="s">
        <v>264</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265</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Beef cattle purchases'!A1", "Beef cattle purchases")</f>
        <v>Beef cattle purchases</v>
      </c>
      <c r="D12" s="107" t="s">
        <v>266</v>
      </c>
      <c r="E12" s="112">
        <v>45292</v>
      </c>
      <c r="F12" s="65" t="s">
        <v>267</v>
      </c>
    </row>
    <row r="13" spans="1:24" ht="20.100000000000001" customHeight="1" x14ac:dyDescent="0.25">
      <c r="A13" s="16" t="str">
        <f>HYPERLINK("#'Input - Dairy cattle purchases'!A1", "Dairy cattle purchases")</f>
        <v>Dairy cattle purchases</v>
      </c>
      <c r="D13" s="107" t="s">
        <v>268</v>
      </c>
      <c r="E13" s="113">
        <f>DATE(YEAR(X_Cell_Site_StartDate)+1,MONTH(X_Cell_Site_StartDate),DAY(X_Cell_Site_StartDate))-1</f>
        <v>45657</v>
      </c>
      <c r="F13" s="65" t="s">
        <v>269</v>
      </c>
      <c r="N13" s="114"/>
      <c r="O13" s="114"/>
    </row>
    <row r="14" spans="1:24" ht="20.100000000000001" customHeight="1" x14ac:dyDescent="0.25">
      <c r="A14" s="16" t="str">
        <f>HYPERLINK("#'Input - Pig purchases'!A1", "Pig purchases")</f>
        <v>Pig purchases</v>
      </c>
      <c r="N14" s="114"/>
      <c r="O14" s="114"/>
    </row>
    <row r="15" spans="1:24" ht="20.100000000000001" customHeight="1" x14ac:dyDescent="0.25">
      <c r="A15" s="16" t="str">
        <f>HYPERLINK("#'Input - Poultry purchases'!A1", "Poultry purchases")</f>
        <v>Poultry purchases</v>
      </c>
      <c r="N15" s="114"/>
      <c r="O15" s="114"/>
    </row>
    <row r="16" spans="1:24" ht="20.100000000000001" customHeight="1" x14ac:dyDescent="0.25">
      <c r="A16" s="16" t="str">
        <f>HYPERLINK("#'Input - Freight'!A1", "Freight")</f>
        <v>Freight</v>
      </c>
      <c r="D16" s="9" t="s">
        <v>270</v>
      </c>
      <c r="N16" s="114"/>
      <c r="O16" s="114"/>
    </row>
    <row r="17" spans="1:25" ht="20.100000000000001" customHeight="1" x14ac:dyDescent="0.25">
      <c r="A17" s="16" t="str">
        <f>HYPERLINK("#'Input - Solid waste'!A1", "Solid waste")</f>
        <v>Solid waste</v>
      </c>
    </row>
    <row r="18" spans="1:25" ht="20.100000000000001" customHeight="1" x14ac:dyDescent="0.25">
      <c r="A18" s="16" t="str">
        <f>HYPERLINK("#'Input - Manure sent off-site'!A1", "Manure sent off-site")</f>
        <v>Manure sent off-site</v>
      </c>
      <c r="D18" s="115" t="s">
        <v>271</v>
      </c>
      <c r="E18" s="40"/>
      <c r="F18" s="40"/>
      <c r="G18" s="41"/>
    </row>
    <row r="19" spans="1:25" ht="20.100000000000001" customHeight="1" x14ac:dyDescent="0.25">
      <c r="A19" s="16" t="str">
        <f>HYPERLINK("#'Input - Electricity'!A1", "Electricity")</f>
        <v>Electricity</v>
      </c>
      <c r="D19" s="43" t="s">
        <v>272</v>
      </c>
      <c r="E19" s="44"/>
      <c r="F19" s="44"/>
      <c r="G19" s="45"/>
      <c r="N19" s="104"/>
    </row>
    <row r="20" spans="1:25" ht="20.100000000000001" customHeight="1" x14ac:dyDescent="0.25">
      <c r="A20"/>
      <c r="D20" s="8"/>
      <c r="E20" s="116"/>
      <c r="F20" s="65"/>
      <c r="N20" s="106"/>
    </row>
    <row r="21" spans="1:25" ht="20.100000000000001" customHeight="1" x14ac:dyDescent="0.25">
      <c r="A21"/>
      <c r="D21" s="8" t="s">
        <v>273</v>
      </c>
      <c r="E21" s="47" t="s">
        <v>851</v>
      </c>
      <c r="F21" s="65" t="s">
        <v>194</v>
      </c>
    </row>
    <row r="22" spans="1:25" ht="20.100000000000001" customHeight="1" x14ac:dyDescent="0.25">
      <c r="A22" s="21" t="s">
        <v>77</v>
      </c>
      <c r="D22" s="8" t="s">
        <v>274</v>
      </c>
      <c r="E22" s="47" t="s">
        <v>275</v>
      </c>
      <c r="F22" s="65" t="s">
        <v>194</v>
      </c>
      <c r="G22" s="8"/>
    </row>
    <row r="23" spans="1:25" ht="20.100000000000001" customHeight="1" x14ac:dyDescent="0.25">
      <c r="A23" s="16" t="str">
        <f>HYPERLINK("#'15 Scope 3'!A1", "15 Scope 3")</f>
        <v>15 Scope 3</v>
      </c>
      <c r="D23" s="8" t="s">
        <v>746</v>
      </c>
      <c r="E23" s="47" t="s">
        <v>747</v>
      </c>
      <c r="F23" s="65" t="s">
        <v>194</v>
      </c>
    </row>
    <row r="24" spans="1:25" ht="20.100000000000001" customHeight="1" x14ac:dyDescent="0.25">
      <c r="A24" s="16" t="str">
        <f>HYPERLINK("#'10.1.1-2 Solid waste treatment'!A1", "10.1.1-2 Solid waste treatment")</f>
        <v>10.1.1-2 Solid waste treatment</v>
      </c>
      <c r="D24" s="8" t="s">
        <v>16</v>
      </c>
      <c r="E24" s="82">
        <v>307.7</v>
      </c>
      <c r="F24" s="65" t="s">
        <v>748</v>
      </c>
    </row>
    <row r="25" spans="1:25" ht="20.100000000000001" customHeight="1" x14ac:dyDescent="0.25">
      <c r="A25" s="16" t="str">
        <f>HYPERLINK("#'Calcs - Manure sent off-site'!A1", "Calcs - Manure sent off-site")</f>
        <v>Calcs - Manure sent off-site</v>
      </c>
      <c r="D25" s="8" t="s">
        <v>749</v>
      </c>
      <c r="E25" s="82">
        <v>18</v>
      </c>
      <c r="F25" s="65" t="s">
        <v>750</v>
      </c>
      <c r="N25" s="106"/>
    </row>
    <row r="26" spans="1:25" ht="20.100000000000001" customHeight="1" x14ac:dyDescent="0.25">
      <c r="A26" s="16" t="str">
        <f>HYPERLINK("#'8.1.1.1-2 Transport fuel'!A1", "8.1.1.1-2 Transport fuel")</f>
        <v>8.1.1.1-2 Transport fuel</v>
      </c>
      <c r="D26" s="8" t="s">
        <v>751</v>
      </c>
      <c r="E26" s="82">
        <v>599</v>
      </c>
      <c r="F26" s="65" t="s">
        <v>752</v>
      </c>
    </row>
    <row r="27" spans="1:25" ht="20.100000000000001" customHeight="1" x14ac:dyDescent="0.25">
      <c r="A27" s="16" t="str">
        <f>HYPERLINK("#'8.2.1.1-2 Stationary fuel'!A1", "8.2.1.1-2 Stationary fuel")</f>
        <v>8.2.1.1-2 Stationary fuel</v>
      </c>
      <c r="D27" s="107" t="s">
        <v>753</v>
      </c>
      <c r="E27" s="82">
        <v>1326</v>
      </c>
      <c r="F27" s="65" t="s">
        <v>752</v>
      </c>
    </row>
    <row r="28" spans="1:25" ht="20.100000000000001" customHeight="1" x14ac:dyDescent="0.25">
      <c r="A28"/>
      <c r="D28" s="8" t="s">
        <v>754</v>
      </c>
      <c r="E28" s="82">
        <v>7</v>
      </c>
      <c r="F28" s="65" t="s">
        <v>755</v>
      </c>
    </row>
    <row r="29" spans="1:25" ht="20.100000000000001" customHeight="1" x14ac:dyDescent="0.25">
      <c r="A29"/>
      <c r="D29" s="107" t="s">
        <v>756</v>
      </c>
      <c r="E29" s="49">
        <f>X_Cell_Site_TotalRainfall/X_Cell_Site_PotentialEvapotranspiration</f>
        <v>0.45173453996983409</v>
      </c>
      <c r="F29" s="65"/>
    </row>
    <row r="30" spans="1:25" ht="20.100000000000001" customHeight="1" x14ac:dyDescent="0.25">
      <c r="A30" s="221" t="s">
        <v>78</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Scope 3'!A1", "Constants - Scope 3")</f>
        <v>Constants - Scope 3</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Solid Waste'!A1", "Constants - Solid Waste")</f>
        <v>Constants - Solid Waste</v>
      </c>
      <c r="D32" s="8" t="s">
        <v>757</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Fuel'!A1", "Constants - Fuel")</f>
        <v>Constants - Fuel</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Poultry'!A1", "Constants - Poultry")</f>
        <v>Constants - Poultry</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Swine'!A1", "Constants - Swine")</f>
        <v>Constants - Swine</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Dairy'!A1", "Constants - Dairy")</f>
        <v>Constants - Dairy</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Pasture Beef'!A1", "Constants - Pasture Beef")</f>
        <v>Constants - Pasture Beef</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 Livestock'!A1", "Constants - Common Livestock")</f>
        <v>Constants - Common Livestock</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Fertiliser'!A1", "Constants - Fertiliser")</f>
        <v>Constants - Fertiliser</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Electricity'!A1", "Constants - Electricity")</f>
        <v>Constants - Electricity</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Common'!A1", "Constants - Common")</f>
        <v>Constants - Common</v>
      </c>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60C0EFD0-5B53-4EF6-8989-D439C46D350D}">
      <formula1>"YES - In leaching zone, NO - Not in leaching zone"</formula1>
    </dataValidation>
    <dataValidation type="list" allowBlank="1" showInputMessage="1" showErrorMessage="1" sqref="G36:G39" xr:uid="{D02D4EEB-3C98-4967-9B1F-4C03DA15CDAB}">
      <formula1>$D$41:$D$43</formula1>
    </dataValidation>
    <dataValidation type="list" allowBlank="1" showInputMessage="1" showErrorMessage="1" sqref="E22" xr:uid="{2859FD92-2574-43C9-9BF5-8611D9E218DE}">
      <formula1>INDIRECT("Table_WASA4Areas[SA 4 Name]")</formula1>
    </dataValidation>
    <dataValidation type="list" allowBlank="1" showInputMessage="1" showErrorMessage="1" sqref="E21" xr:uid="{8FF8DBAB-9421-4A5E-94B8-305B0F7C731B}">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F5B45-8D77-47CA-8A6B-BB743B13D086}">
  <dimension ref="A1:K346"/>
  <sheetViews>
    <sheetView showGridLines="0" topLeftCell="A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733</v>
      </c>
    </row>
    <row r="8" spans="1:11" ht="20.100000000000001" customHeight="1" x14ac:dyDescent="0.25">
      <c r="A8" s="16" t="str">
        <f>HYPERLINK("#'Input - Site'!A1", "Site")</f>
        <v>Site</v>
      </c>
      <c r="D8" s="8" t="s">
        <v>734</v>
      </c>
    </row>
    <row r="9" spans="1:11" ht="20.100000000000001" customHeight="1" x14ac:dyDescent="0.25">
      <c r="A9" s="42" t="str">
        <f>HYPERLINK("#'Input - Fuel'!A1", "Fuel")</f>
        <v>Fuel</v>
      </c>
      <c r="D9" s="8" t="s">
        <v>735</v>
      </c>
    </row>
    <row r="10" spans="1:11" ht="20.100000000000001" customHeight="1" x14ac:dyDescent="0.25">
      <c r="A10" s="16" t="str">
        <f>HYPERLINK("#'Input - Fertiliser'!A1", "Fertiliser")</f>
        <v>Fertiliser</v>
      </c>
    </row>
    <row r="11" spans="1:11" ht="20.100000000000001" customHeight="1" x14ac:dyDescent="0.25">
      <c r="A11" s="16" t="str">
        <f>HYPERLINK("#'Input - Farm Inputs'!A1", "Farm Inputs")</f>
        <v>Farm Inputs</v>
      </c>
      <c r="D11" s="8" t="s">
        <v>736</v>
      </c>
      <c r="E11" s="47" t="s">
        <v>704</v>
      </c>
      <c r="F11" s="65" t="s">
        <v>194</v>
      </c>
    </row>
    <row r="12" spans="1:11" ht="20.100000000000001" customHeight="1" x14ac:dyDescent="0.25">
      <c r="A12" s="16" t="str">
        <f>HYPERLINK("#'Input - Beef cattle purchases'!A1", "Beef cattle purchases")</f>
        <v>Beef cattle purchases</v>
      </c>
    </row>
    <row r="13" spans="1:11" ht="20.100000000000001" customHeight="1" x14ac:dyDescent="0.25">
      <c r="A13" s="16" t="str">
        <f>HYPERLINK("#'Input - Dairy cattle purchases'!A1", "Dairy cattle purchases")</f>
        <v>Dairy cattle purchases</v>
      </c>
      <c r="D13" s="39" t="s">
        <v>120</v>
      </c>
      <c r="E13" s="40"/>
      <c r="F13" s="40"/>
      <c r="G13" s="40"/>
      <c r="H13" s="41"/>
    </row>
    <row r="14" spans="1:11" ht="20.100000000000001" customHeight="1" x14ac:dyDescent="0.25">
      <c r="A14" s="16" t="str">
        <f>HYPERLINK("#'Input - Pig purchases'!A1", "Pig purchases")</f>
        <v>Pig purchases</v>
      </c>
      <c r="D14" s="43" t="s">
        <v>121</v>
      </c>
      <c r="E14" s="44"/>
      <c r="F14" s="44"/>
      <c r="G14" s="44"/>
      <c r="H14" s="45"/>
    </row>
    <row r="15" spans="1:11" ht="20.100000000000001" customHeight="1" x14ac:dyDescent="0.25">
      <c r="A15" s="16" t="str">
        <f>HYPERLINK("#'Input - Poultry purchases'!A1", "Poultry purchases")</f>
        <v>Poultry purchases</v>
      </c>
      <c r="D15" s="14"/>
      <c r="E15" s="14"/>
      <c r="F15" s="14"/>
      <c r="G15" s="14"/>
      <c r="H15" s="14"/>
      <c r="I15" s="14"/>
      <c r="J15" s="14"/>
    </row>
    <row r="16" spans="1:11" ht="20.100000000000001" customHeight="1" x14ac:dyDescent="0.25">
      <c r="A16" s="16" t="str">
        <f>HYPERLINK("#'Input - Freight'!A1", "Freight")</f>
        <v>Freight</v>
      </c>
      <c r="D16" s="46" t="s">
        <v>122</v>
      </c>
      <c r="E16" s="46" t="s">
        <v>123</v>
      </c>
      <c r="F16" s="46" t="s">
        <v>124</v>
      </c>
      <c r="G16" s="46" t="s">
        <v>125</v>
      </c>
      <c r="H16" s="46" t="s">
        <v>126</v>
      </c>
      <c r="I16" s="46" t="s">
        <v>127</v>
      </c>
      <c r="J16" s="46" t="s">
        <v>871</v>
      </c>
    </row>
    <row r="17" spans="1:10" ht="20.100000000000001" customHeight="1" x14ac:dyDescent="0.25">
      <c r="A17" s="16" t="str">
        <f>HYPERLINK("#'Input - Solid waste'!A1", "Solid waste")</f>
        <v>Solid waste</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Manure sent off-site'!A1", "Manure sent off-site")</f>
        <v>Manure sent off-site</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Electricity'!A1", "Electricity")</f>
        <v>Electricity</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c r="D21" s="148" t="s">
        <v>93</v>
      </c>
      <c r="E21" s="148" t="s">
        <v>94</v>
      </c>
      <c r="F21" s="48">
        <v>10000</v>
      </c>
      <c r="G21" s="160" t="str" cm="1">
        <f t="array" ref="G21">Common_InputFunctions.Utility_LookupValueInTable(Table_Input_Fuel[[#This Row],[Fuel type (select)]],Table_FuelTypes_Units[Fuel type], Table_FuelTypes_Units[Input Unit])</f>
        <v>L</v>
      </c>
      <c r="H21" s="227">
        <f>1</f>
        <v>1</v>
      </c>
      <c r="I21" s="160">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21" t="s">
        <v>77</v>
      </c>
    </row>
    <row r="23" spans="1:10" ht="20.100000000000001" customHeight="1" x14ac:dyDescent="0.25">
      <c r="A23" s="16" t="str">
        <f>HYPERLINK("#'15 Scope 3'!A1", "15 Scope 3")</f>
        <v>15 Scope 3</v>
      </c>
    </row>
    <row r="24" spans="1:10" ht="20.100000000000001" customHeight="1" x14ac:dyDescent="0.25">
      <c r="A24" s="16" t="str">
        <f>HYPERLINK("#'10.1.1-2 Solid waste treatment'!A1", "10.1.1-2 Solid waste treatment")</f>
        <v>10.1.1-2 Solid waste treatment</v>
      </c>
    </row>
    <row r="25" spans="1:10" ht="20.100000000000001" customHeight="1" x14ac:dyDescent="0.25">
      <c r="A25" s="16" t="str">
        <f>HYPERLINK("#'Calcs - Manure sent off-site'!A1", "Calcs - Manure sent off-site")</f>
        <v>Calcs - Manure sent off-site</v>
      </c>
    </row>
    <row r="26" spans="1:10" ht="20.100000000000001" customHeight="1" x14ac:dyDescent="0.25">
      <c r="A26" s="16" t="str">
        <f>HYPERLINK("#'8.1.1.1-2 Transport fuel'!A1", "8.1.1.1-2 Transport fuel")</f>
        <v>8.1.1.1-2 Transport fuel</v>
      </c>
    </row>
    <row r="27" spans="1:10" ht="20.100000000000001" customHeight="1" x14ac:dyDescent="0.25">
      <c r="A27" s="16" t="str">
        <f>HYPERLINK("#'8.2.1.1-2 Stationary fuel'!A1", "8.2.1.1-2 Stationary fuel")</f>
        <v>8.2.1.1-2 Stationary fuel</v>
      </c>
    </row>
    <row r="28" spans="1:10" ht="20.100000000000001" customHeight="1" x14ac:dyDescent="0.25">
      <c r="A28"/>
    </row>
    <row r="29" spans="1:10" ht="20.100000000000001" customHeight="1" x14ac:dyDescent="0.25">
      <c r="A29"/>
    </row>
    <row r="30" spans="1:10" ht="20.100000000000001" customHeight="1" x14ac:dyDescent="0.25">
      <c r="A30" s="221" t="s">
        <v>78</v>
      </c>
    </row>
    <row r="31" spans="1:10" ht="20.100000000000001" customHeight="1" x14ac:dyDescent="0.25">
      <c r="A31" s="16" t="str">
        <f>HYPERLINK("#'Constants - Scope 3'!A1", "Constants - Scope 3")</f>
        <v>Constants - Scope 3</v>
      </c>
    </row>
    <row r="32" spans="1:10" ht="20.100000000000001" customHeight="1" x14ac:dyDescent="0.25">
      <c r="A32" s="16" t="str">
        <f>HYPERLINK("#'Constants - Solid Waste'!A1", "Constants - Solid Waste")</f>
        <v>Constants - Solid Waste</v>
      </c>
    </row>
    <row r="33" spans="1:11" ht="20.100000000000001" customHeight="1" x14ac:dyDescent="0.25">
      <c r="A33" s="16" t="str">
        <f>HYPERLINK("#'Constants - Fuel'!A1", "Constants - Fuel")</f>
        <v>Constants - Fuel</v>
      </c>
    </row>
    <row r="34" spans="1:11" ht="20.100000000000001" customHeight="1" x14ac:dyDescent="0.25">
      <c r="A34" s="16" t="str">
        <f>HYPERLINK("#'Constants - Poultry'!A1", "Constants - Poultry")</f>
        <v>Constants - Poultry</v>
      </c>
    </row>
    <row r="35" spans="1:11" ht="20.100000000000001" customHeight="1" x14ac:dyDescent="0.25">
      <c r="A35" s="16" t="str">
        <f>HYPERLINK("#'Constants - Swine'!A1", "Constants - Swine")</f>
        <v>Constants - Swine</v>
      </c>
    </row>
    <row r="36" spans="1:11" ht="20.100000000000001" customHeight="1" x14ac:dyDescent="0.25">
      <c r="A36" s="16" t="str">
        <f>HYPERLINK("#'Constants - Dairy'!A1", "Constants - Dairy")</f>
        <v>Constants - Dairy</v>
      </c>
    </row>
    <row r="37" spans="1:11" ht="20.100000000000001" customHeight="1" x14ac:dyDescent="0.25">
      <c r="A37" s="16" t="str">
        <f>HYPERLINK("#'Constants - Pasture Beef'!A1", "Constants - Pasture Beef")</f>
        <v>Constants - Pasture Beef</v>
      </c>
    </row>
    <row r="38" spans="1:11" ht="20.100000000000001" customHeight="1" x14ac:dyDescent="0.25">
      <c r="A38" s="16" t="str">
        <f>HYPERLINK("#'Constants - Common Livestock'!A1", "Constants - Common Livestock")</f>
        <v>Constants - Common Livestock</v>
      </c>
      <c r="C38" s="51"/>
      <c r="K38" s="51"/>
    </row>
    <row r="39" spans="1:11" ht="20.100000000000001" customHeight="1" x14ac:dyDescent="0.25">
      <c r="A39" s="16" t="str">
        <f>HYPERLINK("#'Constants - Fertiliser'!A1", "Constants - Fertiliser")</f>
        <v>Constants - Fertiliser</v>
      </c>
      <c r="C39" s="51"/>
      <c r="K39" s="51"/>
    </row>
    <row r="40" spans="1:11" s="52" customFormat="1" ht="20.100000000000001" customHeight="1" x14ac:dyDescent="0.25">
      <c r="A40" s="16" t="str">
        <f>HYPERLINK("#'Constants - Electricity'!A1", "Constants - Electricity")</f>
        <v>Constants - Electricity</v>
      </c>
      <c r="C40" s="8"/>
      <c r="D40" s="8"/>
      <c r="E40" s="8"/>
      <c r="F40" s="8"/>
      <c r="G40" s="8"/>
      <c r="H40" s="8"/>
      <c r="I40" s="8"/>
      <c r="J40" s="8"/>
      <c r="K40" s="8"/>
    </row>
    <row r="41" spans="1:11" s="52" customFormat="1" ht="20.100000000000001" customHeight="1" x14ac:dyDescent="0.25">
      <c r="A41" s="16" t="str">
        <f>HYPERLINK("#'Constants - Common'!A1", "Constants - Common")</f>
        <v>Constants - Common</v>
      </c>
      <c r="C41" s="8"/>
      <c r="D41" s="8"/>
      <c r="E41" s="8"/>
      <c r="F41" s="8"/>
      <c r="G41" s="8"/>
      <c r="H41" s="8"/>
      <c r="I41" s="8"/>
      <c r="J41" s="8"/>
      <c r="K41" s="8"/>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923F3FAF-3893-4BC0-AD6F-54F390D0EDCB}">
      <formula1>_xlfn.TRIMRANGE(INDIRECT("Table_FuelTypesPerUse["&amp;D17&amp;"]"))</formula1>
    </dataValidation>
    <dataValidation type="list" allowBlank="1" showInputMessage="1" showErrorMessage="1" sqref="D17:D21" xr:uid="{88567D18-6B2B-4F12-B18E-73D2C51BB109}">
      <formula1>INDIRECT("Table_FuelTypesPerUse[#Headers]")</formula1>
    </dataValidation>
    <dataValidation type="list" allowBlank="1" showInputMessage="1" showErrorMessage="1" sqref="E11" xr:uid="{ED24D86A-BAD1-4D90-A955-93D60223EFDA}">
      <formula1>"Metro, Non-metro"</formula1>
    </dataValidation>
    <dataValidation type="list" allowBlank="1" showInputMessage="1" showErrorMessage="1" sqref="D29:D30" xr:uid="{599EDEDC-E224-4C04-802B-2E4E05ED3CC1}">
      <formula1>INDIRECT("Table_SourceData_OrganicFertiliserTypes[Organic fertiliser type]")</formula1>
    </dataValidation>
    <dataValidation type="list" allowBlank="1" showInputMessage="1" showErrorMessage="1" sqref="E49" xr:uid="{56E7BB38-858D-4D05-9DC1-3532671B3F23}">
      <formula1>INDIRECT("Table_SourceData_Swine_CropProdSystems[Production system]")</formula1>
    </dataValidation>
    <dataValidation type="list" allowBlank="1" showInputMessage="1" showErrorMessage="1" sqref="E50" xr:uid="{8D0B5A34-C731-4A9C-B22A-200827D36B4B}">
      <formula1>INDIRECT("Table_SourceData_Swine_IrrigationMethods[Irrigation method]")</formula1>
    </dataValidation>
    <dataValidation type="list" allowBlank="1" showInputMessage="1" showErrorMessage="1" sqref="E234 E239 E244 E278 E273 E268 E146 E134 E110 E122" xr:uid="{BA68B382-32F2-40EF-8124-5D3328FA8C17}">
      <formula1>"Yes, No"</formula1>
    </dataValidation>
    <dataValidation type="list" allowBlank="1" showInputMessage="1" showErrorMessage="1" sqref="E210" xr:uid="{A41D239C-7564-4B69-981A-35C1648B575A}">
      <formula1>INDIRECT("Table_SourceData_Dairy_ProductionSystemTemplates[Area]")</formula1>
    </dataValidation>
    <dataValidation type="list" allowBlank="1" showInputMessage="1" showErrorMessage="1" sqref="D262" xr:uid="{AA7A5BB9-E4E0-4252-BD8F-C6B171EB6C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08C21-5D1B-49F5-AAFD-4D5E7619E107}">
  <dimension ref="A1:Y366"/>
  <sheetViews>
    <sheetView showGridLines="0" topLeftCell="A23"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193</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c r="D5" s="9" t="s">
        <v>195</v>
      </c>
      <c r="E5" s="7"/>
      <c r="F5" s="7"/>
      <c r="G5" s="7"/>
      <c r="H5" s="7"/>
      <c r="I5" s="7"/>
      <c r="J5" s="7"/>
      <c r="K5" s="7"/>
      <c r="L5" s="7"/>
      <c r="M5" s="7"/>
    </row>
    <row r="6" spans="1:25" ht="20.100000000000001" customHeight="1" x14ac:dyDescent="0.25">
      <c r="A6"/>
      <c r="D6" s="14"/>
      <c r="E6" s="14"/>
      <c r="F6" s="14"/>
      <c r="G6" s="14"/>
      <c r="H6" s="14"/>
      <c r="I6" s="14"/>
      <c r="J6" s="14"/>
      <c r="K6" s="14"/>
      <c r="L6" s="14"/>
      <c r="M6" s="14"/>
    </row>
    <row r="7" spans="1:25" ht="20.100000000000001" customHeight="1" x14ac:dyDescent="0.25">
      <c r="A7" s="19" t="s">
        <v>67</v>
      </c>
      <c r="D7" s="39" t="s">
        <v>196</v>
      </c>
      <c r="E7" s="40"/>
      <c r="F7" s="40"/>
      <c r="G7" s="40"/>
      <c r="H7" s="41"/>
      <c r="I7" s="67"/>
      <c r="J7" s="68"/>
      <c r="K7" s="69"/>
      <c r="L7" s="69"/>
      <c r="M7" s="69"/>
    </row>
    <row r="8" spans="1:25" ht="20.100000000000001" customHeight="1" x14ac:dyDescent="0.25">
      <c r="A8" s="16" t="str">
        <f>HYPERLINK("#'Input - Site'!A1", "Site")</f>
        <v>Site</v>
      </c>
      <c r="D8" s="43" t="s">
        <v>197</v>
      </c>
      <c r="E8" s="44"/>
      <c r="F8" s="44"/>
      <c r="G8" s="45"/>
      <c r="H8" s="70"/>
      <c r="I8" s="14"/>
      <c r="J8" s="14"/>
      <c r="K8" s="14"/>
      <c r="L8" s="14"/>
      <c r="M8" s="14"/>
    </row>
    <row r="9" spans="1:25" ht="20.100000000000001" customHeight="1" x14ac:dyDescent="0.25">
      <c r="A9" s="16" t="str">
        <f>HYPERLINK("#'Input - Fuel'!A1", "Fuel")</f>
        <v>Fuel</v>
      </c>
      <c r="D9" s="14"/>
      <c r="E9" s="14"/>
      <c r="F9" s="14"/>
      <c r="G9" s="14"/>
      <c r="H9" s="14"/>
      <c r="I9" s="14"/>
      <c r="J9" s="14"/>
      <c r="K9" s="14"/>
      <c r="L9" s="14"/>
      <c r="M9" s="14"/>
    </row>
    <row r="10" spans="1:25" ht="20.100000000000001" customHeight="1" x14ac:dyDescent="0.25">
      <c r="A10" s="42" t="str">
        <f>HYPERLINK("#'Input - Fertiliser'!A1", "Fertiliser")</f>
        <v>Fertiliser</v>
      </c>
      <c r="D10" s="71" t="s">
        <v>198</v>
      </c>
      <c r="E10" s="14"/>
      <c r="F10" s="14"/>
      <c r="G10" s="14"/>
      <c r="H10" s="14"/>
      <c r="I10" s="14"/>
      <c r="J10" s="14"/>
      <c r="K10" s="14"/>
      <c r="L10" s="14"/>
      <c r="M10" s="14"/>
    </row>
    <row r="11" spans="1:25" ht="20.100000000000001" customHeight="1" x14ac:dyDescent="0.25">
      <c r="A11" s="16" t="str">
        <f>HYPERLINK("#'Input - Farm Inputs'!A1", "Farm Inputs")</f>
        <v>Farm Inputs</v>
      </c>
      <c r="D11" s="222" t="s">
        <v>199</v>
      </c>
      <c r="E11" s="64" t="s">
        <v>852</v>
      </c>
      <c r="F11" s="64" t="s">
        <v>309</v>
      </c>
      <c r="G11" s="64" t="s">
        <v>310</v>
      </c>
      <c r="H11" s="64" t="s">
        <v>200</v>
      </c>
      <c r="I11" s="64" t="s">
        <v>201</v>
      </c>
      <c r="J11" s="222" t="s">
        <v>173</v>
      </c>
      <c r="K11" s="222" t="s">
        <v>174</v>
      </c>
      <c r="L11" s="222" t="s">
        <v>175</v>
      </c>
      <c r="M11" s="222" t="s">
        <v>176</v>
      </c>
      <c r="N11" s="222" t="s">
        <v>177</v>
      </c>
      <c r="O11" s="222" t="s">
        <v>178</v>
      </c>
      <c r="P11" s="222" t="s">
        <v>179</v>
      </c>
      <c r="Q11" s="222" t="s">
        <v>180</v>
      </c>
      <c r="R11" s="222" t="s">
        <v>181</v>
      </c>
      <c r="S11" s="222" t="s">
        <v>182</v>
      </c>
      <c r="T11" s="222" t="s">
        <v>183</v>
      </c>
      <c r="U11" s="222" t="s">
        <v>184</v>
      </c>
      <c r="V11" s="222" t="s">
        <v>202</v>
      </c>
      <c r="W11" s="222" t="s">
        <v>171</v>
      </c>
      <c r="X11" s="222" t="s">
        <v>172</v>
      </c>
    </row>
    <row r="12" spans="1:25" ht="20.100000000000001" customHeight="1" x14ac:dyDescent="0.25">
      <c r="A12" s="16" t="str">
        <f>HYPERLINK("#'Input - Beef cattle purchases'!A1", "Beef cattle purchases")</f>
        <v>Beef cattle purchases</v>
      </c>
      <c r="D12" s="72" t="s">
        <v>853</v>
      </c>
      <c r="E12" s="73">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73">
        <v>100</v>
      </c>
      <c r="I12" s="74">
        <f>(Table_Input_InorganicFertiliser_Brands[[#This Row],[Amount applied per hectare]]*Table_Input_InorganicFertiliser_Brands[[#This Row],[Density]])*Table_Input_InorganicFertiliser_Brands[[#This Row],[Application area (ha)]]</f>
        <v>12600</v>
      </c>
      <c r="J12" s="7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7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7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7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7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7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7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6" t="str">
        <f>HYPERLINK("#'Input - Dairy cattle purchases'!A1", "Dairy cattle purchases")</f>
        <v>Dairy cattle purchases</v>
      </c>
      <c r="D13" s="223" t="s">
        <v>854</v>
      </c>
      <c r="E13" s="224">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224">
        <v>100</v>
      </c>
      <c r="I13" s="74">
        <f>(Table_Input_InorganicFertiliser_Brands[[#This Row],[Amount applied per hectare]]*Table_Input_InorganicFertiliser_Brands[[#This Row],[Density]])*Table_Input_InorganicFertiliser_Brands[[#This Row],[Application area (ha)]]</f>
        <v>12850</v>
      </c>
      <c r="J13" s="7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7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7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7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7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74" t="str">
        <f>_xlfn.XLOOKUP(Table_Input_InorganicFertiliser_Brands[[#This Row],[Product (select)]],FertiliserProducts[Product name],FertiliserProducts[Urea source])</f>
        <v/>
      </c>
      <c r="X13" s="74" t="str">
        <f>_xlfn.XLOOKUP(Table_Input_InorganicFertiliser_Brands[[#This Row],[Product (select)]],FertiliserProducts[Product name],FertiliserProducts[Ammonia source])</f>
        <v/>
      </c>
    </row>
    <row r="14" spans="1:25" ht="20.100000000000001" customHeight="1" x14ac:dyDescent="0.25">
      <c r="A14" s="16" t="str">
        <f>HYPERLINK("#'Input - Pig purchases'!A1", "Pig purchases")</f>
        <v>Pig purchases</v>
      </c>
      <c r="D14" s="223" t="s">
        <v>854</v>
      </c>
      <c r="E14" s="224">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224">
        <v>100</v>
      </c>
      <c r="I14" s="74">
        <f>(Table_Input_InorganicFertiliser_Brands[[#This Row],[Amount applied per hectare]]*Table_Input_InorganicFertiliser_Brands[[#This Row],[Density]])*Table_Input_InorganicFertiliser_Brands[[#This Row],[Application area (ha)]]</f>
        <v>12850</v>
      </c>
      <c r="J14" s="7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7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7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7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7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74" t="str">
        <f>_xlfn.XLOOKUP(Table_Input_InorganicFertiliser_Brands[[#This Row],[Product (select)]],FertiliserProducts[Product name],FertiliserProducts[Urea source])</f>
        <v/>
      </c>
      <c r="X14" s="74" t="str">
        <f>_xlfn.XLOOKUP(Table_Input_InorganicFertiliser_Brands[[#This Row],[Product (select)]],FertiliserProducts[Product name],FertiliserProducts[Ammonia source])</f>
        <v/>
      </c>
    </row>
    <row r="15" spans="1:25" ht="20.100000000000001" customHeight="1" x14ac:dyDescent="0.25">
      <c r="A15" s="16" t="str">
        <f>HYPERLINK("#'Input - Poultry purchases'!A1", "Poultry purchases")</f>
        <v>Poultry purchases</v>
      </c>
      <c r="D15" s="223" t="s">
        <v>855</v>
      </c>
      <c r="E15" s="224">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224">
        <v>100</v>
      </c>
      <c r="I15" s="74">
        <f>(Table_Input_InorganicFertiliser_Brands[[#This Row],[Amount applied per hectare]]*Table_Input_InorganicFertiliser_Brands[[#This Row],[Density]])*Table_Input_InorganicFertiliser_Brands[[#This Row],[Application area (ha)]]</f>
        <v>12600</v>
      </c>
      <c r="J15" s="7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7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7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7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7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7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74" t="str">
        <f>_xlfn.XLOOKUP(Table_Input_InorganicFertiliser_Brands[[#This Row],[Product (select)]],FertiliserProducts[Product name],FertiliserProducts[Urea source])</f>
        <v/>
      </c>
      <c r="X15" s="74" t="str">
        <f>_xlfn.XLOOKUP(Table_Input_InorganicFertiliser_Brands[[#This Row],[Product (select)]],FertiliserProducts[Product name],FertiliserProducts[Ammonia source])</f>
        <v/>
      </c>
    </row>
    <row r="16" spans="1:25" ht="20.100000000000001" customHeight="1" x14ac:dyDescent="0.25">
      <c r="A16" s="16" t="str">
        <f>HYPERLINK("#'Input - Freight'!A1", "Freight")</f>
        <v>Freight</v>
      </c>
      <c r="D16" s="223" t="s">
        <v>856</v>
      </c>
      <c r="E16" s="224">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224">
        <v>100</v>
      </c>
      <c r="I16" s="74">
        <f>(Table_Input_InorganicFertiliser_Brands[[#This Row],[Amount applied per hectare]]*Table_Input_InorganicFertiliser_Brands[[#This Row],[Density]])*Table_Input_InorganicFertiliser_Brands[[#This Row],[Application area (ha)]]</f>
        <v>15000</v>
      </c>
      <c r="J16" s="7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7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7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7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7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74" t="str">
        <f>_xlfn.XLOOKUP(Table_Input_InorganicFertiliser_Brands[[#This Row],[Product (select)]],FertiliserProducts[Product name],FertiliserProducts[Urea source])</f>
        <v/>
      </c>
      <c r="X16" s="74" t="str">
        <f>_xlfn.XLOOKUP(Table_Input_InorganicFertiliser_Brands[[#This Row],[Product (select)]],FertiliserProducts[Product name],FertiliserProducts[Ammonia source])</f>
        <v/>
      </c>
    </row>
    <row r="17" spans="1:24" ht="36" customHeight="1" x14ac:dyDescent="0.25">
      <c r="A17" s="16" t="str">
        <f>HYPERLINK("#'Input - Solid waste'!A1", "Solid waste")</f>
        <v>Solid waste</v>
      </c>
      <c r="D17" s="75"/>
      <c r="E17" s="76"/>
      <c r="F17" s="77"/>
      <c r="G17" s="77"/>
      <c r="H17" s="77"/>
      <c r="I17" s="77"/>
      <c r="J17" s="78"/>
      <c r="K17" s="78"/>
      <c r="L17" s="79"/>
      <c r="M17" s="79"/>
      <c r="N17" s="51"/>
      <c r="O17" s="51"/>
      <c r="P17" s="51"/>
      <c r="Q17" s="51"/>
      <c r="R17" s="51"/>
      <c r="S17" s="51"/>
      <c r="T17" s="51"/>
      <c r="U17" s="51"/>
      <c r="V17" s="51"/>
      <c r="W17" s="51"/>
      <c r="X17" s="51"/>
    </row>
    <row r="18" spans="1:24" ht="36" customHeight="1" x14ac:dyDescent="0.25">
      <c r="A18" s="16" t="str">
        <f>HYPERLINK("#'Input - Manure sent off-site'!A1", "Manure sent off-site")</f>
        <v>Manure sent off-site</v>
      </c>
      <c r="D18" s="80" t="s">
        <v>203</v>
      </c>
      <c r="E18" s="81"/>
      <c r="F18" s="81"/>
      <c r="G18" s="81"/>
      <c r="H18" s="81"/>
      <c r="I18" s="81"/>
      <c r="J18" s="81"/>
      <c r="K18" s="81"/>
      <c r="L18" s="81"/>
      <c r="M18" s="81"/>
      <c r="N18" s="51"/>
      <c r="O18" s="51"/>
      <c r="P18" s="51"/>
      <c r="Q18" s="51"/>
      <c r="R18" s="51"/>
      <c r="S18" s="51"/>
      <c r="T18" s="51"/>
      <c r="V18" s="51"/>
      <c r="W18" s="51"/>
      <c r="X18" s="51"/>
    </row>
    <row r="19" spans="1:24" ht="36" customHeight="1" x14ac:dyDescent="0.25">
      <c r="A19" s="16" t="str">
        <f>HYPERLINK("#'Input - Electricity'!A1", "Electricity")</f>
        <v>Electricity</v>
      </c>
      <c r="D19" s="64" t="s">
        <v>204</v>
      </c>
      <c r="E19" s="64" t="s">
        <v>857</v>
      </c>
      <c r="F19" s="64" t="s">
        <v>200</v>
      </c>
      <c r="G19" s="64" t="s">
        <v>201</v>
      </c>
      <c r="H19" s="64" t="s">
        <v>205</v>
      </c>
      <c r="I19" s="64" t="s">
        <v>174</v>
      </c>
      <c r="J19" s="64" t="s">
        <v>175</v>
      </c>
      <c r="K19" s="64" t="s">
        <v>176</v>
      </c>
      <c r="L19" s="64" t="s">
        <v>177</v>
      </c>
      <c r="M19" s="64" t="s">
        <v>178</v>
      </c>
      <c r="N19" s="64" t="s">
        <v>179</v>
      </c>
      <c r="O19" s="64" t="s">
        <v>180</v>
      </c>
      <c r="P19" s="64" t="s">
        <v>202</v>
      </c>
      <c r="Q19" s="222" t="s">
        <v>858</v>
      </c>
      <c r="R19" s="222" t="s">
        <v>859</v>
      </c>
      <c r="S19" s="51"/>
      <c r="T19" s="51"/>
      <c r="V19" s="51"/>
      <c r="W19" s="51"/>
      <c r="X19" s="51"/>
    </row>
    <row r="20" spans="1:24" ht="36" customHeight="1" x14ac:dyDescent="0.25">
      <c r="A20"/>
      <c r="D20" s="82" t="s">
        <v>206</v>
      </c>
      <c r="E20" s="64">
        <v>100</v>
      </c>
      <c r="F20" s="73">
        <v>100</v>
      </c>
      <c r="G20" s="74">
        <f>Table_Input_InorganicFertiliser_Custom[[#This Row],[Amount applied (kg / ha)]]*Table_Input_InorganicFertiliser_Custom[[#This Row],[Application area (ha)]]</f>
        <v>10000</v>
      </c>
      <c r="H20" s="83" t="s">
        <v>313</v>
      </c>
      <c r="I20" s="84">
        <v>0.5</v>
      </c>
      <c r="J20" s="83" t="s">
        <v>860</v>
      </c>
      <c r="K20" s="84">
        <v>0.2</v>
      </c>
      <c r="L20" s="83" t="s">
        <v>208</v>
      </c>
      <c r="M20" s="84">
        <v>0.2</v>
      </c>
      <c r="N20" s="85" t="s">
        <v>209</v>
      </c>
      <c r="O20" s="86">
        <v>0.1</v>
      </c>
      <c r="P2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47"/>
      <c r="R20" s="47"/>
      <c r="T20" s="27"/>
    </row>
    <row r="21" spans="1:24" ht="36" customHeight="1" x14ac:dyDescent="0.25">
      <c r="A21"/>
      <c r="D21" s="82" t="s">
        <v>861</v>
      </c>
      <c r="E21" s="64">
        <v>100</v>
      </c>
      <c r="F21" s="73">
        <v>100</v>
      </c>
      <c r="G21" s="74">
        <f>Table_Input_InorganicFertiliser_Custom[[#This Row],[Amount applied (kg / ha)]]*Table_Input_InorganicFertiliser_Custom[[#This Row],[Application area (ha)]]</f>
        <v>10000</v>
      </c>
      <c r="H21" s="83" t="s">
        <v>207</v>
      </c>
      <c r="I21" s="87">
        <v>1</v>
      </c>
      <c r="J21" s="83"/>
      <c r="K21" s="87"/>
      <c r="L21" s="83"/>
      <c r="M21" s="87"/>
      <c r="N21" s="85"/>
      <c r="O21" s="86"/>
      <c r="P2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47"/>
      <c r="R21" s="47"/>
      <c r="W21" s="27"/>
    </row>
    <row r="22" spans="1:24" ht="36" customHeight="1" x14ac:dyDescent="0.25">
      <c r="A22" s="21" t="s">
        <v>77</v>
      </c>
      <c r="D22" s="82" t="s">
        <v>862</v>
      </c>
      <c r="E22" s="64">
        <v>100</v>
      </c>
      <c r="F22" s="73">
        <v>100</v>
      </c>
      <c r="G22" s="74">
        <f>Table_Input_InorganicFertiliser_Custom[[#This Row],[Amount applied (kg / ha)]]*Table_Input_InorganicFertiliser_Custom[[#This Row],[Application area (ha)]]</f>
        <v>10000</v>
      </c>
      <c r="H22" s="83" t="s">
        <v>314</v>
      </c>
      <c r="I22" s="87">
        <v>0.5</v>
      </c>
      <c r="J22" s="83"/>
      <c r="K22" s="87"/>
      <c r="L22" s="83"/>
      <c r="M22" s="87"/>
      <c r="N22" s="85"/>
      <c r="O22" s="86"/>
      <c r="P2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47"/>
      <c r="R22" s="47"/>
    </row>
    <row r="23" spans="1:24" ht="36" customHeight="1" x14ac:dyDescent="0.25">
      <c r="A23" s="16" t="str">
        <f>HYPERLINK("#'15 Scope 3'!A1", "15 Scope 3")</f>
        <v>15 Scope 3</v>
      </c>
      <c r="V23" s="27"/>
    </row>
    <row r="24" spans="1:24" ht="36" customHeight="1" x14ac:dyDescent="0.25">
      <c r="A24" s="16" t="str">
        <f>HYPERLINK("#'10.1.1-2 Solid waste treatment'!A1", "10.1.1-2 Solid waste treatment")</f>
        <v>10.1.1-2 Solid waste treatment</v>
      </c>
      <c r="D24" s="9" t="s">
        <v>823</v>
      </c>
      <c r="E24" s="7"/>
      <c r="F24" s="7"/>
      <c r="G24" s="7"/>
      <c r="H24" s="7"/>
      <c r="I24" s="7"/>
      <c r="J24" s="7"/>
      <c r="K24" s="14"/>
      <c r="L24" s="14"/>
      <c r="M24" s="14"/>
    </row>
    <row r="25" spans="1:24" ht="36" customHeight="1" x14ac:dyDescent="0.25">
      <c r="A25" s="16" t="str">
        <f>HYPERLINK("#'Calcs - Manure sent off-site'!A1", "Calcs - Manure sent off-site")</f>
        <v>Calcs - Manure sent off-site</v>
      </c>
      <c r="D25" s="14"/>
      <c r="E25" s="14"/>
      <c r="F25" s="14"/>
      <c r="G25" s="14"/>
      <c r="H25" s="14"/>
      <c r="I25" s="14"/>
      <c r="J25" s="14"/>
      <c r="K25" s="14"/>
      <c r="L25" s="14"/>
      <c r="M25" s="7"/>
    </row>
    <row r="26" spans="1:24" ht="36" customHeight="1" x14ac:dyDescent="0.25">
      <c r="A26" s="16" t="str">
        <f>HYPERLINK("#'8.1.1.1-2 Transport fuel'!A1", "8.1.1.1-2 Transport fuel")</f>
        <v>8.1.1.1-2 Transport fuel</v>
      </c>
      <c r="D26" s="39" t="s">
        <v>210</v>
      </c>
      <c r="E26" s="40"/>
      <c r="F26" s="41"/>
      <c r="G26" s="39"/>
      <c r="H26" s="41"/>
      <c r="I26" s="7"/>
      <c r="J26" s="7"/>
      <c r="K26" s="14"/>
      <c r="L26" s="14"/>
      <c r="M26" s="14"/>
    </row>
    <row r="27" spans="1:24" ht="20.100000000000001" customHeight="1" x14ac:dyDescent="0.25">
      <c r="A27" s="16" t="str">
        <f>HYPERLINK("#'8.2.1.1-2 Stationary fuel'!A1", "8.2.1.1-2 Stationary fuel")</f>
        <v>8.2.1.1-2 Stationary fuel</v>
      </c>
      <c r="D27" s="88" t="s">
        <v>211</v>
      </c>
      <c r="E27" s="89"/>
      <c r="F27" s="90"/>
      <c r="G27" s="88"/>
      <c r="H27" s="90"/>
      <c r="I27" s="14"/>
      <c r="J27" s="14"/>
      <c r="K27" s="14"/>
      <c r="L27" s="14"/>
      <c r="M27" s="7"/>
    </row>
    <row r="28" spans="1:24" ht="20.100000000000001" customHeight="1" x14ac:dyDescent="0.25">
      <c r="A28"/>
      <c r="D28" s="43" t="s">
        <v>197</v>
      </c>
      <c r="E28" s="44"/>
      <c r="F28" s="44"/>
      <c r="G28" s="44"/>
      <c r="H28" s="45"/>
      <c r="I28" s="14"/>
      <c r="J28" s="14"/>
      <c r="K28" s="14"/>
      <c r="L28" s="14"/>
      <c r="M28" s="7"/>
    </row>
    <row r="29" spans="1:24" ht="20.100000000000001" customHeight="1" x14ac:dyDescent="0.25">
      <c r="A29"/>
      <c r="D29" s="54" t="str">
        <f>IF(MAX(Table_Input_Lime[Total]) &gt; 1, "There can not be more than 100% ingredients in a product. Check the table below.", "")</f>
        <v/>
      </c>
    </row>
    <row r="30" spans="1:24" ht="20.100000000000001" customHeight="1" x14ac:dyDescent="0.25">
      <c r="A30" s="221" t="s">
        <v>78</v>
      </c>
      <c r="D30" s="91" t="s">
        <v>212</v>
      </c>
      <c r="E30" s="91" t="s">
        <v>213</v>
      </c>
      <c r="F30" s="91" t="s">
        <v>200</v>
      </c>
      <c r="G30" s="91" t="s">
        <v>214</v>
      </c>
      <c r="H30" s="91" t="s">
        <v>215</v>
      </c>
      <c r="I30" s="91" t="s">
        <v>216</v>
      </c>
      <c r="J30" s="91" t="s">
        <v>217</v>
      </c>
      <c r="K30" s="91" t="s">
        <v>218</v>
      </c>
    </row>
    <row r="31" spans="1:24" ht="20.100000000000001" customHeight="1" x14ac:dyDescent="0.25">
      <c r="A31" s="16" t="str">
        <f>HYPERLINK("#'Constants - Scope 3'!A1", "Constants - Scope 3")</f>
        <v>Constants - Scope 3</v>
      </c>
      <c r="D31" s="92" t="s">
        <v>219</v>
      </c>
      <c r="E31" s="73">
        <v>1</v>
      </c>
      <c r="F31" s="73">
        <v>100</v>
      </c>
      <c r="G31" s="74">
        <f>IFERROR(Table_Input_Lime[[#This Row],[Amount applied (t/hectare)]]*Table_Input_Lime[[#This Row],[Application area (ha)]], 0)</f>
        <v>100</v>
      </c>
      <c r="H31" s="225">
        <v>0.8</v>
      </c>
      <c r="I31" s="225">
        <v>0.1</v>
      </c>
      <c r="J31" s="225">
        <v>0.1</v>
      </c>
      <c r="K31" s="93">
        <f>SUM(Table_Input_Lime[[#This Row],[Percent Lime CaCO3]:[Percent Gypsum]])</f>
        <v>1</v>
      </c>
    </row>
    <row r="32" spans="1:24" ht="30" customHeight="1" x14ac:dyDescent="0.25">
      <c r="A32" s="16" t="str">
        <f>HYPERLINK("#'Constants - Solid Waste'!A1", "Constants - Solid Waste")</f>
        <v>Constants - Solid Waste</v>
      </c>
      <c r="D32" s="92" t="s">
        <v>220</v>
      </c>
      <c r="E32" s="73">
        <v>1</v>
      </c>
      <c r="F32" s="73">
        <v>100</v>
      </c>
      <c r="G32" s="74">
        <f>IFERROR(Table_Input_Lime[[#This Row],[Amount applied (t/hectare)]]*Table_Input_Lime[[#This Row],[Application area (ha)]], 0)</f>
        <v>100</v>
      </c>
      <c r="H32" s="225">
        <v>1</v>
      </c>
      <c r="I32" s="225"/>
      <c r="J32" s="225"/>
      <c r="K32" s="93">
        <f>SUM(Table_Input_Lime[[#This Row],[Percent Lime CaCO3]:[Percent Gypsum]])</f>
        <v>1</v>
      </c>
      <c r="L32" s="7"/>
    </row>
    <row r="33" spans="1:25" ht="36" customHeight="1" x14ac:dyDescent="0.25">
      <c r="A33" s="16" t="str">
        <f>HYPERLINK("#'Constants - Fuel'!A1", "Constants - Fuel")</f>
        <v>Constants - Fuel</v>
      </c>
      <c r="D33" s="92" t="s">
        <v>863</v>
      </c>
      <c r="E33" s="73">
        <v>1</v>
      </c>
      <c r="F33" s="73">
        <v>100</v>
      </c>
      <c r="G33" s="74">
        <f>IFERROR(Table_Input_Lime[[#This Row],[Amount applied (t/hectare)]]*Table_Input_Lime[[#This Row],[Application area (ha)]], 0)</f>
        <v>100</v>
      </c>
      <c r="H33" s="225">
        <v>0</v>
      </c>
      <c r="I33" s="225"/>
      <c r="J33" s="225">
        <v>1</v>
      </c>
      <c r="K33" s="93">
        <f>SUM(Table_Input_Lime[[#This Row],[Percent Lime CaCO3]:[Percent Gypsum]])</f>
        <v>1</v>
      </c>
      <c r="L33" s="7"/>
      <c r="M33" s="7"/>
    </row>
    <row r="34" spans="1:25" ht="36" customHeight="1" x14ac:dyDescent="0.25">
      <c r="A34" s="16" t="str">
        <f>HYPERLINK("#'Constants - Poultry'!A1", "Constants - Poultry")</f>
        <v>Constants - Poultry</v>
      </c>
      <c r="D34" s="14"/>
      <c r="E34" s="14"/>
      <c r="F34" s="14"/>
      <c r="G34" s="14"/>
      <c r="H34" s="14"/>
      <c r="I34" s="14"/>
      <c r="J34" s="14"/>
      <c r="L34" s="14"/>
      <c r="M34" s="7"/>
    </row>
    <row r="35" spans="1:25" ht="36" customHeight="1" x14ac:dyDescent="0.25">
      <c r="A35" s="16" t="str">
        <f>HYPERLINK("#'Constants - Swine'!A1", "Constants - Swine")</f>
        <v>Constants - Swine</v>
      </c>
      <c r="D35" s="14"/>
      <c r="E35" s="14"/>
      <c r="F35" s="14"/>
      <c r="G35" s="14"/>
      <c r="H35" s="14"/>
      <c r="I35" s="14"/>
      <c r="J35" s="94"/>
      <c r="K35" s="7"/>
      <c r="L35" s="14"/>
      <c r="M35" s="14"/>
    </row>
    <row r="36" spans="1:25" ht="36" customHeight="1" x14ac:dyDescent="0.25">
      <c r="A36" s="16" t="str">
        <f>HYPERLINK("#'Constants - Dairy'!A1", "Constants - Dairy")</f>
        <v>Constants - Dairy</v>
      </c>
      <c r="D36" s="9" t="s">
        <v>864</v>
      </c>
      <c r="E36" s="7"/>
      <c r="F36" s="7"/>
      <c r="G36" s="7"/>
      <c r="H36" s="14"/>
      <c r="I36" s="14"/>
      <c r="J36" s="14"/>
      <c r="K36" s="14"/>
      <c r="L36" s="14"/>
      <c r="M36" s="14"/>
      <c r="S36" s="51"/>
    </row>
    <row r="37" spans="1:25" ht="20.100000000000001" customHeight="1" x14ac:dyDescent="0.25">
      <c r="A37" s="16" t="str">
        <f>HYPERLINK("#'Constants - Pasture Beef'!A1", "Constants - Pasture Beef")</f>
        <v>Constants - Pasture Beef</v>
      </c>
      <c r="D37" s="14"/>
      <c r="E37" s="14"/>
      <c r="F37" s="14"/>
      <c r="G37" s="14"/>
      <c r="H37" s="14"/>
      <c r="I37" s="14"/>
      <c r="J37" s="14"/>
      <c r="K37" s="14"/>
      <c r="L37" s="14"/>
      <c r="M37" s="14"/>
      <c r="Q37" s="51"/>
      <c r="R37" s="51"/>
      <c r="S37" s="51"/>
    </row>
    <row r="38" spans="1:25" ht="20.100000000000001" customHeight="1" x14ac:dyDescent="0.25">
      <c r="A38" s="16" t="str">
        <f>HYPERLINK("#'Constants - Common Livestock'!A1", "Constants - Common Livestock")</f>
        <v>Constants - Common Livestock</v>
      </c>
      <c r="C38" s="51"/>
      <c r="D38" s="39" t="s">
        <v>210</v>
      </c>
      <c r="E38" s="40"/>
      <c r="F38" s="40"/>
      <c r="G38" s="40"/>
      <c r="H38" s="41"/>
      <c r="I38" s="14"/>
      <c r="J38" s="14"/>
      <c r="K38" s="14"/>
      <c r="L38" s="14"/>
      <c r="M38" s="14"/>
      <c r="O38" s="51"/>
      <c r="P38" s="51"/>
      <c r="Q38" s="51"/>
      <c r="R38" s="51"/>
    </row>
    <row r="39" spans="1:25" ht="20.100000000000001" customHeight="1" x14ac:dyDescent="0.25">
      <c r="A39" s="16" t="str">
        <f>HYPERLINK("#'Constants - Fertiliser'!A1", "Constants - Fertiliser")</f>
        <v>Constants - Fertiliser</v>
      </c>
      <c r="C39" s="51"/>
      <c r="D39" s="43" t="s">
        <v>197</v>
      </c>
      <c r="E39" s="44"/>
      <c r="F39" s="44"/>
      <c r="G39" s="44"/>
      <c r="H39" s="45"/>
      <c r="I39" s="14"/>
      <c r="J39" s="14"/>
      <c r="K39" s="14"/>
      <c r="L39" s="81"/>
      <c r="M39" s="51"/>
      <c r="N39" s="51"/>
      <c r="O39" s="51"/>
      <c r="P39" s="51"/>
    </row>
    <row r="40" spans="1:25" s="52" customFormat="1" ht="20.100000000000001" customHeight="1" x14ac:dyDescent="0.25">
      <c r="A40" s="16" t="str">
        <f>HYPERLINK("#'Constants - Electricity'!A1", "Constants - Electricity")</f>
        <v>Constants - Electricity</v>
      </c>
      <c r="C40" s="8"/>
      <c r="D40" s="14"/>
      <c r="E40" s="14"/>
      <c r="F40" s="14"/>
      <c r="G40" s="14"/>
      <c r="H40" s="14"/>
      <c r="I40" s="14"/>
      <c r="J40" s="14"/>
      <c r="K40" s="14"/>
      <c r="L40" s="81"/>
      <c r="M40" s="51"/>
      <c r="N40" s="51"/>
      <c r="O40" s="8"/>
      <c r="P40" s="8"/>
      <c r="Q40" s="8"/>
      <c r="R40" s="8"/>
      <c r="S40" s="8"/>
      <c r="T40" s="8"/>
      <c r="U40" s="8"/>
      <c r="V40" s="8"/>
      <c r="W40" s="8"/>
      <c r="X40" s="8"/>
      <c r="Y40" s="8"/>
    </row>
    <row r="41" spans="1:25" s="52" customFormat="1" ht="20.100000000000001" customHeight="1" x14ac:dyDescent="0.25">
      <c r="A41" s="16" t="str">
        <f>HYPERLINK("#'Constants - Common'!A1", "Constants - Common")</f>
        <v>Constants - Common</v>
      </c>
      <c r="C41" s="8"/>
      <c r="D41" s="91" t="s">
        <v>865</v>
      </c>
      <c r="E41" s="91" t="s">
        <v>866</v>
      </c>
      <c r="F41" s="91" t="s">
        <v>867</v>
      </c>
      <c r="G41" s="91" t="s">
        <v>868</v>
      </c>
      <c r="H41" s="91" t="s">
        <v>200</v>
      </c>
      <c r="I41" s="91" t="s">
        <v>869</v>
      </c>
      <c r="J41" s="91" t="s">
        <v>870</v>
      </c>
      <c r="K41" s="81"/>
      <c r="L41" s="8"/>
      <c r="M41" s="8"/>
      <c r="N41" s="8"/>
      <c r="O41" s="8"/>
      <c r="P41" s="8"/>
      <c r="Q41" s="8"/>
      <c r="R41" s="8"/>
      <c r="S41" s="8"/>
      <c r="T41" s="8"/>
      <c r="U41" s="8"/>
      <c r="V41" s="8"/>
      <c r="W41" s="8"/>
      <c r="X41" s="8"/>
      <c r="Y41" s="8"/>
    </row>
    <row r="42" spans="1:25" ht="30" customHeight="1" x14ac:dyDescent="0.25">
      <c r="A42"/>
      <c r="D42" s="72" t="s">
        <v>158</v>
      </c>
      <c r="E42" s="225">
        <v>0.3</v>
      </c>
      <c r="F42" s="73">
        <v>10</v>
      </c>
      <c r="G42" s="74">
        <f>Table_Input_OrganicFertiliser[[#This Row],[Amount applied (kg/hectare)]]*Table_Input_OrganicFertiliser[[#This Row],[Percentage of N in fertiliser]]</f>
        <v>3</v>
      </c>
      <c r="H42" s="73">
        <v>100</v>
      </c>
      <c r="I42" s="74">
        <f>Table_Input_OrganicFertiliser[[#This Row],[Amount applied (kg/hectare)]]*Table_Input_OrganicFertiliser[[#This Row],[Application area (ha)]]</f>
        <v>1000</v>
      </c>
      <c r="J42" s="74">
        <f>IFERROR(Table_Input_OrganicFertiliser[[#This Row],[Amount N applied (kg/hectare)]]*Table_Input_OrganicFertiliser[[#This Row],[Application area (ha)]], 0)</f>
        <v>300</v>
      </c>
      <c r="K42" s="81"/>
    </row>
    <row r="43" spans="1:25" ht="36" customHeight="1" x14ac:dyDescent="0.25">
      <c r="A43"/>
      <c r="D43" s="72" t="s">
        <v>152</v>
      </c>
      <c r="E43" s="225">
        <v>0.25</v>
      </c>
      <c r="F43" s="73">
        <v>10</v>
      </c>
      <c r="G43" s="74">
        <f>Table_Input_OrganicFertiliser[[#This Row],[Amount applied (kg/hectare)]]*Table_Input_OrganicFertiliser[[#This Row],[Percentage of N in fertiliser]]</f>
        <v>2.5</v>
      </c>
      <c r="H43" s="73">
        <v>100</v>
      </c>
      <c r="I43" s="74">
        <f>Table_Input_OrganicFertiliser[[#This Row],[Amount applied (kg/hectare)]]*Table_Input_OrganicFertiliser[[#This Row],[Application area (ha)]]</f>
        <v>1000</v>
      </c>
      <c r="J43" s="74">
        <f>IFERROR(Table_Input_OrganicFertiliser[[#This Row],[Amount N applied (kg/hectare)]]*Table_Input_OrganicFertiliser[[#This Row],[Application area (ha)]], 0)</f>
        <v>250</v>
      </c>
    </row>
    <row r="44" spans="1:25" ht="36" customHeight="1" x14ac:dyDescent="0.25">
      <c r="A44"/>
      <c r="D44" s="72" t="s">
        <v>160</v>
      </c>
      <c r="E44" s="225">
        <v>0.16</v>
      </c>
      <c r="F44" s="73">
        <v>10</v>
      </c>
      <c r="G44" s="74">
        <f>Table_Input_OrganicFertiliser[[#This Row],[Amount applied (kg/hectare)]]*Table_Input_OrganicFertiliser[[#This Row],[Percentage of N in fertiliser]]</f>
        <v>1.6</v>
      </c>
      <c r="H44" s="73">
        <v>100</v>
      </c>
      <c r="I44" s="74">
        <f>Table_Input_OrganicFertiliser[[#This Row],[Amount applied (kg/hectare)]]*Table_Input_OrganicFertiliser[[#This Row],[Application area (ha)]]</f>
        <v>1000</v>
      </c>
      <c r="J44" s="74">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5"/>
    </row>
    <row r="213" spans="12:12" x14ac:dyDescent="0.25">
      <c r="L213" s="65"/>
    </row>
    <row r="214" spans="12:12" x14ac:dyDescent="0.25">
      <c r="L214" s="65"/>
    </row>
    <row r="215" spans="12:12" x14ac:dyDescent="0.25">
      <c r="L215" s="65"/>
    </row>
    <row r="216" spans="12:12" x14ac:dyDescent="0.25">
      <c r="L216" s="65"/>
    </row>
    <row r="218" spans="12:12" x14ac:dyDescent="0.25">
      <c r="L218" s="65"/>
    </row>
    <row r="220" spans="12:12" x14ac:dyDescent="0.25">
      <c r="L220" s="65"/>
    </row>
    <row r="221" spans="12:12" x14ac:dyDescent="0.25">
      <c r="L221" s="65"/>
    </row>
    <row r="222" spans="12:12" x14ac:dyDescent="0.25">
      <c r="L222" s="65"/>
    </row>
    <row r="223" spans="12:12" x14ac:dyDescent="0.25">
      <c r="L223" s="65"/>
    </row>
    <row r="225" spans="12:12" x14ac:dyDescent="0.25">
      <c r="L225" s="65"/>
    </row>
    <row r="233" spans="12:12" x14ac:dyDescent="0.25">
      <c r="L233" s="65"/>
    </row>
    <row r="234" spans="12:12" x14ac:dyDescent="0.25">
      <c r="L234" s="65"/>
    </row>
    <row r="235" spans="12:12" x14ac:dyDescent="0.25">
      <c r="L235" s="65"/>
    </row>
    <row r="238" spans="12:12" x14ac:dyDescent="0.25">
      <c r="L238" s="65"/>
    </row>
    <row r="239" spans="12:12" x14ac:dyDescent="0.25">
      <c r="L239" s="65"/>
    </row>
    <row r="240" spans="12:12" x14ac:dyDescent="0.25">
      <c r="L240" s="65"/>
    </row>
    <row r="243" spans="11:12" x14ac:dyDescent="0.25">
      <c r="L243" s="65"/>
    </row>
    <row r="244" spans="11:12" x14ac:dyDescent="0.25">
      <c r="L244" s="65"/>
    </row>
    <row r="245" spans="11:12" x14ac:dyDescent="0.25">
      <c r="L245" s="65"/>
    </row>
    <row r="248" spans="11:12" x14ac:dyDescent="0.25">
      <c r="L248" s="65"/>
    </row>
    <row r="249" spans="11:12" x14ac:dyDescent="0.25">
      <c r="L249" s="65"/>
    </row>
    <row r="250" spans="11:12" x14ac:dyDescent="0.25">
      <c r="L250" s="65"/>
    </row>
    <row r="251" spans="11:12" x14ac:dyDescent="0.25">
      <c r="K251" s="65"/>
    </row>
    <row r="256" spans="11:12" x14ac:dyDescent="0.25">
      <c r="K256" s="65"/>
    </row>
    <row r="257" spans="11:12" x14ac:dyDescent="0.25">
      <c r="L257" s="65"/>
    </row>
    <row r="258" spans="11:12" x14ac:dyDescent="0.25">
      <c r="L258" s="65"/>
    </row>
    <row r="259" spans="11:12" x14ac:dyDescent="0.25">
      <c r="L259" s="65"/>
    </row>
    <row r="261" spans="11:12" x14ac:dyDescent="0.25">
      <c r="K261" s="65"/>
    </row>
    <row r="262" spans="11:12" x14ac:dyDescent="0.25">
      <c r="L262" s="65"/>
    </row>
    <row r="263" spans="11:12" x14ac:dyDescent="0.25">
      <c r="L263" s="65"/>
    </row>
    <row r="264" spans="11:12" x14ac:dyDescent="0.25">
      <c r="L264" s="65"/>
    </row>
    <row r="266" spans="11:12" x14ac:dyDescent="0.25">
      <c r="K266" s="65"/>
    </row>
    <row r="267" spans="11:12" x14ac:dyDescent="0.25">
      <c r="K267" s="65"/>
      <c r="L267" s="65"/>
    </row>
    <row r="268" spans="11:12" x14ac:dyDescent="0.25">
      <c r="K268" s="65"/>
      <c r="L268" s="65"/>
    </row>
    <row r="269" spans="11:12" x14ac:dyDescent="0.25">
      <c r="K269" s="65"/>
      <c r="L269" s="65"/>
    </row>
    <row r="270" spans="11:12" x14ac:dyDescent="0.25">
      <c r="K270" s="65"/>
    </row>
    <row r="272" spans="11:12" x14ac:dyDescent="0.25">
      <c r="K272" s="65"/>
      <c r="L272" s="65"/>
    </row>
    <row r="273" spans="11:12" x14ac:dyDescent="0.25">
      <c r="L273" s="65"/>
    </row>
    <row r="274" spans="11:12" x14ac:dyDescent="0.25">
      <c r="K274" s="65"/>
      <c r="L274" s="65"/>
    </row>
    <row r="275" spans="11:12" x14ac:dyDescent="0.25">
      <c r="K275" s="65"/>
    </row>
    <row r="276" spans="11:12" x14ac:dyDescent="0.25">
      <c r="K276" s="65"/>
    </row>
    <row r="277" spans="11:12" x14ac:dyDescent="0.25">
      <c r="K277" s="65"/>
    </row>
    <row r="279" spans="11:12" x14ac:dyDescent="0.25">
      <c r="K279" s="65"/>
    </row>
    <row r="285" spans="11:12" x14ac:dyDescent="0.25">
      <c r="K285" s="65"/>
    </row>
    <row r="290" spans="11:11" x14ac:dyDescent="0.25">
      <c r="K290" s="65"/>
    </row>
    <row r="295" spans="11:11" x14ac:dyDescent="0.25">
      <c r="K295" s="65"/>
    </row>
    <row r="300" spans="11:11" x14ac:dyDescent="0.25">
      <c r="K300" s="65"/>
    </row>
    <row r="301" spans="11:11" x14ac:dyDescent="0.25">
      <c r="K301" s="65"/>
    </row>
    <row r="302" spans="11:11" x14ac:dyDescent="0.25">
      <c r="K302" s="65"/>
    </row>
    <row r="303" spans="11:11" x14ac:dyDescent="0.25">
      <c r="K303" s="65"/>
    </row>
    <row r="304" spans="11:11" x14ac:dyDescent="0.25">
      <c r="K304" s="65"/>
    </row>
    <row r="306" spans="11:11" x14ac:dyDescent="0.25">
      <c r="K306" s="65"/>
    </row>
    <row r="308" spans="11:11" x14ac:dyDescent="0.25">
      <c r="K308" s="65"/>
    </row>
    <row r="309" spans="11:11" x14ac:dyDescent="0.25">
      <c r="K309" s="65"/>
    </row>
    <row r="310" spans="11:11" x14ac:dyDescent="0.25">
      <c r="K310" s="65"/>
    </row>
    <row r="311" spans="11:11" x14ac:dyDescent="0.25">
      <c r="K311" s="65"/>
    </row>
    <row r="313" spans="11:11" x14ac:dyDescent="0.25">
      <c r="K313" s="65"/>
    </row>
    <row r="321" spans="11:11" x14ac:dyDescent="0.25">
      <c r="K321" s="65"/>
    </row>
    <row r="322" spans="11:11" x14ac:dyDescent="0.25">
      <c r="K322" s="65"/>
    </row>
    <row r="323" spans="11:11" x14ac:dyDescent="0.25">
      <c r="K323" s="65"/>
    </row>
    <row r="326" spans="11:11" x14ac:dyDescent="0.25">
      <c r="K326" s="65"/>
    </row>
    <row r="327" spans="11:11" x14ac:dyDescent="0.25">
      <c r="K327" s="65"/>
    </row>
    <row r="328" spans="11:11" x14ac:dyDescent="0.25">
      <c r="K328" s="65"/>
    </row>
    <row r="331" spans="11:11" x14ac:dyDescent="0.25">
      <c r="K331" s="65"/>
    </row>
    <row r="332" spans="11:11" x14ac:dyDescent="0.25">
      <c r="K332" s="65"/>
    </row>
    <row r="333" spans="11:11" x14ac:dyDescent="0.25">
      <c r="K333" s="65"/>
    </row>
    <row r="336" spans="11:11" x14ac:dyDescent="0.25">
      <c r="K336" s="65"/>
    </row>
    <row r="337" spans="11:11" x14ac:dyDescent="0.25">
      <c r="K337" s="65"/>
    </row>
    <row r="338" spans="11:11" x14ac:dyDescent="0.25">
      <c r="K338" s="65"/>
    </row>
    <row r="345" spans="11:11" x14ac:dyDescent="0.25">
      <c r="K345" s="65"/>
    </row>
    <row r="346" spans="11:11" x14ac:dyDescent="0.25">
      <c r="K346" s="65"/>
    </row>
    <row r="347" spans="11:11" x14ac:dyDescent="0.25">
      <c r="K347" s="65"/>
    </row>
    <row r="350" spans="11:11" x14ac:dyDescent="0.25">
      <c r="K350" s="65"/>
    </row>
    <row r="351" spans="11:11" x14ac:dyDescent="0.25">
      <c r="K351" s="65"/>
    </row>
    <row r="352" spans="11:11" x14ac:dyDescent="0.25">
      <c r="K352" s="65"/>
    </row>
    <row r="355" spans="4:11" x14ac:dyDescent="0.25">
      <c r="K355" s="65"/>
    </row>
    <row r="356" spans="4:11" x14ac:dyDescent="0.25">
      <c r="K356" s="65"/>
    </row>
    <row r="357" spans="4:11" x14ac:dyDescent="0.25">
      <c r="K357" s="65"/>
    </row>
    <row r="360" spans="4:11" x14ac:dyDescent="0.25">
      <c r="K360" s="65"/>
    </row>
    <row r="361" spans="4:11" x14ac:dyDescent="0.25">
      <c r="K361" s="65"/>
    </row>
    <row r="362" spans="4:11" x14ac:dyDescent="0.25">
      <c r="K362" s="65"/>
    </row>
    <row r="366" spans="4:11" x14ac:dyDescent="0.25">
      <c r="D366" s="54"/>
    </row>
  </sheetData>
  <conditionalFormatting sqref="F46 I63:I66 L186 K188 L190:L191 K192:K193 L194:L195 K196:K197 L200:L201 K202:K203 L204:L205 K206:K207 L211:L216 K213">
    <cfRule type="cellIs" dxfId="60" priority="18" operator="lessThan">
      <formula>0</formula>
    </cfRule>
  </conditionalFormatting>
  <conditionalFormatting sqref="F155:F156">
    <cfRule type="cellIs" dxfId="59" priority="14" operator="lessThan">
      <formula>0</formula>
    </cfRule>
  </conditionalFormatting>
  <conditionalFormatting sqref="F167:F168">
    <cfRule type="cellIs" dxfId="58" priority="13" operator="lessThan">
      <formula>0</formula>
    </cfRule>
  </conditionalFormatting>
  <conditionalFormatting sqref="F255:F256">
    <cfRule type="cellIs" dxfId="57" priority="26" operator="lessThan">
      <formula>0</formula>
    </cfRule>
  </conditionalFormatting>
  <conditionalFormatting sqref="F260:F261">
    <cfRule type="cellIs" dxfId="56" priority="25" operator="lessThan">
      <formula>0</formula>
    </cfRule>
  </conditionalFormatting>
  <conditionalFormatting sqref="F265:F266">
    <cfRule type="cellIs" dxfId="55" priority="24" operator="lessThan">
      <formula>0</formula>
    </cfRule>
  </conditionalFormatting>
  <conditionalFormatting sqref="F289:F290">
    <cfRule type="cellIs" dxfId="54" priority="23" operator="lessThan">
      <formula>0</formula>
    </cfRule>
  </conditionalFormatting>
  <conditionalFormatting sqref="F294:F295">
    <cfRule type="cellIs" dxfId="53" priority="22" operator="lessThan">
      <formula>0</formula>
    </cfRule>
  </conditionalFormatting>
  <conditionalFormatting sqref="F299:F300">
    <cfRule type="cellIs" dxfId="52" priority="21" operator="lessThan">
      <formula>0</formula>
    </cfRule>
  </conditionalFormatting>
  <conditionalFormatting sqref="H41 F131:F132">
    <cfRule type="cellIs" dxfId="51"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50" priority="20" operator="lessThan">
      <formula>0</formula>
    </cfRule>
  </conditionalFormatting>
  <conditionalFormatting sqref="I30:I35 F143:F144">
    <cfRule type="cellIs" dxfId="49" priority="15" operator="lessThan">
      <formula>0</formula>
    </cfRule>
  </conditionalFormatting>
  <conditionalFormatting sqref="I70 M107 I129:J129">
    <cfRule type="cellIs" dxfId="48" priority="19"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7" operator="lessThan">
      <formula>0</formula>
    </cfRule>
  </conditionalFormatting>
  <conditionalFormatting sqref="L119:L122">
    <cfRule type="cellIs" dxfId="43" priority="7" operator="lessThan">
      <formula>0</formula>
    </cfRule>
  </conditionalFormatting>
  <conditionalFormatting sqref="L125">
    <cfRule type="cellIs" dxfId="42" priority="12" operator="lessThan">
      <formula>0</formula>
    </cfRule>
  </conditionalFormatting>
  <conditionalFormatting sqref="L131:L134">
    <cfRule type="cellIs" dxfId="41" priority="6" operator="lessThan">
      <formula>0</formula>
    </cfRule>
  </conditionalFormatting>
  <conditionalFormatting sqref="L137">
    <cfRule type="cellIs" dxfId="40" priority="11" operator="lessThan">
      <formula>0</formula>
    </cfRule>
  </conditionalFormatting>
  <conditionalFormatting sqref="L143:L146">
    <cfRule type="cellIs" dxfId="39" priority="5" operator="lessThan">
      <formula>0</formula>
    </cfRule>
  </conditionalFormatting>
  <conditionalFormatting sqref="L149">
    <cfRule type="cellIs" dxfId="38" priority="10" operator="lessThan">
      <formula>0</formula>
    </cfRule>
  </conditionalFormatting>
  <conditionalFormatting sqref="L155:L158">
    <cfRule type="cellIs" dxfId="37" priority="4" operator="lessThan">
      <formula>0</formula>
    </cfRule>
  </conditionalFormatting>
  <conditionalFormatting sqref="L161">
    <cfRule type="cellIs" dxfId="36" priority="9" operator="lessThan">
      <formula>0</formula>
    </cfRule>
  </conditionalFormatting>
  <conditionalFormatting sqref="L165:L166">
    <cfRule type="cellIs" dxfId="35" priority="8" operator="lessThan">
      <formula>0</formula>
    </cfRule>
  </conditionalFormatting>
  <conditionalFormatting sqref="L218 L220:L223 L225 J233:J235 J238:J240">
    <cfRule type="cellIs" dxfId="34" priority="27" operator="lessThan">
      <formula>0</formula>
    </cfRule>
  </conditionalFormatting>
  <dataValidations count="9">
    <dataValidation type="list" allowBlank="1" showInputMessage="1" showErrorMessage="1" sqref="Q20:R22" xr:uid="{46808B7F-821B-4D1D-B7A2-2606F768F7DD}">
      <formula1>INDIRECT("Table_SourceData_Fertiliser_UreaAmmoniaSources[Source]")</formula1>
    </dataValidation>
    <dataValidation type="list" allowBlank="1" showInputMessage="1" showErrorMessage="1" sqref="D12:D16" xr:uid="{689BE099-E112-446E-BEFE-E3C58FFFFF59}">
      <formula1>INDIRECT("FertiliserProducts[Product Name]")</formula1>
    </dataValidation>
    <dataValidation type="list" allowBlank="1" showInputMessage="1" showErrorMessage="1" sqref="D42:D44" xr:uid="{B473B6E8-90EE-4C5A-90E1-B670D83A404C}">
      <formula1>INDIRECT("Table_SourceData_OrganicFertiliserTypes[Organic fertiliser type]")</formula1>
    </dataValidation>
    <dataValidation type="list" allowBlank="1" showInputMessage="1" showErrorMessage="1" sqref="H20:H22 J20:J22 L20:L22 N20:N22" xr:uid="{9324AC23-04CF-434B-BC3B-761E9CF2B1E2}">
      <formula1>INDIRECT("Table_Fertiliser_ChemicalCompounds[Fertiliser type f]")</formula1>
    </dataValidation>
    <dataValidation type="list" allowBlank="1" showInputMessage="1" showErrorMessage="1" sqref="E69" xr:uid="{A6271EE2-2F75-41E2-8799-1710792EFF4C}">
      <formula1>INDIRECT("Table_SourceData_Swine_CropProdSystems[Production system]")</formula1>
    </dataValidation>
    <dataValidation type="list" allowBlank="1" showInputMessage="1" showErrorMessage="1" sqref="E70" xr:uid="{D82A448F-3BE3-4183-9333-42F6FF38294B}">
      <formula1>INDIRECT("Table_SourceData_Swine_IrrigationMethods[Irrigation method]")</formula1>
    </dataValidation>
    <dataValidation type="list" allowBlank="1" showInputMessage="1" showErrorMessage="1" sqref="E254 E259 E264 E298 E293 E288 E166 E154 E130 E142" xr:uid="{3851210E-167C-4959-BB8F-4D285F94C1A0}">
      <formula1>"Yes, No"</formula1>
    </dataValidation>
    <dataValidation type="list" allowBlank="1" showInputMessage="1" showErrorMessage="1" sqref="E230" xr:uid="{1A1F6AE3-DA0B-4681-A8FD-54F29B4FCBD8}">
      <formula1>INDIRECT("Table_SourceData_Dairy_ProductionSystemTemplates[Area]")</formula1>
    </dataValidation>
    <dataValidation type="list" allowBlank="1" showInputMessage="1" showErrorMessage="1" sqref="D282" xr:uid="{A85C3AD3-3FB5-4E5B-8768-3D48C7136B5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41" sqref="A4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821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356</v>
      </c>
      <c r="E5" s="7"/>
      <c r="F5" s="7"/>
      <c r="G5" s="7"/>
      <c r="H5" s="7"/>
      <c r="I5" s="7"/>
      <c r="J5" s="7"/>
    </row>
    <row r="6" spans="1:19" ht="20.100000000000001" customHeight="1" x14ac:dyDescent="0.25">
      <c r="A6"/>
      <c r="C6" s="8"/>
      <c r="D6" s="144" t="s">
        <v>360</v>
      </c>
      <c r="E6" s="147"/>
      <c r="F6" s="147"/>
      <c r="G6" s="147"/>
      <c r="H6" s="147"/>
      <c r="I6" s="147"/>
      <c r="J6" s="147"/>
    </row>
    <row r="7" spans="1:19" ht="20.100000000000001" customHeight="1" x14ac:dyDescent="0.25">
      <c r="A7" s="19" t="s">
        <v>67</v>
      </c>
      <c r="C7" s="8"/>
      <c r="D7" s="172" t="s">
        <v>296</v>
      </c>
      <c r="E7" s="172"/>
      <c r="F7" s="39"/>
      <c r="G7" s="41"/>
      <c r="H7" s="7"/>
      <c r="I7" s="7"/>
      <c r="J7" s="7"/>
    </row>
    <row r="8" spans="1:19" ht="20.100000000000001" customHeight="1" x14ac:dyDescent="0.25">
      <c r="A8" s="16" t="str">
        <f>HYPERLINK("#'Input - Site'!A1", "Site")</f>
        <v>Site</v>
      </c>
      <c r="C8" s="8"/>
      <c r="D8" s="43" t="s">
        <v>297</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3" t="s">
        <v>169</v>
      </c>
      <c r="E10" s="153" t="s">
        <v>298</v>
      </c>
      <c r="F10" s="153" t="s">
        <v>299</v>
      </c>
      <c r="G10" s="153" t="s">
        <v>200</v>
      </c>
      <c r="H10" s="153" t="s">
        <v>300</v>
      </c>
      <c r="I10" s="153" t="s">
        <v>417</v>
      </c>
      <c r="J10" s="153" t="s">
        <v>301</v>
      </c>
      <c r="K10" s="161" t="s">
        <v>302</v>
      </c>
      <c r="L10" s="161" t="s">
        <v>413</v>
      </c>
      <c r="M10" s="161" t="s">
        <v>303</v>
      </c>
      <c r="N10" s="161" t="s">
        <v>304</v>
      </c>
      <c r="O10" s="161" t="s">
        <v>414</v>
      </c>
      <c r="P10" s="161" t="s">
        <v>305</v>
      </c>
      <c r="Q10" s="161" t="s">
        <v>306</v>
      </c>
      <c r="R10" s="161" t="s">
        <v>415</v>
      </c>
    </row>
    <row r="11" spans="1:19" ht="20.100000000000001" customHeight="1" x14ac:dyDescent="0.25">
      <c r="A11" s="42" t="str">
        <f>HYPERLINK("#'Input - Farm Inputs'!A1", "Farm Inputs")</f>
        <v>Farm Inputs</v>
      </c>
      <c r="D11" s="143" t="s">
        <v>419</v>
      </c>
      <c r="E11" s="154">
        <v>10</v>
      </c>
      <c r="F11" s="47" t="s">
        <v>409</v>
      </c>
      <c r="G11" s="66">
        <v>100</v>
      </c>
      <c r="H11" s="49">
        <f>Table_Input_Pesticides[[#This Row],[Amount applied per ha]]*Table_Input_Pesticides[[#This Row],[Application area (ha)]]</f>
        <v>1000</v>
      </c>
      <c r="I11" s="47" t="s">
        <v>408</v>
      </c>
      <c r="J11" s="47" t="s">
        <v>407</v>
      </c>
      <c r="K11" s="66">
        <v>100</v>
      </c>
      <c r="L11" s="49">
        <f>Table_Input_Pesticides[[#This Row],[Total applied]]*Table_Input_Pesticides[[#This Row],[Active ingredient 1 amount]]*IF(Table_Input_Pesticides[[#This Row],[Constituent unit (select)]]="fraction of product", 1, 10^-3)</f>
        <v>100</v>
      </c>
      <c r="M11" s="47" t="s">
        <v>407</v>
      </c>
      <c r="N11" s="66">
        <v>100</v>
      </c>
      <c r="O11" s="49">
        <f>Table_Input_Pesticides[[#This Row],[Total applied]]*Table_Input_Pesticides[[#This Row],[Active ingredient 2 amount]]*IF(Table_Input_Pesticides[[#This Row],[Constituent unit (select)]]="fraction of product", 1, 10^-3)</f>
        <v>100</v>
      </c>
      <c r="P11" s="47" t="s">
        <v>673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Beef cattle purchases'!A1", "Beef cattle purchases")</f>
        <v>Beef cattle purchases</v>
      </c>
      <c r="C12" s="8"/>
      <c r="D12" s="143" t="s">
        <v>418</v>
      </c>
      <c r="E12" s="154">
        <v>10</v>
      </c>
      <c r="F12" s="47" t="s">
        <v>307</v>
      </c>
      <c r="G12" s="66">
        <v>100</v>
      </c>
      <c r="H12" s="49">
        <f>Table_Input_Pesticides[[#This Row],[Amount applied per ha]]*Table_Input_Pesticides[[#This Row],[Application area (ha)]]</f>
        <v>1000</v>
      </c>
      <c r="I12" s="47" t="s">
        <v>408</v>
      </c>
      <c r="J12" s="47" t="s">
        <v>407</v>
      </c>
      <c r="K12" s="66">
        <v>100</v>
      </c>
      <c r="L12" s="49">
        <f>Table_Input_Pesticides[[#This Row],[Total applied]]*Table_Input_Pesticides[[#This Row],[Active ingredient 1 amount]]*IF(Table_Input_Pesticides[[#This Row],[Constituent unit (select)]]="fraction of product", 1, 10^-3)</f>
        <v>100</v>
      </c>
      <c r="M12" s="47" t="s">
        <v>671</v>
      </c>
      <c r="N12" s="66">
        <v>100</v>
      </c>
      <c r="O12" s="49">
        <f>Table_Input_Pesticides[[#This Row],[Total applied]]*Table_Input_Pesticides[[#This Row],[Active ingredient 2 amount]]*IF(Table_Input_Pesticides[[#This Row],[Constituent unit (select)]]="fraction of product", 1, 10^-3)</f>
        <v>100</v>
      </c>
      <c r="P12" s="47" t="s">
        <v>674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Dairy cattle purchases'!A1", "Dairy cattle purchases")</f>
        <v>Dairy cattle purchases</v>
      </c>
      <c r="C13" s="8"/>
      <c r="D13" s="143" t="s">
        <v>416</v>
      </c>
      <c r="E13" s="154">
        <v>10</v>
      </c>
      <c r="F13" s="47" t="s">
        <v>409</v>
      </c>
      <c r="G13" s="66">
        <v>100</v>
      </c>
      <c r="H13" s="49">
        <f>Table_Input_Pesticides[[#This Row],[Amount applied per ha]]*Table_Input_Pesticides[[#This Row],[Application area (ha)]]</f>
        <v>1000</v>
      </c>
      <c r="I13" s="47" t="s">
        <v>408</v>
      </c>
      <c r="J13" s="47" t="s">
        <v>407</v>
      </c>
      <c r="K13" s="66">
        <v>100</v>
      </c>
      <c r="L13" s="49">
        <f>Table_Input_Pesticides[[#This Row],[Total applied]]*Table_Input_Pesticides[[#This Row],[Active ingredient 1 amount]]*IF(Table_Input_Pesticides[[#This Row],[Constituent unit (select)]]="fraction of product", 1, 10^-3)</f>
        <v>100</v>
      </c>
      <c r="M13" s="47" t="s">
        <v>672</v>
      </c>
      <c r="N13" s="66">
        <v>100</v>
      </c>
      <c r="O13" s="49">
        <f>Table_Input_Pesticides[[#This Row],[Total applied]]*Table_Input_Pesticides[[#This Row],[Active ingredient 2 amount]]*IF(Table_Input_Pesticides[[#This Row],[Constituent unit (select)]]="fraction of product", 1, 10^-3)</f>
        <v>100</v>
      </c>
      <c r="P13" s="47" t="s">
        <v>675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Pig purchases'!A1", "Pig purchases")</f>
        <v>Pig purchases</v>
      </c>
      <c r="D14" s="143"/>
      <c r="E14" s="154"/>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Poultry purchases'!A1", "Poultry purchases")</f>
        <v>Poultry purchases</v>
      </c>
      <c r="D15" s="143"/>
      <c r="E15" s="154"/>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Freight'!A1", "Freight")</f>
        <v>Freight</v>
      </c>
      <c r="D16" s="143"/>
      <c r="E16" s="154"/>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s="16" t="str">
        <f>HYPERLINK("#'Input - Solid waste'!A1", "Solid waste")</f>
        <v>Solid waste</v>
      </c>
      <c r="C17" s="8"/>
      <c r="D17" s="143"/>
      <c r="E17" s="154"/>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s="16" t="str">
        <f>HYPERLINK("#'Input - Manure sent off-site'!A1", "Manure sent off-site")</f>
        <v>Manure sent off-site</v>
      </c>
      <c r="C18" s="8"/>
      <c r="D18" s="143"/>
      <c r="E18" s="154"/>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16" t="str">
        <f>HYPERLINK("#'Input - Electricity'!A1", "Electricity")</f>
        <v>Electricity</v>
      </c>
      <c r="D19" s="143"/>
      <c r="E19" s="154"/>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c r="D20" s="143"/>
      <c r="E20" s="154"/>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c r="D21" s="7"/>
      <c r="E21" s="7"/>
      <c r="F21" s="7"/>
      <c r="G21" s="7"/>
      <c r="H21" s="7"/>
      <c r="I21" s="7"/>
      <c r="J21" s="7"/>
    </row>
    <row r="22" spans="1:18" ht="20.100000000000001" customHeight="1" x14ac:dyDescent="0.25">
      <c r="A22" s="21" t="s">
        <v>77</v>
      </c>
      <c r="D22" s="144" t="s">
        <v>284</v>
      </c>
      <c r="E22" s="8"/>
      <c r="F22" s="8"/>
    </row>
    <row r="23" spans="1:18" ht="20.100000000000001" customHeight="1" x14ac:dyDescent="0.25">
      <c r="A23" s="16" t="str">
        <f>HYPERLINK("#'15 Scope 3'!A1", "15 Scope 3")</f>
        <v>15 Scope 3</v>
      </c>
      <c r="D23" s="46" t="s">
        <v>169</v>
      </c>
      <c r="E23" s="46" t="s">
        <v>337</v>
      </c>
      <c r="F23" s="46" t="s">
        <v>340</v>
      </c>
    </row>
    <row r="24" spans="1:18" ht="20.100000000000001" customHeight="1" x14ac:dyDescent="0.25">
      <c r="A24" s="16" t="str">
        <f>HYPERLINK("#'10.1.1-2 Solid waste treatment'!A1", "10.1.1-2 Solid waste treatment")</f>
        <v>10.1.1-2 Solid waste treatment</v>
      </c>
      <c r="D24" s="82" t="s">
        <v>377</v>
      </c>
      <c r="E24" s="47" t="s">
        <v>339</v>
      </c>
      <c r="F24" s="66">
        <v>100</v>
      </c>
    </row>
    <row r="25" spans="1:18" ht="20.100000000000001" customHeight="1" x14ac:dyDescent="0.25">
      <c r="A25" s="16" t="str">
        <f>HYPERLINK("#'Calcs - Manure sent off-site'!A1", "Calcs - Manure sent off-site")</f>
        <v>Calcs - Manure sent off-site</v>
      </c>
      <c r="C25" s="8"/>
      <c r="D25" s="82" t="s">
        <v>376</v>
      </c>
      <c r="E25" s="148" t="s">
        <v>338</v>
      </c>
      <c r="F25" s="149">
        <v>100</v>
      </c>
    </row>
    <row r="26" spans="1:18" ht="20.100000000000001" customHeight="1" x14ac:dyDescent="0.25">
      <c r="A26" s="16" t="str">
        <f>HYPERLINK("#'8.1.1.1-2 Transport fuel'!A1", "8.1.1.1-2 Transport fuel")</f>
        <v>8.1.1.1-2 Transport fuel</v>
      </c>
      <c r="C26" s="8"/>
      <c r="D26" s="82" t="s">
        <v>285</v>
      </c>
      <c r="E26" s="148" t="s">
        <v>286</v>
      </c>
      <c r="F26" s="149">
        <v>100</v>
      </c>
    </row>
    <row r="27" spans="1:18" ht="20.100000000000001" customHeight="1" x14ac:dyDescent="0.25">
      <c r="A27" s="16" t="str">
        <f>HYPERLINK("#'8.2.1.1-2 Stationary fuel'!A1", "8.2.1.1-2 Stationary fuel")</f>
        <v>8.2.1.1-2 Stationary fuel</v>
      </c>
      <c r="C27" s="8"/>
      <c r="D27" s="82" t="s">
        <v>285</v>
      </c>
      <c r="E27" s="148" t="s">
        <v>286</v>
      </c>
      <c r="F27" s="149">
        <v>100</v>
      </c>
    </row>
    <row r="28" spans="1:18" ht="20.100000000000001" customHeight="1" x14ac:dyDescent="0.25">
      <c r="A28"/>
      <c r="D28" s="82" t="s">
        <v>377</v>
      </c>
      <c r="E28" s="148" t="s">
        <v>339</v>
      </c>
      <c r="F28" s="149">
        <v>100</v>
      </c>
    </row>
    <row r="29" spans="1:18" ht="20.100000000000001" customHeight="1" x14ac:dyDescent="0.25">
      <c r="A29"/>
      <c r="D29" s="82" t="s">
        <v>377</v>
      </c>
      <c r="E29" s="148" t="s">
        <v>339</v>
      </c>
      <c r="F29" s="149">
        <v>100</v>
      </c>
    </row>
    <row r="30" spans="1:18" ht="20.100000000000001" customHeight="1" x14ac:dyDescent="0.25">
      <c r="A30" s="221" t="s">
        <v>78</v>
      </c>
      <c r="D30" s="82"/>
      <c r="E30" s="47"/>
      <c r="F30" s="66"/>
    </row>
    <row r="31" spans="1:18" ht="20.100000000000001" customHeight="1" x14ac:dyDescent="0.25">
      <c r="A31" s="16" t="str">
        <f>HYPERLINK("#'Constants - Scope 3'!A1", "Constants - Scope 3")</f>
        <v>Constants - Scope 3</v>
      </c>
      <c r="D31" s="82"/>
      <c r="E31" s="47"/>
      <c r="F31" s="66"/>
    </row>
    <row r="32" spans="1:18" ht="20.100000000000001" customHeight="1" x14ac:dyDescent="0.25">
      <c r="A32" s="16" t="str">
        <f>HYPERLINK("#'Constants - Solid Waste'!A1", "Constants - Solid Waste")</f>
        <v>Constants - Solid Waste</v>
      </c>
      <c r="D32" s="82"/>
      <c r="E32" s="47"/>
      <c r="F32" s="66"/>
    </row>
    <row r="33" spans="1:6" ht="20.100000000000001" customHeight="1" x14ac:dyDescent="0.25">
      <c r="A33" s="16" t="str">
        <f>HYPERLINK("#'Constants - Fuel'!A1", "Constants - Fuel")</f>
        <v>Constants - Fuel</v>
      </c>
      <c r="D33" s="82"/>
      <c r="E33" s="47"/>
      <c r="F33" s="66"/>
    </row>
    <row r="34" spans="1:6" ht="20.100000000000001" customHeight="1" x14ac:dyDescent="0.25">
      <c r="A34" s="16" t="str">
        <f>HYPERLINK("#'Constants - Poultry'!A1", "Constants - Poultry")</f>
        <v>Constants - Poultry</v>
      </c>
    </row>
    <row r="35" spans="1:6" ht="20.100000000000001" customHeight="1" x14ac:dyDescent="0.25">
      <c r="A35" s="16" t="str">
        <f>HYPERLINK("#'Constants - Swine'!A1", "Constants - Swine")</f>
        <v>Constants - Swine</v>
      </c>
      <c r="D35" s="144" t="s">
        <v>820</v>
      </c>
      <c r="E35" s="8"/>
      <c r="F35" s="8"/>
    </row>
    <row r="36" spans="1:6" ht="20.100000000000001" customHeight="1" x14ac:dyDescent="0.25">
      <c r="A36" s="16" t="str">
        <f>HYPERLINK("#'Constants - Dairy'!A1", "Constants - Dairy")</f>
        <v>Constants - Dairy</v>
      </c>
      <c r="D36" s="46" t="s">
        <v>169</v>
      </c>
      <c r="E36" s="46" t="s">
        <v>337</v>
      </c>
      <c r="F36" s="46" t="s">
        <v>368</v>
      </c>
    </row>
    <row r="37" spans="1:6" ht="20.100000000000001" customHeight="1" x14ac:dyDescent="0.25">
      <c r="A37" s="16" t="str">
        <f>HYPERLINK("#'Constants - Pasture Beef'!A1", "Constants - Pasture Beef")</f>
        <v>Constants - Pasture Beef</v>
      </c>
      <c r="D37" s="82" t="s">
        <v>372</v>
      </c>
      <c r="E37" s="72" t="s">
        <v>364</v>
      </c>
      <c r="F37" s="66">
        <v>100</v>
      </c>
    </row>
    <row r="38" spans="1:6" ht="20.100000000000001" customHeight="1" x14ac:dyDescent="0.25">
      <c r="A38" s="16" t="str">
        <f>HYPERLINK("#'Constants - Common Livestock'!A1", "Constants - Common Livestock")</f>
        <v>Constants - Common Livestock</v>
      </c>
      <c r="D38" s="82" t="s">
        <v>373</v>
      </c>
      <c r="E38" s="162" t="s">
        <v>365</v>
      </c>
      <c r="F38" s="149">
        <v>100</v>
      </c>
    </row>
    <row r="39" spans="1:6" ht="20.100000000000001" customHeight="1" x14ac:dyDescent="0.25">
      <c r="A39" s="16" t="str">
        <f>HYPERLINK("#'Constants - Fertiliser'!A1", "Constants - Fertiliser")</f>
        <v>Constants - Fertiliser</v>
      </c>
      <c r="D39" s="82" t="s">
        <v>374</v>
      </c>
      <c r="E39" s="162" t="s">
        <v>366</v>
      </c>
      <c r="F39" s="149">
        <v>100</v>
      </c>
    </row>
    <row r="40" spans="1:6" ht="20.100000000000001" customHeight="1" x14ac:dyDescent="0.25">
      <c r="A40" s="16" t="str">
        <f>HYPERLINK("#'Constants - Electricity'!A1", "Constants - Electricity")</f>
        <v>Constants - Electricity</v>
      </c>
      <c r="D40" s="82" t="s">
        <v>375</v>
      </c>
      <c r="E40" s="162" t="s">
        <v>367</v>
      </c>
      <c r="F40" s="149">
        <v>100</v>
      </c>
    </row>
    <row r="41" spans="1:6" ht="20.100000000000001" customHeight="1" x14ac:dyDescent="0.25">
      <c r="A41" s="16" t="str">
        <f>HYPERLINK("#'Constants - Common'!A1", "Constants - Common")</f>
        <v>Constants - Common</v>
      </c>
      <c r="D41" s="82" t="s">
        <v>372</v>
      </c>
      <c r="E41" s="162" t="s">
        <v>364</v>
      </c>
      <c r="F41" s="149">
        <v>100</v>
      </c>
    </row>
    <row r="42" spans="1:6" ht="20.100000000000001" customHeight="1" x14ac:dyDescent="0.25">
      <c r="A42"/>
      <c r="D42" s="82" t="s">
        <v>373</v>
      </c>
      <c r="E42" s="162" t="s">
        <v>365</v>
      </c>
      <c r="F42" s="149">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357</v>
      </c>
    </row>
    <row r="50" spans="1:17" ht="20.100000000000001" customHeight="1" x14ac:dyDescent="0.25">
      <c r="A50"/>
      <c r="D50" s="144" t="s">
        <v>287</v>
      </c>
      <c r="E50" s="145"/>
      <c r="F50" s="67"/>
    </row>
    <row r="51" spans="1:17" ht="20.100000000000001" customHeight="1" x14ac:dyDescent="0.25">
      <c r="A51"/>
      <c r="D51" s="8" t="str" cm="1">
        <f t="array" ref="D51:D53">Table_SourceData_Scope3_LickBlocks[Product]</f>
        <v>Lick block, dry season mix</v>
      </c>
      <c r="E51" s="66">
        <v>100</v>
      </c>
      <c r="F51" s="65" t="s">
        <v>343</v>
      </c>
    </row>
    <row r="52" spans="1:17" ht="20.100000000000001" customHeight="1" x14ac:dyDescent="0.25">
      <c r="A52"/>
      <c r="D52" s="8" t="str">
        <v>Lick block, mineral</v>
      </c>
      <c r="E52" s="66">
        <v>100</v>
      </c>
      <c r="F52" s="65" t="s">
        <v>343</v>
      </c>
    </row>
    <row r="53" spans="1:17" ht="20.100000000000001" customHeight="1" x14ac:dyDescent="0.25">
      <c r="A53"/>
      <c r="D53" s="8" t="str">
        <v>Lick block, weaner</v>
      </c>
      <c r="E53" s="66">
        <v>100</v>
      </c>
      <c r="F53" s="65" t="s">
        <v>343</v>
      </c>
    </row>
    <row r="54" spans="1:17" ht="20.100000000000001" customHeight="1" x14ac:dyDescent="0.25">
      <c r="A54"/>
      <c r="D54" s="8"/>
      <c r="E54" s="8"/>
      <c r="F54" s="8"/>
    </row>
    <row r="55" spans="1:17" ht="20.100000000000001" customHeight="1" x14ac:dyDescent="0.25">
      <c r="A55"/>
      <c r="D55" s="144" t="s">
        <v>392</v>
      </c>
      <c r="E55" s="7"/>
      <c r="F55" s="7"/>
    </row>
    <row r="56" spans="1:17" ht="20.100000000000001" customHeight="1" x14ac:dyDescent="0.25">
      <c r="A56"/>
      <c r="D56" s="8" t="str" cm="1">
        <f t="array" ref="D56:D59">Table_SourceData_Scope3_MixedRations[Product]</f>
        <v>Feed for chickens</v>
      </c>
      <c r="E56" s="66">
        <v>100</v>
      </c>
      <c r="F56" s="65" t="s">
        <v>343</v>
      </c>
    </row>
    <row r="57" spans="1:17" ht="20.100000000000001" customHeight="1" x14ac:dyDescent="0.25">
      <c r="A57"/>
      <c r="D57" s="8" t="str">
        <v>Feed for dairy calves</v>
      </c>
      <c r="E57" s="66">
        <v>100</v>
      </c>
      <c r="F57" s="65" t="s">
        <v>343</v>
      </c>
    </row>
    <row r="58" spans="1:17" ht="20.100000000000001" customHeight="1" x14ac:dyDescent="0.25">
      <c r="A58"/>
      <c r="D58" s="8" t="str">
        <v>Feed for dairy cows</v>
      </c>
      <c r="E58" s="66">
        <v>100</v>
      </c>
      <c r="F58" s="65" t="s">
        <v>343</v>
      </c>
    </row>
    <row r="59" spans="1:17" ht="20.100000000000001" customHeight="1" x14ac:dyDescent="0.25">
      <c r="A59"/>
      <c r="D59" s="8" t="str">
        <v>Feed for pigs</v>
      </c>
      <c r="E59" s="66">
        <v>100</v>
      </c>
      <c r="F59" s="65" t="s">
        <v>343</v>
      </c>
    </row>
    <row r="60" spans="1:17" ht="20.100000000000001" customHeight="1" x14ac:dyDescent="0.25">
      <c r="A60"/>
      <c r="D60" s="7"/>
      <c r="E60" s="7"/>
      <c r="F60" s="7"/>
    </row>
    <row r="61" spans="1:17" ht="20.100000000000001" customHeight="1" x14ac:dyDescent="0.25">
      <c r="A61"/>
      <c r="D61" s="144" t="s">
        <v>612</v>
      </c>
      <c r="E61" s="7"/>
      <c r="F61" s="7"/>
    </row>
    <row r="62" spans="1:17" ht="20.100000000000001" customHeight="1" x14ac:dyDescent="0.25">
      <c r="A62"/>
      <c r="D62" s="48" t="s">
        <v>289</v>
      </c>
      <c r="E62" s="48" t="s">
        <v>290</v>
      </c>
      <c r="F62" s="48" t="s">
        <v>205</v>
      </c>
      <c r="G62" s="48" t="s">
        <v>383</v>
      </c>
      <c r="H62" s="48" t="s">
        <v>174</v>
      </c>
      <c r="I62" s="48" t="s">
        <v>291</v>
      </c>
      <c r="J62" s="48" t="s">
        <v>388</v>
      </c>
      <c r="K62" s="48" t="s">
        <v>176</v>
      </c>
      <c r="L62" s="48" t="s">
        <v>292</v>
      </c>
      <c r="M62" s="48" t="s">
        <v>389</v>
      </c>
      <c r="N62" s="48" t="s">
        <v>178</v>
      </c>
      <c r="O62" s="48" t="s">
        <v>293</v>
      </c>
      <c r="P62" s="48" t="s">
        <v>390</v>
      </c>
      <c r="Q62" s="48" t="s">
        <v>180</v>
      </c>
    </row>
    <row r="63" spans="1:17" ht="20.100000000000001" customHeight="1" x14ac:dyDescent="0.25">
      <c r="A63"/>
      <c r="D63" s="15"/>
      <c r="E63" s="146">
        <v>1200</v>
      </c>
      <c r="F63" s="47" t="s">
        <v>837</v>
      </c>
      <c r="G63" s="47" t="s">
        <v>385</v>
      </c>
      <c r="H63" s="50">
        <v>0.35</v>
      </c>
      <c r="I63" s="47" t="s">
        <v>380</v>
      </c>
      <c r="J63" s="47" t="s">
        <v>385</v>
      </c>
      <c r="K63" s="50">
        <v>0.22</v>
      </c>
      <c r="L63" s="47" t="s">
        <v>294</v>
      </c>
      <c r="M63" s="47" t="s">
        <v>328</v>
      </c>
      <c r="N63" s="50">
        <v>0.12</v>
      </c>
      <c r="O63" s="47" t="s">
        <v>391</v>
      </c>
      <c r="P63" s="47" t="s">
        <v>330</v>
      </c>
      <c r="Q63" s="50">
        <v>0.05</v>
      </c>
    </row>
    <row r="64" spans="1:17" ht="20.100000000000001" customHeight="1" x14ac:dyDescent="0.25">
      <c r="A64"/>
      <c r="D64" s="15"/>
      <c r="E64" s="146">
        <v>3456</v>
      </c>
      <c r="F64" s="47" t="s">
        <v>386</v>
      </c>
      <c r="G64" s="47" t="s">
        <v>336</v>
      </c>
      <c r="H64" s="50">
        <v>0.2</v>
      </c>
      <c r="I64" s="47" t="s">
        <v>386</v>
      </c>
      <c r="J64" s="47" t="s">
        <v>329</v>
      </c>
      <c r="K64" s="50">
        <v>0.2</v>
      </c>
      <c r="L64" s="47"/>
      <c r="M64" s="47"/>
      <c r="N64" s="50"/>
      <c r="O64" s="47"/>
      <c r="P64" s="47"/>
      <c r="Q64" s="50"/>
    </row>
    <row r="65" spans="1:17" ht="20.100000000000001" customHeight="1" x14ac:dyDescent="0.25">
      <c r="A65"/>
      <c r="D65" s="15" t="s">
        <v>295</v>
      </c>
      <c r="E65" s="146">
        <v>300</v>
      </c>
      <c r="F65" s="47" t="s">
        <v>384</v>
      </c>
      <c r="G65" s="47" t="s">
        <v>335</v>
      </c>
      <c r="H65" s="50">
        <v>0.8</v>
      </c>
      <c r="I65" s="47" t="s">
        <v>381</v>
      </c>
      <c r="J65" s="47" t="s">
        <v>387</v>
      </c>
      <c r="K65" s="50">
        <v>0.2</v>
      </c>
      <c r="L65" s="47"/>
      <c r="M65" s="47"/>
      <c r="N65" s="50"/>
      <c r="O65" s="47"/>
      <c r="P65" s="47"/>
      <c r="Q65" s="50"/>
    </row>
    <row r="66" spans="1:17" ht="20.100000000000001" customHeight="1" x14ac:dyDescent="0.25">
      <c r="A66"/>
      <c r="D66" s="15"/>
      <c r="E66" s="146">
        <v>500</v>
      </c>
      <c r="F66" s="47" t="s">
        <v>393</v>
      </c>
      <c r="G66" s="47" t="s">
        <v>335</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601</v>
      </c>
    </row>
    <row r="76" spans="1:17" ht="20.100000000000001" customHeight="1" x14ac:dyDescent="0.25">
      <c r="A76"/>
      <c r="D76" s="12"/>
    </row>
    <row r="77" spans="1:17" ht="20.100000000000001" customHeight="1" x14ac:dyDescent="0.25">
      <c r="A77"/>
      <c r="D77" s="163" t="s">
        <v>602</v>
      </c>
      <c r="E77" s="163" t="s">
        <v>611</v>
      </c>
      <c r="F77" s="163" t="s">
        <v>606</v>
      </c>
      <c r="G77" s="163" t="s">
        <v>125</v>
      </c>
    </row>
    <row r="78" spans="1:17" ht="20.100000000000001" customHeight="1" x14ac:dyDescent="0.25">
      <c r="A78"/>
      <c r="D78" s="82" t="s">
        <v>603</v>
      </c>
      <c r="E78" s="82" t="s">
        <v>604</v>
      </c>
      <c r="F78" s="66">
        <v>10000</v>
      </c>
      <c r="G78" s="47" t="s">
        <v>608</v>
      </c>
    </row>
    <row r="79" spans="1:17" ht="20.100000000000001" customHeight="1" x14ac:dyDescent="0.25">
      <c r="A79"/>
      <c r="D79" s="82" t="s">
        <v>605</v>
      </c>
      <c r="E79" s="82" t="s">
        <v>610</v>
      </c>
      <c r="F79" s="66">
        <v>1000</v>
      </c>
      <c r="G79" s="47" t="s">
        <v>609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359</v>
      </c>
    </row>
    <row r="91" spans="1:10" ht="20.100000000000001" customHeight="1" x14ac:dyDescent="0.25">
      <c r="A91"/>
    </row>
    <row r="92" spans="1:10" ht="20.100000000000001" customHeight="1" x14ac:dyDescent="0.25">
      <c r="A92"/>
      <c r="D92" s="91" t="s">
        <v>282</v>
      </c>
      <c r="E92" s="91" t="s">
        <v>283</v>
      </c>
      <c r="F92" s="91" t="s">
        <v>400</v>
      </c>
      <c r="G92" s="91" t="s">
        <v>401</v>
      </c>
      <c r="H92" s="91" t="s">
        <v>596</v>
      </c>
      <c r="J92" s="7"/>
    </row>
    <row r="93" spans="1:10" ht="20.100000000000001" customHeight="1" x14ac:dyDescent="0.25">
      <c r="A93"/>
      <c r="D93" s="143" t="s">
        <v>402</v>
      </c>
      <c r="E93" s="66">
        <v>100000</v>
      </c>
      <c r="F93" s="47" t="s">
        <v>403</v>
      </c>
      <c r="G93" s="66">
        <v>0.02</v>
      </c>
      <c r="H93" s="49">
        <f>Table_Input_Packaging[[#This Row],[Quantity purchased]]*Table_Input_Packaging[[#This Row],[Weight per unit (kg)]]</f>
        <v>2000</v>
      </c>
      <c r="J93" s="7"/>
    </row>
    <row r="94" spans="1:10" ht="20.100000000000001" customHeight="1" x14ac:dyDescent="0.25">
      <c r="A94"/>
      <c r="D94" s="143"/>
      <c r="E94" s="164"/>
      <c r="F94" s="47"/>
      <c r="G94" s="66"/>
      <c r="H94" s="49">
        <f>Table_Input_Packaging[[#This Row],[Quantity purchased]]*Table_Input_Packaging[[#This Row],[Weight per unit (kg)]]</f>
        <v>0</v>
      </c>
      <c r="J94" s="7"/>
    </row>
    <row r="95" spans="1:10" ht="20.100000000000001" customHeight="1" x14ac:dyDescent="0.25">
      <c r="A95"/>
      <c r="D95" s="143"/>
      <c r="E95" s="164"/>
      <c r="F95" s="47"/>
      <c r="G95" s="66"/>
      <c r="H95" s="49">
        <f>Table_Input_Packaging[[#This Row],[Quantity purchased]]*Table_Input_Packaging[[#This Row],[Weight per unit (kg)]]</f>
        <v>0</v>
      </c>
      <c r="J95" s="7"/>
    </row>
    <row r="96" spans="1:10" ht="20.100000000000001" customHeight="1" x14ac:dyDescent="0.25">
      <c r="A96"/>
      <c r="D96" s="143"/>
      <c r="E96" s="164"/>
      <c r="F96" s="47"/>
      <c r="G96" s="66"/>
      <c r="H96" s="49">
        <f>Table_Input_Packaging[[#This Row],[Quantity purchased]]*Table_Input_Packaging[[#This Row],[Weight per unit (kg)]]</f>
        <v>0</v>
      </c>
      <c r="J96" s="7"/>
    </row>
    <row r="97" spans="1:10" ht="20.100000000000001" customHeight="1" x14ac:dyDescent="0.25">
      <c r="A97"/>
      <c r="D97" s="143"/>
      <c r="E97" s="164"/>
      <c r="F97" s="47"/>
      <c r="G97" s="66"/>
      <c r="H97" s="49">
        <f>Table_Input_Packaging[[#This Row],[Quantity purchased]]*Table_Input_Packaging[[#This Row],[Weight per unit (kg)]]</f>
        <v>0</v>
      </c>
      <c r="J97" s="9"/>
    </row>
    <row r="98" spans="1:10" ht="20.100000000000001" customHeight="1" x14ac:dyDescent="0.25">
      <c r="A98"/>
      <c r="D98" s="143"/>
      <c r="E98" s="164"/>
      <c r="F98" s="47"/>
      <c r="G98" s="66"/>
      <c r="H98" s="49">
        <f>Table_Input_Packaging[[#This Row],[Quantity purchased]]*Table_Input_Packaging[[#This Row],[Weight per unit (kg)]]</f>
        <v>0</v>
      </c>
      <c r="J98" s="8"/>
    </row>
    <row r="99" spans="1:10" ht="20.100000000000001" customHeight="1" x14ac:dyDescent="0.25">
      <c r="A99"/>
      <c r="D99" s="143"/>
      <c r="E99" s="164"/>
      <c r="F99" s="47"/>
      <c r="G99" s="66"/>
      <c r="H99" s="49">
        <f>Table_Input_Packaging[[#This Row],[Quantity purchased]]*Table_Input_Packaging[[#This Row],[Weight per unit (kg)]]</f>
        <v>0</v>
      </c>
      <c r="J99" s="8"/>
    </row>
    <row r="100" spans="1:10" ht="20.100000000000001" customHeight="1" x14ac:dyDescent="0.25">
      <c r="A100"/>
      <c r="D100" s="143"/>
      <c r="E100" s="164"/>
      <c r="F100" s="47"/>
      <c r="G100" s="66"/>
      <c r="H100" s="49">
        <f>Table_Input_Packaging[[#This Row],[Quantity purchased]]*Table_Input_Packaging[[#This Row],[Weight per unit (kg)]]</f>
        <v>0</v>
      </c>
      <c r="J100" s="8"/>
    </row>
    <row r="101" spans="1:10" ht="20.100000000000001" customHeight="1" x14ac:dyDescent="0.25">
      <c r="A101"/>
      <c r="D101" s="143"/>
      <c r="E101" s="164"/>
      <c r="F101" s="47"/>
      <c r="G101" s="66"/>
      <c r="H101" s="49">
        <f>Table_Input_Packaging[[#This Row],[Quantity purchased]]*Table_Input_Packaging[[#This Row],[Weight per unit (kg)]]</f>
        <v>0</v>
      </c>
      <c r="J101" s="8"/>
    </row>
    <row r="102" spans="1:10" ht="20.100000000000001" customHeight="1" x14ac:dyDescent="0.25">
      <c r="A102"/>
      <c r="D102" s="143"/>
      <c r="E102" s="164"/>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691</v>
      </c>
    </row>
    <row r="106" spans="1:10" ht="20.100000000000001" customHeight="1" x14ac:dyDescent="0.25">
      <c r="A106"/>
      <c r="D106" s="12"/>
    </row>
    <row r="107" spans="1:10" ht="20.100000000000001" customHeight="1" x14ac:dyDescent="0.25">
      <c r="A107"/>
      <c r="D107" s="163" t="s">
        <v>692</v>
      </c>
      <c r="E107" s="163" t="s">
        <v>606</v>
      </c>
      <c r="F107" s="163" t="s">
        <v>125</v>
      </c>
      <c r="J107" s="8"/>
    </row>
    <row r="108" spans="1:10" ht="20.100000000000001" customHeight="1" x14ac:dyDescent="0.25">
      <c r="A108"/>
      <c r="D108" s="82" t="s">
        <v>694</v>
      </c>
      <c r="E108" s="66">
        <v>10000</v>
      </c>
      <c r="F108" s="47" t="s">
        <v>343</v>
      </c>
      <c r="J108" s="8"/>
    </row>
    <row r="109" spans="1:10" ht="20.100000000000001" customHeight="1" x14ac:dyDescent="0.25">
      <c r="A109"/>
      <c r="D109" s="82" t="s">
        <v>695</v>
      </c>
      <c r="E109" s="66">
        <v>100</v>
      </c>
      <c r="F109" s="47" t="s">
        <v>693</v>
      </c>
      <c r="J109" s="8"/>
    </row>
    <row r="110" spans="1:10" ht="20.100000000000001" customHeight="1" x14ac:dyDescent="0.25">
      <c r="A110"/>
      <c r="D110" s="82" t="s">
        <v>696</v>
      </c>
      <c r="E110" s="66">
        <v>10000</v>
      </c>
      <c r="F110" s="47" t="s">
        <v>343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406</v>
      </c>
      <c r="J120" s="7"/>
      <c r="P120" s="147"/>
    </row>
    <row r="121" spans="1:16" ht="20.100000000000001" customHeight="1" x14ac:dyDescent="0.25">
      <c r="A121"/>
      <c r="D121" s="8" t="str">
        <f>'Constants - Scope 3'!E204</f>
        <v>Barley grain (for seed)</v>
      </c>
      <c r="E121" s="66">
        <v>500</v>
      </c>
      <c r="F121" s="65" t="s">
        <v>343</v>
      </c>
      <c r="J121" s="9"/>
      <c r="P121" s="147"/>
    </row>
    <row r="122" spans="1:16" ht="20.100000000000001" customHeight="1" x14ac:dyDescent="0.25">
      <c r="A122"/>
      <c r="D122" s="8" t="str">
        <f>'Constants - Scope 3'!E205</f>
        <v>Maize grain (for seed)</v>
      </c>
      <c r="E122" s="66">
        <v>600</v>
      </c>
      <c r="F122" s="65" t="s">
        <v>343</v>
      </c>
      <c r="G122" s="7"/>
      <c r="H122" s="8"/>
      <c r="J122" s="8"/>
      <c r="P122" s="147"/>
    </row>
    <row r="123" spans="1:16" ht="20.100000000000001" customHeight="1" x14ac:dyDescent="0.25">
      <c r="A123"/>
      <c r="D123" s="8" t="str">
        <f>'Constants - Scope 3'!E207</f>
        <v>Oat grain (for seed)</v>
      </c>
      <c r="E123" s="66">
        <v>700</v>
      </c>
      <c r="F123" s="65" t="s">
        <v>343</v>
      </c>
      <c r="G123" s="7"/>
      <c r="H123" s="8"/>
      <c r="J123" s="8"/>
      <c r="P123" s="147"/>
    </row>
    <row r="124" spans="1:16" ht="20.100000000000001" customHeight="1" x14ac:dyDescent="0.25">
      <c r="A124"/>
      <c r="D124" s="8" t="str">
        <f>'Constants - Scope 3'!E208</f>
        <v>Sorghum grain (for seed)</v>
      </c>
      <c r="E124" s="66">
        <v>800</v>
      </c>
      <c r="F124" s="65" t="s">
        <v>343</v>
      </c>
      <c r="G124" s="7"/>
      <c r="H124" s="7"/>
      <c r="J124" s="8"/>
      <c r="N124" s="7"/>
      <c r="O124" s="7"/>
      <c r="P124" s="7"/>
    </row>
    <row r="125" spans="1:16" ht="20.100000000000001" customHeight="1" x14ac:dyDescent="0.25">
      <c r="A125"/>
      <c r="D125" s="8" t="str">
        <f>'Constants - Scope 3'!E209</f>
        <v>Wheat grain (for seed)</v>
      </c>
      <c r="E125" s="66">
        <v>900</v>
      </c>
      <c r="F125" s="65" t="s">
        <v>343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412</v>
      </c>
      <c r="G127" s="8"/>
      <c r="I127" s="7"/>
      <c r="J127" s="7"/>
    </row>
    <row r="128" spans="1:16" ht="20.100000000000001" customHeight="1" x14ac:dyDescent="0.25">
      <c r="A128"/>
      <c r="D128" s="8" t="str">
        <f>'Constants - Scope 3'!E202</f>
        <v>Animal ear tags (large)</v>
      </c>
      <c r="E128" s="66">
        <v>100</v>
      </c>
      <c r="F128" s="65" t="s">
        <v>399</v>
      </c>
      <c r="G128" s="8"/>
      <c r="I128" s="7"/>
      <c r="J128" s="7"/>
    </row>
    <row r="129" spans="1:13" ht="20.100000000000001" customHeight="1" x14ac:dyDescent="0.25">
      <c r="A129"/>
      <c r="D129" s="8" t="str">
        <f>'Constants - Scope 3'!E203</f>
        <v>Animal ear tags (small)</v>
      </c>
      <c r="E129" s="66">
        <v>200</v>
      </c>
      <c r="F129" s="65" t="s">
        <v>399</v>
      </c>
      <c r="G129" s="8"/>
      <c r="I129" s="7"/>
      <c r="L129" s="7"/>
      <c r="M129" s="7"/>
    </row>
    <row r="130" spans="1:13" ht="20.100000000000001" customHeight="1" x14ac:dyDescent="0.25">
      <c r="A130"/>
      <c r="D130" s="8" t="str">
        <f>'Constants - Scope 3'!E206</f>
        <v>Nylon netting</v>
      </c>
      <c r="E130" s="66">
        <v>300</v>
      </c>
      <c r="F130" s="65" t="s">
        <v>343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600</v>
      </c>
      <c r="G133" s="7"/>
      <c r="I133" s="8"/>
    </row>
    <row r="134" spans="1:13" ht="20.100000000000001" customHeight="1" x14ac:dyDescent="0.25">
      <c r="A134"/>
      <c r="D134" s="12"/>
      <c r="I134" s="8"/>
    </row>
    <row r="135" spans="1:13" ht="20.100000000000001" customHeight="1" x14ac:dyDescent="0.25">
      <c r="A135"/>
      <c r="D135" s="46" t="s">
        <v>595</v>
      </c>
      <c r="E135" s="46" t="s">
        <v>594</v>
      </c>
      <c r="F135" s="46" t="s">
        <v>125</v>
      </c>
      <c r="I135" s="8"/>
    </row>
    <row r="136" spans="1:13" ht="20.100000000000001" customHeight="1" x14ac:dyDescent="0.25">
      <c r="A136"/>
      <c r="D136" s="82" t="s">
        <v>697</v>
      </c>
      <c r="E136" s="66">
        <v>1000</v>
      </c>
      <c r="F136" s="82" t="s">
        <v>343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2"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850</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ht="23.25" x14ac:dyDescent="0.25">
      <c r="D5" s="9" t="s">
        <v>420</v>
      </c>
      <c r="E5" s="14"/>
      <c r="F5" s="14"/>
      <c r="G5" s="14"/>
      <c r="H5" s="14"/>
      <c r="I5" s="14"/>
      <c r="J5" s="14"/>
    </row>
    <row r="6" spans="1:12" ht="18.75" x14ac:dyDescent="0.25">
      <c r="D6" s="144" t="s">
        <v>318</v>
      </c>
      <c r="E6" s="14"/>
      <c r="F6" s="14"/>
      <c r="G6" s="14"/>
      <c r="H6" s="14"/>
      <c r="I6" s="14"/>
      <c r="J6" s="14"/>
    </row>
    <row r="7" spans="1:12" x14ac:dyDescent="0.25">
      <c r="A7" s="19" t="s">
        <v>67</v>
      </c>
      <c r="D7" s="10" t="s">
        <v>351</v>
      </c>
      <c r="E7" s="10" t="s">
        <v>424</v>
      </c>
      <c r="F7" s="10" t="s">
        <v>316</v>
      </c>
      <c r="G7" s="10" t="s">
        <v>421</v>
      </c>
      <c r="H7" s="10" t="s">
        <v>319</v>
      </c>
      <c r="I7" s="10" t="s">
        <v>317</v>
      </c>
      <c r="J7" s="161" t="s">
        <v>422</v>
      </c>
      <c r="K7" s="161" t="s">
        <v>423</v>
      </c>
    </row>
    <row r="8" spans="1:12" x14ac:dyDescent="0.25">
      <c r="A8" s="16" t="str">
        <f>HYPERLINK("#'Input - Site'!A1", "Site")</f>
        <v>Site</v>
      </c>
      <c r="D8" s="82" t="s">
        <v>511</v>
      </c>
      <c r="E8" s="157">
        <v>45547</v>
      </c>
      <c r="F8" s="47" t="s">
        <v>482</v>
      </c>
      <c r="G8" s="72" t="s">
        <v>327</v>
      </c>
      <c r="H8" s="47" t="s">
        <v>430</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6">
        <v>205</v>
      </c>
    </row>
    <row r="9" spans="1:12" x14ac:dyDescent="0.25">
      <c r="A9" s="16" t="str">
        <f>HYPERLINK("#'Input - Fuel'!A1", "Fuel")</f>
        <v>Fuel</v>
      </c>
      <c r="D9" s="82"/>
      <c r="E9" s="157">
        <v>45292</v>
      </c>
      <c r="F9" s="148" t="s">
        <v>483</v>
      </c>
      <c r="G9" s="72" t="s">
        <v>326</v>
      </c>
      <c r="H9" s="47" t="s">
        <v>429</v>
      </c>
      <c r="I9" s="66">
        <v>100</v>
      </c>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6">
        <v>465</v>
      </c>
    </row>
    <row r="10" spans="1:12" x14ac:dyDescent="0.25">
      <c r="A10" s="16" t="str">
        <f>HYPERLINK("#'Input - Fertiliser'!A1", "Fertiliser")</f>
        <v>Fertiliser</v>
      </c>
      <c r="D10" s="82"/>
      <c r="E10" s="82"/>
      <c r="F10" s="148"/>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8"/>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8"/>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8"/>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8"/>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8"/>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8"/>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1" x14ac:dyDescent="0.25">
      <c r="A17" s="16" t="str">
        <f>HYPERLINK("#'Input - Solid waste'!A1", "Solid waste")</f>
        <v>Solid waste</v>
      </c>
      <c r="D17" s="82"/>
      <c r="E17" s="82"/>
      <c r="F17" s="148"/>
      <c r="G17" s="72"/>
      <c r="H17" s="47"/>
      <c r="I17" s="66"/>
      <c r="J17" s="49"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6"/>
    </row>
    <row r="18" spans="1:11" x14ac:dyDescent="0.25">
      <c r="A18" s="16" t="str">
        <f>HYPERLINK("#'Input - Manure sent off-site'!A1", "Manure sent off-site")</f>
        <v>Manure sent off-site</v>
      </c>
      <c r="D18" s="14"/>
      <c r="E18" s="14"/>
      <c r="F18" s="14"/>
      <c r="G18" s="14"/>
      <c r="H18" s="14"/>
      <c r="I18" s="14"/>
      <c r="J18" s="14"/>
    </row>
    <row r="19" spans="1:11" x14ac:dyDescent="0.25">
      <c r="A19" s="16" t="str">
        <f>HYPERLINK("#'Input - Electricity'!A1", "Electricity")</f>
        <v>Electricity</v>
      </c>
      <c r="J19" s="14"/>
    </row>
    <row r="20" spans="1:11" x14ac:dyDescent="0.25">
      <c r="J20" s="14"/>
    </row>
    <row r="21" spans="1:11" x14ac:dyDescent="0.25">
      <c r="J21" s="14"/>
    </row>
    <row r="22" spans="1:11" x14ac:dyDescent="0.25">
      <c r="A22" s="21" t="s">
        <v>77</v>
      </c>
      <c r="J22" s="14"/>
    </row>
    <row r="23" spans="1:11" x14ac:dyDescent="0.25">
      <c r="A23" s="16" t="str">
        <f>HYPERLINK("#'15 Scope 3'!A1", "15 Scope 3")</f>
        <v>15 Scope 3</v>
      </c>
      <c r="J23" s="14"/>
    </row>
    <row r="24" spans="1:11" x14ac:dyDescent="0.25">
      <c r="A24" s="16" t="str">
        <f>HYPERLINK("#'10.1.1-2 Solid waste treatment'!A1", "10.1.1-2 Solid waste treatment")</f>
        <v>10.1.1-2 Solid waste treatment</v>
      </c>
      <c r="J24" s="14"/>
    </row>
    <row r="25" spans="1:11" x14ac:dyDescent="0.25">
      <c r="A25" s="16" t="str">
        <f>HYPERLINK("#'Calcs - Manure sent off-site'!A1", "Calcs - Manure sent off-site")</f>
        <v>Calcs - Manure sent off-site</v>
      </c>
      <c r="J25" s="14"/>
    </row>
    <row r="26" spans="1:11" x14ac:dyDescent="0.25">
      <c r="A26" s="16" t="str">
        <f>HYPERLINK("#'8.1.1.1-2 Transport fuel'!A1", "8.1.1.1-2 Transport fuel")</f>
        <v>8.1.1.1-2 Transport fuel</v>
      </c>
      <c r="J26" s="14"/>
    </row>
    <row r="27" spans="1:11" x14ac:dyDescent="0.25">
      <c r="A27" s="16" t="str">
        <f>HYPERLINK("#'8.2.1.1-2 Stationary fuel'!A1", "8.2.1.1-2 Stationary fuel")</f>
        <v>8.2.1.1-2 Stationary fuel</v>
      </c>
      <c r="J27" s="14"/>
    </row>
    <row r="28" spans="1:11" x14ac:dyDescent="0.25">
      <c r="J28" s="14"/>
    </row>
    <row r="29" spans="1:11" x14ac:dyDescent="0.25">
      <c r="J29" s="14"/>
    </row>
    <row r="30" spans="1:11" x14ac:dyDescent="0.25">
      <c r="A30" s="221" t="s">
        <v>78</v>
      </c>
      <c r="J30" s="14"/>
    </row>
    <row r="31" spans="1:11" x14ac:dyDescent="0.25">
      <c r="A31" s="16" t="str">
        <f>HYPERLINK("#'Constants - Scope 3'!A1", "Constants - Scope 3")</f>
        <v>Constants - Scope 3</v>
      </c>
      <c r="D31" s="14"/>
      <c r="E31" s="14"/>
      <c r="F31" s="14"/>
      <c r="G31" s="14"/>
      <c r="H31" s="14"/>
      <c r="I31" s="14"/>
      <c r="J31" s="14"/>
    </row>
    <row r="32" spans="1:11"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334</v>
      </c>
      <c r="E5" s="14"/>
      <c r="F5" s="14"/>
      <c r="G5" s="14"/>
      <c r="H5" s="14"/>
      <c r="I5" s="14"/>
    </row>
    <row r="6" spans="1:10" x14ac:dyDescent="0.25">
      <c r="D6" s="161" t="s">
        <v>351</v>
      </c>
      <c r="E6" s="161" t="s">
        <v>316</v>
      </c>
      <c r="F6" s="161" t="s">
        <v>513</v>
      </c>
      <c r="G6" s="161" t="s">
        <v>317</v>
      </c>
      <c r="H6" s="161" t="s">
        <v>422</v>
      </c>
      <c r="I6" s="161" t="s">
        <v>423</v>
      </c>
    </row>
    <row r="7" spans="1:10" x14ac:dyDescent="0.25">
      <c r="A7" s="19" t="s">
        <v>67</v>
      </c>
      <c r="D7" s="82" t="s">
        <v>512</v>
      </c>
      <c r="E7" s="47" t="s">
        <v>510</v>
      </c>
      <c r="F7" s="47" t="s">
        <v>835</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8" t="s">
        <v>509</v>
      </c>
      <c r="F8" s="47" t="s">
        <v>836</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8" t="s">
        <v>518</v>
      </c>
      <c r="F9" s="47" t="s">
        <v>835</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8"/>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Farm Inputs'!A1", "Farm Inputs")</f>
        <v>Farm Inputs</v>
      </c>
      <c r="D11" s="82"/>
      <c r="E11" s="148"/>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Beef cattle purchases'!A1", "Beef cattle purchases")</f>
        <v>Beef cattle purchases</v>
      </c>
      <c r="D12" s="82"/>
      <c r="E12" s="148"/>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42" t="str">
        <f>HYPERLINK("#'Input - Dairy cattle purchases'!A1", "Dairy cattle purchases")</f>
        <v>Dairy cattle purchases</v>
      </c>
      <c r="D13" s="82"/>
      <c r="E13" s="148"/>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Pig purchases'!A1", "Pig purchases")</f>
        <v>Pig purchases</v>
      </c>
      <c r="D14" s="82"/>
      <c r="E14" s="148"/>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Poultry purchases'!A1", "Poultry purchases")</f>
        <v>Poultry purchases</v>
      </c>
      <c r="D15" s="82"/>
      <c r="E15" s="148"/>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Freight'!A1", "Freight")</f>
        <v>Freight</v>
      </c>
      <c r="D16" s="82"/>
      <c r="E16" s="148"/>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537</v>
      </c>
      <c r="E5" s="14"/>
      <c r="F5" s="14"/>
      <c r="G5" s="14"/>
      <c r="H5" s="14"/>
    </row>
    <row r="6" spans="1:10" x14ac:dyDescent="0.25">
      <c r="D6" s="161" t="s">
        <v>351</v>
      </c>
      <c r="E6" s="161" t="s">
        <v>316</v>
      </c>
      <c r="F6" s="161" t="s">
        <v>317</v>
      </c>
      <c r="G6" s="161" t="s">
        <v>422</v>
      </c>
      <c r="H6" s="161" t="s">
        <v>423</v>
      </c>
    </row>
    <row r="7" spans="1:10" x14ac:dyDescent="0.25">
      <c r="A7" s="19" t="s">
        <v>67</v>
      </c>
      <c r="D7" s="82" t="s">
        <v>558</v>
      </c>
      <c r="E7" s="47" t="s">
        <v>559</v>
      </c>
      <c r="F7" s="66">
        <v>100</v>
      </c>
      <c r="G7" s="49" cm="1">
        <f t="array" ref="G7">Common_InputFunctions.Utility_LookupValueInTableNumber(Table_Input_LivestockPurchases_Pigs[[#This Row],[Class (select)]],#REF!,#REF!)</f>
        <v>0</v>
      </c>
      <c r="H7" s="66">
        <v>180</v>
      </c>
    </row>
    <row r="8" spans="1:10" x14ac:dyDescent="0.25">
      <c r="A8" s="16" t="str">
        <f>HYPERLINK("#'Input - Site'!A1", "Site")</f>
        <v>Site</v>
      </c>
      <c r="D8" s="82" t="s">
        <v>561</v>
      </c>
      <c r="E8" s="148" t="s">
        <v>560</v>
      </c>
      <c r="F8" s="66">
        <v>100</v>
      </c>
      <c r="G8" s="49" cm="1">
        <f t="array" ref="G8">Common_InputFunctions.Utility_LookupValueInTableNumber(Table_Input_LivestockPurchases_Pigs[[#This Row],[Class (select)]],#REF!,#REF!)</f>
        <v>0</v>
      </c>
      <c r="H8" s="66">
        <v>38</v>
      </c>
    </row>
    <row r="9" spans="1:10" x14ac:dyDescent="0.25">
      <c r="A9" s="16" t="str">
        <f>HYPERLINK("#'Input - Fuel'!A1", "Fuel")</f>
        <v>Fuel</v>
      </c>
      <c r="D9" s="82"/>
      <c r="E9" s="148"/>
      <c r="F9" s="66"/>
      <c r="G9" s="49" cm="1">
        <f t="array" ref="G9">Common_InputFunctions.Utility_LookupValueInTableNumber(Table_Input_LivestockPurchases_Pigs[[#This Row],[Class (select)]],#REF!,#REF!)</f>
        <v>0</v>
      </c>
      <c r="H9" s="66"/>
    </row>
    <row r="10" spans="1:10" x14ac:dyDescent="0.25">
      <c r="A10" s="16" t="str">
        <f>HYPERLINK("#'Input - Fertiliser'!A1", "Fertiliser")</f>
        <v>Fertiliser</v>
      </c>
      <c r="D10" s="82"/>
      <c r="E10" s="148"/>
      <c r="F10" s="66"/>
      <c r="G10" s="49" cm="1">
        <f t="array" ref="G10">Common_InputFunctions.Utility_LookupValueInTableNumber(Table_Input_LivestockPurchases_Pigs[[#This Row],[Class (select)]],#REF!,#REF!)</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Common_InputFunctions.Utility_LookupValueInTableNumber(Table_Input_LivestockPurchases_Pigs[[#This Row],[Class (select)]],#REF!,#REF!)</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Common_InputFunctions.Utility_LookupValueInTableNumber(Table_Input_LivestockPurchases_Pigs[[#This Row],[Class (select)]],#REF!,#REF!)</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Common_InputFunctions.Utility_LookupValueInTableNumber(Table_Input_LivestockPurchases_Pigs[[#This Row],[Class (select)]],#REF!,#REF!)</f>
        <v>0</v>
      </c>
      <c r="H13" s="66"/>
    </row>
    <row r="14" spans="1:10" x14ac:dyDescent="0.25">
      <c r="A14" s="42" t="str">
        <f>HYPERLINK("#'Input - Pig purchases'!A1", "Pig purchases")</f>
        <v>Pig purchases</v>
      </c>
      <c r="D14" s="82"/>
      <c r="E14" s="148"/>
      <c r="F14" s="66"/>
      <c r="G14" s="49" cm="1">
        <f t="array" ref="G14">Common_InputFunctions.Utility_LookupValueInTableNumber(Table_Input_LivestockPurchases_Pigs[[#This Row],[Class (select)]],#REF!,#REF!)</f>
        <v>0</v>
      </c>
      <c r="H14" s="66"/>
    </row>
    <row r="15" spans="1:10" x14ac:dyDescent="0.25">
      <c r="A15" s="16" t="str">
        <f>HYPERLINK("#'Input - Poultry purchases'!A1", "Poultry purchases")</f>
        <v>Poultry purchases</v>
      </c>
      <c r="D15" s="82"/>
      <c r="E15" s="148"/>
      <c r="F15" s="66"/>
      <c r="G15" s="49" cm="1">
        <f t="array" ref="G15">Common_InputFunctions.Utility_LookupValueInTableNumber(Table_Input_LivestockPurchases_Pigs[[#This Row],[Class (select)]],#REF!,#REF!)</f>
        <v>0</v>
      </c>
      <c r="H15" s="66"/>
    </row>
    <row r="16" spans="1:10" x14ac:dyDescent="0.25">
      <c r="A16" s="16" t="str">
        <f>HYPERLINK("#'Input - Freight'!A1", "Freight")</f>
        <v>Freight</v>
      </c>
      <c r="D16" s="82"/>
      <c r="E16" s="148"/>
      <c r="F16" s="66"/>
      <c r="G16" s="49" cm="1">
        <f t="array" ref="G16">Common_InputFunctions.Utility_LookupValueInTableNumber(Table_Input_LivestockPurchases_Pigs[[#This Row],[Class (select)]],#REF!,#REF!)</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563</v>
      </c>
      <c r="E5" s="14"/>
      <c r="F5" s="14"/>
      <c r="G5" s="14"/>
      <c r="H5" s="14"/>
    </row>
    <row r="6" spans="1:10" x14ac:dyDescent="0.25">
      <c r="D6" s="161" t="s">
        <v>351</v>
      </c>
      <c r="E6" s="161" t="s">
        <v>316</v>
      </c>
      <c r="F6" s="161" t="s">
        <v>317</v>
      </c>
      <c r="G6" s="161" t="s">
        <v>422</v>
      </c>
      <c r="H6" s="161" t="s">
        <v>423</v>
      </c>
    </row>
    <row r="7" spans="1:10" x14ac:dyDescent="0.25">
      <c r="A7" s="19" t="s">
        <v>67</v>
      </c>
      <c r="D7" s="82" t="s">
        <v>564</v>
      </c>
      <c r="E7" s="47" t="s">
        <v>592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565</v>
      </c>
      <c r="E8" s="148" t="s">
        <v>593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8"/>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Pig purchases'!A1", "Pig purchases")</f>
        <v>Pig purchases</v>
      </c>
      <c r="D14" s="82"/>
      <c r="E14" s="148"/>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42" t="str">
        <f>HYPERLINK("#'Input - Poultry purchases'!A1", "Poultry purchases")</f>
        <v>Poultry purchases</v>
      </c>
      <c r="D15" s="82"/>
      <c r="E15" s="148"/>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799</v>
      </c>
    </row>
    <row r="7" spans="1:10" ht="20.100000000000001" customHeight="1" x14ac:dyDescent="0.25">
      <c r="A7" s="19" t="s">
        <v>67</v>
      </c>
    </row>
    <row r="8" spans="1:10" ht="20.100000000000001" customHeight="1" x14ac:dyDescent="0.25">
      <c r="A8" s="16" t="str">
        <f>HYPERLINK("#'Input - Site'!A1", "Site")</f>
        <v>Site</v>
      </c>
      <c r="D8" s="10" t="s">
        <v>801</v>
      </c>
      <c r="E8" s="10" t="s">
        <v>804</v>
      </c>
      <c r="F8" s="10" t="s">
        <v>805</v>
      </c>
      <c r="G8" s="10" t="s">
        <v>802</v>
      </c>
      <c r="H8" s="10" t="s">
        <v>803</v>
      </c>
    </row>
    <row r="9" spans="1:10" ht="20.100000000000001" customHeight="1" x14ac:dyDescent="0.25">
      <c r="A9" s="16" t="str">
        <f>HYPERLINK("#'Input - Fuel'!A1", "Fuel")</f>
        <v>Fuel</v>
      </c>
      <c r="D9" s="10" t="s">
        <v>808</v>
      </c>
      <c r="E9" s="47" t="s">
        <v>806</v>
      </c>
      <c r="F9" s="10">
        <v>986</v>
      </c>
      <c r="G9" s="10">
        <v>10</v>
      </c>
      <c r="H9" s="10">
        <v>52</v>
      </c>
    </row>
    <row r="10" spans="1:10" ht="20.100000000000001" customHeight="1" x14ac:dyDescent="0.25">
      <c r="A10" s="16" t="str">
        <f>HYPERLINK("#'Input - Fertiliser'!A1", "Fertiliser")</f>
        <v>Fertiliser</v>
      </c>
      <c r="D10" s="10" t="s">
        <v>810</v>
      </c>
      <c r="E10" s="47" t="s">
        <v>811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Beef cattle purchases'!A1", "Beef cattle purchases")</f>
        <v>Beef cattle purchases</v>
      </c>
      <c r="D12" s="10"/>
      <c r="E12" s="47"/>
      <c r="F12" s="10"/>
      <c r="G12" s="10"/>
      <c r="H12" s="10"/>
    </row>
    <row r="13" spans="1:10" ht="20.100000000000001" customHeight="1" x14ac:dyDescent="0.25">
      <c r="A13" s="16" t="str">
        <f>HYPERLINK("#'Input - Dairy cattle purchases'!A1", "Dairy cattle purchases")</f>
        <v>Dairy cattle purchases</v>
      </c>
      <c r="D13" s="10"/>
      <c r="E13" s="47"/>
      <c r="F13" s="10"/>
      <c r="G13" s="10"/>
      <c r="H13" s="10"/>
    </row>
    <row r="14" spans="1:10" ht="20.100000000000001" customHeight="1" x14ac:dyDescent="0.25">
      <c r="A14" s="16" t="str">
        <f>HYPERLINK("#'Input - Pig purchases'!A1", "Pig purchases")</f>
        <v>Pig purchases</v>
      </c>
      <c r="D14" s="10"/>
      <c r="E14" s="47"/>
      <c r="F14" s="10"/>
      <c r="G14" s="10"/>
      <c r="H14" s="10"/>
    </row>
    <row r="15" spans="1:10" ht="20.100000000000001" customHeight="1" x14ac:dyDescent="0.25">
      <c r="A15" s="16" t="str">
        <f>HYPERLINK("#'Input - Poultry purchases'!A1", "Poultry purchases")</f>
        <v>Poultry purchases</v>
      </c>
      <c r="D15" s="10"/>
      <c r="E15" s="47"/>
      <c r="F15" s="10"/>
      <c r="G15" s="10"/>
      <c r="H15" s="10"/>
    </row>
    <row r="16" spans="1:10" ht="20.100000000000001" customHeight="1" x14ac:dyDescent="0.25">
      <c r="A16" s="42" t="str">
        <f>HYPERLINK("#'Input - Freight'!A1", "Freight")</f>
        <v>Freight</v>
      </c>
      <c r="D16" s="10"/>
      <c r="E16" s="47"/>
      <c r="F16" s="10"/>
      <c r="G16" s="10"/>
      <c r="H16" s="10"/>
    </row>
    <row r="17" spans="1:8" ht="20.100000000000001" customHeight="1" x14ac:dyDescent="0.25">
      <c r="A17" s="16" t="str">
        <f>HYPERLINK("#'Input - Solid waste'!A1", "Solid waste")</f>
        <v>Solid waste</v>
      </c>
      <c r="D17" s="10"/>
      <c r="E17" s="47"/>
      <c r="F17" s="10"/>
      <c r="G17" s="10"/>
      <c r="H17" s="10"/>
    </row>
    <row r="18" spans="1:8" ht="20.100000000000001" customHeight="1" x14ac:dyDescent="0.25">
      <c r="A18" s="16" t="str">
        <f>HYPERLINK("#'Input - Manure sent off-site'!A1", "Manure sent off-site")</f>
        <v>Manure sent off-site</v>
      </c>
      <c r="D18" s="10"/>
      <c r="E18" s="47"/>
      <c r="F18" s="10"/>
      <c r="G18" s="10"/>
      <c r="H18" s="10"/>
    </row>
    <row r="19" spans="1:8" ht="20.100000000000001" customHeight="1" x14ac:dyDescent="0.25">
      <c r="A19" s="16" t="str">
        <f>HYPERLINK("#'Input - Electricity'!A1", "Electricity")</f>
        <v>Electricity</v>
      </c>
    </row>
    <row r="20" spans="1:8" ht="20.100000000000001" customHeight="1" x14ac:dyDescent="0.25"/>
    <row r="21" spans="1:8" ht="20.100000000000001" customHeight="1" x14ac:dyDescent="0.25"/>
    <row r="22" spans="1:8" ht="20.100000000000001" customHeight="1" x14ac:dyDescent="0.25">
      <c r="A22" s="21" t="s">
        <v>77</v>
      </c>
      <c r="D22" s="9" t="s">
        <v>807</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10" t="s">
        <v>801</v>
      </c>
      <c r="E24" s="10" t="s">
        <v>804</v>
      </c>
      <c r="F24" s="10" t="s">
        <v>805</v>
      </c>
      <c r="G24" s="10" t="s">
        <v>802</v>
      </c>
      <c r="H24" s="10" t="s">
        <v>803</v>
      </c>
    </row>
    <row r="25" spans="1:8" ht="20.100000000000001" customHeight="1" x14ac:dyDescent="0.25">
      <c r="A25" s="16" t="str">
        <f>HYPERLINK("#'Calcs - Manure sent off-site'!A1", "Calcs - Manure sent off-site")</f>
        <v>Calcs - Manure sent off-site</v>
      </c>
      <c r="D25" s="10" t="s">
        <v>809</v>
      </c>
      <c r="E25" s="47" t="s">
        <v>806</v>
      </c>
      <c r="F25" s="10">
        <v>65</v>
      </c>
      <c r="G25" s="10">
        <v>20</v>
      </c>
      <c r="H25" s="10">
        <v>52</v>
      </c>
    </row>
    <row r="26" spans="1:8" ht="20.100000000000001" customHeight="1" x14ac:dyDescent="0.25">
      <c r="A26" s="16" t="str">
        <f>HYPERLINK("#'8.1.1.1-2 Transport fuel'!A1", "8.1.1.1-2 Transport fuel")</f>
        <v>8.1.1.1-2 Transport fuel</v>
      </c>
      <c r="D26" s="10"/>
      <c r="E26" s="47"/>
      <c r="F26" s="10"/>
      <c r="G26" s="10"/>
      <c r="H26" s="10"/>
    </row>
    <row r="27" spans="1:8" ht="20.100000000000001" customHeight="1" x14ac:dyDescent="0.25">
      <c r="A27" s="16" t="str">
        <f>HYPERLINK("#'8.2.1.1-2 Stationary fuel'!A1", "8.2.1.1-2 Stationary fuel")</f>
        <v>8.2.1.1-2 Stationary fuel</v>
      </c>
      <c r="D27" s="10"/>
      <c r="E27" s="47"/>
      <c r="F27" s="10"/>
      <c r="G27" s="10"/>
      <c r="H27" s="10"/>
    </row>
    <row r="28" spans="1:8" ht="20.100000000000001" customHeight="1" x14ac:dyDescent="0.25">
      <c r="D28" s="10"/>
      <c r="E28" s="47"/>
      <c r="F28" s="10"/>
      <c r="G28" s="10"/>
      <c r="H28" s="10"/>
    </row>
    <row r="29" spans="1:8" ht="20.100000000000001" customHeight="1" x14ac:dyDescent="0.25">
      <c r="D29" s="10"/>
      <c r="E29" s="47"/>
      <c r="F29" s="10"/>
      <c r="G29" s="10"/>
      <c r="H29" s="10"/>
    </row>
    <row r="30" spans="1:8" ht="20.100000000000001" customHeight="1" x14ac:dyDescent="0.25">
      <c r="A30" s="221" t="s">
        <v>78</v>
      </c>
      <c r="D30" s="10"/>
      <c r="E30" s="47"/>
      <c r="F30" s="10"/>
      <c r="G30" s="10"/>
      <c r="H30" s="10"/>
    </row>
    <row r="31" spans="1:8" ht="20.100000000000001" customHeight="1" x14ac:dyDescent="0.25">
      <c r="A31" s="16" t="str">
        <f>HYPERLINK("#'Constants - Scope 3'!A1", "Constants - Scope 3")</f>
        <v>Constants - Scope 3</v>
      </c>
      <c r="D31" s="10"/>
      <c r="E31" s="47"/>
      <c r="F31" s="10"/>
      <c r="G31" s="10"/>
      <c r="H31" s="10"/>
    </row>
    <row r="32" spans="1:8" ht="20.100000000000001" customHeight="1" x14ac:dyDescent="0.25">
      <c r="A32" s="16" t="str">
        <f>HYPERLINK("#'Constants - Solid Waste'!A1", "Constants - Solid Waste")</f>
        <v>Constants - Solid Waste</v>
      </c>
      <c r="D32" s="10"/>
      <c r="E32" s="47"/>
      <c r="F32" s="10"/>
      <c r="G32" s="10"/>
      <c r="H32" s="10"/>
    </row>
    <row r="33" spans="1:8" ht="20.100000000000001" customHeight="1" x14ac:dyDescent="0.25">
      <c r="A33" s="16" t="str">
        <f>HYPERLINK("#'Constants - Fuel'!A1", "Constants - Fuel")</f>
        <v>Constants - Fuel</v>
      </c>
      <c r="D33" s="10"/>
      <c r="E33" s="47"/>
      <c r="F33" s="10"/>
      <c r="G33" s="10"/>
      <c r="H33" s="10"/>
    </row>
    <row r="34" spans="1:8" ht="20.100000000000001" customHeight="1" x14ac:dyDescent="0.25">
      <c r="A34" s="16" t="str">
        <f>HYPERLINK("#'Constants - Poultry'!A1", "Constants - Poultry")</f>
        <v>Constants - Poultry</v>
      </c>
      <c r="D34" s="10"/>
      <c r="E34" s="47"/>
      <c r="F34" s="10"/>
      <c r="G34" s="10"/>
      <c r="H34" s="10"/>
    </row>
    <row r="35" spans="1:8" ht="20.100000000000001" customHeight="1" x14ac:dyDescent="0.25">
      <c r="A35" s="16" t="str">
        <f>HYPERLINK("#'Constants - Swine'!A1", "Constants - Swine")</f>
        <v>Constants - Swine</v>
      </c>
    </row>
    <row r="36" spans="1:8" ht="20.100000000000001" customHeight="1" x14ac:dyDescent="0.25">
      <c r="A36" s="16" t="str">
        <f>HYPERLINK("#'Constants - Dairy'!A1", "Constants - Dairy")</f>
        <v>Constants - Dairy</v>
      </c>
    </row>
    <row r="37" spans="1:8" ht="20.100000000000001" customHeight="1" x14ac:dyDescent="0.25">
      <c r="A37" s="16" t="str">
        <f>HYPERLINK("#'Constants - Pasture Beef'!A1", "Constants - Pasture Beef")</f>
        <v>Constants - Pasture Beef</v>
      </c>
    </row>
    <row r="38" spans="1:8" ht="20.100000000000001" customHeight="1" x14ac:dyDescent="0.25">
      <c r="A38" s="16" t="str">
        <f>HYPERLINK("#'Constants - Common Livestock'!A1", "Constants - Common Livestock")</f>
        <v>Constants - Common Livestock</v>
      </c>
    </row>
    <row r="39" spans="1:8" ht="20.100000000000001" customHeight="1" x14ac:dyDescent="0.25">
      <c r="A39" s="16" t="str">
        <f>HYPERLINK("#'Constants - Fertiliser'!A1", "Constants - Fertiliser")</f>
        <v>Constants - Fertiliser</v>
      </c>
    </row>
    <row r="40" spans="1:8" ht="20.100000000000001" customHeight="1" x14ac:dyDescent="0.25">
      <c r="A40" s="16" t="str">
        <f>HYPERLINK("#'Constants - Electricity'!A1", "Constants - Electricity")</f>
        <v>Constants - Electricity</v>
      </c>
    </row>
    <row r="41" spans="1:8" ht="20.100000000000001" customHeight="1" x14ac:dyDescent="0.25">
      <c r="A41" s="16" t="str">
        <f>HYPERLINK("#'Constants - Common'!A1", "Constants - Common")</f>
        <v>Constants - Common</v>
      </c>
    </row>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2E129-2514-436A-B239-96858FB239A4}">
  <sheetPr>
    <tabColor theme="5" tint="-0.249977111117893"/>
  </sheetPr>
  <dimension ref="A1:L385"/>
  <sheetViews>
    <sheetView showGridLines="0"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872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873</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246</v>
      </c>
      <c r="E9" s="46" t="s">
        <v>773</v>
      </c>
      <c r="F9" s="46" t="s">
        <v>774</v>
      </c>
      <c r="G9" s="46" t="s">
        <v>775</v>
      </c>
      <c r="H9" s="46" t="s">
        <v>594</v>
      </c>
      <c r="I9" s="46" t="s">
        <v>776</v>
      </c>
    </row>
    <row r="10" spans="1:10" ht="20.100000000000001" customHeight="1" x14ac:dyDescent="0.25">
      <c r="A10" s="16" t="str">
        <f>HYPERLINK("#'Input - Fertiliser'!A1", "Fertiliser")</f>
        <v>Fertiliser</v>
      </c>
      <c r="D10" s="10" t="s">
        <v>874</v>
      </c>
      <c r="E10" s="47" t="s">
        <v>875</v>
      </c>
      <c r="F10" s="47" t="s">
        <v>778</v>
      </c>
      <c r="G10" s="47" t="s">
        <v>779</v>
      </c>
      <c r="H10" s="66">
        <v>50</v>
      </c>
      <c r="I10" s="47" t="s">
        <v>781</v>
      </c>
    </row>
    <row r="11" spans="1:10" ht="20.100000000000001" customHeight="1" x14ac:dyDescent="0.25">
      <c r="A11" s="16" t="str">
        <f>HYPERLINK("#'Input - Farm Inputs'!A1", "Farm Inputs")</f>
        <v>Farm Inputs</v>
      </c>
      <c r="D11" s="10" t="s">
        <v>876</v>
      </c>
      <c r="E11" s="47" t="s">
        <v>875</v>
      </c>
      <c r="F11" s="47" t="s">
        <v>778</v>
      </c>
      <c r="G11" s="47" t="s">
        <v>877</v>
      </c>
      <c r="H11" s="66">
        <v>50</v>
      </c>
      <c r="I11" s="47" t="s">
        <v>780</v>
      </c>
    </row>
    <row r="12" spans="1:10" ht="20.100000000000001" customHeight="1" x14ac:dyDescent="0.25">
      <c r="A12" s="16" t="str">
        <f>HYPERLINK("#'Input - Beef cattle purchases'!A1", "Beef cattle purchases")</f>
        <v>Beef cattle purchases</v>
      </c>
      <c r="D12" s="10" t="s">
        <v>878</v>
      </c>
      <c r="E12" s="47" t="s">
        <v>875</v>
      </c>
      <c r="F12" s="47" t="s">
        <v>783</v>
      </c>
      <c r="G12" s="47" t="s">
        <v>779</v>
      </c>
      <c r="H12" s="66">
        <v>50</v>
      </c>
      <c r="I12" s="47" t="s">
        <v>781</v>
      </c>
    </row>
    <row r="13" spans="1:10" ht="20.100000000000001" customHeight="1" x14ac:dyDescent="0.25">
      <c r="A13" s="16" t="str">
        <f>HYPERLINK("#'Input - Dairy cattle purchases'!A1", "Dairy cattle purchases")</f>
        <v>Dairy cattle purchases</v>
      </c>
      <c r="D13" s="10" t="s">
        <v>879</v>
      </c>
      <c r="E13" s="47" t="s">
        <v>875</v>
      </c>
      <c r="F13" s="47" t="s">
        <v>783</v>
      </c>
      <c r="G13" s="47" t="s">
        <v>877</v>
      </c>
      <c r="H13" s="66">
        <v>50</v>
      </c>
      <c r="I13" s="47" t="s">
        <v>780</v>
      </c>
    </row>
    <row r="14" spans="1:10" ht="20.100000000000001" customHeight="1" x14ac:dyDescent="0.25">
      <c r="A14" s="16" t="str">
        <f>HYPERLINK("#'Input - Pig purchases'!A1", "Pig purchases")</f>
        <v>Pig purchases</v>
      </c>
      <c r="D14" s="10" t="s">
        <v>880</v>
      </c>
      <c r="E14" s="47" t="s">
        <v>782</v>
      </c>
      <c r="F14" s="47" t="s">
        <v>783</v>
      </c>
      <c r="G14" s="47" t="s">
        <v>779</v>
      </c>
      <c r="H14" s="66">
        <v>50</v>
      </c>
      <c r="I14" s="47" t="s">
        <v>781</v>
      </c>
    </row>
    <row r="15" spans="1:10" ht="20.100000000000001" customHeight="1" x14ac:dyDescent="0.25">
      <c r="A15" s="16" t="str">
        <f>HYPERLINK("#'Input - Poultry purchases'!A1", "Poultry purchases")</f>
        <v>Poultry purchases</v>
      </c>
      <c r="D15" s="10" t="s">
        <v>881</v>
      </c>
      <c r="E15" s="47" t="s">
        <v>782</v>
      </c>
      <c r="F15" s="47" t="s">
        <v>783</v>
      </c>
      <c r="G15" s="47" t="s">
        <v>779</v>
      </c>
      <c r="H15" s="66">
        <v>50</v>
      </c>
      <c r="I15" s="47" t="s">
        <v>780</v>
      </c>
    </row>
    <row r="16" spans="1:10" ht="20.100000000000001" customHeight="1" x14ac:dyDescent="0.25">
      <c r="A16" s="16" t="str">
        <f>HYPERLINK("#'Input - Freight'!A1", "Freight")</f>
        <v>Freight</v>
      </c>
      <c r="D16" s="10" t="s">
        <v>882</v>
      </c>
      <c r="E16" s="47" t="s">
        <v>782</v>
      </c>
      <c r="F16" s="47" t="s">
        <v>783</v>
      </c>
      <c r="G16" s="47" t="s">
        <v>877</v>
      </c>
      <c r="H16" s="66">
        <v>50</v>
      </c>
      <c r="I16" s="47" t="s">
        <v>781</v>
      </c>
    </row>
    <row r="17" spans="1:11" ht="20.100000000000001" customHeight="1" x14ac:dyDescent="0.25">
      <c r="A17" s="42" t="str">
        <f>HYPERLINK("#'Input - Solid waste'!A1", "Solid waste")</f>
        <v>Solid waste</v>
      </c>
      <c r="D17" s="10" t="s">
        <v>883</v>
      </c>
      <c r="E17" s="47" t="s">
        <v>782</v>
      </c>
      <c r="F17" s="47" t="s">
        <v>783</v>
      </c>
      <c r="G17" s="47" t="s">
        <v>877</v>
      </c>
      <c r="H17" s="66">
        <v>50</v>
      </c>
      <c r="I17" s="47" t="s">
        <v>780</v>
      </c>
    </row>
    <row r="18" spans="1:11" ht="20.100000000000001" customHeight="1" x14ac:dyDescent="0.25">
      <c r="A18" s="16" t="str">
        <f>HYPERLINK("#'Input - Manure sent off-site'!A1", "Manure sent off-site")</f>
        <v>Manure sent off-site</v>
      </c>
      <c r="D18" s="10" t="s">
        <v>884</v>
      </c>
      <c r="E18" s="47" t="s">
        <v>782</v>
      </c>
      <c r="F18" s="47" t="s">
        <v>778</v>
      </c>
      <c r="G18" s="47" t="s">
        <v>779</v>
      </c>
      <c r="H18" s="66">
        <v>50</v>
      </c>
      <c r="I18" s="47" t="s">
        <v>781</v>
      </c>
    </row>
    <row r="19" spans="1:11" ht="20.100000000000001" customHeight="1" x14ac:dyDescent="0.25">
      <c r="A19" s="16" t="str">
        <f>HYPERLINK("#'Input - Electricity'!A1", "Electricity")</f>
        <v>Electricity</v>
      </c>
      <c r="D19" s="10" t="s">
        <v>885</v>
      </c>
      <c r="E19" s="47" t="s">
        <v>782</v>
      </c>
      <c r="F19" s="47" t="s">
        <v>778</v>
      </c>
      <c r="G19" s="47" t="s">
        <v>779</v>
      </c>
      <c r="H19" s="66">
        <v>50</v>
      </c>
      <c r="I19" s="47" t="s">
        <v>780</v>
      </c>
    </row>
    <row r="20" spans="1:11" ht="20.100000000000001" customHeight="1" x14ac:dyDescent="0.25">
      <c r="A20"/>
      <c r="D20" s="10" t="s">
        <v>886</v>
      </c>
      <c r="E20" s="47" t="s">
        <v>782</v>
      </c>
      <c r="F20" s="47" t="s">
        <v>778</v>
      </c>
      <c r="G20" s="47" t="s">
        <v>877</v>
      </c>
      <c r="H20" s="66">
        <v>50</v>
      </c>
      <c r="I20" s="47" t="s">
        <v>781</v>
      </c>
    </row>
    <row r="21" spans="1:11" ht="20.100000000000001" customHeight="1" x14ac:dyDescent="0.25">
      <c r="A21"/>
      <c r="D21" s="10" t="s">
        <v>887</v>
      </c>
      <c r="E21" s="47" t="s">
        <v>782</v>
      </c>
      <c r="F21" s="47" t="s">
        <v>778</v>
      </c>
      <c r="G21" s="47" t="s">
        <v>877</v>
      </c>
      <c r="H21" s="66">
        <v>50</v>
      </c>
      <c r="I21" s="47" t="s">
        <v>780</v>
      </c>
    </row>
    <row r="22" spans="1:11" ht="20.100000000000001" customHeight="1" x14ac:dyDescent="0.25">
      <c r="A22" s="21" t="s">
        <v>77</v>
      </c>
      <c r="D22" s="10" t="s">
        <v>888</v>
      </c>
      <c r="E22" s="47" t="s">
        <v>782</v>
      </c>
      <c r="F22" s="47" t="s">
        <v>889</v>
      </c>
      <c r="G22" s="47" t="s">
        <v>779</v>
      </c>
      <c r="H22" s="66">
        <v>50</v>
      </c>
      <c r="I22" s="47" t="s">
        <v>781</v>
      </c>
    </row>
    <row r="23" spans="1:11" ht="20.100000000000001" customHeight="1" x14ac:dyDescent="0.25">
      <c r="A23" s="16" t="str">
        <f>HYPERLINK("#'15 Scope 3'!A1", "15 Scope 3")</f>
        <v>15 Scope 3</v>
      </c>
      <c r="D23" s="10" t="s">
        <v>890</v>
      </c>
      <c r="E23" s="47" t="s">
        <v>782</v>
      </c>
      <c r="F23" s="47" t="s">
        <v>889</v>
      </c>
      <c r="G23" s="47" t="s">
        <v>779</v>
      </c>
      <c r="H23" s="66">
        <v>50</v>
      </c>
      <c r="I23" s="47" t="s">
        <v>780</v>
      </c>
    </row>
    <row r="24" spans="1:11" ht="20.100000000000001" customHeight="1" x14ac:dyDescent="0.25">
      <c r="A24" s="16" t="str">
        <f>HYPERLINK("#'10.1.1-2 Solid waste treatment'!A1", "10.1.1-2 Solid waste treatment")</f>
        <v>10.1.1-2 Solid waste treatment</v>
      </c>
      <c r="D24" s="10" t="s">
        <v>891</v>
      </c>
      <c r="E24" s="47" t="s">
        <v>782</v>
      </c>
      <c r="F24" s="47" t="s">
        <v>889</v>
      </c>
      <c r="G24" s="47" t="s">
        <v>877</v>
      </c>
      <c r="H24" s="66">
        <v>50</v>
      </c>
      <c r="I24" s="47" t="s">
        <v>781</v>
      </c>
    </row>
    <row r="25" spans="1:11" ht="20.100000000000001" customHeight="1" x14ac:dyDescent="0.25">
      <c r="A25" s="16" t="str">
        <f>HYPERLINK("#'Calcs - Manure sent off-site'!A1", "Calcs - Manure sent off-site")</f>
        <v>Calcs - Manure sent off-site</v>
      </c>
      <c r="D25" s="10" t="s">
        <v>892</v>
      </c>
      <c r="E25" s="47" t="s">
        <v>782</v>
      </c>
      <c r="F25" s="47" t="s">
        <v>889</v>
      </c>
      <c r="G25" s="47" t="s">
        <v>877</v>
      </c>
      <c r="H25" s="66">
        <v>50</v>
      </c>
      <c r="I25" s="47" t="s">
        <v>780</v>
      </c>
    </row>
    <row r="26" spans="1:11" ht="20.100000000000001" customHeight="1" x14ac:dyDescent="0.25">
      <c r="A26" s="16" t="str">
        <f>HYPERLINK("#'8.1.1.1-2 Transport fuel'!A1", "8.1.1.1-2 Transport fuel")</f>
        <v>8.1.1.1-2 Transport fuel</v>
      </c>
      <c r="D26" s="10" t="s">
        <v>893</v>
      </c>
      <c r="E26" s="47" t="s">
        <v>777</v>
      </c>
      <c r="F26" s="47" t="s">
        <v>778</v>
      </c>
      <c r="G26" s="47" t="s">
        <v>877</v>
      </c>
      <c r="H26" s="66">
        <v>50</v>
      </c>
      <c r="I26" s="47" t="s">
        <v>781</v>
      </c>
    </row>
    <row r="27" spans="1:11" ht="20.100000000000001" customHeight="1" x14ac:dyDescent="0.25">
      <c r="A27" s="16" t="str">
        <f>HYPERLINK("#'8.2.1.1-2 Stationary fuel'!A1", "8.2.1.1-2 Stationary fuel")</f>
        <v>8.2.1.1-2 Stationary fuel</v>
      </c>
      <c r="D27" s="10" t="s">
        <v>894</v>
      </c>
      <c r="E27" s="47" t="s">
        <v>777</v>
      </c>
      <c r="F27" s="47" t="s">
        <v>778</v>
      </c>
      <c r="G27" s="47" t="s">
        <v>877</v>
      </c>
      <c r="H27" s="66">
        <v>50</v>
      </c>
      <c r="I27" s="47" t="s">
        <v>780</v>
      </c>
    </row>
    <row r="28" spans="1:11" ht="20.100000000000001" customHeight="1" x14ac:dyDescent="0.25">
      <c r="A28"/>
      <c r="D28" s="10" t="s">
        <v>895</v>
      </c>
      <c r="E28" s="47" t="s">
        <v>777</v>
      </c>
      <c r="F28" s="47" t="s">
        <v>889</v>
      </c>
      <c r="G28" s="47" t="s">
        <v>877</v>
      </c>
      <c r="H28" s="66">
        <v>50</v>
      </c>
      <c r="I28" s="47" t="s">
        <v>781</v>
      </c>
    </row>
    <row r="29" spans="1:11" ht="20.100000000000001" customHeight="1" x14ac:dyDescent="0.25">
      <c r="A29"/>
      <c r="D29" s="10" t="s">
        <v>896</v>
      </c>
      <c r="E29" s="47" t="s">
        <v>777</v>
      </c>
      <c r="F29" s="47" t="s">
        <v>889</v>
      </c>
      <c r="G29" s="47" t="s">
        <v>877</v>
      </c>
      <c r="H29" s="66">
        <v>50</v>
      </c>
      <c r="I29" s="47" t="s">
        <v>780</v>
      </c>
      <c r="K29" s="52"/>
    </row>
    <row r="30" spans="1:11" ht="20.100000000000001" customHeight="1" x14ac:dyDescent="0.25">
      <c r="A30" s="221" t="s">
        <v>78</v>
      </c>
      <c r="D30" s="10" t="s">
        <v>897</v>
      </c>
      <c r="E30" s="47" t="s">
        <v>777</v>
      </c>
      <c r="F30" s="47" t="s">
        <v>889</v>
      </c>
      <c r="G30" s="47" t="s">
        <v>779</v>
      </c>
      <c r="H30" s="66">
        <v>50</v>
      </c>
      <c r="I30" s="47" t="s">
        <v>781</v>
      </c>
      <c r="K30" s="52"/>
    </row>
    <row r="31" spans="1:11" ht="20.100000000000001" customHeight="1" x14ac:dyDescent="0.25">
      <c r="A31" s="16" t="str">
        <f>HYPERLINK("#'Constants - Scope 3'!A1", "Constants - Scope 3")</f>
        <v>Constants - Scope 3</v>
      </c>
      <c r="D31" s="10" t="s">
        <v>898</v>
      </c>
      <c r="E31" s="47" t="s">
        <v>777</v>
      </c>
      <c r="F31" s="47" t="s">
        <v>889</v>
      </c>
      <c r="G31" s="47" t="s">
        <v>779</v>
      </c>
      <c r="H31" s="66">
        <v>50</v>
      </c>
      <c r="I31" s="47" t="s">
        <v>780</v>
      </c>
      <c r="K31" s="52"/>
    </row>
    <row r="32" spans="1:11" ht="20.100000000000001" customHeight="1" x14ac:dyDescent="0.25">
      <c r="A32" s="16" t="str">
        <f>HYPERLINK("#'Constants - Solid Waste'!A1", "Constants - Solid Waste")</f>
        <v>Constants - Solid Waste</v>
      </c>
      <c r="D32" s="10" t="s">
        <v>896</v>
      </c>
      <c r="E32" s="47" t="s">
        <v>777</v>
      </c>
      <c r="F32" s="47" t="s">
        <v>889</v>
      </c>
      <c r="G32" s="47" t="s">
        <v>877</v>
      </c>
      <c r="H32" s="66">
        <v>50</v>
      </c>
      <c r="I32" s="47" t="s">
        <v>780</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L36" s="52"/>
    </row>
    <row r="37" spans="1:12" ht="20.100000000000001" customHeight="1" x14ac:dyDescent="0.25">
      <c r="A37" s="16" t="str">
        <f>HYPERLINK("#'Constants - Pasture Beef'!A1", "Constants - Pasture Beef")</f>
        <v>Constants - Pasture Beef</v>
      </c>
      <c r="L37" s="52"/>
    </row>
    <row r="38" spans="1:12" ht="20.100000000000001" customHeight="1" x14ac:dyDescent="0.25">
      <c r="A38" s="16" t="str">
        <f>HYPERLINK("#'Constants - Common Livestock'!A1", "Constants - Common Livestock")</f>
        <v>Constants - Common Livestock</v>
      </c>
      <c r="C38" s="51"/>
    </row>
    <row r="39" spans="1:12" ht="20.100000000000001" customHeight="1" x14ac:dyDescent="0.25">
      <c r="A39" s="16" t="str">
        <f>HYPERLINK("#'Constants - Fertiliser'!A1", "Constants - Fertiliser")</f>
        <v>Constants - Fertiliser</v>
      </c>
      <c r="C39" s="51"/>
      <c r="J39" s="51"/>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c r="E41" s="8"/>
      <c r="F41" s="8"/>
      <c r="G41" s="8"/>
      <c r="H41" s="8"/>
      <c r="I41" s="8"/>
      <c r="J41" s="8"/>
      <c r="L41" s="52" t="s">
        <v>256</v>
      </c>
    </row>
    <row r="42" spans="1:12" ht="20.100000000000001" customHeight="1" x14ac:dyDescent="0.25">
      <c r="A42"/>
    </row>
    <row r="43" spans="1:12" ht="20.100000000000001" customHeight="1" x14ac:dyDescent="0.25">
      <c r="A43"/>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3C413EC2-E519-4C16-927A-775B2F03F55D}">
      <formula1>INDIRECT("Table_WasteTypes_" &amp; SUBSTITUTE(E10, " ", "") &amp; "[Waste type w]")</formula1>
    </dataValidation>
    <dataValidation type="list" allowBlank="1" showInputMessage="1" showErrorMessage="1" sqref="I10:I32" xr:uid="{55BF224D-9E13-4B63-91BE-14937480276D}">
      <formula1>"tonnes, cubic metres m3"</formula1>
    </dataValidation>
    <dataValidation type="list" allowBlank="1" showInputMessage="1" showErrorMessage="1" sqref="G10:G32" xr:uid="{9E13BF69-219D-45CB-8B6A-F0E3E56B7894}">
      <formula1>"Treated on-site, Removed and treated off-site"</formula1>
    </dataValidation>
    <dataValidation type="list" allowBlank="1" showInputMessage="1" showErrorMessage="1" sqref="E10:E32" xr:uid="{B23FB1DB-B0B7-4F94-A1DF-755860D816DF}">
      <formula1>INDIRECT(_xlfn.UNIQUE("Table_SourceData_WasteSolid_WasteTreatmentEFs[Treatment type t]"))</formula1>
    </dataValidation>
    <dataValidation type="list" allowBlank="1" showInputMessage="1" showErrorMessage="1" sqref="E35" xr:uid="{336E09E6-76F1-4704-B252-BEC3BB6168E8}">
      <formula1>INDIRECT("Table_SourceData_ElectricityEFs[State, Territory or grid description]")</formula1>
    </dataValidation>
    <dataValidation type="list" allowBlank="1" showInputMessage="1" showErrorMessage="1" sqref="E89" xr:uid="{D0ABCFCA-B3DF-4E44-9F3A-8112FC9D73DE}">
      <formula1>INDIRECT("Table_SourceData_Swine_IrrigationMethods[Irrigation method]")</formula1>
    </dataValidation>
    <dataValidation type="list" allowBlank="1" showInputMessage="1" showErrorMessage="1" sqref="E273 E278 E283 E317 E312 E307 E185 E173 E149 E161" xr:uid="{6B9C586A-50DB-47CC-BFFB-B01C5EE21E6F}">
      <formula1>"Yes, No"</formula1>
    </dataValidation>
    <dataValidation type="list" allowBlank="1" showInputMessage="1" showErrorMessage="1" sqref="E249" xr:uid="{087188E3-5FD5-4C1D-BDF4-E34D82E83294}">
      <formula1>INDIRECT("Table_SourceData_Dairy_ProductionSystemTemplates[Area]")</formula1>
    </dataValidation>
    <dataValidation type="list" allowBlank="1" showInputMessage="1" showErrorMessage="1" sqref="D301" xr:uid="{1B6757E0-BD18-4C7A-8A3A-F95F768ADA6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845</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739</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846</v>
      </c>
      <c r="F10" s="66">
        <v>1000</v>
      </c>
      <c r="G10" s="65" t="s">
        <v>740</v>
      </c>
    </row>
    <row r="11" spans="1:11" x14ac:dyDescent="0.25">
      <c r="A11" s="16" t="str">
        <f>HYPERLINK("#'Input - Farm Inputs'!A1", "Farm Inputs")</f>
        <v>Farm Inputs</v>
      </c>
      <c r="D11" s="8" t="s">
        <v>847</v>
      </c>
      <c r="F11" s="66">
        <v>2000</v>
      </c>
      <c r="G11" s="65" t="s">
        <v>740</v>
      </c>
    </row>
    <row r="12" spans="1:11" x14ac:dyDescent="0.25">
      <c r="A12" s="16" t="str">
        <f>HYPERLINK("#'Input - Beef cattle purchases'!A1", "Beef cattle purchases")</f>
        <v>Beef cattle purchases</v>
      </c>
    </row>
    <row r="13" spans="1:11" x14ac:dyDescent="0.25">
      <c r="A13" s="16" t="str">
        <f>HYPERLINK("#'Input - Dairy cattle purchases'!A1", "Dairy cattle purchases")</f>
        <v>Dairy cattle purchases</v>
      </c>
      <c r="D13" s="8" t="s">
        <v>741</v>
      </c>
      <c r="F13" s="47" t="s">
        <v>149</v>
      </c>
      <c r="G13" s="65" t="s">
        <v>194</v>
      </c>
    </row>
    <row r="14" spans="1:11" x14ac:dyDescent="0.25">
      <c r="A14" s="16" t="str">
        <f>HYPERLINK("#'Input - Pig purchases'!A1", "Pig purchases")</f>
        <v>Pig purchases</v>
      </c>
      <c r="D14" s="8" t="s">
        <v>745</v>
      </c>
      <c r="F14" s="47" t="s">
        <v>154</v>
      </c>
      <c r="G14" s="65" t="s">
        <v>194</v>
      </c>
    </row>
    <row r="15" spans="1:11" x14ac:dyDescent="0.25">
      <c r="A15" s="16" t="str">
        <f>HYPERLINK("#'Input - Poultry purchases'!A1", "Poultry purchases")</f>
        <v>Poultry purchases</v>
      </c>
    </row>
    <row r="16" spans="1:11" x14ac:dyDescent="0.25">
      <c r="A16" s="16" t="str">
        <f>HYPERLINK("#'Input - Freight'!A1", "Freight")</f>
        <v>Freight</v>
      </c>
    </row>
    <row r="17" spans="1:1" x14ac:dyDescent="0.25">
      <c r="A17" s="16" t="str">
        <f>HYPERLINK("#'Input - Solid waste'!A1", "Solid waste")</f>
        <v>Solid waste</v>
      </c>
    </row>
    <row r="18" spans="1:1" x14ac:dyDescent="0.25">
      <c r="A18" s="42"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BF05-88E1-44EE-8040-ED9359CEFBED}">
  <dimension ref="A1:L365"/>
  <sheetViews>
    <sheetView showGridLines="0" topLeftCell="A2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833</v>
      </c>
      <c r="E5" s="47" t="s">
        <v>834</v>
      </c>
      <c r="F5" s="65" t="s">
        <v>194</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231</v>
      </c>
    </row>
    <row r="12" spans="1:10" ht="20.100000000000001" customHeight="1" x14ac:dyDescent="0.25">
      <c r="A12" s="16" t="str">
        <f>HYPERLINK("#'Input - Beef cattle purchases'!A1", "Beef cattle purchases")</f>
        <v>Beef cattle purchases</v>
      </c>
    </row>
    <row r="13" spans="1:10" ht="20.100000000000001" customHeight="1" x14ac:dyDescent="0.25">
      <c r="A13" s="16" t="str">
        <f>HYPERLINK("#'Input - Dairy cattle purchases'!A1", "Dairy cattle purchases")</f>
        <v>Dairy cattle purchases</v>
      </c>
      <c r="D13" s="95" t="s">
        <v>232</v>
      </c>
      <c r="E13" s="96"/>
      <c r="F13" s="14"/>
    </row>
    <row r="14" spans="1:10" ht="20.100000000000001" customHeight="1" x14ac:dyDescent="0.25">
      <c r="A14" s="16" t="str">
        <f>HYPERLINK("#'Input - Pig purchases'!A1", "Pig purchases")</f>
        <v>Pig purchases</v>
      </c>
      <c r="D14" s="14"/>
      <c r="E14" s="14"/>
      <c r="F14" s="14"/>
    </row>
    <row r="15" spans="1:10" ht="20.100000000000001" customHeight="1" x14ac:dyDescent="0.25">
      <c r="A15" s="16" t="str">
        <f>HYPERLINK("#'Input - Poultry purchases'!A1", "Poultry purchases")</f>
        <v>Poultry purchases</v>
      </c>
      <c r="D15" s="8" t="s">
        <v>233</v>
      </c>
      <c r="E15" s="97">
        <v>30000</v>
      </c>
      <c r="F15" s="65" t="s">
        <v>234</v>
      </c>
    </row>
    <row r="16" spans="1:10" ht="20.100000000000001" customHeight="1" x14ac:dyDescent="0.25">
      <c r="A16" s="16" t="str">
        <f>HYPERLINK("#'Input - Freight'!A1", "Freight")</f>
        <v>Freight</v>
      </c>
      <c r="D16" s="8" t="s">
        <v>235</v>
      </c>
      <c r="E16" s="49" t="str">
        <f>IF(X_Cell_Site_State="Western Australia", X_Cell_Site_Region, X_Cell_Site_State)</f>
        <v>Western Australia - Outback (South)</v>
      </c>
      <c r="F16" s="14"/>
    </row>
    <row r="17" spans="1:11" ht="20.100000000000001" customHeight="1" x14ac:dyDescent="0.25">
      <c r="A17" s="16" t="str">
        <f>HYPERLINK("#'Input - Solid waste'!A1", "Solid waste")</f>
        <v>Solid waste</v>
      </c>
      <c r="D17" s="8" t="s">
        <v>236</v>
      </c>
      <c r="E17" s="47" t="s">
        <v>899</v>
      </c>
      <c r="F17" s="65" t="s">
        <v>194</v>
      </c>
    </row>
    <row r="18" spans="1:11" ht="20.100000000000001" customHeight="1" x14ac:dyDescent="0.25">
      <c r="A18" s="16" t="str">
        <f>HYPERLINK("#'Input - Manure sent off-site'!A1", "Manure sent off-site")</f>
        <v>Manure sent off-site</v>
      </c>
    </row>
    <row r="19" spans="1:11" ht="20.100000000000001" customHeight="1" x14ac:dyDescent="0.25">
      <c r="A19" s="42" t="str">
        <f>HYPERLINK("#'Input - Electricity'!A1", "Electricity")</f>
        <v>Electricity</v>
      </c>
    </row>
    <row r="20" spans="1:11" ht="20.100000000000001" customHeight="1" x14ac:dyDescent="0.25">
      <c r="A20"/>
      <c r="C20" s="98"/>
      <c r="D20" s="98"/>
      <c r="E20" s="98"/>
      <c r="F20" s="98"/>
      <c r="G20" s="98"/>
      <c r="H20" s="98"/>
      <c r="I20" s="98"/>
      <c r="J20" s="98"/>
    </row>
    <row r="21" spans="1:11" ht="20.100000000000001" customHeight="1" x14ac:dyDescent="0.25">
      <c r="A21"/>
      <c r="D21" s="9" t="s">
        <v>237</v>
      </c>
    </row>
    <row r="22" spans="1:11" ht="20.100000000000001" customHeight="1" x14ac:dyDescent="0.25">
      <c r="A22" s="21" t="s">
        <v>77</v>
      </c>
      <c r="E22" s="54" t="str">
        <f>IF(E16="ACT", "", "ALERT: Your farm is not in the ACT, so the JRPP is not applicable")</f>
        <v>ALERT: Your farm is not in the ACT, so the JRPP is not applicable</v>
      </c>
    </row>
    <row r="23" spans="1:11" ht="20.100000000000001" customHeight="1" x14ac:dyDescent="0.25">
      <c r="A23" s="16" t="str">
        <f>HYPERLINK("#'15 Scope 3'!A1", "15 Scope 3")</f>
        <v>15 Scope 3</v>
      </c>
      <c r="D23" s="8" t="s">
        <v>238</v>
      </c>
      <c r="E23" s="97">
        <v>30000</v>
      </c>
      <c r="F23" s="65" t="s">
        <v>234</v>
      </c>
    </row>
    <row r="24" spans="1:11" ht="20.100000000000001" customHeight="1" x14ac:dyDescent="0.25">
      <c r="A24" s="16" t="str">
        <f>HYPERLINK("#'10.1.1-2 Solid waste treatment'!A1", "10.1.1-2 Solid waste treatment")</f>
        <v>10.1.1-2 Solid waste treatment</v>
      </c>
      <c r="D24" s="8" t="s">
        <v>239</v>
      </c>
      <c r="E24" s="86">
        <v>0.1</v>
      </c>
      <c r="F24" s="65" t="s">
        <v>240</v>
      </c>
    </row>
    <row r="25" spans="1:11" ht="20.100000000000001" customHeight="1" x14ac:dyDescent="0.25">
      <c r="A25" s="16" t="str">
        <f>HYPERLINK("#'Calcs - Manure sent off-site'!A1", "Calcs - Manure sent off-site")</f>
        <v>Calcs - Manure sent off-site</v>
      </c>
      <c r="D25" s="8" t="s">
        <v>241</v>
      </c>
      <c r="E25" s="86">
        <v>0.1</v>
      </c>
      <c r="F25" s="65" t="s">
        <v>240</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c r="D27" s="8" t="s">
        <v>242</v>
      </c>
      <c r="E27" s="97">
        <v>10000</v>
      </c>
      <c r="F27" s="65" t="s">
        <v>234</v>
      </c>
    </row>
    <row r="28" spans="1:11" ht="20.100000000000001" customHeight="1" x14ac:dyDescent="0.25">
      <c r="A28"/>
    </row>
    <row r="29" spans="1:11" ht="20.100000000000001" customHeight="1" x14ac:dyDescent="0.25">
      <c r="A29"/>
      <c r="D29" s="8" t="s">
        <v>243</v>
      </c>
      <c r="E29" s="99" t="str">
        <f>TEXT(X_Cell_Site_StartDate, "dd mmm yyyy")</f>
        <v>01 Jan 2024</v>
      </c>
      <c r="K29" s="52"/>
    </row>
    <row r="30" spans="1:11" ht="20.100000000000001" customHeight="1" x14ac:dyDescent="0.25">
      <c r="A30" s="221" t="s">
        <v>78</v>
      </c>
      <c r="D30" s="8" t="s">
        <v>244</v>
      </c>
      <c r="E30" s="99" t="str">
        <f>TEXT(X_Cell_Site_EndDate, "dd mmm yyyy")</f>
        <v>31 Dec 2024</v>
      </c>
      <c r="K30" s="52"/>
    </row>
    <row r="31" spans="1:11" ht="20.100000000000001" customHeight="1" x14ac:dyDescent="0.25">
      <c r="A31" s="16" t="str">
        <f>HYPERLINK("#'Constants - Scope 3'!A1", "Constants - Scope 3")</f>
        <v>Constants - Scope 3</v>
      </c>
      <c r="K31" s="52"/>
    </row>
    <row r="32" spans="1:11" ht="20.100000000000001" customHeight="1" x14ac:dyDescent="0.25">
      <c r="A32" s="16" t="str">
        <f>HYPERLINK("#'Constants - Solid Waste'!A1", "Constants - Solid Waste")</f>
        <v>Constants - Solid Waste</v>
      </c>
      <c r="D32" s="71" t="s">
        <v>245</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D34" s="95" t="s">
        <v>120</v>
      </c>
      <c r="E34" s="96"/>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D36" s="46" t="s">
        <v>246</v>
      </c>
      <c r="E36" s="46" t="s">
        <v>247</v>
      </c>
      <c r="F36" s="46" t="s">
        <v>248</v>
      </c>
      <c r="G36" s="46" t="s">
        <v>249</v>
      </c>
      <c r="H36" s="46" t="s">
        <v>250</v>
      </c>
      <c r="I36" s="46" t="s">
        <v>251</v>
      </c>
      <c r="L36" s="52"/>
    </row>
    <row r="37" spans="1:12" ht="20.100000000000001" customHeight="1" x14ac:dyDescent="0.25">
      <c r="A37" s="16" t="str">
        <f>HYPERLINK("#'Constants - Pasture Beef'!A1", "Constants - Pasture Beef")</f>
        <v>Constants - Pasture Beef</v>
      </c>
      <c r="D37" s="10" t="s">
        <v>900</v>
      </c>
      <c r="E37" s="47" t="s">
        <v>252</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 Livestock'!A1", "Constants - Common Livestock")</f>
        <v>Constants - Common Livestock</v>
      </c>
      <c r="D38" s="10" t="s">
        <v>901</v>
      </c>
      <c r="E38" s="47" t="s">
        <v>253</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Fertiliser'!A1", "Constants - Fertiliser")</f>
        <v>Constants - Fertiliser</v>
      </c>
      <c r="D39" s="10" t="s">
        <v>902</v>
      </c>
      <c r="E39" s="47" t="s">
        <v>252</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t="s">
        <v>254</v>
      </c>
      <c r="E41" s="49">
        <f>SUMIF(Table_Input_RECSurrendered[Elegibility], "Elegible", Table_Input_RECSurrendered[MWh])</f>
        <v>10</v>
      </c>
      <c r="F41" s="65" t="s">
        <v>250</v>
      </c>
      <c r="G41" s="8"/>
      <c r="H41" s="8"/>
      <c r="I41" s="8"/>
      <c r="J41" s="8"/>
      <c r="L41" s="52" t="s">
        <v>256</v>
      </c>
    </row>
    <row r="42" spans="1:12" ht="20.100000000000001" customHeight="1" x14ac:dyDescent="0.25">
      <c r="A42"/>
      <c r="C42" s="51"/>
    </row>
    <row r="43" spans="1:12" ht="20.100000000000001" customHeight="1" x14ac:dyDescent="0.25">
      <c r="A43"/>
      <c r="C43" s="51"/>
      <c r="D43" s="71" t="s">
        <v>255</v>
      </c>
      <c r="J43" s="51"/>
    </row>
    <row r="44" spans="1:12" ht="20.100000000000001" customHeight="1" x14ac:dyDescent="0.25">
      <c r="A44"/>
    </row>
    <row r="45" spans="1:12" ht="20.100000000000001" customHeight="1" x14ac:dyDescent="0.25">
      <c r="A45"/>
      <c r="D45" s="46" t="s">
        <v>246</v>
      </c>
      <c r="E45" s="46" t="s">
        <v>139</v>
      </c>
      <c r="F45" s="46" t="s">
        <v>248</v>
      </c>
      <c r="G45" s="46" t="s">
        <v>249</v>
      </c>
      <c r="H45" s="46" t="s">
        <v>250</v>
      </c>
      <c r="I45" s="46" t="s">
        <v>251</v>
      </c>
    </row>
    <row r="46" spans="1:12" ht="20.100000000000001" customHeight="1" x14ac:dyDescent="0.25">
      <c r="A46"/>
      <c r="D46" s="10" t="s">
        <v>257</v>
      </c>
      <c r="E46" s="228"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903</v>
      </c>
      <c r="E47" s="228"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258</v>
      </c>
      <c r="E50" s="49">
        <f>SUMIF(Table_Input_RECConsumedByEntity[Elegibility], "Elegible", Table_Input_RECConsumedByEntity[Number of certificates])</f>
        <v>11</v>
      </c>
      <c r="F50" s="65"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ACCD07D0-AB5B-4A91-A42F-D00629AFD055}">
      <formula1>"Location-based (simpler), Market-based (more complex)"</formula1>
    </dataValidation>
    <dataValidation type="list" allowBlank="1" showInputMessage="1" showErrorMessage="1" sqref="E37:E39" xr:uid="{A6B144D4-DCA4-42E0-AB43-801B476B2E93}">
      <formula1>"Purchased certificate, Issued for generated electricity"</formula1>
    </dataValidation>
    <dataValidation type="list" allowBlank="1" showInputMessage="1" showErrorMessage="1" sqref="E17" xr:uid="{47AE6E3F-15FE-4E87-BCAB-820A490F5862}">
      <formula1>INDIRECT("Table_SourceData_ElectricityEFs[State, Territory or grid description]")</formula1>
    </dataValidation>
    <dataValidation type="list" allowBlank="1" showInputMessage="1" showErrorMessage="1" sqref="E69" xr:uid="{1461C3A0-AF8C-446D-A6F9-C0B9B63854A9}">
      <formula1>INDIRECT("Table_SourceData_Swine_IrrigationMethods[Irrigation method]")</formula1>
    </dataValidation>
    <dataValidation type="list" allowBlank="1" showInputMessage="1" showErrorMessage="1" sqref="E253 E258 E263 E297 E292 E287 E165 E153 E129 E141" xr:uid="{7E30D949-ABC9-4B4E-9324-2426AD860B19}">
      <formula1>"Yes, No"</formula1>
    </dataValidation>
    <dataValidation type="list" allowBlank="1" showInputMessage="1" showErrorMessage="1" sqref="E229" xr:uid="{FEE4AEF7-C694-4ECC-9612-15D9970A5D6F}">
      <formula1>INDIRECT("Table_SourceData_Dairy_ProductionSystemTemplates[Area]")</formula1>
    </dataValidation>
    <dataValidation type="list" allowBlank="1" showInputMessage="1" showErrorMessage="1" sqref="D281" xr:uid="{672FE66E-B334-41B3-B609-D6DCFDEA191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1" t="s">
        <v>622</v>
      </c>
      <c r="E7" s="171"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1"/>
    </row>
    <row r="10" spans="1:41" ht="20.100000000000001" customHeight="1" x14ac:dyDescent="0.25">
      <c r="A10" s="16" t="str">
        <f>HYPERLINK("#'Input - Fertiliser'!A1", "Fertiliser")</f>
        <v>Fertiliser</v>
      </c>
      <c r="D10" s="27" t="s">
        <v>623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96</v>
      </c>
      <c r="E11" s="13" t="str" cm="1">
        <f t="array" ref="E11">Scope3_Equations.VEERG_15_1_1_1__1_EmissionsFromPurchasedLivestock_Unit()</f>
        <v>t CO2e</v>
      </c>
    </row>
    <row r="12" spans="1:41" ht="20.100000000000001" customHeight="1" x14ac:dyDescent="0.25">
      <c r="A12" s="16" t="str">
        <f>HYPERLINK("#'Input - Beef cattle purchases'!A1", "Beef cattle purchases")</f>
        <v>Beef cattle purchases</v>
      </c>
    </row>
    <row r="13" spans="1:41" ht="20.100000000000001" customHeight="1" x14ac:dyDescent="0.25">
      <c r="A13" s="16" t="str">
        <f>HYPERLINK("#'Input - Dairy cattle purchases'!A1", "Dairy cattle purchases")</f>
        <v>Dairy cattle purchases</v>
      </c>
      <c r="D13" s="166" t="str" cm="1">
        <f t="array" ref="D13:E17">_xlfn.CHOOSECOLS(Scope3_Equations.VEERG_15_1_1_1__1_EmissionsFromPurchasedLivestock_Arguments(),1,2)</f>
        <v>N_co</v>
      </c>
      <c r="E13" s="170" t="str">
        <v>number of animals purchased in livestock type c from origin o</v>
      </c>
      <c r="F13" s="165"/>
      <c r="G13" s="166" t="str" cm="1">
        <f t="array" ref="G13:H17">_xlfn.CHOOSECOLS(Scope3_Equations.VEERG_15_1_1_1__1_EmissionsFromPurchasedLivestock_Arguments(),3,4)</f>
        <v>head</v>
      </c>
      <c r="H13" s="167" t="str">
        <v>Input</v>
      </c>
    </row>
    <row r="14" spans="1:41" ht="20.100000000000001" customHeight="1" x14ac:dyDescent="0.25">
      <c r="A14" s="16" t="str">
        <f>HYPERLINK("#'Input - Pig purchases'!A1", "Pig purchases")</f>
        <v>Pig purchases</v>
      </c>
      <c r="D14" s="166" t="str">
        <v>W_co</v>
      </c>
      <c r="E14" s="170" t="str">
        <v>average liveweight of purchased livestock at point of purchase</v>
      </c>
      <c r="F14" s="165"/>
      <c r="G14" s="166" t="str">
        <v>kg/head</v>
      </c>
      <c r="H14" s="167" t="str">
        <v>Input</v>
      </c>
    </row>
    <row r="15" spans="1:41" ht="20.100000000000001" customHeight="1" x14ac:dyDescent="0.25">
      <c r="A15" s="16" t="str">
        <f>HYPERLINK("#'Input - Poultry purchases'!A1", "Poultry purchases")</f>
        <v>Poultry purchases</v>
      </c>
      <c r="D15" s="166" t="str">
        <v>EF_co</v>
      </c>
      <c r="E15" s="170" t="str">
        <v>emission factor per livestock type and origin</v>
      </c>
      <c r="F15" s="165"/>
      <c r="G15" s="166" t="str">
        <v>kg CO2e/kg</v>
      </c>
      <c r="H15" s="168" t="str">
        <v>Constant</v>
      </c>
    </row>
    <row r="16" spans="1:41" ht="20.100000000000001" customHeight="1" x14ac:dyDescent="0.25">
      <c r="A16" s="16" t="str">
        <f>HYPERLINK("#'Input - Freight'!A1", "Freight")</f>
        <v>Freight</v>
      </c>
      <c r="D16" s="166" t="str">
        <v>c</v>
      </c>
      <c r="E16" s="170" t="str">
        <v>livestock type</v>
      </c>
      <c r="F16" s="165"/>
      <c r="G16" s="166" t="str">
        <v/>
      </c>
      <c r="H16" s="167" t="str">
        <v>Input</v>
      </c>
    </row>
    <row r="17" spans="1:16" ht="20.100000000000001" customHeight="1" x14ac:dyDescent="0.25">
      <c r="A17" s="16" t="str">
        <f>HYPERLINK("#'Input - Solid waste'!A1", "Solid waste")</f>
        <v>Solid waste</v>
      </c>
      <c r="D17" s="166" t="str">
        <v>o</v>
      </c>
      <c r="E17" s="170" t="str">
        <v>origin</v>
      </c>
      <c r="F17" s="165"/>
      <c r="G17" s="166" t="str">
        <v/>
      </c>
      <c r="H17" s="167" t="str">
        <v>Input</v>
      </c>
    </row>
    <row r="18" spans="1:16" ht="20.100000000000001" customHeight="1" x14ac:dyDescent="0.25">
      <c r="A18" s="16" t="str">
        <f>HYPERLINK("#'Input - Manure sent off-site'!A1", "Manure sent off-site")</f>
        <v>Manure sent off-site</v>
      </c>
    </row>
    <row r="19" spans="1:16" ht="20.100000000000001" customHeight="1" x14ac:dyDescent="0.25">
      <c r="A19" s="16" t="str">
        <f>HYPERLINK("#'Input - Electricity'!A1", "Electricity")</f>
        <v>Electricity</v>
      </c>
      <c r="D19" s="95" t="s">
        <v>562</v>
      </c>
      <c r="E19" s="110"/>
      <c r="F19" s="96"/>
    </row>
    <row r="20" spans="1:16" ht="20.100000000000001" customHeight="1" x14ac:dyDescent="0.25"/>
    <row r="21" spans="1:16" ht="20.100000000000001" customHeight="1" x14ac:dyDescent="0.25">
      <c r="D21" s="144" t="s">
        <v>318</v>
      </c>
    </row>
    <row r="22" spans="1:16" ht="20.100000000000001" customHeight="1" x14ac:dyDescent="0.25">
      <c r="A22" s="21" t="s">
        <v>77</v>
      </c>
      <c r="D22" s="46" t="s">
        <v>355</v>
      </c>
      <c r="E22" s="151" t="s">
        <v>616</v>
      </c>
      <c r="F22" s="151" t="s">
        <v>615</v>
      </c>
      <c r="G22" s="151" t="s">
        <v>617</v>
      </c>
      <c r="H22" s="151" t="s">
        <v>618</v>
      </c>
      <c r="I22" s="57" t="s">
        <v>620</v>
      </c>
      <c r="J22" s="57" t="s">
        <v>629</v>
      </c>
      <c r="K22" s="151" t="s">
        <v>619</v>
      </c>
      <c r="L22" s="46" t="s">
        <v>621</v>
      </c>
      <c r="M22" s="57" t="s">
        <v>631</v>
      </c>
      <c r="N22" s="46" t="s">
        <v>625</v>
      </c>
      <c r="O22" s="46" t="s">
        <v>626</v>
      </c>
      <c r="P22" s="46" t="s">
        <v>627</v>
      </c>
    </row>
    <row r="23" spans="1:16" ht="20.100000000000001" customHeight="1" x14ac:dyDescent="0.25">
      <c r="A23" s="179" t="str">
        <f>HYPERLINK("#'15 Scope 3'!A1", "15 Scope 3")</f>
        <v>15 Scope 3</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0" cm="1">
        <f t="array" ref="J23">Scope3_Equations.VEERG_15_1_1_1__1_EmissionsFromPurchasedLivestock(G23,H23,I23)</f>
        <v>436.8</v>
      </c>
      <c r="K23" s="49" cm="1">
        <f t="array" ref="K23:K32">IFERROR(INDEX(Table_Input_LivestockPurchases_Beefcattle[Liveweight (kg/head) Method 2], _xlfn.SEQUENCE(10)), "")</f>
        <v>205</v>
      </c>
      <c r="L23" s="66">
        <v>20</v>
      </c>
      <c r="M23" s="150" cm="1">
        <f t="array" ref="M23">Scope3_Equations.VEERG_15_1_1_1__1_EmissionsFromPurchasedLivestock(G23,K23,IF(L23, L23, I23))</f>
        <v>410</v>
      </c>
      <c r="N23" s="82" t="s">
        <v>598</v>
      </c>
      <c r="O23" s="47" t="s">
        <v>597</v>
      </c>
      <c r="P23" t="s">
        <v>599</v>
      </c>
    </row>
    <row r="24" spans="1:16" ht="20.100000000000001" customHeight="1" x14ac:dyDescent="0.25">
      <c r="A24" s="16" t="str">
        <f>HYPERLINK("#'10.1.1-2 Solid waste treatment'!A1", "10.1.1-2 Solid waste treatment")</f>
        <v>10.1.1-2 Solid waste treatment</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0" cm="1">
        <f t="array" ref="J24">Scope3_Equations.VEERG_15_1_1_1__1_EmissionsFromPurchasedLivestock(G24,H24,I24)</f>
        <v>615.70000000000005</v>
      </c>
      <c r="K24" s="49">
        <v>465</v>
      </c>
      <c r="L24" s="66">
        <v>13</v>
      </c>
      <c r="M24" s="150" cm="1">
        <f t="array" ref="M24">Scope3_Equations.VEERG_15_1_1_1__1_EmissionsFromPurchasedLivestock(G24,K24,IF(L24, L24, I24))</f>
        <v>604.5</v>
      </c>
      <c r="N24" s="82"/>
      <c r="O24" s="47"/>
      <c r="P24" s="82"/>
    </row>
    <row r="25" spans="1:16" ht="20.100000000000001" customHeight="1" x14ac:dyDescent="0.25">
      <c r="A25" s="16" t="str">
        <f>HYPERLINK("#'Calcs - Manure sent off-site'!A1", "Calcs - Manure sent off-site")</f>
        <v>Calcs - Manure sent off-site</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0" cm="1">
        <f t="array" ref="J25">Scope3_Equations.VEERG_15_1_1_1__1_EmissionsFromPurchasedLivestock(G25,H25,I25)</f>
        <v>0</v>
      </c>
      <c r="K25" s="49">
        <v>0</v>
      </c>
      <c r="L25" s="66"/>
      <c r="M25" s="150" cm="1">
        <f t="array" ref="M25">Scope3_Equations.VEERG_15_1_1_1__1_EmissionsFromPurchasedLivestock(G25,K25,IF(L25, L25, I25))</f>
        <v>0</v>
      </c>
      <c r="N25" s="82"/>
      <c r="O25" s="47"/>
      <c r="P25" s="82"/>
    </row>
    <row r="26" spans="1:16" ht="20.100000000000001" customHeight="1" x14ac:dyDescent="0.25">
      <c r="A26" s="16" t="str">
        <f>HYPERLINK("#'8.1.1.1-2 Transport fuel'!A1", "8.1.1.1-2 Transport fuel")</f>
        <v>8.1.1.1-2 Transport fuel</v>
      </c>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0" cm="1">
        <f t="array" ref="J26">Scope3_Equations.VEERG_15_1_1_1__1_EmissionsFromPurchasedLivestock(G26,H26,I26)</f>
        <v>0</v>
      </c>
      <c r="K26" s="49">
        <v>0</v>
      </c>
      <c r="L26" s="66"/>
      <c r="M26" s="150" cm="1">
        <f t="array" ref="M26">Scope3_Equations.VEERG_15_1_1_1__1_EmissionsFromPurchasedLivestock(G26,K26,IF(L26, L26, I26))</f>
        <v>0</v>
      </c>
      <c r="N26" s="82"/>
      <c r="O26" s="47"/>
      <c r="P26" s="82"/>
    </row>
    <row r="27" spans="1:16" ht="20.100000000000001" customHeight="1" x14ac:dyDescent="0.25">
      <c r="A27" s="16" t="str">
        <f>HYPERLINK("#'8.2.1.1-2 Stationary fuel'!A1", "8.2.1.1-2 Stationary fuel")</f>
        <v>8.2.1.1-2 Stationary fuel</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0" cm="1">
        <f t="array" ref="J27">Scope3_Equations.VEERG_15_1_1_1__1_EmissionsFromPurchasedLivestock(G27,H27,I27)</f>
        <v>0</v>
      </c>
      <c r="K27" s="49">
        <v>0</v>
      </c>
      <c r="L27" s="66"/>
      <c r="M27" s="150" cm="1">
        <f t="array" ref="M27">Scope3_Equations.VEERG_15_1_1_1__1_EmissionsFromPurchasedLivestock(G27,K27,IF(L27, L27, I27))</f>
        <v>0</v>
      </c>
      <c r="N27" s="82"/>
      <c r="O27" s="47"/>
      <c r="P27" s="82"/>
    </row>
    <row r="28" spans="1:16" ht="20.100000000000001" customHeight="1" x14ac:dyDescent="0.25">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0" cm="1">
        <f t="array" ref="J28">Scope3_Equations.VEERG_15_1_1_1__1_EmissionsFromPurchasedLivestock(G28,H28,I28)</f>
        <v>0</v>
      </c>
      <c r="K28" s="49">
        <v>0</v>
      </c>
      <c r="L28" s="66"/>
      <c r="M28" s="150" cm="1">
        <f t="array" ref="M28">Scope3_Equations.VEERG_15_1_1_1__1_EmissionsFromPurchasedLivestock(G28,K28,IF(L28, L28, I28))</f>
        <v>0</v>
      </c>
      <c r="N28" s="82"/>
      <c r="O28" s="47"/>
      <c r="P28" s="82"/>
    </row>
    <row r="29" spans="1:16" ht="20.100000000000001" customHeight="1" x14ac:dyDescent="0.25">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0" cm="1">
        <f t="array" ref="J29">Scope3_Equations.VEERG_15_1_1_1__1_EmissionsFromPurchasedLivestock(G29,H29,I29)</f>
        <v>0</v>
      </c>
      <c r="K29" s="49">
        <v>0</v>
      </c>
      <c r="L29" s="66"/>
      <c r="M29" s="150" cm="1">
        <f t="array" ref="M29">Scope3_Equations.VEERG_15_1_1_1__1_EmissionsFromPurchasedLivestock(G29,K29,IF(L29, L29, I29))</f>
        <v>0</v>
      </c>
      <c r="N29" s="82"/>
      <c r="O29" s="47"/>
      <c r="P29" s="82"/>
    </row>
    <row r="30" spans="1:16" ht="20.100000000000001" customHeight="1" x14ac:dyDescent="0.25">
      <c r="A30" s="221" t="s">
        <v>78</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0" cm="1">
        <f t="array" ref="J30">Scope3_Equations.VEERG_15_1_1_1__1_EmissionsFromPurchasedLivestock(G30,H30,I30)</f>
        <v>0</v>
      </c>
      <c r="K30" s="49">
        <v>0</v>
      </c>
      <c r="L30" s="66"/>
      <c r="M30" s="150" cm="1">
        <f t="array" ref="M30">Scope3_Equations.VEERG_15_1_1_1__1_EmissionsFromPurchasedLivestock(G30,K30,IF(L30, L30, I30))</f>
        <v>0</v>
      </c>
      <c r="N30" s="82"/>
      <c r="O30" s="47"/>
      <c r="P30" s="82"/>
    </row>
    <row r="31" spans="1:16" ht="20.100000000000001" customHeight="1" x14ac:dyDescent="0.25">
      <c r="A31" s="16" t="str">
        <f>HYPERLINK("#'Constants - Scope 3'!A1", "Constants - Scope 3")</f>
        <v>Constants - Scope 3</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0" cm="1">
        <f t="array" ref="J31">Scope3_Equations.VEERG_15_1_1_1__1_EmissionsFromPurchasedLivestock(G31,H31,I31)</f>
        <v>0</v>
      </c>
      <c r="K31" s="49">
        <v>0</v>
      </c>
      <c r="L31" s="66"/>
      <c r="M31" s="150" cm="1">
        <f t="array" ref="M31">Scope3_Equations.VEERG_15_1_1_1__1_EmissionsFromPurchasedLivestock(G31,K31,IF(L31, L31, I31))</f>
        <v>0</v>
      </c>
      <c r="N31" s="82"/>
      <c r="O31" s="47"/>
      <c r="P31" s="82"/>
    </row>
    <row r="32" spans="1:16" ht="20.100000000000001" customHeight="1" x14ac:dyDescent="0.25">
      <c r="A32" s="16" t="str">
        <f>HYPERLINK("#'Constants - Solid Waste'!A1", "Constants - Solid Waste")</f>
        <v>Constants - Solid Waste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0" cm="1">
        <f t="array" ref="J32">Scope3_Equations.VEERG_15_1_1_1__1_EmissionsFromPurchasedLivestock(G32,H32,I32)</f>
        <v>0</v>
      </c>
      <c r="K32" s="49">
        <v>0</v>
      </c>
      <c r="L32" s="66"/>
      <c r="M32" s="150" cm="1">
        <f t="array" ref="M32">Scope3_Equations.VEERG_15_1_1_1__1_EmissionsFromPurchasedLivestock(G32,K32,IF(L32, L32, I32))</f>
        <v>0</v>
      </c>
      <c r="N32" s="82"/>
      <c r="O32" s="47"/>
      <c r="P32" s="82"/>
    </row>
    <row r="33" spans="1:13" ht="20.100000000000001" customHeight="1" x14ac:dyDescent="0.25">
      <c r="A33" s="16" t="str">
        <f>HYPERLINK("#'Constants - Fuel'!A1", "Constants - Fuel")</f>
        <v>Constants - Fuel</v>
      </c>
    </row>
    <row r="34" spans="1:13" ht="20.100000000000001" customHeight="1" x14ac:dyDescent="0.25">
      <c r="A34" s="16" t="str">
        <f>HYPERLINK("#'Constants - Poultry'!A1", "Constants - Poultry")</f>
        <v>Constants - Poultry</v>
      </c>
      <c r="D34" s="173" t="s">
        <v>645</v>
      </c>
      <c r="E34" s="98">
        <f>SUM(J23:J32)</f>
        <v>1052.5</v>
      </c>
      <c r="F34" s="174" t="str">
        <f>$E$11</f>
        <v>t CO2e</v>
      </c>
    </row>
    <row r="35" spans="1:13" ht="20.100000000000001" customHeight="1" x14ac:dyDescent="0.25">
      <c r="A35" s="16" t="str">
        <f>HYPERLINK("#'Constants - Swine'!A1", "Constants - Swine")</f>
        <v>Constants - Swine</v>
      </c>
      <c r="D35" s="173" t="s">
        <v>646</v>
      </c>
      <c r="E35" s="98">
        <f>SUM(M23:M32)</f>
        <v>1014.5</v>
      </c>
      <c r="F35" s="174" t="str">
        <f>$E$11</f>
        <v>t CO2e</v>
      </c>
    </row>
    <row r="36" spans="1:13" ht="20.100000000000001" customHeight="1" x14ac:dyDescent="0.25">
      <c r="A36" s="16" t="str">
        <f>HYPERLINK("#'Constants - Dairy'!A1", "Constants - Dairy")</f>
        <v>Constants - Dairy</v>
      </c>
    </row>
    <row r="37" spans="1:13" ht="20.100000000000001" customHeight="1" x14ac:dyDescent="0.25">
      <c r="A37" s="16" t="str">
        <f>HYPERLINK("#'Constants - Pasture Beef'!A1", "Constants - Pasture Beef")</f>
        <v>Constants - Pasture Beef</v>
      </c>
    </row>
    <row r="38" spans="1:13" ht="20.100000000000001" customHeight="1" x14ac:dyDescent="0.25">
      <c r="A38" s="16" t="str">
        <f>HYPERLINK("#'Constants - Common Livestock'!A1", "Constants - Common Livestock")</f>
        <v>Constants - Common Livestock</v>
      </c>
      <c r="D38" s="144" t="s">
        <v>334</v>
      </c>
    </row>
    <row r="39" spans="1:13" ht="20.100000000000001" customHeight="1" x14ac:dyDescent="0.25">
      <c r="A39" s="16" t="str">
        <f>HYPERLINK("#'Constants - Fertiliser'!A1", "Constants - Fertiliser")</f>
        <v>Constants - Fertiliser</v>
      </c>
      <c r="D39" s="166" t="s">
        <v>624</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Electricity'!A1", "Constants - Electricity")</f>
        <v>Constants - Electricity</v>
      </c>
    </row>
    <row r="41" spans="1:13" ht="20.100000000000001" customHeight="1" x14ac:dyDescent="0.25">
      <c r="A41" s="16" t="str">
        <f>HYPERLINK("#'Constants - Common'!A1", "Constants - Common")</f>
        <v>Constants - Common</v>
      </c>
      <c r="D41" s="46" t="s">
        <v>355</v>
      </c>
      <c r="E41" s="151" t="s">
        <v>617</v>
      </c>
      <c r="F41" s="151" t="s">
        <v>618</v>
      </c>
      <c r="G41" s="57" t="s">
        <v>629</v>
      </c>
      <c r="H41" s="151" t="s">
        <v>619</v>
      </c>
      <c r="I41" s="46" t="s">
        <v>621</v>
      </c>
      <c r="J41" s="57" t="s">
        <v>631</v>
      </c>
      <c r="K41" s="46" t="s">
        <v>625</v>
      </c>
      <c r="L41" s="46" t="s">
        <v>626</v>
      </c>
      <c r="M41" s="46" t="s">
        <v>627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0" cm="1">
        <f t="array" ref="G42">Scope3_Equations.VEERG_15_1_1_1__1_EmissionsFromPurchasedLivestock(E42,F42,$E$39)</f>
        <v>57.33</v>
      </c>
      <c r="H42" s="49" cm="1">
        <f t="array" ref="H42:H51">IFERROR(INDEX(Table_Input_LivestockPurchases_Dairy[Liveweight (kg/head) Method 2], _xlfn.SEQUENCE(10)), "")</f>
        <v>350</v>
      </c>
      <c r="I42" s="66">
        <v>4</v>
      </c>
      <c r="J42" s="150" cm="1">
        <f t="array" ref="J42">Scope3_Equations.VEERG_15_1_1_1__1_EmissionsFromPurchasedLivestock(E42,H42,IF(I42,I42,$E$39))</f>
        <v>140</v>
      </c>
      <c r="K42" s="82" t="s">
        <v>598</v>
      </c>
      <c r="L42" s="47" t="s">
        <v>597</v>
      </c>
      <c r="M42" t="s">
        <v>599</v>
      </c>
    </row>
    <row r="43" spans="1:13" ht="20.100000000000001" customHeight="1" x14ac:dyDescent="0.25">
      <c r="D43" s="49">
        <v>0</v>
      </c>
      <c r="E43" s="49">
        <v>100</v>
      </c>
      <c r="F43" s="49">
        <v>540</v>
      </c>
      <c r="G43" s="150" cm="1">
        <f t="array" ref="G43">Scope3_Equations.VEERG_15_1_1_1__1_EmissionsFromPurchasedLivestock(E43,F43,$E$39)</f>
        <v>238.14000000000001</v>
      </c>
      <c r="H43" s="49">
        <v>625</v>
      </c>
      <c r="I43" s="66"/>
      <c r="J43" s="150"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0" cm="1">
        <f t="array" ref="G44">Scope3_Equations.VEERG_15_1_1_1__1_EmissionsFromPurchasedLivestock(E44,F44,$E$39)</f>
        <v>0</v>
      </c>
      <c r="H44" s="49">
        <v>0</v>
      </c>
      <c r="I44" s="66"/>
      <c r="J44" s="150" cm="1">
        <f t="array" ref="J44">Scope3_Equations.VEERG_15_1_1_1__1_EmissionsFromPurchasedLivestock(E44,H44,IF(I44,I44,$E$39))</f>
        <v>0</v>
      </c>
      <c r="K44" s="82"/>
      <c r="L44" s="47"/>
      <c r="M44" s="82"/>
    </row>
    <row r="45" spans="1:13" ht="20.100000000000001" customHeight="1" x14ac:dyDescent="0.25">
      <c r="D45" s="49">
        <v>0</v>
      </c>
      <c r="E45" s="49">
        <v>0</v>
      </c>
      <c r="F45" s="49">
        <v>0</v>
      </c>
      <c r="G45" s="150" cm="1">
        <f t="array" ref="G45">Scope3_Equations.VEERG_15_1_1_1__1_EmissionsFromPurchasedLivestock(E45,F45,$E$39)</f>
        <v>0</v>
      </c>
      <c r="H45" s="49">
        <v>0</v>
      </c>
      <c r="I45" s="66"/>
      <c r="J45" s="150" cm="1">
        <f t="array" ref="J45">Scope3_Equations.VEERG_15_1_1_1__1_EmissionsFromPurchasedLivestock(E45,H45,IF(I45,I45,$E$39))</f>
        <v>0</v>
      </c>
      <c r="K45" s="82"/>
      <c r="L45" s="47"/>
      <c r="M45" s="82"/>
    </row>
    <row r="46" spans="1:13" ht="20.100000000000001" customHeight="1" x14ac:dyDescent="0.25">
      <c r="D46" s="49">
        <v>0</v>
      </c>
      <c r="E46" s="49">
        <v>0</v>
      </c>
      <c r="F46" s="49">
        <v>0</v>
      </c>
      <c r="G46" s="150" cm="1">
        <f t="array" ref="G46">Scope3_Equations.VEERG_15_1_1_1__1_EmissionsFromPurchasedLivestock(E46,F46,$E$39)</f>
        <v>0</v>
      </c>
      <c r="H46" s="49">
        <v>0</v>
      </c>
      <c r="I46" s="66"/>
      <c r="J46" s="150" cm="1">
        <f t="array" ref="J46">Scope3_Equations.VEERG_15_1_1_1__1_EmissionsFromPurchasedLivestock(E46,H46,IF(I46,I46,$E$39))</f>
        <v>0</v>
      </c>
      <c r="K46" s="82"/>
      <c r="L46" s="47"/>
      <c r="M46" s="82"/>
    </row>
    <row r="47" spans="1:13" ht="20.100000000000001" customHeight="1" x14ac:dyDescent="0.25">
      <c r="D47" s="49">
        <v>0</v>
      </c>
      <c r="E47" s="49">
        <v>0</v>
      </c>
      <c r="F47" s="49">
        <v>0</v>
      </c>
      <c r="G47" s="150" cm="1">
        <f t="array" ref="G47">Scope3_Equations.VEERG_15_1_1_1__1_EmissionsFromPurchasedLivestock(E47,F47,$E$39)</f>
        <v>0</v>
      </c>
      <c r="H47" s="49">
        <v>0</v>
      </c>
      <c r="I47" s="66"/>
      <c r="J47" s="150" cm="1">
        <f t="array" ref="J47">Scope3_Equations.VEERG_15_1_1_1__1_EmissionsFromPurchasedLivestock(E47,H47,IF(I47,I47,$E$39))</f>
        <v>0</v>
      </c>
      <c r="K47" s="82"/>
      <c r="L47" s="47"/>
      <c r="M47" s="82"/>
    </row>
    <row r="48" spans="1:13" ht="20.100000000000001" customHeight="1" x14ac:dyDescent="0.25">
      <c r="D48" s="49">
        <v>0</v>
      </c>
      <c r="E48" s="49">
        <v>0</v>
      </c>
      <c r="F48" s="49">
        <v>0</v>
      </c>
      <c r="G48" s="150" cm="1">
        <f t="array" ref="G48">Scope3_Equations.VEERG_15_1_1_1__1_EmissionsFromPurchasedLivestock(E48,F48,$E$39)</f>
        <v>0</v>
      </c>
      <c r="H48" s="49">
        <v>0</v>
      </c>
      <c r="I48" s="66"/>
      <c r="J48" s="150" cm="1">
        <f t="array" ref="J48">Scope3_Equations.VEERG_15_1_1_1__1_EmissionsFromPurchasedLivestock(E48,H48,IF(I48,I48,$E$39))</f>
        <v>0</v>
      </c>
      <c r="K48" s="82"/>
      <c r="L48" s="47"/>
      <c r="M48" s="82"/>
    </row>
    <row r="49" spans="4:13" ht="20.100000000000001" customHeight="1" x14ac:dyDescent="0.25">
      <c r="D49" s="49">
        <v>0</v>
      </c>
      <c r="E49" s="49">
        <v>0</v>
      </c>
      <c r="F49" s="49">
        <v>0</v>
      </c>
      <c r="G49" s="150" cm="1">
        <f t="array" ref="G49">Scope3_Equations.VEERG_15_1_1_1__1_EmissionsFromPurchasedLivestock(E49,F49,$E$39)</f>
        <v>0</v>
      </c>
      <c r="H49" s="49">
        <v>0</v>
      </c>
      <c r="I49" s="66"/>
      <c r="J49" s="150" cm="1">
        <f t="array" ref="J49">Scope3_Equations.VEERG_15_1_1_1__1_EmissionsFromPurchasedLivestock(E49,H49,IF(I49,I49,$E$39))</f>
        <v>0</v>
      </c>
      <c r="K49" s="82"/>
      <c r="L49" s="47"/>
      <c r="M49" s="82"/>
    </row>
    <row r="50" spans="4:13" ht="20.100000000000001" customHeight="1" x14ac:dyDescent="0.25">
      <c r="D50" s="49">
        <v>0</v>
      </c>
      <c r="E50" s="49">
        <v>0</v>
      </c>
      <c r="F50" s="49">
        <v>0</v>
      </c>
      <c r="G50" s="150" cm="1">
        <f t="array" ref="G50">Scope3_Equations.VEERG_15_1_1_1__1_EmissionsFromPurchasedLivestock(E50,F50,$E$39)</f>
        <v>0</v>
      </c>
      <c r="H50" s="49">
        <v>0</v>
      </c>
      <c r="I50" s="66"/>
      <c r="J50" s="150" cm="1">
        <f t="array" ref="J50">Scope3_Equations.VEERG_15_1_1_1__1_EmissionsFromPurchasedLivestock(E50,H50,IF(I50,I50,$E$39))</f>
        <v>0</v>
      </c>
      <c r="K50" s="82"/>
      <c r="L50" s="47"/>
      <c r="M50" s="82"/>
    </row>
    <row r="51" spans="4:13" ht="20.100000000000001" customHeight="1" x14ac:dyDescent="0.25">
      <c r="D51" s="49">
        <v>0</v>
      </c>
      <c r="E51" s="49">
        <v>0</v>
      </c>
      <c r="F51" s="49">
        <v>0</v>
      </c>
      <c r="G51" s="150" cm="1">
        <f t="array" ref="G51">Scope3_Equations.VEERG_15_1_1_1__1_EmissionsFromPurchasedLivestock(E51,F51,$E$39)</f>
        <v>0</v>
      </c>
      <c r="H51" s="49">
        <v>0</v>
      </c>
      <c r="I51" s="66"/>
      <c r="J51" s="150"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3" t="s">
        <v>643</v>
      </c>
      <c r="E53" s="98">
        <f>SUM(G42:G51)</f>
        <v>295.47000000000003</v>
      </c>
      <c r="F53" s="174" t="str">
        <f>$E$11</f>
        <v>t CO2e</v>
      </c>
    </row>
    <row r="54" spans="4:13" ht="20.100000000000001" customHeight="1" x14ac:dyDescent="0.25">
      <c r="D54" s="173" t="s">
        <v>644</v>
      </c>
      <c r="E54" s="98">
        <f>SUM(J42:J51)</f>
        <v>415.625</v>
      </c>
      <c r="F54" s="174" t="str">
        <f>$E$11</f>
        <v>t CO2e</v>
      </c>
    </row>
    <row r="55" spans="4:13" ht="20.100000000000001" customHeight="1" x14ac:dyDescent="0.25"/>
    <row r="56" spans="4:13" ht="20.100000000000001" customHeight="1" x14ac:dyDescent="0.25"/>
    <row r="57" spans="4:13" ht="20.100000000000001" customHeight="1" x14ac:dyDescent="0.25">
      <c r="D57" s="144" t="s">
        <v>537</v>
      </c>
    </row>
    <row r="58" spans="4:13" ht="20.100000000000001" customHeight="1" x14ac:dyDescent="0.25">
      <c r="D58" s="166" t="s">
        <v>624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355</v>
      </c>
      <c r="E60" s="151" t="s">
        <v>617</v>
      </c>
      <c r="F60" s="151" t="s">
        <v>618</v>
      </c>
      <c r="G60" s="57" t="s">
        <v>629</v>
      </c>
      <c r="H60" s="151" t="s">
        <v>619</v>
      </c>
      <c r="I60" s="46" t="s">
        <v>621</v>
      </c>
      <c r="J60" s="57" t="s">
        <v>631</v>
      </c>
      <c r="K60" s="46" t="s">
        <v>625</v>
      </c>
      <c r="L60" s="46" t="s">
        <v>626</v>
      </c>
      <c r="M60" s="46" t="s">
        <v>627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0</v>
      </c>
      <c r="G61" s="150" cm="1">
        <f t="array" ref="G61">Scope3_Equations.VEERG_15_1_1_1__1_EmissionsFromPurchasedLivestock(E61,F61,$E$58)</f>
        <v>0</v>
      </c>
      <c r="H61" s="49" cm="1">
        <f t="array" ref="H61:H70">IFERROR(INDEX(Table_Input_LivestockPurchases_Pigs[Liveweight (kg/head) Method 2], _xlfn.SEQUENCE(10)), 0)</f>
        <v>180</v>
      </c>
      <c r="I61" s="66">
        <v>3.38</v>
      </c>
      <c r="J61" s="150"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0</v>
      </c>
      <c r="G62" s="150" cm="1">
        <f t="array" ref="G62">Scope3_Equations.VEERG_15_1_1_1__1_EmissionsFromPurchasedLivestock(E62,F62,$E$58)</f>
        <v>0</v>
      </c>
      <c r="H62" s="49">
        <v>38</v>
      </c>
      <c r="I62" s="66">
        <v>3.3</v>
      </c>
      <c r="J62" s="150"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0" cm="1">
        <f t="array" ref="G63">Scope3_Equations.VEERG_15_1_1_1__1_EmissionsFromPurchasedLivestock(E63,F63,$E$58)</f>
        <v>0</v>
      </c>
      <c r="H63" s="49">
        <v>0</v>
      </c>
      <c r="I63" s="66"/>
      <c r="J63" s="150" cm="1">
        <f t="array" ref="J63">Scope3_Equations.VEERG_15_1_1_1__1_EmissionsFromPurchasedLivestock(E63,H63,IF(I63, I63,$E$58))</f>
        <v>0</v>
      </c>
      <c r="K63" s="82"/>
      <c r="L63" s="47"/>
      <c r="M63" s="82"/>
    </row>
    <row r="64" spans="4:13" ht="20.100000000000001" customHeight="1" x14ac:dyDescent="0.25">
      <c r="D64" s="49">
        <v>0</v>
      </c>
      <c r="E64" s="49">
        <v>0</v>
      </c>
      <c r="F64" s="49">
        <v>0</v>
      </c>
      <c r="G64" s="150" cm="1">
        <f t="array" ref="G64">Scope3_Equations.VEERG_15_1_1_1__1_EmissionsFromPurchasedLivestock(E64,F64,$E$58)</f>
        <v>0</v>
      </c>
      <c r="H64" s="49">
        <v>0</v>
      </c>
      <c r="I64" s="66"/>
      <c r="J64" s="150" cm="1">
        <f t="array" ref="J64">Scope3_Equations.VEERG_15_1_1_1__1_EmissionsFromPurchasedLivestock(E64,H64,IF(I64, I64,$E$58))</f>
        <v>0</v>
      </c>
      <c r="K64" s="82"/>
      <c r="L64" s="47"/>
      <c r="M64" s="82"/>
    </row>
    <row r="65" spans="4:13" ht="20.100000000000001" customHeight="1" x14ac:dyDescent="0.25">
      <c r="D65" s="49">
        <v>0</v>
      </c>
      <c r="E65" s="49">
        <v>0</v>
      </c>
      <c r="F65" s="49">
        <v>0</v>
      </c>
      <c r="G65" s="150" cm="1">
        <f t="array" ref="G65">Scope3_Equations.VEERG_15_1_1_1__1_EmissionsFromPurchasedLivestock(E65,F65,$E$58)</f>
        <v>0</v>
      </c>
      <c r="H65" s="49">
        <v>0</v>
      </c>
      <c r="I65" s="66"/>
      <c r="J65" s="150" cm="1">
        <f t="array" ref="J65">Scope3_Equations.VEERG_15_1_1_1__1_EmissionsFromPurchasedLivestock(E65,H65,IF(I65, I65,$E$58))</f>
        <v>0</v>
      </c>
      <c r="K65" s="82"/>
      <c r="L65" s="47"/>
      <c r="M65" s="82"/>
    </row>
    <row r="66" spans="4:13" ht="20.100000000000001" customHeight="1" x14ac:dyDescent="0.25">
      <c r="D66" s="49">
        <v>0</v>
      </c>
      <c r="E66" s="49">
        <v>0</v>
      </c>
      <c r="F66" s="49">
        <v>0</v>
      </c>
      <c r="G66" s="150" cm="1">
        <f t="array" ref="G66">Scope3_Equations.VEERG_15_1_1_1__1_EmissionsFromPurchasedLivestock(E66,F66,$E$58)</f>
        <v>0</v>
      </c>
      <c r="H66" s="49">
        <v>0</v>
      </c>
      <c r="I66" s="66"/>
      <c r="J66" s="150" cm="1">
        <f t="array" ref="J66">Scope3_Equations.VEERG_15_1_1_1__1_EmissionsFromPurchasedLivestock(E66,H66,IF(I66, I66,$E$58))</f>
        <v>0</v>
      </c>
      <c r="K66" s="82"/>
      <c r="L66" s="47"/>
      <c r="M66" s="82"/>
    </row>
    <row r="67" spans="4:13" ht="20.100000000000001" customHeight="1" x14ac:dyDescent="0.25">
      <c r="D67" s="49">
        <v>0</v>
      </c>
      <c r="E67" s="49">
        <v>0</v>
      </c>
      <c r="F67" s="49">
        <v>0</v>
      </c>
      <c r="G67" s="150" cm="1">
        <f t="array" ref="G67">Scope3_Equations.VEERG_15_1_1_1__1_EmissionsFromPurchasedLivestock(E67,F67,$E$58)</f>
        <v>0</v>
      </c>
      <c r="H67" s="49">
        <v>0</v>
      </c>
      <c r="I67" s="66"/>
      <c r="J67" s="150" cm="1">
        <f t="array" ref="J67">Scope3_Equations.VEERG_15_1_1_1__1_EmissionsFromPurchasedLivestock(E67,H67,IF(I67, I67,$E$58))</f>
        <v>0</v>
      </c>
      <c r="K67" s="82"/>
      <c r="L67" s="47"/>
      <c r="M67" s="82"/>
    </row>
    <row r="68" spans="4:13" ht="20.100000000000001" customHeight="1" x14ac:dyDescent="0.25">
      <c r="D68" s="49">
        <v>0</v>
      </c>
      <c r="E68" s="49">
        <v>0</v>
      </c>
      <c r="F68" s="49">
        <v>0</v>
      </c>
      <c r="G68" s="150" cm="1">
        <f t="array" ref="G68">Scope3_Equations.VEERG_15_1_1_1__1_EmissionsFromPurchasedLivestock(E68,F68,$E$58)</f>
        <v>0</v>
      </c>
      <c r="H68" s="49">
        <v>0</v>
      </c>
      <c r="I68" s="66"/>
      <c r="J68" s="150" cm="1">
        <f t="array" ref="J68">Scope3_Equations.VEERG_15_1_1_1__1_EmissionsFromPurchasedLivestock(E68,H68,IF(I68, I68,$E$58))</f>
        <v>0</v>
      </c>
      <c r="K68" s="82"/>
      <c r="L68" s="47"/>
      <c r="M68" s="82"/>
    </row>
    <row r="69" spans="4:13" ht="20.100000000000001" customHeight="1" x14ac:dyDescent="0.25">
      <c r="D69" s="49">
        <v>0</v>
      </c>
      <c r="E69" s="49">
        <v>0</v>
      </c>
      <c r="F69" s="49">
        <v>0</v>
      </c>
      <c r="G69" s="150" cm="1">
        <f t="array" ref="G69">Scope3_Equations.VEERG_15_1_1_1__1_EmissionsFromPurchasedLivestock(E69,F69,$E$58)</f>
        <v>0</v>
      </c>
      <c r="H69" s="49">
        <v>0</v>
      </c>
      <c r="I69" s="66"/>
      <c r="J69" s="150" cm="1">
        <f t="array" ref="J69">Scope3_Equations.VEERG_15_1_1_1__1_EmissionsFromPurchasedLivestock(E69,H69,IF(I69, I69,$E$58))</f>
        <v>0</v>
      </c>
      <c r="K69" s="82"/>
      <c r="L69" s="47"/>
      <c r="M69" s="82"/>
    </row>
    <row r="70" spans="4:13" ht="20.100000000000001" customHeight="1" x14ac:dyDescent="0.25">
      <c r="D70" s="49">
        <v>0</v>
      </c>
      <c r="E70" s="49">
        <v>0</v>
      </c>
      <c r="F70" s="49">
        <v>0</v>
      </c>
      <c r="G70" s="150" cm="1">
        <f t="array" ref="G70">Scope3_Equations.VEERG_15_1_1_1__1_EmissionsFromPurchasedLivestock(E70,F70,$E$58)</f>
        <v>0</v>
      </c>
      <c r="H70" s="49">
        <v>0</v>
      </c>
      <c r="I70" s="66"/>
      <c r="J70" s="150"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3" t="s">
        <v>641</v>
      </c>
      <c r="E72" s="98">
        <f>SUM(G61:G70)</f>
        <v>0</v>
      </c>
      <c r="F72" s="174" t="str">
        <f>$E$11</f>
        <v>t CO2e</v>
      </c>
    </row>
    <row r="73" spans="4:13" ht="20.100000000000001" customHeight="1" x14ac:dyDescent="0.25">
      <c r="D73" s="173" t="s">
        <v>642</v>
      </c>
      <c r="E73" s="98">
        <f>SUM(J61:J70)</f>
        <v>73.38000000000001</v>
      </c>
      <c r="F73" s="174" t="str">
        <f>$E$11</f>
        <v>t CO2e</v>
      </c>
    </row>
    <row r="74" spans="4:13" ht="20.100000000000001" customHeight="1" x14ac:dyDescent="0.25"/>
    <row r="75" spans="4:13" ht="20.100000000000001" customHeight="1" x14ac:dyDescent="0.25">
      <c r="D75" s="144" t="s">
        <v>563</v>
      </c>
    </row>
    <row r="76" spans="4:13" ht="20.100000000000001" customHeight="1" x14ac:dyDescent="0.25">
      <c r="D76" s="166" t="s">
        <v>624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355</v>
      </c>
      <c r="E78" s="151" t="s">
        <v>617</v>
      </c>
      <c r="F78" s="151" t="s">
        <v>618</v>
      </c>
      <c r="G78" s="57" t="s">
        <v>629</v>
      </c>
      <c r="H78" s="151" t="s">
        <v>619</v>
      </c>
      <c r="I78" s="46" t="s">
        <v>621</v>
      </c>
      <c r="J78" s="57" t="s">
        <v>631</v>
      </c>
      <c r="K78" s="46" t="s">
        <v>625</v>
      </c>
      <c r="L78" s="46" t="s">
        <v>626</v>
      </c>
      <c r="M78" s="46" t="s">
        <v>627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0"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0"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0" cm="1">
        <f t="array" ref="G80">Scope3_Equations.VEERG_15_1_1_1__1_EmissionsFromPurchasedLivestock(E80,F80,$E$76)</f>
        <v>0.19040000000000001</v>
      </c>
      <c r="H80" s="49">
        <v>1.4</v>
      </c>
      <c r="I80" s="66"/>
      <c r="J80" s="150"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0" cm="1">
        <f t="array" ref="G81">Scope3_Equations.VEERG_15_1_1_1__1_EmissionsFromPurchasedLivestock(E81,F81,$E$76)</f>
        <v>0</v>
      </c>
      <c r="H81" s="49">
        <v>0</v>
      </c>
      <c r="I81" s="66"/>
      <c r="J81" s="150" cm="1">
        <f t="array" ref="J81">Scope3_Equations.VEERG_15_1_1_1__1_EmissionsFromPurchasedLivestock(E81,H81,IF(I81, I81,$E$76))</f>
        <v>0</v>
      </c>
      <c r="K81" s="82"/>
      <c r="L81" s="47"/>
      <c r="M81" s="82"/>
    </row>
    <row r="82" spans="4:13" ht="20.100000000000001" customHeight="1" x14ac:dyDescent="0.25">
      <c r="D82" s="49">
        <v>0</v>
      </c>
      <c r="E82" s="49">
        <v>0</v>
      </c>
      <c r="F82" s="49">
        <v>0</v>
      </c>
      <c r="G82" s="150" cm="1">
        <f t="array" ref="G82">Scope3_Equations.VEERG_15_1_1_1__1_EmissionsFromPurchasedLivestock(E82,F82,$E$76)</f>
        <v>0</v>
      </c>
      <c r="H82" s="49">
        <v>0</v>
      </c>
      <c r="I82" s="66"/>
      <c r="J82" s="150" cm="1">
        <f t="array" ref="J82">Scope3_Equations.VEERG_15_1_1_1__1_EmissionsFromPurchasedLivestock(E82,H82,IF(I82, I82,$E$76))</f>
        <v>0</v>
      </c>
      <c r="K82" s="82"/>
      <c r="L82" s="47"/>
      <c r="M82" s="82"/>
    </row>
    <row r="83" spans="4:13" ht="20.100000000000001" customHeight="1" x14ac:dyDescent="0.25">
      <c r="D83" s="49">
        <v>0</v>
      </c>
      <c r="E83" s="49">
        <v>0</v>
      </c>
      <c r="F83" s="49">
        <v>0</v>
      </c>
      <c r="G83" s="150" cm="1">
        <f t="array" ref="G83">Scope3_Equations.VEERG_15_1_1_1__1_EmissionsFromPurchasedLivestock(E83,F83,$E$76)</f>
        <v>0</v>
      </c>
      <c r="H83" s="49">
        <v>0</v>
      </c>
      <c r="I83" s="66"/>
      <c r="J83" s="150" cm="1">
        <f t="array" ref="J83">Scope3_Equations.VEERG_15_1_1_1__1_EmissionsFromPurchasedLivestock(E83,H83,IF(I83, I83,$E$76))</f>
        <v>0</v>
      </c>
      <c r="K83" s="82"/>
      <c r="L83" s="47"/>
      <c r="M83" s="82"/>
    </row>
    <row r="84" spans="4:13" ht="20.100000000000001" customHeight="1" x14ac:dyDescent="0.25">
      <c r="D84" s="49">
        <v>0</v>
      </c>
      <c r="E84" s="49">
        <v>0</v>
      </c>
      <c r="F84" s="49">
        <v>0</v>
      </c>
      <c r="G84" s="150" cm="1">
        <f t="array" ref="G84">Scope3_Equations.VEERG_15_1_1_1__1_EmissionsFromPurchasedLivestock(E84,F84,$E$76)</f>
        <v>0</v>
      </c>
      <c r="H84" s="49">
        <v>0</v>
      </c>
      <c r="I84" s="66"/>
      <c r="J84" s="150" cm="1">
        <f t="array" ref="J84">Scope3_Equations.VEERG_15_1_1_1__1_EmissionsFromPurchasedLivestock(E84,H84,IF(I84, I84,$E$76))</f>
        <v>0</v>
      </c>
      <c r="K84" s="82"/>
      <c r="L84" s="47"/>
      <c r="M84" s="82"/>
    </row>
    <row r="85" spans="4:13" ht="20.100000000000001" customHeight="1" x14ac:dyDescent="0.25">
      <c r="D85" s="49">
        <v>0</v>
      </c>
      <c r="E85" s="49">
        <v>0</v>
      </c>
      <c r="F85" s="49">
        <v>0</v>
      </c>
      <c r="G85" s="150" cm="1">
        <f t="array" ref="G85">Scope3_Equations.VEERG_15_1_1_1__1_EmissionsFromPurchasedLivestock(E85,F85,$E$76)</f>
        <v>0</v>
      </c>
      <c r="H85" s="49">
        <v>0</v>
      </c>
      <c r="I85" s="66"/>
      <c r="J85" s="150" cm="1">
        <f t="array" ref="J85">Scope3_Equations.VEERG_15_1_1_1__1_EmissionsFromPurchasedLivestock(E85,H85,IF(I85, I85,$E$76))</f>
        <v>0</v>
      </c>
      <c r="K85" s="82"/>
      <c r="L85" s="47"/>
      <c r="M85" s="82"/>
    </row>
    <row r="86" spans="4:13" ht="20.100000000000001" customHeight="1" x14ac:dyDescent="0.25">
      <c r="D86" s="49">
        <v>0</v>
      </c>
      <c r="E86" s="49">
        <v>0</v>
      </c>
      <c r="F86" s="49">
        <v>0</v>
      </c>
      <c r="G86" s="150" cm="1">
        <f t="array" ref="G86">Scope3_Equations.VEERG_15_1_1_1__1_EmissionsFromPurchasedLivestock(E86,F86,$E$76)</f>
        <v>0</v>
      </c>
      <c r="H86" s="49">
        <v>0</v>
      </c>
      <c r="I86" s="66"/>
      <c r="J86" s="150" cm="1">
        <f t="array" ref="J86">Scope3_Equations.VEERG_15_1_1_1__1_EmissionsFromPurchasedLivestock(E86,H86,IF(I86, I86,$E$76))</f>
        <v>0</v>
      </c>
      <c r="K86" s="82"/>
      <c r="L86" s="47"/>
      <c r="M86" s="82"/>
    </row>
    <row r="87" spans="4:13" ht="20.100000000000001" customHeight="1" x14ac:dyDescent="0.25">
      <c r="D87" s="49">
        <v>0</v>
      </c>
      <c r="E87" s="49">
        <v>0</v>
      </c>
      <c r="F87" s="49">
        <v>0</v>
      </c>
      <c r="G87" s="150" cm="1">
        <f t="array" ref="G87">Scope3_Equations.VEERG_15_1_1_1__1_EmissionsFromPurchasedLivestock(E87,F87,$E$76)</f>
        <v>0</v>
      </c>
      <c r="H87" s="49">
        <v>0</v>
      </c>
      <c r="I87" s="66"/>
      <c r="J87" s="150" cm="1">
        <f t="array" ref="J87">Scope3_Equations.VEERG_15_1_1_1__1_EmissionsFromPurchasedLivestock(E87,H87,IF(I87, I87,$E$76))</f>
        <v>0</v>
      </c>
      <c r="K87" s="82"/>
      <c r="L87" s="47"/>
      <c r="M87" s="82"/>
    </row>
    <row r="88" spans="4:13" ht="20.100000000000001" customHeight="1" x14ac:dyDescent="0.25">
      <c r="D88" s="49">
        <v>0</v>
      </c>
      <c r="E88" s="49">
        <v>0</v>
      </c>
      <c r="F88" s="49">
        <v>0</v>
      </c>
      <c r="G88" s="150" cm="1">
        <f t="array" ref="G88">Scope3_Equations.VEERG_15_1_1_1__1_EmissionsFromPurchasedLivestock(E88,F88,$E$76)</f>
        <v>0</v>
      </c>
      <c r="H88" s="49">
        <v>0</v>
      </c>
      <c r="I88" s="66"/>
      <c r="J88" s="150"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3" t="s">
        <v>639</v>
      </c>
      <c r="E90" s="98">
        <f>SUM(G79:G88)</f>
        <v>0.36720000000000003</v>
      </c>
      <c r="F90" s="174" t="str">
        <f>$E$11</f>
        <v>t CO2e</v>
      </c>
    </row>
    <row r="91" spans="4:13" ht="20.100000000000001" customHeight="1" x14ac:dyDescent="0.25">
      <c r="D91" s="173" t="s">
        <v>640</v>
      </c>
      <c r="E91" s="98">
        <f>SUM(J79:J88)</f>
        <v>0.35940000000000005</v>
      </c>
      <c r="F91" s="174" t="str">
        <f>$E$11</f>
        <v>t CO2e</v>
      </c>
    </row>
    <row r="92" spans="4:13" ht="20.100000000000001" customHeight="1" x14ac:dyDescent="0.25"/>
    <row r="93" spans="4:13" ht="20.100000000000001" customHeight="1" x14ac:dyDescent="0.25">
      <c r="D93" s="175" t="s">
        <v>629</v>
      </c>
      <c r="E93" s="17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1348.3371999999999</v>
      </c>
      <c r="F93" s="177" t="str">
        <f>$E$11</f>
        <v>t CO2e</v>
      </c>
    </row>
    <row r="94" spans="4:13" ht="20.100000000000001" customHeight="1" x14ac:dyDescent="0.25">
      <c r="D94" s="175" t="s">
        <v>631</v>
      </c>
      <c r="E94" s="17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7"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1" t="s">
        <v>622</v>
      </c>
      <c r="E100" s="171"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1"/>
    </row>
    <row r="103" spans="3:41" ht="20.100000000000001" customHeight="1" x14ac:dyDescent="0.25">
      <c r="D103" s="27" t="s">
        <v>623</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6" t="str" cm="1">
        <f t="array" ref="D106:E108">_xlfn.CHOOSECOLS(Scope3_Equations.VEERG_15_2_1_1__1_EmissionsFromPurchasedFeed_Arguments(),1,2)</f>
        <v>Q_j</v>
      </c>
      <c r="E106" s="170" t="str">
        <v>quantity of feed type j purchased</v>
      </c>
      <c r="F106" s="165"/>
      <c r="G106" s="166" t="str" cm="1">
        <f t="array" ref="G106:H108">_xlfn.CHOOSECOLS(Scope3_Equations.VEERG_15_2_1_1__1_EmissionsFromPurchasedFeed_Arguments(),3,4)</f>
        <v>t</v>
      </c>
      <c r="H106" s="167" t="str">
        <v>Input</v>
      </c>
    </row>
    <row r="107" spans="3:41" ht="20.100000000000001" customHeight="1" x14ac:dyDescent="0.25">
      <c r="D107" s="166" t="str">
        <v>EF_j</v>
      </c>
      <c r="E107" s="170" t="str">
        <v>emission factor of purchased feed</v>
      </c>
      <c r="F107" s="165"/>
      <c r="G107" s="166" t="str">
        <v>kg CO2e/kg</v>
      </c>
      <c r="H107" s="167" t="str">
        <v>Constant</v>
      </c>
    </row>
    <row r="108" spans="3:41" ht="20.100000000000001" customHeight="1" x14ac:dyDescent="0.25">
      <c r="D108" s="166" t="str">
        <v>j</v>
      </c>
      <c r="E108" s="170" t="str">
        <v>feed type</v>
      </c>
      <c r="F108" s="165"/>
      <c r="G108" s="166" t="str">
        <v/>
      </c>
      <c r="H108" s="168" t="str">
        <v>Input</v>
      </c>
    </row>
    <row r="109" spans="3:41" ht="20.100000000000001" customHeight="1" x14ac:dyDescent="0.25"/>
    <row r="110" spans="3:41" ht="20.100000000000001" customHeight="1" x14ac:dyDescent="0.25">
      <c r="D110" s="144" t="s">
        <v>288</v>
      </c>
    </row>
    <row r="111" spans="3:41" ht="20.100000000000001" customHeight="1" x14ac:dyDescent="0.25"/>
    <row r="112" spans="3:41" ht="20.100000000000001" customHeight="1" x14ac:dyDescent="0.25">
      <c r="D112" s="39" t="s">
        <v>633</v>
      </c>
      <c r="E112" s="41"/>
      <c r="F112" s="39"/>
      <c r="G112" s="40"/>
      <c r="H112" s="41"/>
    </row>
    <row r="113" spans="4:28" ht="20.100000000000001" customHeight="1" x14ac:dyDescent="0.25">
      <c r="D113" s="88" t="s">
        <v>634</v>
      </c>
      <c r="E113" s="90"/>
      <c r="F113" s="88"/>
      <c r="G113" s="89"/>
      <c r="H113" s="90"/>
    </row>
    <row r="114" spans="4:28" ht="20.100000000000001" customHeight="1" x14ac:dyDescent="0.25">
      <c r="D114" s="43" t="s">
        <v>635</v>
      </c>
      <c r="E114" s="45"/>
      <c r="F114" s="43"/>
      <c r="G114" s="44"/>
      <c r="H114" s="45"/>
    </row>
    <row r="115" spans="4:28" ht="20.100000000000001" customHeight="1" x14ac:dyDescent="0.25"/>
    <row r="116" spans="4:28" ht="20.100000000000001" customHeight="1" x14ac:dyDescent="0.25">
      <c r="D116" s="95" t="s">
        <v>394</v>
      </c>
      <c r="E116" s="110"/>
      <c r="F116" s="96"/>
    </row>
    <row r="117" spans="4:28" ht="20.100000000000001" customHeight="1" x14ac:dyDescent="0.25"/>
    <row r="118" spans="4:28" ht="20.100000000000001" customHeight="1" x14ac:dyDescent="0.25">
      <c r="D118" s="46" t="s">
        <v>398</v>
      </c>
      <c r="E118" s="46" t="s">
        <v>628</v>
      </c>
      <c r="F118" s="57" t="s">
        <v>632</v>
      </c>
      <c r="G118" s="57" t="s">
        <v>629</v>
      </c>
      <c r="H118" s="46" t="s">
        <v>630</v>
      </c>
      <c r="I118" s="57" t="s">
        <v>631</v>
      </c>
      <c r="J118" s="46" t="s">
        <v>625</v>
      </c>
      <c r="K118" s="46" t="s">
        <v>626</v>
      </c>
      <c r="L118" s="46" t="s">
        <v>627</v>
      </c>
      <c r="M118" s="57" t="s">
        <v>173</v>
      </c>
      <c r="N118" s="57" t="s">
        <v>379</v>
      </c>
      <c r="O118" s="57" t="s">
        <v>174</v>
      </c>
      <c r="P118" s="57" t="s">
        <v>341</v>
      </c>
      <c r="Q118" s="57" t="s">
        <v>175</v>
      </c>
      <c r="R118" s="57" t="s">
        <v>395</v>
      </c>
      <c r="S118" s="57" t="s">
        <v>176</v>
      </c>
      <c r="T118" s="57" t="s">
        <v>344</v>
      </c>
      <c r="U118" s="57" t="s">
        <v>177</v>
      </c>
      <c r="V118" s="57" t="s">
        <v>396</v>
      </c>
      <c r="W118" s="57" t="s">
        <v>178</v>
      </c>
      <c r="X118" s="57" t="s">
        <v>345</v>
      </c>
      <c r="Y118" s="57" t="s">
        <v>179</v>
      </c>
      <c r="Z118" s="57" t="s">
        <v>397</v>
      </c>
      <c r="AA118" s="57" t="s">
        <v>180</v>
      </c>
      <c r="AB118" s="57" t="s">
        <v>346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2.4709999999999996E-2</v>
      </c>
      <c r="G119" s="150" cm="1">
        <f t="array" ref="G119">Scope3_Equations.VEERG_15_2_1_1__1_EmissionsFromPurchasedFeed(E119,F119)</f>
        <v>29.651999999999994</v>
      </c>
      <c r="H119" s="66">
        <v>0.04</v>
      </c>
      <c r="I119" s="150"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49">
        <v>0</v>
      </c>
      <c r="E120" s="49">
        <v>3456</v>
      </c>
      <c r="F120" s="49">
        <f t="shared" si="0"/>
        <v>0</v>
      </c>
      <c r="G120" s="150" cm="1">
        <f t="array" ref="G120">Scope3_Equations.VEERG_15_2_1_1__1_EmissionsFromPurchasedFeed(E120,F120)</f>
        <v>0</v>
      </c>
      <c r="H120" s="66">
        <v>0.03</v>
      </c>
      <c r="I120" s="150"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49">
        <v>0</v>
      </c>
      <c r="V120" s="49">
        <v>0</v>
      </c>
      <c r="W120" s="49">
        <v>0</v>
      </c>
      <c r="X120" s="49"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49">
        <v>0</v>
      </c>
      <c r="Z120" s="49">
        <v>0</v>
      </c>
      <c r="AA120" s="49">
        <v>0</v>
      </c>
      <c r="AB120" s="49"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49" t="str">
        <v>Hay bales in paddock</v>
      </c>
      <c r="E121" s="49">
        <v>300</v>
      </c>
      <c r="F121" s="49">
        <f t="shared" si="0"/>
        <v>0</v>
      </c>
      <c r="G121" s="150" cm="1">
        <f t="array" ref="G121">Scope3_Equations.VEERG_15_2_1_1__1_EmissionsFromPurchasedFeed(E121,F121)</f>
        <v>0</v>
      </c>
      <c r="H121" s="66">
        <v>0.14000000000000001</v>
      </c>
      <c r="I121" s="150"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49">
        <v>0</v>
      </c>
      <c r="V121" s="49">
        <v>0</v>
      </c>
      <c r="W121" s="49">
        <v>0</v>
      </c>
      <c r="X121" s="49"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49">
        <v>0</v>
      </c>
      <c r="Z121" s="49">
        <v>0</v>
      </c>
      <c r="AA121" s="49">
        <v>0</v>
      </c>
      <c r="AB121" s="49"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49">
        <v>0</v>
      </c>
      <c r="E122" s="49">
        <v>500</v>
      </c>
      <c r="F122" s="49">
        <f t="shared" si="0"/>
        <v>0.34499999999999997</v>
      </c>
      <c r="G122" s="150" cm="1">
        <f t="array" ref="G122">Scope3_Equations.VEERG_15_2_1_1__1_EmissionsFromPurchasedFeed(E122,F122)</f>
        <v>172.5</v>
      </c>
      <c r="H122" s="66"/>
      <c r="I122" s="150"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49">
        <v>0</v>
      </c>
      <c r="V122" s="49">
        <v>0</v>
      </c>
      <c r="W122" s="49">
        <v>0</v>
      </c>
      <c r="X122" s="49"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49">
        <v>0</v>
      </c>
      <c r="Z122" s="49">
        <v>0</v>
      </c>
      <c r="AA122" s="49">
        <v>0</v>
      </c>
      <c r="AB122" s="49"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49">
        <v>0</v>
      </c>
      <c r="E123" s="49">
        <v>0</v>
      </c>
      <c r="F123" s="49">
        <f t="shared" si="0"/>
        <v>0</v>
      </c>
      <c r="G123" s="150" cm="1">
        <f t="array" ref="G123">Scope3_Equations.VEERG_15_2_1_1__1_EmissionsFromPurchasedFeed(E123,F123)</f>
        <v>0</v>
      </c>
      <c r="H123" s="66"/>
      <c r="I123" s="150"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49">
        <v>0</v>
      </c>
      <c r="V123" s="49">
        <v>0</v>
      </c>
      <c r="W123" s="49">
        <v>0</v>
      </c>
      <c r="X123" s="49"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49">
        <v>0</v>
      </c>
      <c r="Z123" s="49">
        <v>0</v>
      </c>
      <c r="AA123" s="49">
        <v>0</v>
      </c>
      <c r="AB123" s="49"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49">
        <v>0</v>
      </c>
      <c r="E124" s="49">
        <v>0</v>
      </c>
      <c r="F124" s="49">
        <f t="shared" si="0"/>
        <v>0</v>
      </c>
      <c r="G124" s="150" cm="1">
        <f t="array" ref="G124">Scope3_Equations.VEERG_15_2_1_1__1_EmissionsFromPurchasedFeed(E124,F124)</f>
        <v>0</v>
      </c>
      <c r="H124" s="66"/>
      <c r="I124" s="150"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49">
        <v>0</v>
      </c>
      <c r="V124" s="49">
        <v>0</v>
      </c>
      <c r="W124" s="49">
        <v>0</v>
      </c>
      <c r="X124" s="49"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49">
        <v>0</v>
      </c>
      <c r="Z124" s="49">
        <v>0</v>
      </c>
      <c r="AA124" s="49">
        <v>0</v>
      </c>
      <c r="AB124" s="49"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49">
        <v>0</v>
      </c>
      <c r="E125" s="49">
        <v>0</v>
      </c>
      <c r="F125" s="49">
        <f t="shared" si="0"/>
        <v>0</v>
      </c>
      <c r="G125" s="150" cm="1">
        <f t="array" ref="G125">Scope3_Equations.VEERG_15_2_1_1__1_EmissionsFromPurchasedFeed(E125,F125)</f>
        <v>0</v>
      </c>
      <c r="H125" s="66"/>
      <c r="I125" s="150"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49">
        <v>0</v>
      </c>
      <c r="V125" s="49">
        <v>0</v>
      </c>
      <c r="W125" s="49">
        <v>0</v>
      </c>
      <c r="X125" s="49"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49">
        <v>0</v>
      </c>
      <c r="Z125" s="49">
        <v>0</v>
      </c>
      <c r="AA125" s="49">
        <v>0</v>
      </c>
      <c r="AB125" s="49"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49">
        <v>0</v>
      </c>
      <c r="E126" s="49">
        <v>0</v>
      </c>
      <c r="F126" s="49">
        <f t="shared" si="0"/>
        <v>0</v>
      </c>
      <c r="G126" s="150" cm="1">
        <f t="array" ref="G126">Scope3_Equations.VEERG_15_2_1_1__1_EmissionsFromPurchasedFeed(E126,F126)</f>
        <v>0</v>
      </c>
      <c r="H126" s="66"/>
      <c r="I126" s="150"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49">
        <v>0</v>
      </c>
      <c r="V126" s="49">
        <v>0</v>
      </c>
      <c r="W126" s="49">
        <v>0</v>
      </c>
      <c r="X126" s="49"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49">
        <v>0</v>
      </c>
      <c r="Z126" s="49">
        <v>0</v>
      </c>
      <c r="AA126" s="49">
        <v>0</v>
      </c>
      <c r="AB126" s="49"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49">
        <v>0</v>
      </c>
      <c r="E127" s="49">
        <v>0</v>
      </c>
      <c r="F127" s="49">
        <f t="shared" si="0"/>
        <v>0</v>
      </c>
      <c r="G127" s="150" cm="1">
        <f t="array" ref="G127">Scope3_Equations.VEERG_15_2_1_1__1_EmissionsFromPurchasedFeed(E127,F127)</f>
        <v>0</v>
      </c>
      <c r="H127" s="66"/>
      <c r="I127" s="150"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49">
        <v>0</v>
      </c>
      <c r="V127" s="49">
        <v>0</v>
      </c>
      <c r="W127" s="49">
        <v>0</v>
      </c>
      <c r="X127" s="49"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49">
        <v>0</v>
      </c>
      <c r="Z127" s="49">
        <v>0</v>
      </c>
      <c r="AA127" s="49">
        <v>0</v>
      </c>
      <c r="AB127" s="49"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49">
        <v>0</v>
      </c>
      <c r="E128" s="49">
        <v>0</v>
      </c>
      <c r="F128" s="49">
        <f t="shared" si="0"/>
        <v>0</v>
      </c>
      <c r="G128" s="150" cm="1">
        <f t="array" ref="G128">Scope3_Equations.VEERG_15_2_1_1__1_EmissionsFromPurchasedFeed(E128,F128)</f>
        <v>0</v>
      </c>
      <c r="H128" s="66"/>
      <c r="I128" s="150"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49">
        <v>0</v>
      </c>
      <c r="V128" s="49">
        <v>0</v>
      </c>
      <c r="W128" s="49">
        <v>0</v>
      </c>
      <c r="X128" s="49"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49">
        <v>0</v>
      </c>
      <c r="Z128" s="49">
        <v>0</v>
      </c>
      <c r="AA128" s="49">
        <v>0</v>
      </c>
      <c r="AB128" s="49"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3" t="s">
        <v>629</v>
      </c>
      <c r="E130" s="98">
        <f>SUM(G119:G128)</f>
        <v>202.15199999999999</v>
      </c>
      <c r="F130" s="174" t="str">
        <f>$E$104</f>
        <v>t CO2e</v>
      </c>
    </row>
    <row r="131" spans="4:12" ht="20.100000000000001" customHeight="1" x14ac:dyDescent="0.25">
      <c r="D131" s="173" t="s">
        <v>631</v>
      </c>
      <c r="E131" s="98">
        <f>SUM(I119:I128)</f>
        <v>366.18</v>
      </c>
      <c r="F131" s="174" t="str">
        <f>$E$104</f>
        <v>t CO2e</v>
      </c>
    </row>
    <row r="132" spans="4:12" ht="20.100000000000001" customHeight="1" x14ac:dyDescent="0.25"/>
    <row r="133" spans="4:12" ht="20.100000000000001" customHeight="1" x14ac:dyDescent="0.25"/>
    <row r="134" spans="4:12" ht="20.100000000000001" customHeight="1" x14ac:dyDescent="0.25">
      <c r="D134" s="144" t="s">
        <v>392</v>
      </c>
    </row>
    <row r="135" spans="4:12" ht="20.100000000000001" customHeight="1" x14ac:dyDescent="0.25">
      <c r="D135" s="46" t="s">
        <v>212</v>
      </c>
      <c r="E135" s="46" t="s">
        <v>628</v>
      </c>
      <c r="F135" s="57" t="s">
        <v>632</v>
      </c>
      <c r="G135" s="57" t="s">
        <v>629</v>
      </c>
      <c r="H135" s="46" t="s">
        <v>630</v>
      </c>
      <c r="I135" s="57" t="s">
        <v>631</v>
      </c>
      <c r="J135" s="46" t="s">
        <v>625</v>
      </c>
      <c r="K135" s="46" t="s">
        <v>626</v>
      </c>
      <c r="L135" s="46" t="s">
        <v>627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0" cm="1">
        <f t="array" ref="G136">Scope3_Equations.VEERG_15_2_1_1__1_EmissionsFromPurchasedFeed(E136,F136)</f>
        <v>59.4</v>
      </c>
      <c r="H136" s="66">
        <v>0.5</v>
      </c>
      <c r="I136" s="150"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0" cm="1">
        <f t="array" ref="G137">Scope3_Equations.VEERG_15_2_1_1__1_EmissionsFromPurchasedFeed(E137,F137)</f>
        <v>41.9</v>
      </c>
      <c r="H137" s="66">
        <v>0.4</v>
      </c>
      <c r="I137" s="150"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0" cm="1">
        <f t="array" ref="G138">Scope3_Equations.VEERG_15_2_1_1__1_EmissionsFromPurchasedFeed(E138,F138)</f>
        <v>33.300000000000004</v>
      </c>
      <c r="H138" s="66">
        <v>0</v>
      </c>
      <c r="I138" s="150"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0" cm="1">
        <f t="array" ref="G139">Scope3_Equations.VEERG_15_2_1_1__1_EmissionsFromPurchasedFeed(E139,F139)</f>
        <v>40.300000000000004</v>
      </c>
      <c r="H139" s="66">
        <v>0</v>
      </c>
      <c r="I139" s="150"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3" t="s">
        <v>629</v>
      </c>
      <c r="E141" s="98">
        <f>SUM(G136:G139)</f>
        <v>174.9</v>
      </c>
      <c r="F141" s="174" t="str">
        <f>$E$104</f>
        <v>t CO2e</v>
      </c>
    </row>
    <row r="142" spans="4:12" ht="20.100000000000001" customHeight="1" x14ac:dyDescent="0.25">
      <c r="D142" s="173" t="s">
        <v>631</v>
      </c>
      <c r="E142" s="98">
        <f>SUM(I136:I139)</f>
        <v>163.60000000000002</v>
      </c>
      <c r="F142" s="174" t="str">
        <f>$E$104</f>
        <v>t CO2e</v>
      </c>
    </row>
    <row r="143" spans="4:12" ht="20.100000000000001" customHeight="1" x14ac:dyDescent="0.25"/>
    <row r="144" spans="4:12" ht="20.100000000000001" customHeight="1" x14ac:dyDescent="0.25">
      <c r="D144" s="175" t="s">
        <v>629</v>
      </c>
      <c r="E144" s="176">
        <f>E130+E141</f>
        <v>377.05200000000002</v>
      </c>
      <c r="F144" s="177" t="str">
        <f>$E$104</f>
        <v>t CO2e</v>
      </c>
    </row>
    <row r="145" spans="3:41" ht="20.100000000000001" customHeight="1" x14ac:dyDescent="0.25">
      <c r="D145" s="175" t="s">
        <v>631</v>
      </c>
      <c r="E145" s="176">
        <f>E131+E142</f>
        <v>529.78</v>
      </c>
      <c r="F145" s="177"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1" t="s">
        <v>622</v>
      </c>
      <c r="E151" s="171"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1"/>
    </row>
    <row r="154" spans="3:41" ht="20.100000000000001" customHeight="1" x14ac:dyDescent="0.25">
      <c r="D154" s="27" t="s">
        <v>623</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6" t="str" cm="1">
        <f t="array" ref="D157:E159">_xlfn.CHOOSECOLS(Scope3_Equations.VEERG_15_3_1_1__1_EmissionsFromPurchasedMineralSupplements_Arguments(),1,2)</f>
        <v>Q_m</v>
      </c>
      <c r="E157" s="170" t="str">
        <v>total quantity of mineral supplement type m used</v>
      </c>
      <c r="F157" s="165"/>
      <c r="G157" s="166" t="str" cm="1">
        <f t="array" ref="G157:H159">_xlfn.CHOOSECOLS(Scope3_Equations.VEERG_15_3_1_1__1_EmissionsFromPurchasedMineralSupplements_Arguments(),3,4)</f>
        <v>t</v>
      </c>
      <c r="H157" s="167" t="str">
        <v>Input</v>
      </c>
    </row>
    <row r="158" spans="3:41" ht="20.100000000000001" customHeight="1" x14ac:dyDescent="0.25">
      <c r="D158" s="166" t="str">
        <v>EF_m</v>
      </c>
      <c r="E158" s="170" t="str">
        <v>emission factor of purchased mineral supplement</v>
      </c>
      <c r="F158" s="165"/>
      <c r="G158" s="166" t="str">
        <v>kg CO2e/kg</v>
      </c>
      <c r="H158" s="167" t="str">
        <v>Constant</v>
      </c>
    </row>
    <row r="159" spans="3:41" ht="20.100000000000001" customHeight="1" x14ac:dyDescent="0.25">
      <c r="D159" s="166" t="str">
        <v>m</v>
      </c>
      <c r="E159" s="170" t="str">
        <v>mineral supplement type</v>
      </c>
      <c r="F159" s="165"/>
      <c r="G159" s="166" t="str">
        <v/>
      </c>
      <c r="H159" s="168" t="str">
        <v>Input</v>
      </c>
    </row>
    <row r="160" spans="3:41" ht="20.100000000000001" customHeight="1" x14ac:dyDescent="0.25"/>
    <row r="161" spans="3:41" ht="20.100000000000001" customHeight="1" x14ac:dyDescent="0.25">
      <c r="D161" s="46" t="s">
        <v>212</v>
      </c>
      <c r="E161" s="46" t="s">
        <v>636</v>
      </c>
      <c r="F161" s="57" t="s">
        <v>637</v>
      </c>
      <c r="G161" s="57" t="s">
        <v>629</v>
      </c>
      <c r="H161" s="46" t="s">
        <v>638</v>
      </c>
      <c r="I161" s="57" t="s">
        <v>631</v>
      </c>
      <c r="J161" s="46" t="s">
        <v>625</v>
      </c>
      <c r="K161" s="46" t="s">
        <v>626</v>
      </c>
      <c r="L161" s="46" t="s">
        <v>627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0" cm="1">
        <f t="array" ref="G162">Scope3_Equations.VEERG_15_3_1_1__1_EmissionsFromPurchasedMineralSupplements(E162,F162)</f>
        <v>88.1</v>
      </c>
      <c r="H162" s="66">
        <v>0.8</v>
      </c>
      <c r="I162" s="150"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0" cm="1">
        <f t="array" ref="G163">Scope3_Equations.VEERG_15_3_1_1__1_EmissionsFromPurchasedMineralSupplements(E163,F163)</f>
        <v>67.7</v>
      </c>
      <c r="H163" s="66">
        <v>0.6</v>
      </c>
      <c r="I163" s="150"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0" cm="1">
        <f t="array" ref="G164">Scope3_Equations.VEERG_15_3_1_1__1_EmissionsFromPurchasedMineralSupplements(E164,F164)</f>
        <v>23.1</v>
      </c>
      <c r="H164" s="66">
        <v>0.2</v>
      </c>
      <c r="I164" s="150"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5" t="s">
        <v>629</v>
      </c>
      <c r="E166" s="176">
        <f>SUM(G162:G164)</f>
        <v>178.9</v>
      </c>
      <c r="F166" s="177" t="str">
        <f>$E$155</f>
        <v>t CO2e</v>
      </c>
    </row>
    <row r="167" spans="3:41" ht="20.100000000000001" customHeight="1" x14ac:dyDescent="0.25">
      <c r="D167" s="175" t="s">
        <v>631</v>
      </c>
      <c r="E167" s="176">
        <f>SUM(I162:I164)</f>
        <v>160</v>
      </c>
      <c r="F167" s="177"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1" t="s">
        <v>622</v>
      </c>
      <c r="E174" s="171"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623</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6" t="str" cm="1">
        <f t="array" ref="D180:E183">_xlfn.CHOOSECOLS(Scope3_Equations.VEERG_15_4_1_1__X_EmissionFactorFromPurchasedFertiliserComponents_Arguments(),1,2)</f>
        <v>F_cf</v>
      </c>
      <c r="E180" s="170" t="str">
        <v>fraction of component c contained within the inorganic fertiliser f</v>
      </c>
      <c r="F180" s="165"/>
      <c r="G180" s="166" t="str" cm="1">
        <f t="array" ref="G180:H183">_xlfn.CHOOSECOLS(Scope3_Equations.VEERG_15_4_1_1__X_EmissionFactorFromPurchasedFertiliserComponents_Arguments(),3,4)</f>
        <v>wt%</v>
      </c>
      <c r="H180" s="167" t="str">
        <v>Input</v>
      </c>
    </row>
    <row r="181" spans="4:8" ht="20.100000000000001" customHeight="1" x14ac:dyDescent="0.25">
      <c r="D181" s="166" t="str">
        <v>EF_c</v>
      </c>
      <c r="E181" s="170" t="str">
        <v>emission factor for the production of component c</v>
      </c>
      <c r="F181" s="165"/>
      <c r="G181" s="166" t="str">
        <v>kg CO2e/kg component</v>
      </c>
      <c r="H181" s="168" t="str">
        <v>Constant</v>
      </c>
    </row>
    <row r="182" spans="4:8" ht="20.100000000000001" customHeight="1" x14ac:dyDescent="0.25">
      <c r="D182" s="166" t="str">
        <v>c</v>
      </c>
      <c r="E182" s="170" t="str">
        <v>fertiliser component</v>
      </c>
      <c r="F182" s="165"/>
      <c r="G182" s="166" t="str">
        <v/>
      </c>
      <c r="H182" s="167" t="str">
        <v>Input</v>
      </c>
    </row>
    <row r="183" spans="4:8" ht="20.100000000000001" customHeight="1" x14ac:dyDescent="0.25">
      <c r="D183" s="166" t="str">
        <v>f</v>
      </c>
      <c r="E183" s="170" t="str">
        <v>inorganic fertiliser type</v>
      </c>
      <c r="F183" s="165"/>
      <c r="G183" s="166" t="str">
        <v/>
      </c>
      <c r="H183" s="167"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1" t="s">
        <v>622</v>
      </c>
      <c r="E188" s="171"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623</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6" t="str" cm="1">
        <f t="array" ref="D194:E197">_xlfn.CHOOSECOLS(Scope3_Equations.VEERG_15_4_1_1__1_EmissionsFromPurchasedFertiliser_Arguments(),1,2)</f>
        <v>TM_jf</v>
      </c>
      <c r="E194" s="166" t="str">
        <v>quantity of inorganic fertiliser type f purchased and applied to production system j</v>
      </c>
      <c r="F194" s="166"/>
      <c r="G194" s="166" t="str" cm="1">
        <f t="array" ref="G194:H197">_xlfn.CHOOSECOLS(Scope3_Equations.VEERG_15_4_1_1__1_EmissionsFromPurchasedFertiliser_Arguments(),3,4)</f>
        <v>kg</v>
      </c>
      <c r="H194" s="167" t="str">
        <v>Input</v>
      </c>
    </row>
    <row r="195" spans="4:8" ht="20.100000000000001" customHeight="1" x14ac:dyDescent="0.25">
      <c r="D195" s="166" t="str">
        <v>EF_f</v>
      </c>
      <c r="E195" s="166" t="str">
        <v>emission factor of purchased inorganic fertiliser</v>
      </c>
      <c r="F195" s="166"/>
      <c r="G195" s="166" t="str">
        <v>kg CO2e/kg</v>
      </c>
      <c r="H195" s="168" t="str">
        <v>Constant</v>
      </c>
    </row>
    <row r="196" spans="4:8" ht="20.100000000000001" customHeight="1" x14ac:dyDescent="0.25">
      <c r="D196" s="166" t="str">
        <v>j</v>
      </c>
      <c r="E196" s="166" t="str">
        <v>production system</v>
      </c>
      <c r="F196" s="166"/>
      <c r="G196" s="166" t="str">
        <v/>
      </c>
      <c r="H196" s="167" t="str">
        <v>Input</v>
      </c>
    </row>
    <row r="197" spans="4:8" ht="20.100000000000001" customHeight="1" x14ac:dyDescent="0.25">
      <c r="D197" s="166" t="str">
        <v>f</v>
      </c>
      <c r="E197" s="166" t="str">
        <v>inorganic fertiliser type</v>
      </c>
      <c r="F197" s="166"/>
      <c r="G197" s="166" t="str">
        <v/>
      </c>
      <c r="H197" s="167"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1" t="s">
        <v>622</v>
      </c>
      <c r="E203" s="171"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623</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6" t="str" cm="1">
        <f t="array" ref="D209:E214">_xlfn.CHOOSECOLS(Scope3_Equations.VEERG_15_4_1_1__2_EmissionsFromPurchasedFertiliserComponents_Arguments(),1,2)</f>
        <v>F_cf</v>
      </c>
      <c r="E209" s="170" t="str">
        <v>fraction of component c contained within the inorganic fertiliser f</v>
      </c>
      <c r="F209" s="165"/>
      <c r="G209" s="166" t="str" cm="1">
        <f t="array" ref="G209:H214">_xlfn.CHOOSECOLS(Scope3_Equations.VEERG_15_4_1_1__2_EmissionsFromPurchasedFertiliserComponents_Arguments(),3,4)</f>
        <v>wt%</v>
      </c>
      <c r="H209" s="167" t="str">
        <v>Input</v>
      </c>
    </row>
    <row r="210" spans="4:40" ht="20.100000000000001" customHeight="1" x14ac:dyDescent="0.25">
      <c r="D210" s="166" t="str">
        <v>TM_jf</v>
      </c>
      <c r="E210" s="170" t="str">
        <v>quantity of inorganic fertiliser type f purchased and applied to production system j</v>
      </c>
      <c r="F210" s="165"/>
      <c r="G210" s="166" t="str">
        <v>kg</v>
      </c>
      <c r="H210" s="168" t="str">
        <v>Input</v>
      </c>
    </row>
    <row r="211" spans="4:40" ht="20.100000000000001" customHeight="1" x14ac:dyDescent="0.25">
      <c r="D211" s="166" t="str">
        <v>EF_c</v>
      </c>
      <c r="E211" s="170" t="str">
        <v>emission factor for the production of component c</v>
      </c>
      <c r="F211" s="165"/>
      <c r="G211" s="166" t="str">
        <v>kg CO2e/kg component</v>
      </c>
      <c r="H211" s="168" t="str">
        <v>Constant</v>
      </c>
    </row>
    <row r="212" spans="4:40" ht="20.100000000000001" customHeight="1" x14ac:dyDescent="0.25">
      <c r="D212" s="166" t="str">
        <v>c</v>
      </c>
      <c r="E212" s="170" t="str">
        <v>fertiliser component</v>
      </c>
      <c r="F212" s="165"/>
      <c r="G212" s="166" t="str">
        <v/>
      </c>
      <c r="H212" s="167" t="str">
        <v>Input</v>
      </c>
    </row>
    <row r="213" spans="4:40" ht="20.100000000000001" customHeight="1" x14ac:dyDescent="0.25">
      <c r="D213" s="166" t="str">
        <v>f</v>
      </c>
      <c r="E213" s="170" t="str">
        <v>inorganic fertiliser type</v>
      </c>
      <c r="F213" s="165"/>
      <c r="G213" s="166" t="str">
        <v/>
      </c>
      <c r="H213" s="167" t="str">
        <v>Input</v>
      </c>
    </row>
    <row r="214" spans="4:40" ht="20.100000000000001" customHeight="1" x14ac:dyDescent="0.25">
      <c r="D214" s="166" t="str">
        <v>j</v>
      </c>
      <c r="E214" s="170" t="str">
        <v>production system</v>
      </c>
      <c r="F214" s="165"/>
      <c r="G214" s="166" t="str">
        <v/>
      </c>
      <c r="H214" s="167" t="str">
        <v>Input</v>
      </c>
    </row>
    <row r="215" spans="4:40" ht="20.100000000000001" customHeight="1" x14ac:dyDescent="0.25"/>
    <row r="216" spans="4:40" ht="20.100000000000001" customHeight="1" x14ac:dyDescent="0.25">
      <c r="D216" s="144" t="s">
        <v>363</v>
      </c>
    </row>
    <row r="217" spans="4:40" ht="20.100000000000001" customHeight="1" x14ac:dyDescent="0.25"/>
    <row r="218" spans="4:40" ht="20.100000000000001" customHeight="1" x14ac:dyDescent="0.25">
      <c r="D218" s="95" t="s">
        <v>362</v>
      </c>
      <c r="E218" s="110"/>
      <c r="F218" s="96"/>
    </row>
    <row r="219" spans="4:40" ht="20.100000000000001" customHeight="1" x14ac:dyDescent="0.25"/>
    <row r="220" spans="4:40" ht="20.100000000000001" customHeight="1" x14ac:dyDescent="0.25">
      <c r="D220" s="46" t="s">
        <v>212</v>
      </c>
      <c r="E220" s="46" t="s">
        <v>350</v>
      </c>
      <c r="F220" s="57" t="s">
        <v>664</v>
      </c>
      <c r="G220" s="57" t="s">
        <v>648</v>
      </c>
      <c r="H220" s="57" t="s">
        <v>647</v>
      </c>
      <c r="I220" s="46" t="s">
        <v>665</v>
      </c>
      <c r="J220" s="57" t="s">
        <v>649</v>
      </c>
      <c r="K220" s="57" t="s">
        <v>650</v>
      </c>
      <c r="L220" s="46" t="s">
        <v>625</v>
      </c>
      <c r="M220" s="46" t="s">
        <v>626</v>
      </c>
      <c r="N220" s="46" t="s">
        <v>627</v>
      </c>
      <c r="O220" s="57" t="s">
        <v>171</v>
      </c>
      <c r="P220" s="57" t="s">
        <v>172</v>
      </c>
      <c r="Q220" s="57" t="s">
        <v>173</v>
      </c>
      <c r="R220" s="57" t="s">
        <v>174</v>
      </c>
      <c r="S220" s="57" t="s">
        <v>652</v>
      </c>
      <c r="T220" s="46" t="s">
        <v>653</v>
      </c>
      <c r="U220" s="57" t="s">
        <v>175</v>
      </c>
      <c r="V220" s="57" t="s">
        <v>176</v>
      </c>
      <c r="W220" s="57" t="s">
        <v>654</v>
      </c>
      <c r="X220" s="46" t="s">
        <v>655</v>
      </c>
      <c r="Y220" s="57" t="s">
        <v>177</v>
      </c>
      <c r="Z220" s="57" t="s">
        <v>178</v>
      </c>
      <c r="AA220" s="57" t="s">
        <v>656</v>
      </c>
      <c r="AB220" s="46" t="s">
        <v>657</v>
      </c>
      <c r="AC220" s="57" t="s">
        <v>179</v>
      </c>
      <c r="AD220" s="57" t="s">
        <v>180</v>
      </c>
      <c r="AE220" s="57" t="s">
        <v>658</v>
      </c>
      <c r="AF220" s="46" t="s">
        <v>659</v>
      </c>
      <c r="AG220" s="57" t="s">
        <v>181</v>
      </c>
      <c r="AH220" s="57" t="s">
        <v>182</v>
      </c>
      <c r="AI220" s="57" t="s">
        <v>660</v>
      </c>
      <c r="AJ220" s="46" t="s">
        <v>661</v>
      </c>
      <c r="AK220" s="57" t="s">
        <v>183</v>
      </c>
      <c r="AL220" s="57" t="s">
        <v>184</v>
      </c>
      <c r="AM220" s="57" t="s">
        <v>662</v>
      </c>
      <c r="AN220" s="46" t="s">
        <v>663</v>
      </c>
    </row>
    <row r="221" spans="4:40" ht="20.100000000000001" customHeight="1" x14ac:dyDescent="0.25">
      <c r="D221" s="49" t="str" cm="1">
        <f t="array" ref="D221:D230">IFERROR(INDEX(Table_Input_InorganicFertiliser_Brands[Product (select)], _xlfn.SEQUENCE(10)), "")</f>
        <v>Aqua Finish</v>
      </c>
      <c r="E221" s="49" cm="1">
        <f t="array" ref="E221:E230">IFERROR(INDEX(Table_Input_InorganicFertiliser_Brands[Total applied (kg)], _xlfn.SEQUENCE(10)), 0)</f>
        <v>12600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0" cm="1">
        <f t="array" ref="G221">Scope3_Equations.VEERG_15_4_1_1__1_EmissionsFromPurchasedFertiliser(E221,F221)</f>
        <v>5.9487750000000004</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6">
        <v>0.4</v>
      </c>
      <c r="J221" s="150" cm="1">
        <f t="array" ref="J221">Scope3_Equations.VEERG_15_4_1_1__1_EmissionsFromPurchasedFertiliser(E221,I221)</f>
        <v>5.04</v>
      </c>
      <c r="K221" s="150"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Potassium - Generic</v>
      </c>
      <c r="R221" s="49" cm="1">
        <f t="array" ref="R221:R230">IFERROR(INDEX(_xlfn.LET(_xlpm.result, Table_Input_InorganicFertiliser_Brands[Ingredient 1 percent], IF(_xlpm.result="", 0, _xlpm.result)), _xlfn.SEQUENCE(10)), 0)</f>
        <v>0.22500000000000001</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6">
        <v>0.9</v>
      </c>
      <c r="U221" s="49" t="str" cm="1">
        <f t="array" ref="U221:U230">IFERROR(INDEX(Table_Input_InorganicFertiliser_Brands[Ingredient 2], _xlfn.SEQUENCE(10)), "")</f>
        <v>Phosphorus - Generic</v>
      </c>
      <c r="V221" s="49" cm="1">
        <f t="array" ref="V221:V230">IFERROR(INDEX(_xlfn.LET(_xlpm.result, Table_Input_InorganicFertiliser_Brands[Ingredient 2 percent], IF(_xlpm.result="", 0, _xlpm.result)), _xlfn.SEQUENCE(10)), 0)</f>
        <v>0.04</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6">
        <v>0.9</v>
      </c>
      <c r="Y221" s="49" t="str" cm="1">
        <f t="array" ref="Y221:Y230">IFERROR(INDEX(Table_Input_InorganicFertiliser_Brands[Ingredient 3], _xlfn.SEQUENCE(10)), "")</f>
        <v>Nitrogen - Generic</v>
      </c>
      <c r="Z221" s="49" cm="1">
        <f t="array" ref="Z221:Z230">IFERROR(INDEX(_xlfn.LET(_xlpm.result, Table_Input_InorganicFertiliser_Brands[Ingredient 3 percent], IF(_xlpm.result="", 0, _xlpm.result)), _xlfn.SEQUENCE(10)), 0)</f>
        <v>2.5999999999999999E-2</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CalPhos</v>
      </c>
      <c r="E222" s="49">
        <v>12850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0" cm="1">
        <f t="array" ref="G222">Scope3_Equations.VEERG_15_4_1_1__1_EmissionsFromPurchasedFertiliser(E222,F222)</f>
        <v>6.8696100000000007</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6">
        <v>0.9</v>
      </c>
      <c r="J222" s="150" cm="1">
        <f t="array" ref="J222">Scope3_Equations.VEERG_15_4_1_1__1_EmissionsFromPurchasedFertiliser(E222,I222)</f>
        <v>11.565</v>
      </c>
      <c r="K222" s="150"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2"/>
      <c r="M222" s="47"/>
      <c r="N222" s="82"/>
      <c r="O222" s="49" t="str">
        <v/>
      </c>
      <c r="P222" s="49" t="str">
        <v/>
      </c>
      <c r="Q222" s="49" t="str">
        <v>Phosphorus - Generic</v>
      </c>
      <c r="R222" s="49">
        <v>0.13500000000000001</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6"/>
      <c r="U222" s="49" t="str">
        <v>Calcium - Generic</v>
      </c>
      <c r="V222" s="49">
        <v>0.04</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CalPhos</v>
      </c>
      <c r="E223" s="49">
        <v>12850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0" cm="1">
        <f t="array" ref="G223">Scope3_Equations.VEERG_15_4_1_1__1_EmissionsFromPurchasedFertiliser(E223,F223)</f>
        <v>6.8696100000000007</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6">
        <v>0.4</v>
      </c>
      <c r="J223" s="150" cm="1">
        <f t="array" ref="J223">Scope3_Equations.VEERG_15_4_1_1__1_EmissionsFromPurchasedFertiliser(E223,I223)</f>
        <v>5.14</v>
      </c>
      <c r="K223" s="150"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2"/>
      <c r="M223" s="47"/>
      <c r="N223" s="82"/>
      <c r="O223" s="49" t="str">
        <v/>
      </c>
      <c r="P223" s="49" t="str">
        <v/>
      </c>
      <c r="Q223" s="49" t="str">
        <v>Phosphorus - Generic</v>
      </c>
      <c r="R223" s="49">
        <v>0.13500000000000001</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6"/>
      <c r="U223" s="49" t="str">
        <v>Calcium - Generic</v>
      </c>
      <c r="V223" s="49">
        <v>0.04</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Aqua Grow</v>
      </c>
      <c r="E224" s="49">
        <v>12600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0" cm="1">
        <f t="array" ref="G224">Scope3_Equations.VEERG_15_4_1_1__1_EmissionsFromPurchasedFertiliser(E224,F224)</f>
        <v>8.7777269999999987</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6"/>
      <c r="J224" s="150" cm="1">
        <f t="array" ref="J224">Scope3_Equations.VEERG_15_4_1_1__1_EmissionsFromPurchasedFertiliser(E224,I224)</f>
        <v>0</v>
      </c>
      <c r="K224" s="150"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2"/>
      <c r="M224" s="47"/>
      <c r="N224" s="82"/>
      <c r="O224" s="49" t="str">
        <v/>
      </c>
      <c r="P224" s="49" t="str">
        <v/>
      </c>
      <c r="Q224" s="49" t="str">
        <v>Potassium - Generic</v>
      </c>
      <c r="R224" s="49">
        <v>0.105</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Nitrogen - Generic</v>
      </c>
      <c r="V224" s="49">
        <v>9.6000000000000002E-2</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6"/>
      <c r="Y224" s="49" t="str">
        <v>Phosphorus - Generic</v>
      </c>
      <c r="Z224" s="49">
        <v>0.05</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Aqua NitroCal</v>
      </c>
      <c r="E225" s="49">
        <v>15000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0" cm="1">
        <f t="array" ref="G225">Scope3_Equations.VEERG_15_4_1_1__1_EmissionsFromPurchasedFertiliser(E225,F225)</f>
        <v>10.8306</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6"/>
      <c r="J225" s="150" cm="1">
        <f t="array" ref="J225">Scope3_Equations.VEERG_15_4_1_1__1_EmissionsFromPurchasedFertiliser(E225,I225)</f>
        <v>0</v>
      </c>
      <c r="K225" s="150"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2"/>
      <c r="M225" s="47"/>
      <c r="N225" s="82"/>
      <c r="O225" s="49" t="str">
        <v/>
      </c>
      <c r="P225" s="49" t="str">
        <v/>
      </c>
      <c r="Q225" s="49" t="str">
        <v>Calcium - Generic</v>
      </c>
      <c r="R225" s="49">
        <v>0.16200000000000001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Nitrogen - Nitrate</v>
      </c>
      <c r="V225" s="49">
        <v>0.13200000000000001</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0"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0" cm="1">
        <f t="array" ref="J226">Scope3_Equations.VEERG_15_4_1_1__1_EmissionsFromPurchasedFertiliser(E226,I226)</f>
        <v>0</v>
      </c>
      <c r="K226" s="150"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0"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0" cm="1">
        <f t="array" ref="J227">Scope3_Equations.VEERG_15_4_1_1__1_EmissionsFromPurchasedFertiliser(E227,I227)</f>
        <v>0</v>
      </c>
      <c r="K227" s="150"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0"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0" cm="1">
        <f t="array" ref="J228">Scope3_Equations.VEERG_15_4_1_1__1_EmissionsFromPurchasedFertiliser(E228,I228)</f>
        <v>0</v>
      </c>
      <c r="K228" s="150"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0"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0" cm="1">
        <f t="array" ref="J229">Scope3_Equations.VEERG_15_4_1_1__1_EmissionsFromPurchasedFertiliser(E229,I229)</f>
        <v>0</v>
      </c>
      <c r="K229" s="150"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0"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0" cm="1">
        <f t="array" ref="J230">Scope3_Equations.VEERG_15_4_1_1__1_EmissionsFromPurchasedFertiliser(E230,I230)</f>
        <v>0</v>
      </c>
      <c r="K230" s="150"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651</v>
      </c>
    </row>
    <row r="233" spans="4:40" ht="20.100000000000001" customHeight="1" x14ac:dyDescent="0.25"/>
    <row r="234" spans="4:40" ht="20.100000000000001" customHeight="1" x14ac:dyDescent="0.25">
      <c r="D234" s="95" t="s">
        <v>666</v>
      </c>
      <c r="E234" s="110"/>
      <c r="F234" s="96"/>
    </row>
    <row r="235" spans="4:40" ht="20.100000000000001" customHeight="1" x14ac:dyDescent="0.25"/>
    <row r="236" spans="4:40" ht="20.100000000000001" customHeight="1" x14ac:dyDescent="0.25">
      <c r="D236" s="46" t="s">
        <v>398</v>
      </c>
      <c r="E236" s="46" t="s">
        <v>350</v>
      </c>
      <c r="F236" s="57" t="s">
        <v>664</v>
      </c>
      <c r="G236" s="57" t="s">
        <v>648</v>
      </c>
      <c r="H236" s="57" t="s">
        <v>647</v>
      </c>
      <c r="I236" s="46" t="s">
        <v>665</v>
      </c>
      <c r="J236" s="57" t="s">
        <v>649</v>
      </c>
      <c r="K236" s="57" t="s">
        <v>650</v>
      </c>
      <c r="L236" s="46" t="s">
        <v>625</v>
      </c>
      <c r="M236" s="46" t="s">
        <v>626</v>
      </c>
      <c r="N236" s="46" t="s">
        <v>627</v>
      </c>
      <c r="O236" s="57" t="s">
        <v>171</v>
      </c>
      <c r="P236" s="57" t="s">
        <v>172</v>
      </c>
      <c r="Q236" s="57" t="s">
        <v>173</v>
      </c>
      <c r="R236" s="57" t="s">
        <v>174</v>
      </c>
      <c r="S236" s="57" t="s">
        <v>652</v>
      </c>
      <c r="T236" s="46" t="s">
        <v>653</v>
      </c>
      <c r="U236" s="57" t="s">
        <v>175</v>
      </c>
      <c r="V236" s="57" t="s">
        <v>176</v>
      </c>
      <c r="W236" s="57" t="s">
        <v>654</v>
      </c>
      <c r="X236" s="46" t="s">
        <v>655</v>
      </c>
      <c r="Y236" s="57" t="s">
        <v>177</v>
      </c>
      <c r="Z236" s="57" t="s">
        <v>178</v>
      </c>
      <c r="AA236" s="57" t="s">
        <v>656</v>
      </c>
      <c r="AB236" s="46" t="s">
        <v>657</v>
      </c>
      <c r="AC236" s="57" t="s">
        <v>179</v>
      </c>
      <c r="AD236" s="57" t="s">
        <v>180</v>
      </c>
      <c r="AE236" s="57" t="s">
        <v>658</v>
      </c>
      <c r="AF236" s="46" t="s">
        <v>659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0" cm="1">
        <f t="array" ref="G237">Scope3_Equations.VEERG_15_4_1_1__1_EmissionsFromPurchasedFertiliser(E237,F237)</f>
        <v>17.708000000000002</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6">
        <v>0.4</v>
      </c>
      <c r="J237" s="150" cm="1">
        <f t="array" ref="J237">Scope3_Equations.VEERG_15_4_1_1__1_EmissionsFromPurchasedFertiliser(E237,I237)</f>
        <v>4</v>
      </c>
      <c r="K237" s="15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2"/>
      <c r="M237" s="47"/>
      <c r="N237"/>
      <c r="O237" s="49" t="str" cm="1">
        <f t="array" ref="O237:O246">IFERROR(INDEX(#REF!, _xlfn.SEQUENCE(10)), "")</f>
        <v/>
      </c>
      <c r="P237" s="49" t="str" cm="1">
        <f t="array" ref="P237:P246">IFERROR(INDEX(#REF!, _xlfn.SEQUENCE(10)), "")</f>
        <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150" cm="1">
        <f t="array" ref="G238">Scope3_Equations.VEERG_15_4_1_1__1_EmissionsFromPurchasedFertiliser(E238,F238)</f>
        <v>9.68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66">
        <v>0.9</v>
      </c>
      <c r="J238" s="150" cm="1">
        <f t="array" ref="J238">Scope3_Equations.VEERG_15_4_1_1__1_EmissionsFromPurchasedFertiliser(E238,I238)</f>
        <v>9</v>
      </c>
      <c r="K238" s="15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82"/>
      <c r="M238" s="47"/>
      <c r="N238" s="82"/>
      <c r="O238" s="49" t="str">
        <v/>
      </c>
      <c r="P238" s="49" t="str">
        <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10000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150" cm="1">
        <f t="array" ref="G239">Scope3_Equations.VEERG_15_4_1_1__1_EmissionsFromPurchasedFertiliser(E239,F239)</f>
        <v>11.6</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66">
        <v>0.4</v>
      </c>
      <c r="J239" s="150" cm="1">
        <f t="array" ref="J239">Scope3_Equations.VEERG_15_4_1_1__1_EmissionsFromPurchasedFertiliser(E239,I239)</f>
        <v>4</v>
      </c>
      <c r="K239" s="15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82"/>
      <c r="M239" s="47"/>
      <c r="N239" s="82"/>
      <c r="O239" s="49" t="str">
        <v/>
      </c>
      <c r="P239" s="49" t="str">
        <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0"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0" cm="1">
        <f t="array" ref="J240">Scope3_Equations.VEERG_15_4_1_1__1_EmissionsFromPurchasedFertiliser(E240,I240)</f>
        <v>0</v>
      </c>
      <c r="K240" s="15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0"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0" cm="1">
        <f t="array" ref="J241">Scope3_Equations.VEERG_15_4_1_1__1_EmissionsFromPurchasedFertiliser(E241,I241)</f>
        <v>0</v>
      </c>
      <c r="K241" s="15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0"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0" cm="1">
        <f t="array" ref="J242">Scope3_Equations.VEERG_15_4_1_1__1_EmissionsFromPurchasedFertiliser(E242,I242)</f>
        <v>0</v>
      </c>
      <c r="K242" s="15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0"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0" cm="1">
        <f t="array" ref="J243">Scope3_Equations.VEERG_15_4_1_1__1_EmissionsFromPurchasedFertiliser(E243,I243)</f>
        <v>0</v>
      </c>
      <c r="K243" s="15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0"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0" cm="1">
        <f t="array" ref="J244">Scope3_Equations.VEERG_15_4_1_1__1_EmissionsFromPurchasedFertiliser(E244,I244)</f>
        <v>0</v>
      </c>
      <c r="K244" s="15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0"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0" cm="1">
        <f t="array" ref="J245">Scope3_Equations.VEERG_15_4_1_1__1_EmissionsFromPurchasedFertiliser(E245,I245)</f>
        <v>0</v>
      </c>
      <c r="K245" s="15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0"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0" cm="1">
        <f t="array" ref="J246">Scope3_Equations.VEERG_15_4_1_1__1_EmissionsFromPurchasedFertiliser(E246,I246)</f>
        <v>0</v>
      </c>
      <c r="K246" s="150"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8" t="s">
        <v>667</v>
      </c>
      <c r="E248" s="176">
        <f>SUM(G221:G230)+SUM(G237:G246)</f>
        <v>78.284322000000003</v>
      </c>
      <c r="F248" s="177" t="str">
        <f>$E$155</f>
        <v>t CO2e</v>
      </c>
    </row>
    <row r="249" spans="3:41" ht="20.100000000000001" customHeight="1" x14ac:dyDescent="0.25">
      <c r="D249" s="178" t="s">
        <v>668</v>
      </c>
      <c r="E249" s="176">
        <f>SUM(J221:J230)+SUM(J237:J246)</f>
        <v>38.745000000000005</v>
      </c>
      <c r="F249" s="177" t="str">
        <f>$E$155</f>
        <v>t CO2e</v>
      </c>
    </row>
    <row r="250" spans="3:41" ht="20.100000000000001" customHeight="1" x14ac:dyDescent="0.25"/>
    <row r="251" spans="3:41" ht="20.100000000000001" customHeight="1" x14ac:dyDescent="0.25">
      <c r="D251" s="178" t="s">
        <v>669</v>
      </c>
      <c r="E251" s="176">
        <f>SUM(H221:H230)+SUM(H237:H246)</f>
        <v>78.284322000000003</v>
      </c>
      <c r="F251" s="177" t="str">
        <f>$E$155</f>
        <v>t CO2e</v>
      </c>
    </row>
    <row r="252" spans="3:41" ht="20.100000000000001" customHeight="1" x14ac:dyDescent="0.25">
      <c r="D252" s="178" t="s">
        <v>670</v>
      </c>
      <c r="E252" s="176">
        <f>SUM(K221:K230)+SUM(K237:K246)</f>
        <v>75.743047000000004</v>
      </c>
      <c r="F252" s="177"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1" t="s">
        <v>622</v>
      </c>
      <c r="E258" s="171"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623</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6" t="str" cm="1">
        <f t="array" ref="D265:E267">_xlfn.CHOOSECOLS(Scope3_Equations.VEERG_15_5_1_1__1_EmissionsFromPurchasedAgrichemicals_Arguments(),1,2)</f>
        <v>Q_h</v>
      </c>
      <c r="E265" s="170" t="str">
        <v>quantity of active ingredients in agrichemical type h purchased and applied to soils</v>
      </c>
      <c r="F265" s="165"/>
      <c r="G265" s="166" t="str" cm="1">
        <f t="array" ref="G265:H267">_xlfn.CHOOSECOLS(Scope3_Equations.VEERG_15_5_1_1__1_EmissionsFromPurchasedAgrichemicals_Arguments(),3,4)</f>
        <v>kg ai</v>
      </c>
      <c r="H265" s="167" t="str">
        <v>Input</v>
      </c>
    </row>
    <row r="266" spans="4:9" x14ac:dyDescent="0.25">
      <c r="D266" s="166" t="str">
        <v>EF_h</v>
      </c>
      <c r="E266" s="170" t="str">
        <v>emission factor for purchased agrichemical active ingredient</v>
      </c>
      <c r="F266" s="165"/>
      <c r="G266" s="166" t="str">
        <v>kg CO2e/kg ai</v>
      </c>
      <c r="H266" s="168" t="str">
        <v>Constant</v>
      </c>
    </row>
    <row r="267" spans="4:9" x14ac:dyDescent="0.25">
      <c r="D267" s="166" t="str">
        <v>h</v>
      </c>
      <c r="E267" s="170" t="str">
        <v>agrichemical type</v>
      </c>
      <c r="F267" s="165"/>
      <c r="G267" s="166" t="str">
        <v/>
      </c>
      <c r="H267" s="167" t="str">
        <v>Input</v>
      </c>
    </row>
    <row r="269" spans="4:9" ht="17.25" x14ac:dyDescent="0.25">
      <c r="D269" s="46" t="s">
        <v>676</v>
      </c>
      <c r="E269" s="46" t="s">
        <v>201</v>
      </c>
      <c r="F269" s="57" t="s">
        <v>677</v>
      </c>
      <c r="G269" s="57" t="s">
        <v>629</v>
      </c>
      <c r="H269" s="46" t="s">
        <v>678</v>
      </c>
      <c r="I269" s="57" t="s">
        <v>631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8" t="s">
        <v>629</v>
      </c>
      <c r="E283" s="176">
        <f>SUM(G270:G281)</f>
        <v>7.5159999999999991</v>
      </c>
      <c r="F283" s="177" t="str">
        <f>$E$155</f>
        <v>t CO2e</v>
      </c>
    </row>
    <row r="284" spans="3:41" ht="20.25" x14ac:dyDescent="0.25">
      <c r="D284" s="178" t="s">
        <v>631</v>
      </c>
      <c r="E284" s="176">
        <f>SUM(I270:I281)</f>
        <v>7.4959999999999996</v>
      </c>
      <c r="F284" s="177"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1" t="s">
        <v>622</v>
      </c>
      <c r="E290" s="171" t="str" cm="1">
        <f t="array" aca="1" ref="E290" ca="1">Common_InputFunctions.Utility_DisplayFunctionName(I305)</f>
        <v>=Scope3_Equations.VEERG_15_6_1_1__1_EmissionsFromPurchasedLime</v>
      </c>
    </row>
    <row r="293" spans="4:13" x14ac:dyDescent="0.25">
      <c r="D293" s="27" t="s">
        <v>623</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6" t="str" cm="1">
        <f t="array" ref="D296:E297">_xlfn.CHOOSECOLS(Scope3_Equations.VEERG_15_6_1_1__1_EmissionsFromPurchasedLime_Arguments(),1,2)</f>
        <v>M_lime</v>
      </c>
      <c r="E296" s="166" t="str">
        <v>total quantity of lime applied to soils</v>
      </c>
      <c r="F296" s="166" t="str" cm="1">
        <f t="array" ref="F296:G297">_xlfn.CHOOSECOLS(Scope3_Equations.VEERG_15_6_1_1__1_EmissionsFromPurchasedLime_Arguments(),3,4)</f>
        <v>t</v>
      </c>
      <c r="G296" s="167" t="str">
        <v>Input</v>
      </c>
    </row>
    <row r="297" spans="4:13" x14ac:dyDescent="0.25">
      <c r="D297" s="166" t="str">
        <v>EF_l</v>
      </c>
      <c r="E297" s="166" t="str">
        <v>emission factor for purchased lime</v>
      </c>
      <c r="F297" s="166" t="str">
        <v>t CO2e/t</v>
      </c>
      <c r="G297" s="168" t="str">
        <v>Constant</v>
      </c>
    </row>
    <row r="299" spans="4:13" x14ac:dyDescent="0.25">
      <c r="E299" s="57" t="s">
        <v>404</v>
      </c>
      <c r="F299" s="46" t="s">
        <v>405</v>
      </c>
    </row>
    <row r="300" spans="4:13" ht="18.75" x14ac:dyDescent="0.25">
      <c r="D300" s="8" t="s">
        <v>681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683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169</v>
      </c>
      <c r="E304" s="151" t="s">
        <v>679</v>
      </c>
      <c r="F304" s="46" t="s">
        <v>684</v>
      </c>
      <c r="G304" s="46" t="s">
        <v>685</v>
      </c>
      <c r="H304" s="46" t="s">
        <v>686</v>
      </c>
      <c r="I304" s="57" t="s">
        <v>629</v>
      </c>
      <c r="J304" s="57" t="s">
        <v>680</v>
      </c>
      <c r="K304" s="46" t="s">
        <v>625</v>
      </c>
      <c r="L304" s="46" t="s">
        <v>626</v>
      </c>
      <c r="M304" s="46" t="s">
        <v>627</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0" cm="1">
        <f t="array" ref="I305">Scope3_Equations.VEERG_15_6_1_1__1_EmissionsFromPurchasedLime(F305,$E$300)+
Scope3_Equations.VEERG_15_6_1_1__1_EmissionsFromPurchasedLime(G305,$E$301)+
Scope3_Equations.VEERG_15_6_1_1__1_EmissionsFromPurchasedLime(H305,$E$302)</f>
        <v>5.1839999999999994E-3</v>
      </c>
      <c r="J305" s="150"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0" cm="1">
        <f t="array" ref="I306">Scope3_Equations.VEERG_15_6_1_1__1_EmissionsFromPurchasedLime(F306,$E$300)+
Scope3_Equations.VEERG_15_6_1_1__1_EmissionsFromPurchasedLime(G306,$E$301)+
Scope3_Equations.VEERG_15_6_1_1__1_EmissionsFromPurchasedLime(H306,$E$302)</f>
        <v>4.8500000000000001E-3</v>
      </c>
      <c r="J306" s="150"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0" cm="1">
        <f t="array" ref="I307">Scope3_Equations.VEERG_15_6_1_1__1_EmissionsFromPurchasedLime(F307,$E$300)+
Scope3_Equations.VEERG_15_6_1_1__1_EmissionsFromPurchasedLime(G307,$E$301)+
Scope3_Equations.VEERG_15_6_1_1__1_EmissionsFromPurchasedLime(H307,$E$302)</f>
        <v>6.5199999999999998E-3</v>
      </c>
      <c r="J307" s="150"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0" cm="1">
        <f t="array" ref="I308">Scope3_Equations.VEERG_15_6_1_1__1_EmissionsFromPurchasedLime(F308,$E$300)+
Scope3_Equations.VEERG_15_6_1_1__1_EmissionsFromPurchasedLime(G308,$E$301)+
Scope3_Equations.VEERG_15_6_1_1__1_EmissionsFromPurchasedLime(H308,$E$302)</f>
        <v>0</v>
      </c>
      <c r="J308" s="150"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0" cm="1">
        <f t="array" ref="I309">Scope3_Equations.VEERG_15_6_1_1__1_EmissionsFromPurchasedLime(F309,$E$300)+
Scope3_Equations.VEERG_15_6_1_1__1_EmissionsFromPurchasedLime(G309,$E$301)+
Scope3_Equations.VEERG_15_6_1_1__1_EmissionsFromPurchasedLime(H309,$E$302)</f>
        <v>0</v>
      </c>
      <c r="J309" s="150"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0" cm="1">
        <f t="array" ref="I310">Scope3_Equations.VEERG_15_6_1_1__1_EmissionsFromPurchasedLime(F310,$E$300)+
Scope3_Equations.VEERG_15_6_1_1__1_EmissionsFromPurchasedLime(G310,$E$301)+
Scope3_Equations.VEERG_15_6_1_1__1_EmissionsFromPurchasedLime(H310,$E$302)</f>
        <v>0</v>
      </c>
      <c r="J310" s="150"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0" cm="1">
        <f t="array" ref="I311">Scope3_Equations.VEERG_15_6_1_1__1_EmissionsFromPurchasedLime(F311,$E$300)+
Scope3_Equations.VEERG_15_6_1_1__1_EmissionsFromPurchasedLime(G311,$E$301)+
Scope3_Equations.VEERG_15_6_1_1__1_EmissionsFromPurchasedLime(H311,$E$302)</f>
        <v>0</v>
      </c>
      <c r="J311" s="150"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0" cm="1">
        <f t="array" ref="I312">Scope3_Equations.VEERG_15_6_1_1__1_EmissionsFromPurchasedLime(F312,$E$300)+
Scope3_Equations.VEERG_15_6_1_1__1_EmissionsFromPurchasedLime(G312,$E$301)+
Scope3_Equations.VEERG_15_6_1_1__1_EmissionsFromPurchasedLime(H312,$E$302)</f>
        <v>0</v>
      </c>
      <c r="J312" s="150"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0" cm="1">
        <f t="array" ref="I313">Scope3_Equations.VEERG_15_6_1_1__1_EmissionsFromPurchasedLime(F313,$E$300)+
Scope3_Equations.VEERG_15_6_1_1__1_EmissionsFromPurchasedLime(G313,$E$301)+
Scope3_Equations.VEERG_15_6_1_1__1_EmissionsFromPurchasedLime(H313,$E$302)</f>
        <v>0</v>
      </c>
      <c r="J313" s="150"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0" cm="1">
        <f t="array" ref="I314">Scope3_Equations.VEERG_15_6_1_1__1_EmissionsFromPurchasedLime(F314,$E$300)+
Scope3_Equations.VEERG_15_6_1_1__1_EmissionsFromPurchasedLime(G314,$E$301)+
Scope3_Equations.VEERG_15_6_1_1__1_EmissionsFromPurchasedLime(H314,$E$302)</f>
        <v>0</v>
      </c>
      <c r="J314" s="150"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8" t="s">
        <v>629</v>
      </c>
      <c r="E316" s="176">
        <f>SUM(I305:I314)</f>
        <v>1.6553999999999999E-2</v>
      </c>
      <c r="F316" s="177" t="str">
        <f>$E$155</f>
        <v>t CO2e</v>
      </c>
    </row>
    <row r="317" spans="3:41" ht="20.25" x14ac:dyDescent="0.25">
      <c r="D317" s="178" t="s">
        <v>631</v>
      </c>
      <c r="E317" s="176">
        <f>SUM(J305:J314)</f>
        <v>1.4400000000000001E-2</v>
      </c>
      <c r="F317" s="177"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1" t="s">
        <v>622</v>
      </c>
      <c r="E323" s="171" t="str" cm="1">
        <f t="array" aca="1" ref="E323" ca="1">Common_InputFunctions.Utility_DisplayFunctionName(K336)</f>
        <v>=Scope3_Equations.VEERG_15_7_1_1__1_EmissionsFromPurchasedServices</v>
      </c>
    </row>
    <row r="325" spans="4:15" x14ac:dyDescent="0.25">
      <c r="H325" s="8" t="s">
        <v>849</v>
      </c>
    </row>
    <row r="326" spans="4:15" x14ac:dyDescent="0.25">
      <c r="D326" s="27" t="s">
        <v>623</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6" t="str" cm="1">
        <f t="array" ref="D329:E331">_xlfn.CHOOSECOLS(Scope3_Equations.VEERG_15_7_1_1__1_EmissionsFromPurchasedServices_Arguments(),1,2)</f>
        <v>A_p</v>
      </c>
      <c r="E329" s="170" t="str">
        <v>activity data of the service that was purchased</v>
      </c>
      <c r="F329" s="165"/>
      <c r="G329" s="166" t="str" cm="1">
        <f t="array" ref="G329:H331">_xlfn.CHOOSECOLS(Scope3_Equations.VEERG_15_7_1_1__1_EmissionsFromPurchasedServices_Arguments(),3,4)</f>
        <v>ha or h</v>
      </c>
      <c r="H329" s="167" t="str">
        <v>Input</v>
      </c>
    </row>
    <row r="330" spans="4:15" x14ac:dyDescent="0.25">
      <c r="D330" s="166" t="str">
        <v>EF_p</v>
      </c>
      <c r="E330" s="170" t="str">
        <v>life cycle emission factor for the purchased service</v>
      </c>
      <c r="F330" s="165"/>
      <c r="G330" s="166" t="str">
        <v>kg CO2e/ha or kg CO2e/h</v>
      </c>
      <c r="H330" s="168" t="str">
        <v>Constant</v>
      </c>
    </row>
    <row r="331" spans="4:15" x14ac:dyDescent="0.25">
      <c r="D331" s="166" t="str">
        <v>p</v>
      </c>
      <c r="E331" s="170" t="str">
        <v>service type</v>
      </c>
      <c r="F331" s="165"/>
      <c r="G331" s="166" t="str">
        <v/>
      </c>
      <c r="H331" s="167" t="str">
        <v>Input</v>
      </c>
    </row>
    <row r="333" spans="4:15" x14ac:dyDescent="0.25">
      <c r="D333" s="12" t="s">
        <v>687</v>
      </c>
    </row>
    <row r="335" spans="4:15" x14ac:dyDescent="0.25">
      <c r="D335" s="46" t="s">
        <v>602</v>
      </c>
      <c r="E335" s="46" t="s">
        <v>611</v>
      </c>
      <c r="F335" s="46" t="s">
        <v>606</v>
      </c>
      <c r="G335" s="46" t="s">
        <v>125</v>
      </c>
      <c r="H335" s="57" t="s">
        <v>410</v>
      </c>
      <c r="I335" s="57" t="s">
        <v>347</v>
      </c>
      <c r="J335" s="46" t="s">
        <v>411</v>
      </c>
      <c r="K335" s="57" t="s">
        <v>348</v>
      </c>
      <c r="L335" s="57" t="s">
        <v>607</v>
      </c>
      <c r="M335" s="46" t="s">
        <v>625</v>
      </c>
      <c r="N335" s="46" t="s">
        <v>626</v>
      </c>
      <c r="O335" s="46" t="s">
        <v>627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815</v>
      </c>
      <c r="I336" s="49" t="s">
        <v>815</v>
      </c>
      <c r="J336" s="66">
        <v>4</v>
      </c>
      <c r="K336" s="150"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815</v>
      </c>
      <c r="I337" s="49" t="s">
        <v>815</v>
      </c>
      <c r="J337" s="66">
        <v>2</v>
      </c>
      <c r="K337" s="150"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815</v>
      </c>
      <c r="I338" s="49" t="s">
        <v>815</v>
      </c>
      <c r="J338" s="66"/>
      <c r="K338" s="150"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815</v>
      </c>
      <c r="I339" s="49" t="s">
        <v>815</v>
      </c>
      <c r="J339" s="66"/>
      <c r="K339" s="150"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815</v>
      </c>
      <c r="I340" s="49" t="s">
        <v>815</v>
      </c>
      <c r="J340" s="66"/>
      <c r="K340" s="150"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815</v>
      </c>
      <c r="I341" s="49" t="s">
        <v>815</v>
      </c>
      <c r="J341" s="66"/>
      <c r="K341" s="150"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815</v>
      </c>
      <c r="I342" s="49" t="s">
        <v>815</v>
      </c>
      <c r="J342" s="66"/>
      <c r="K342" s="150"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815</v>
      </c>
      <c r="I343" s="49" t="s">
        <v>815</v>
      </c>
      <c r="J343" s="66"/>
      <c r="K343" s="150"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815</v>
      </c>
      <c r="I344" s="49" t="s">
        <v>815</v>
      </c>
      <c r="J344" s="66"/>
      <c r="K344" s="150"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815</v>
      </c>
      <c r="I345" s="49" t="s">
        <v>815</v>
      </c>
      <c r="J345" s="66"/>
      <c r="K345" s="150" cm="1">
        <f t="array" ref="K345">Scope3_Equations.VEERG_15_7_1_1__1_EmissionsFromPurchasedServices(F345,J345)</f>
        <v>0</v>
      </c>
      <c r="L345" s="49" t="str">
        <f t="shared" si="1"/>
        <v>t CO2e / 0</v>
      </c>
      <c r="M345" s="82"/>
      <c r="N345" s="47"/>
      <c r="O345" s="82"/>
    </row>
    <row r="347" spans="3:41" ht="20.25" x14ac:dyDescent="0.25">
      <c r="D347" s="178" t="s">
        <v>629</v>
      </c>
      <c r="E347" s="176" t="s">
        <v>815</v>
      </c>
      <c r="F347" s="177" t="str">
        <f>$E$155</f>
        <v>t CO2e</v>
      </c>
    </row>
    <row r="348" spans="3:41" ht="20.25" x14ac:dyDescent="0.25">
      <c r="D348" s="178" t="s">
        <v>631</v>
      </c>
      <c r="E348" s="176">
        <f>SUM(K336:K345)</f>
        <v>42</v>
      </c>
      <c r="F348" s="177"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1" t="s">
        <v>622</v>
      </c>
      <c r="E355" s="171" t="str" cm="1">
        <f t="array" aca="1" ref="E355" ca="1">Common_InputFunctions.Utility_DisplayFunctionName(H367)</f>
        <v>=Scope3_Equations.VEERG_15_8_1_1__1_EmissionsFromPurchasedPackaging</v>
      </c>
    </row>
    <row r="359" spans="4:13" x14ac:dyDescent="0.25">
      <c r="D359" s="27" t="s">
        <v>623</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6" t="str" cm="1">
        <f t="array" ref="D362:E364">_xlfn.CHOOSECOLS(Scope3_Equations.VEERG_15_8_1_1__1_EmissionsFromPurchasedPackaging_Arguments(),1,2)</f>
        <v>Q_p</v>
      </c>
      <c r="E362" s="166" t="str">
        <v>units of packaging type p</v>
      </c>
      <c r="F362" s="166" t="str" cm="1">
        <f t="array" ref="F362:G364">_xlfn.CHOOSECOLS(Scope3_Equations.VEERG_15_8_1_1__1_EmissionsFromPurchasedPackaging_Arguments(),3,4)</f>
        <v>units</v>
      </c>
      <c r="G362" s="167" t="str">
        <v>Input</v>
      </c>
    </row>
    <row r="363" spans="4:13" x14ac:dyDescent="0.25">
      <c r="D363" s="166" t="str">
        <v>EF_p</v>
      </c>
      <c r="E363" s="166" t="str">
        <v>emission factor for packaging type p</v>
      </c>
      <c r="F363" s="166" t="str">
        <v>kg CO2e/unit</v>
      </c>
      <c r="G363" s="168" t="str">
        <v>Constant</v>
      </c>
    </row>
    <row r="364" spans="4:13" x14ac:dyDescent="0.25">
      <c r="D364" s="166" t="str">
        <v>p</v>
      </c>
      <c r="E364" s="166" t="str">
        <v>packaging type</v>
      </c>
      <c r="F364" s="166" t="str">
        <v/>
      </c>
      <c r="G364" s="167" t="str">
        <v>Input</v>
      </c>
    </row>
    <row r="366" spans="4:13" ht="17.25" x14ac:dyDescent="0.25">
      <c r="D366" s="46" t="s">
        <v>355</v>
      </c>
      <c r="E366" s="151" t="s">
        <v>400</v>
      </c>
      <c r="F366" s="151" t="s">
        <v>688</v>
      </c>
      <c r="G366" s="57" t="s">
        <v>689</v>
      </c>
      <c r="H366" s="57" t="s">
        <v>629</v>
      </c>
      <c r="I366" s="46" t="s">
        <v>690</v>
      </c>
      <c r="J366" s="57" t="s">
        <v>631</v>
      </c>
      <c r="K366" s="46" t="s">
        <v>625</v>
      </c>
      <c r="L366" s="46" t="s">
        <v>626</v>
      </c>
      <c r="M366" s="46" t="s">
        <v>627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0" cm="1">
        <f t="array" ref="H367">Scope3_Equations.VEERG_15_8_1_1__1_EmissionsFromPurchasedPackaging(F367,G367)</f>
        <v>7.44</v>
      </c>
      <c r="I367" s="66">
        <v>3</v>
      </c>
      <c r="J367" s="150"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0" cm="1">
        <f t="array" ref="H368">Scope3_Equations.VEERG_15_8_1_1__1_EmissionsFromPurchasedPackaging(F368,G368)</f>
        <v>0</v>
      </c>
      <c r="I368" s="66"/>
      <c r="J368" s="150"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0" cm="1">
        <f t="array" ref="H369">Scope3_Equations.VEERG_15_8_1_1__1_EmissionsFromPurchasedPackaging(F369,G369)</f>
        <v>0</v>
      </c>
      <c r="I369" s="66"/>
      <c r="J369" s="150"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0" cm="1">
        <f t="array" ref="H370">Scope3_Equations.VEERG_15_8_1_1__1_EmissionsFromPurchasedPackaging(F370,G370)</f>
        <v>0</v>
      </c>
      <c r="I370" s="66"/>
      <c r="J370" s="150"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0" cm="1">
        <f t="array" ref="H371">Scope3_Equations.VEERG_15_8_1_1__1_EmissionsFromPurchasedPackaging(F371,G371)</f>
        <v>0</v>
      </c>
      <c r="I371" s="66"/>
      <c r="J371" s="150"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0" cm="1">
        <f t="array" ref="H372">Scope3_Equations.VEERG_15_8_1_1__1_EmissionsFromPurchasedPackaging(F372,G372)</f>
        <v>0</v>
      </c>
      <c r="I372" s="66"/>
      <c r="J372" s="150"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0" cm="1">
        <f t="array" ref="H373">Scope3_Equations.VEERG_15_8_1_1__1_EmissionsFromPurchasedPackaging(F373,G373)</f>
        <v>0</v>
      </c>
      <c r="I373" s="66"/>
      <c r="J373" s="150"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0" cm="1">
        <f t="array" ref="H374">Scope3_Equations.VEERG_15_8_1_1__1_EmissionsFromPurchasedPackaging(F374,G374)</f>
        <v>0</v>
      </c>
      <c r="I374" s="66"/>
      <c r="J374" s="150"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0" cm="1">
        <f t="array" ref="H375">Scope3_Equations.VEERG_15_8_1_1__1_EmissionsFromPurchasedPackaging(F375,G375)</f>
        <v>0</v>
      </c>
      <c r="I375" s="66"/>
      <c r="J375" s="150"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0" cm="1">
        <f t="array" ref="H376">Scope3_Equations.VEERG_15_8_1_1__1_EmissionsFromPurchasedPackaging(F376,G376)</f>
        <v>0</v>
      </c>
      <c r="I376" s="66"/>
      <c r="J376" s="150" cm="1">
        <f t="array" ref="J376">Scope3_Equations.VEERG_15_8_1_1__1_EmissionsFromPurchasedPackaging(F376,IF(I376,I376,G376))</f>
        <v>0</v>
      </c>
      <c r="K376" s="82"/>
      <c r="L376" s="47"/>
      <c r="M376" s="82"/>
    </row>
    <row r="378" spans="3:41" ht="20.25" x14ac:dyDescent="0.25">
      <c r="D378" s="178" t="s">
        <v>629</v>
      </c>
      <c r="E378" s="176">
        <f>SUM(H367:H376)</f>
        <v>7.44</v>
      </c>
      <c r="F378" s="177" t="str">
        <f>$E$155</f>
        <v>t CO2e</v>
      </c>
    </row>
    <row r="379" spans="3:41" ht="20.25" x14ac:dyDescent="0.25">
      <c r="D379" s="178" t="s">
        <v>631</v>
      </c>
      <c r="E379" s="176">
        <f>SUM(J367:J376)</f>
        <v>6</v>
      </c>
      <c r="F379" s="177"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1" t="s">
        <v>622</v>
      </c>
      <c r="E385" s="171" t="str" cm="1">
        <f t="array" aca="1" ref="E385" ca="1">Common_InputFunctions.Utility_DisplayFunctionName(J399)</f>
        <v>=Scope3_Equations.VEERG_15_9_1_1__1_EmissionsFromPurchasedGrowMedia</v>
      </c>
    </row>
    <row r="388" spans="4:14" x14ac:dyDescent="0.25">
      <c r="G388" s="171"/>
    </row>
    <row r="389" spans="4:14" x14ac:dyDescent="0.25">
      <c r="D389" s="27" t="s">
        <v>623</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6" t="str" cm="1">
        <f t="array" ref="D392:E394">_xlfn.CHOOSECOLS(Scope3_Equations.VEERG_15_9_1_1__1_EmissionsFromPurchasedGrowMedia_Arguments(),1,2)</f>
        <v>Q_g</v>
      </c>
      <c r="E392" s="166" t="str">
        <v>total quantity of grow media type g</v>
      </c>
      <c r="F392" s="166" t="str" cm="1">
        <f t="array" ref="F392:G394">_xlfn.CHOOSECOLS(Scope3_Equations.VEERG_15_9_1_1__1_EmissionsFromPurchasedGrowMedia_Arguments(),3,4)</f>
        <v>kg or m3</v>
      </c>
      <c r="G392" s="167" t="str">
        <v>Input</v>
      </c>
    </row>
    <row r="393" spans="4:14" x14ac:dyDescent="0.25">
      <c r="D393" s="166" t="str">
        <v>EF_g</v>
      </c>
      <c r="E393" s="166" t="str">
        <v>emission factor for grow media type g</v>
      </c>
      <c r="F393" s="166" t="str">
        <v>kg CO2e/kg or kg CO2e/m3</v>
      </c>
      <c r="G393" s="168" t="str">
        <v>Constant</v>
      </c>
    </row>
    <row r="394" spans="4:14" x14ac:dyDescent="0.25">
      <c r="D394" s="166" t="str">
        <v>g</v>
      </c>
      <c r="E394" s="166" t="str">
        <v>grow media type</v>
      </c>
      <c r="F394" s="166" t="str">
        <v/>
      </c>
      <c r="G394" s="167" t="str">
        <v>Input</v>
      </c>
    </row>
    <row r="396" spans="4:14" x14ac:dyDescent="0.25">
      <c r="D396" s="12" t="s">
        <v>687</v>
      </c>
    </row>
    <row r="398" spans="4:14" x14ac:dyDescent="0.25">
      <c r="D398" s="46" t="s">
        <v>692</v>
      </c>
      <c r="E398" s="46" t="s">
        <v>606</v>
      </c>
      <c r="F398" s="46" t="s">
        <v>125</v>
      </c>
      <c r="G398" s="57" t="s">
        <v>410</v>
      </c>
      <c r="H398" s="57" t="s">
        <v>347</v>
      </c>
      <c r="I398" s="46" t="s">
        <v>411</v>
      </c>
      <c r="J398" s="57" t="s">
        <v>348</v>
      </c>
      <c r="K398" s="57" t="s">
        <v>607</v>
      </c>
      <c r="L398" s="46" t="s">
        <v>625</v>
      </c>
      <c r="M398" s="46" t="s">
        <v>626</v>
      </c>
      <c r="N398" s="46" t="s">
        <v>627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815</v>
      </c>
      <c r="H399" s="49" t="s">
        <v>815</v>
      </c>
      <c r="I399" s="66">
        <v>4</v>
      </c>
      <c r="J399" s="150"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815</v>
      </c>
      <c r="H400" s="49" t="s">
        <v>815</v>
      </c>
      <c r="I400" s="66">
        <v>2</v>
      </c>
      <c r="J400" s="150"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815</v>
      </c>
      <c r="H401" s="49" t="s">
        <v>815</v>
      </c>
      <c r="I401" s="66"/>
      <c r="J401" s="150"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815</v>
      </c>
      <c r="H402" s="49" t="s">
        <v>815</v>
      </c>
      <c r="I402" s="66"/>
      <c r="J402" s="150"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815</v>
      </c>
      <c r="H403" s="49" t="s">
        <v>815</v>
      </c>
      <c r="I403" s="66"/>
      <c r="J403" s="150"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815</v>
      </c>
      <c r="H404" s="49" t="s">
        <v>815</v>
      </c>
      <c r="I404" s="66"/>
      <c r="J404" s="150"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815</v>
      </c>
      <c r="H405" s="49" t="s">
        <v>815</v>
      </c>
      <c r="I405" s="66"/>
      <c r="J405" s="150"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815</v>
      </c>
      <c r="H406" s="49" t="s">
        <v>815</v>
      </c>
      <c r="I406" s="66"/>
      <c r="J406" s="150"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815</v>
      </c>
      <c r="H407" s="49" t="s">
        <v>815</v>
      </c>
      <c r="I407" s="66"/>
      <c r="J407" s="150"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815</v>
      </c>
      <c r="H408" s="49" t="s">
        <v>815</v>
      </c>
      <c r="I408" s="66"/>
      <c r="J408" s="150" cm="1">
        <f t="array" ref="J408">Scope3_Equations.VEERG_15_9_1_1__1_EmissionsFromPurchasedGrowMedia(E408,I408)</f>
        <v>0</v>
      </c>
      <c r="K408" s="49" t="str">
        <f t="shared" si="2"/>
        <v>t CO2e / 0</v>
      </c>
      <c r="L408" s="82"/>
      <c r="M408" s="47"/>
      <c r="N408" s="82"/>
    </row>
    <row r="410" spans="3:41" ht="20.25" x14ac:dyDescent="0.25">
      <c r="D410" s="178" t="s">
        <v>629</v>
      </c>
      <c r="E410" s="176" t="s">
        <v>815</v>
      </c>
      <c r="F410" s="177" t="str">
        <f>$E$155</f>
        <v>t CO2e</v>
      </c>
    </row>
    <row r="411" spans="3:41" ht="20.25" x14ac:dyDescent="0.25">
      <c r="D411" s="178" t="s">
        <v>631</v>
      </c>
      <c r="E411" s="176">
        <f>SUM(J399:J408)</f>
        <v>40.200000000000003</v>
      </c>
      <c r="F411" s="177"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700</v>
      </c>
    </row>
    <row r="418" spans="4:13" x14ac:dyDescent="0.25">
      <c r="D418" s="171" t="s">
        <v>622</v>
      </c>
      <c r="E418" s="171" t="str" cm="1">
        <f t="array" aca="1" ref="E418" ca="1">Common_InputFunctions.Utility_DisplayFunctionName(H430)</f>
        <v>=Scope3_Equations.VEERG_15_10_1_1__1_OtherPurchasedGoodsAndServices</v>
      </c>
    </row>
    <row r="421" spans="4:13" x14ac:dyDescent="0.25">
      <c r="D421" s="27" t="s">
        <v>623</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6" t="str" cm="1">
        <f t="array" ref="D424:E425">_xlfn.CHOOSECOLS(Scope3_Equations.VEERG_15_10_1_1__1_OtherPurchasedGoodsAndServices_Arguments(),1,2)</f>
        <v>activity_data</v>
      </c>
      <c r="E424" s="170" t="str">
        <v>measured activity for the purchased good or service</v>
      </c>
      <c r="F424" s="165"/>
      <c r="G424" s="166" t="str" cm="1">
        <f t="array" ref="G424:H425">_xlfn.CHOOSECOLS(Scope3_Equations.VEERG_15_10_1_1__1_OtherPurchasedGoodsAndServices_Arguments(),3,4)</f>
        <v>varies</v>
      </c>
      <c r="H424" s="167" t="str">
        <v>Input</v>
      </c>
    </row>
    <row r="425" spans="4:13" x14ac:dyDescent="0.25">
      <c r="D425" s="166" t="str">
        <v>emission_factor</v>
      </c>
      <c r="E425" s="170" t="str">
        <v>lifecycle emissions per unit of activity</v>
      </c>
      <c r="F425" s="165"/>
      <c r="G425" s="166" t="str">
        <v>varies</v>
      </c>
      <c r="H425" s="168" t="str">
        <v>Constant</v>
      </c>
    </row>
    <row r="427" spans="4:13" ht="18.75" x14ac:dyDescent="0.25">
      <c r="D427" s="144" t="s">
        <v>369</v>
      </c>
    </row>
    <row r="429" spans="4:13" x14ac:dyDescent="0.25">
      <c r="D429" s="46" t="s">
        <v>355</v>
      </c>
      <c r="E429" s="151" t="s">
        <v>281</v>
      </c>
      <c r="F429" s="151" t="s">
        <v>371</v>
      </c>
      <c r="G429" s="57" t="s">
        <v>349</v>
      </c>
      <c r="H429" s="57" t="s">
        <v>629</v>
      </c>
      <c r="I429" s="46" t="s">
        <v>352</v>
      </c>
      <c r="J429" s="57" t="s">
        <v>631</v>
      </c>
      <c r="K429" s="46" t="s">
        <v>625</v>
      </c>
      <c r="L429" s="46" t="s">
        <v>626</v>
      </c>
      <c r="M429" s="46" t="s">
        <v>627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0" cm="1">
        <f t="array" ref="H430">Scope3_Equations.VEERG_15_10_1_1__1_OtherPurchasedGoodsAndServices(F430,G430*10^-3)</f>
        <v>9.0700000000000003E-2</v>
      </c>
      <c r="I430" s="66">
        <v>1.3</v>
      </c>
      <c r="J430" s="150"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0" cm="1">
        <f t="array" ref="H431">Scope3_Equations.VEERG_15_10_1_1__1_OtherPurchasedGoodsAndServices(F431,G431*10^-3)</f>
        <v>7.22E-2</v>
      </c>
      <c r="I431" s="66">
        <v>8</v>
      </c>
      <c r="J431" s="150"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0" cm="1">
        <f t="array" ref="H432">Scope3_Equations.VEERG_15_10_1_1__1_OtherPurchasedGoodsAndServices(F432,G432*10^-3)</f>
        <v>8.0399999999999999E-2</v>
      </c>
      <c r="I432" s="66">
        <v>4</v>
      </c>
      <c r="J432" s="150"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0" cm="1">
        <f t="array" ref="H433">Scope3_Equations.VEERG_15_10_1_1__1_OtherPurchasedGoodsAndServices(F433,G433*10^-3)</f>
        <v>8.0399999999999999E-2</v>
      </c>
      <c r="I433" s="66">
        <v>3</v>
      </c>
      <c r="J433" s="150"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0" cm="1">
        <f t="array" ref="H434">Scope3_Equations.VEERG_15_10_1_1__1_OtherPurchasedGoodsAndServices(F434,G434*10^-3)</f>
        <v>9.0700000000000003E-2</v>
      </c>
      <c r="I434" s="66">
        <v>6</v>
      </c>
      <c r="J434" s="150"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0" cm="1">
        <f t="array" ref="H435">Scope3_Equations.VEERG_15_10_1_1__1_OtherPurchasedGoodsAndServices(F435,G435*10^-3)</f>
        <v>9.0700000000000003E-2</v>
      </c>
      <c r="I435" s="66">
        <v>5</v>
      </c>
      <c r="J435" s="150"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0" cm="1">
        <f t="array" ref="H436">Scope3_Equations.VEERG_15_10_1_1__1_OtherPurchasedGoodsAndServices(F436,G436*10^-3)</f>
        <v>0</v>
      </c>
      <c r="I436" s="66"/>
      <c r="J436" s="150"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0" cm="1">
        <f t="array" ref="H437">Scope3_Equations.VEERG_15_10_1_1__1_OtherPurchasedGoodsAndServices(F437,G437*10^-3)</f>
        <v>0</v>
      </c>
      <c r="I437" s="66"/>
      <c r="J437" s="150"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0" cm="1">
        <f t="array" ref="H438">Scope3_Equations.VEERG_15_10_1_1__1_OtherPurchasedGoodsAndServices(F438,G438*10^-3)</f>
        <v>0</v>
      </c>
      <c r="I438" s="66"/>
      <c r="J438" s="150"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0" cm="1">
        <f t="array" ref="H439">Scope3_Equations.VEERG_15_10_1_1__1_OtherPurchasedGoodsAndServices(F439,G439*10^-3)</f>
        <v>0</v>
      </c>
      <c r="I439" s="66"/>
      <c r="J439" s="150" cm="1">
        <f t="array" ref="J439">Scope3_Equations.VEERG_15_10_1_1__1_OtherPurchasedGoodsAndServices(F439,IF(I439,I439,G439)*10^-3)</f>
        <v>0</v>
      </c>
      <c r="K439" s="82"/>
      <c r="L439" s="47"/>
      <c r="M439" s="82"/>
    </row>
    <row r="441" spans="4:13" ht="20.25" x14ac:dyDescent="0.25">
      <c r="D441" s="178" t="s">
        <v>629</v>
      </c>
      <c r="E441" s="176">
        <f>SUM(H430:H439)</f>
        <v>0.50509999999999999</v>
      </c>
      <c r="F441" s="177" t="str">
        <f>$E$155</f>
        <v>t CO2e</v>
      </c>
    </row>
    <row r="442" spans="4:13" ht="20.25" x14ac:dyDescent="0.25">
      <c r="D442" s="178" t="s">
        <v>631</v>
      </c>
      <c r="E442" s="176">
        <f>SUM(J430:J439)</f>
        <v>2.73</v>
      </c>
      <c r="F442" s="177" t="str">
        <f>$E$155</f>
        <v>t CO2e</v>
      </c>
    </row>
    <row r="445" spans="4:13" ht="18.75" x14ac:dyDescent="0.25">
      <c r="D445" s="144" t="s">
        <v>370</v>
      </c>
    </row>
    <row r="447" spans="4:13" x14ac:dyDescent="0.25">
      <c r="D447" s="46" t="s">
        <v>355</v>
      </c>
      <c r="E447" s="151" t="s">
        <v>281</v>
      </c>
      <c r="F447" s="151" t="s">
        <v>368</v>
      </c>
      <c r="G447" s="57" t="s">
        <v>613</v>
      </c>
      <c r="H447" s="57" t="s">
        <v>629</v>
      </c>
      <c r="I447" s="46" t="s">
        <v>614</v>
      </c>
      <c r="J447" s="57" t="s">
        <v>631</v>
      </c>
      <c r="K447" s="46" t="s">
        <v>625</v>
      </c>
      <c r="L447" s="46" t="s">
        <v>626</v>
      </c>
      <c r="M447" s="46" t="s">
        <v>627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0" cm="1">
        <f t="array" ref="H448">Scope3_Equations.VEERG_15_10_1_1__1_OtherPurchasedGoodsAndServices(F448,G448*10^-3)</f>
        <v>5.47E-3</v>
      </c>
      <c r="I448" s="66">
        <v>0.05</v>
      </c>
      <c r="J448" s="150"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0" cm="1">
        <f t="array" ref="H449">Scope3_Equations.VEERG_15_10_1_1__1_OtherPurchasedGoodsAndServices(F449,G449*10^-3)</f>
        <v>1.42E-3</v>
      </c>
      <c r="I449" s="66">
        <v>0.01</v>
      </c>
      <c r="J449" s="150"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0" cm="1">
        <f t="array" ref="H450">Scope3_Equations.VEERG_15_10_1_1__1_OtherPurchasedGoodsAndServices(F450,G450*10^-3)</f>
        <v>1.4300000000000001E-3</v>
      </c>
      <c r="I450" s="66">
        <v>0.01</v>
      </c>
      <c r="J450" s="150"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0" cm="1">
        <f t="array" ref="H451">Scope3_Equations.VEERG_15_10_1_1__1_OtherPurchasedGoodsAndServices(F451,G451*10^-3)</f>
        <v>4.26E-4</v>
      </c>
      <c r="I451" s="66">
        <v>4.0000000000000001E-3</v>
      </c>
      <c r="J451" s="150"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0" cm="1">
        <f t="array" ref="H452">Scope3_Equations.VEERG_15_10_1_1__1_OtherPurchasedGoodsAndServices(F452,G452*10^-3)</f>
        <v>5.47E-3</v>
      </c>
      <c r="I452" s="66">
        <v>0.05</v>
      </c>
      <c r="J452" s="150"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0" cm="1">
        <f t="array" ref="H453">Scope3_Equations.VEERG_15_10_1_1__1_OtherPurchasedGoodsAndServices(F453,G453*10^-3)</f>
        <v>1.42E-3</v>
      </c>
      <c r="I453" s="66">
        <v>0.01</v>
      </c>
      <c r="J453" s="150"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0" cm="1">
        <f t="array" ref="H454">Scope3_Equations.VEERG_15_10_1_1__1_OtherPurchasedGoodsAndServices(F454,G454*10^-3)</f>
        <v>0</v>
      </c>
      <c r="I454" s="66"/>
      <c r="J454" s="150"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0" cm="1">
        <f t="array" ref="H455">Scope3_Equations.VEERG_15_10_1_1__1_OtherPurchasedGoodsAndServices(F455,G455*10^-3)</f>
        <v>0</v>
      </c>
      <c r="I455" s="66"/>
      <c r="J455" s="150"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0" cm="1">
        <f t="array" ref="H456">Scope3_Equations.VEERG_15_10_1_1__1_OtherPurchasedGoodsAndServices(F456,G456*10^-3)</f>
        <v>0</v>
      </c>
      <c r="I456" s="66"/>
      <c r="J456" s="150"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0" cm="1">
        <f t="array" ref="H457">Scope3_Equations.VEERG_15_10_1_1__1_OtherPurchasedGoodsAndServices(F457,G457*10^-3)</f>
        <v>0</v>
      </c>
      <c r="I457" s="66"/>
      <c r="J457" s="150" cm="1">
        <f t="array" ref="J457">Scope3_Equations.VEERG_15_10_1_1__1_OtherPurchasedGoodsAndServices(F457,IF(I457,I457,G457)*10^-3)</f>
        <v>0</v>
      </c>
      <c r="K457" s="82"/>
      <c r="L457" s="47"/>
      <c r="M457" s="82"/>
    </row>
    <row r="459" spans="4:13" ht="20.25" x14ac:dyDescent="0.25">
      <c r="D459" s="178" t="s">
        <v>629</v>
      </c>
      <c r="E459" s="176">
        <f>SUM(H448:H457)</f>
        <v>1.5636000000000001E-2</v>
      </c>
      <c r="F459" s="177" t="str">
        <f>$E$155</f>
        <v>t CO2e</v>
      </c>
    </row>
    <row r="460" spans="4:13" ht="20.25" x14ac:dyDescent="0.25">
      <c r="D460" s="178" t="s">
        <v>631</v>
      </c>
      <c r="E460" s="176">
        <f>SUM(J448:J457)</f>
        <v>1.3400000000000002E-2</v>
      </c>
      <c r="F460" s="177" t="str">
        <f>$E$155</f>
        <v>t CO2e</v>
      </c>
    </row>
    <row r="463" spans="4:13" ht="18.75" x14ac:dyDescent="0.25">
      <c r="D463" s="144" t="s">
        <v>406</v>
      </c>
    </row>
    <row r="465" spans="4:12" x14ac:dyDescent="0.25">
      <c r="D465" s="46" t="s">
        <v>169</v>
      </c>
      <c r="E465" s="46" t="s">
        <v>701</v>
      </c>
      <c r="F465" s="57" t="s">
        <v>613</v>
      </c>
      <c r="G465" s="57" t="s">
        <v>629</v>
      </c>
      <c r="H465" s="46" t="s">
        <v>614</v>
      </c>
      <c r="I465" s="57" t="s">
        <v>631</v>
      </c>
      <c r="J465" s="46" t="s">
        <v>625</v>
      </c>
      <c r="K465" s="46" t="s">
        <v>626</v>
      </c>
      <c r="L465" s="46" t="s">
        <v>627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0" cm="1">
        <f t="array" ref="G466">Scope3_Equations.VEERG_15_10_1_1__1_OtherPurchasedGoodsAndServices(E466,F466*10^-3)</f>
        <v>0.1195</v>
      </c>
      <c r="H466" s="66">
        <v>0.2</v>
      </c>
      <c r="I466" s="150"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0" cm="1">
        <f t="array" ref="G467">Scope3_Equations.VEERG_15_10_1_1__1_OtherPurchasedGoodsAndServices(E467,F467*10^-3)</f>
        <v>0.1086</v>
      </c>
      <c r="H467" s="66"/>
      <c r="I467" s="150"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0" cm="1">
        <f t="array" ref="G468">Scope3_Equations.VEERG_15_10_1_1__1_OtherPurchasedGoodsAndServices(E468,F468*10^-3)</f>
        <v>0.189</v>
      </c>
      <c r="H468" s="66">
        <v>0.2</v>
      </c>
      <c r="I468" s="150"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0" cm="1">
        <f t="array" ref="G469">Scope3_Equations.VEERG_15_10_1_1__1_OtherPurchasedGoodsAndServices(E469,F469*10^-3)</f>
        <v>0.18560000000000001</v>
      </c>
      <c r="H469" s="66"/>
      <c r="I469" s="150"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0" cm="1">
        <f t="array" ref="G470">Scope3_Equations.VEERG_15_10_1_1__1_OtherPurchasedGoodsAndServices(E470,F470*10^-3)</f>
        <v>0.2412</v>
      </c>
      <c r="H470" s="66">
        <v>0.2</v>
      </c>
      <c r="I470" s="150" cm="1">
        <f t="array" ref="I470">Scope3_Equations.VEERG_15_10_1_1__1_OtherPurchasedGoodsAndServices(E470,IF(H470,H470,F470)*10^-3)</f>
        <v>0.18000000000000002</v>
      </c>
      <c r="J470" s="82"/>
      <c r="K470" s="47"/>
      <c r="L470" s="82"/>
    </row>
    <row r="472" spans="4:12" ht="20.25" x14ac:dyDescent="0.25">
      <c r="D472" s="178" t="s">
        <v>629</v>
      </c>
      <c r="E472" s="176">
        <f>SUM(G466:G470)</f>
        <v>0.84389999999999998</v>
      </c>
      <c r="F472" s="177" t="str">
        <f>$E$155</f>
        <v>t CO2e</v>
      </c>
    </row>
    <row r="473" spans="4:12" ht="20.25" x14ac:dyDescent="0.25">
      <c r="D473" s="178" t="s">
        <v>631</v>
      </c>
      <c r="E473" s="176">
        <f>SUM(I466:I470)</f>
        <v>0.71420000000000006</v>
      </c>
      <c r="F473" s="177" t="str">
        <f>$E$155</f>
        <v>t CO2e</v>
      </c>
    </row>
    <row r="476" spans="4:12" ht="18.75" x14ac:dyDescent="0.25">
      <c r="D476" s="144" t="s">
        <v>702</v>
      </c>
    </row>
    <row r="478" spans="4:12" x14ac:dyDescent="0.25">
      <c r="D478" s="46" t="s">
        <v>169</v>
      </c>
      <c r="E478" s="46" t="s">
        <v>701</v>
      </c>
      <c r="F478" s="57" t="s">
        <v>613</v>
      </c>
      <c r="G478" s="57" t="s">
        <v>629</v>
      </c>
      <c r="H478" s="46" t="s">
        <v>614</v>
      </c>
      <c r="I478" s="57" t="s">
        <v>631</v>
      </c>
      <c r="J478" s="46" t="s">
        <v>625</v>
      </c>
      <c r="K478" s="46" t="s">
        <v>626</v>
      </c>
      <c r="L478" s="46" t="s">
        <v>627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0" cm="1">
        <f t="array" ref="G479">Scope3_Equations.VEERG_15_10_1_1__1_OtherPurchasedGoodsAndServices(E479,F479*10^-3)</f>
        <v>4.2399999999999998E-3</v>
      </c>
      <c r="H479" s="66">
        <v>0.2</v>
      </c>
      <c r="I479" s="150"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0" cm="1">
        <f t="array" ref="G480">Scope3_Equations.VEERG_15_10_1_1__1_OtherPurchasedGoodsAndServices(E480,F480*10^-3)</f>
        <v>5.8599999999999998E-3</v>
      </c>
      <c r="H480" s="66"/>
      <c r="I480" s="150"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0" cm="1">
        <f t="array" ref="G481">Scope3_Equations.VEERG_15_10_1_1__1_OtherPurchasedGoodsAndServices(E481,F481*10^-3)</f>
        <v>2.9430000000000005</v>
      </c>
      <c r="H481" s="66">
        <v>0.2</v>
      </c>
      <c r="I481" s="150" cm="1">
        <f t="array" ref="I481">Scope3_Equations.VEERG_15_10_1_1__1_OtherPurchasedGoodsAndServices(E481,IF(H481,H481,F481)*10^-3)</f>
        <v>6.0000000000000005E-2</v>
      </c>
      <c r="J481" s="82"/>
      <c r="K481" s="47"/>
      <c r="L481" s="82"/>
    </row>
    <row r="483" spans="4:14" ht="20.25" x14ac:dyDescent="0.25">
      <c r="D483" s="178" t="s">
        <v>629</v>
      </c>
      <c r="E483" s="176">
        <f>SUM(G479:G481)</f>
        <v>2.9531000000000005</v>
      </c>
      <c r="F483" s="177" t="str">
        <f>$E$155</f>
        <v>t CO2e</v>
      </c>
    </row>
    <row r="484" spans="4:14" ht="20.25" x14ac:dyDescent="0.25">
      <c r="D484" s="178" t="s">
        <v>631</v>
      </c>
      <c r="E484" s="176">
        <f>SUM(I479:I481)</f>
        <v>8.5860000000000006E-2</v>
      </c>
      <c r="F484" s="177" t="str">
        <f>$E$155</f>
        <v>t CO2e</v>
      </c>
    </row>
    <row r="487" spans="4:14" ht="18.75" x14ac:dyDescent="0.25">
      <c r="D487" s="144" t="s">
        <v>703</v>
      </c>
    </row>
    <row r="489" spans="4:14" x14ac:dyDescent="0.25">
      <c r="D489" s="46" t="s">
        <v>169</v>
      </c>
      <c r="E489" s="46" t="s">
        <v>594</v>
      </c>
      <c r="F489" s="46" t="s">
        <v>125</v>
      </c>
      <c r="G489" s="57" t="s">
        <v>410</v>
      </c>
      <c r="H489" s="57" t="s">
        <v>347</v>
      </c>
      <c r="I489" s="46" t="s">
        <v>411</v>
      </c>
      <c r="J489" s="46" t="s">
        <v>698</v>
      </c>
      <c r="K489" s="57" t="s">
        <v>348</v>
      </c>
      <c r="L489" s="46" t="s">
        <v>625</v>
      </c>
      <c r="M489" s="46" t="s">
        <v>626</v>
      </c>
      <c r="N489" s="46" t="s">
        <v>627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815</v>
      </c>
      <c r="H490" s="49" t="s">
        <v>815</v>
      </c>
      <c r="I490" s="66">
        <v>4</v>
      </c>
      <c r="J490" s="47" t="s">
        <v>699</v>
      </c>
      <c r="K490" s="150"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815</v>
      </c>
      <c r="H491" s="49" t="s">
        <v>815</v>
      </c>
      <c r="I491" s="66">
        <v>2</v>
      </c>
      <c r="J491" s="47" t="s">
        <v>699</v>
      </c>
      <c r="K491" s="150" cm="1">
        <f t="array" ref="K491">Scope3_Equations.VEERG_15_10_1_1__1_OtherPurchasedGoodsAndServices(E491,IF(J491="kg / amount unit", I491*10^-3, I491))</f>
        <v>0</v>
      </c>
      <c r="L491" s="82"/>
      <c r="M491" s="47"/>
      <c r="N491" s="82"/>
    </row>
    <row r="492" spans="4:14" x14ac:dyDescent="0.25">
      <c r="D492" s="49">
        <v>0</v>
      </c>
      <c r="E492" s="49">
        <v>0</v>
      </c>
      <c r="F492" s="49">
        <v>0</v>
      </c>
      <c r="G492" s="49" t="s">
        <v>815</v>
      </c>
      <c r="H492" s="49" t="s">
        <v>815</v>
      </c>
      <c r="I492" s="66"/>
      <c r="J492" s="47"/>
      <c r="K492" s="150" cm="1">
        <f t="array" ref="K492">Scope3_Equations.VEERG_15_10_1_1__1_OtherPurchasedGoodsAndServices(E492,IF(J492="kg / amount unit", I492*10^-3, I492))</f>
        <v>0</v>
      </c>
      <c r="L492" s="82"/>
      <c r="M492" s="47"/>
      <c r="N492" s="82"/>
    </row>
    <row r="493" spans="4:14" x14ac:dyDescent="0.25">
      <c r="D493" s="49">
        <v>0</v>
      </c>
      <c r="E493" s="49">
        <v>0</v>
      </c>
      <c r="F493" s="49">
        <v>0</v>
      </c>
      <c r="G493" s="49" t="s">
        <v>815</v>
      </c>
      <c r="H493" s="49" t="s">
        <v>815</v>
      </c>
      <c r="I493" s="66"/>
      <c r="J493" s="47"/>
      <c r="K493" s="150" cm="1">
        <f t="array" ref="K493">Scope3_Equations.VEERG_15_10_1_1__1_OtherPurchasedGoodsAndServices(E493,IF(J493="kg / amount unit", I493*10^-3, I493))</f>
        <v>0</v>
      </c>
      <c r="L493" s="82"/>
      <c r="M493" s="47"/>
      <c r="N493" s="82"/>
    </row>
    <row r="494" spans="4:14" x14ac:dyDescent="0.25">
      <c r="D494" s="49">
        <v>0</v>
      </c>
      <c r="E494" s="49">
        <v>0</v>
      </c>
      <c r="F494" s="49">
        <v>0</v>
      </c>
      <c r="G494" s="49" t="s">
        <v>815</v>
      </c>
      <c r="H494" s="49" t="s">
        <v>815</v>
      </c>
      <c r="I494" s="66"/>
      <c r="J494" s="47"/>
      <c r="K494" s="150" cm="1">
        <f t="array" ref="K494">Scope3_Equations.VEERG_15_10_1_1__1_OtherPurchasedGoodsAndServices(E494,IF(J494="kg / amount unit", I494*10^-3, I494))</f>
        <v>0</v>
      </c>
      <c r="L494" s="82"/>
      <c r="M494" s="47"/>
      <c r="N494" s="82"/>
    </row>
    <row r="495" spans="4:14" x14ac:dyDescent="0.25">
      <c r="D495" s="49">
        <v>0</v>
      </c>
      <c r="E495" s="49">
        <v>0</v>
      </c>
      <c r="F495" s="49">
        <v>0</v>
      </c>
      <c r="G495" s="49" t="s">
        <v>815</v>
      </c>
      <c r="H495" s="49" t="s">
        <v>815</v>
      </c>
      <c r="I495" s="66"/>
      <c r="J495" s="47"/>
      <c r="K495" s="150" cm="1">
        <f t="array" ref="K495">Scope3_Equations.VEERG_15_10_1_1__1_OtherPurchasedGoodsAndServices(E495,IF(J495="kg / amount unit", I495*10^-3, I495))</f>
        <v>0</v>
      </c>
      <c r="L495" s="82"/>
      <c r="M495" s="47"/>
      <c r="N495" s="82"/>
    </row>
    <row r="496" spans="4:14" x14ac:dyDescent="0.25">
      <c r="D496" s="49">
        <v>0</v>
      </c>
      <c r="E496" s="49">
        <v>0</v>
      </c>
      <c r="F496" s="49">
        <v>0</v>
      </c>
      <c r="G496" s="49" t="s">
        <v>815</v>
      </c>
      <c r="H496" s="49" t="s">
        <v>815</v>
      </c>
      <c r="I496" s="66"/>
      <c r="J496" s="47"/>
      <c r="K496" s="150" cm="1">
        <f t="array" ref="K496">Scope3_Equations.VEERG_15_10_1_1__1_OtherPurchasedGoodsAndServices(E496,IF(J496="kg / amount unit", I496*10^-3, I496))</f>
        <v>0</v>
      </c>
      <c r="L496" s="82"/>
      <c r="M496" s="47"/>
      <c r="N496" s="82"/>
    </row>
    <row r="497" spans="3:41" x14ac:dyDescent="0.25">
      <c r="D497" s="49">
        <v>0</v>
      </c>
      <c r="E497" s="49">
        <v>0</v>
      </c>
      <c r="F497" s="49">
        <v>0</v>
      </c>
      <c r="G497" s="49" t="s">
        <v>815</v>
      </c>
      <c r="H497" s="49" t="s">
        <v>815</v>
      </c>
      <c r="I497" s="66"/>
      <c r="J497" s="47"/>
      <c r="K497" s="150" cm="1">
        <f t="array" ref="K497">Scope3_Equations.VEERG_15_10_1_1__1_OtherPurchasedGoodsAndServices(E497,IF(J497="kg / amount unit", I497*10^-3, I497))</f>
        <v>0</v>
      </c>
      <c r="L497" s="82"/>
      <c r="M497" s="47"/>
      <c r="N497" s="82"/>
    </row>
    <row r="498" spans="3:41" x14ac:dyDescent="0.25">
      <c r="D498" s="49">
        <v>0</v>
      </c>
      <c r="E498" s="49">
        <v>0</v>
      </c>
      <c r="F498" s="49">
        <v>0</v>
      </c>
      <c r="G498" s="49" t="s">
        <v>815</v>
      </c>
      <c r="H498" s="49" t="s">
        <v>815</v>
      </c>
      <c r="I498" s="66"/>
      <c r="J498" s="47"/>
      <c r="K498" s="150" cm="1">
        <f t="array" ref="K498">Scope3_Equations.VEERG_15_10_1_1__1_OtherPurchasedGoodsAndServices(E498,IF(J498="kg / amount unit", I498*10^-3, I498))</f>
        <v>0</v>
      </c>
      <c r="L498" s="82"/>
      <c r="M498" s="47"/>
      <c r="N498" s="82"/>
    </row>
    <row r="499" spans="3:41" x14ac:dyDescent="0.25">
      <c r="D499" s="49">
        <v>0</v>
      </c>
      <c r="E499" s="49">
        <v>0</v>
      </c>
      <c r="F499" s="49">
        <v>0</v>
      </c>
      <c r="G499" s="49" t="s">
        <v>815</v>
      </c>
      <c r="H499" s="49" t="s">
        <v>815</v>
      </c>
      <c r="I499" s="66"/>
      <c r="J499" s="47"/>
      <c r="K499" s="150" cm="1">
        <f t="array" ref="K499">Scope3_Equations.VEERG_15_10_1_1__1_OtherPurchasedGoodsAndServices(E499,IF(J499="kg / amount unit", I499*10^-3, I499))</f>
        <v>0</v>
      </c>
      <c r="L499" s="82"/>
      <c r="M499" s="47"/>
      <c r="N499" s="82"/>
    </row>
    <row r="501" spans="3:41" ht="20.25" x14ac:dyDescent="0.25">
      <c r="D501" s="178" t="s">
        <v>629</v>
      </c>
      <c r="E501" s="176" t="s">
        <v>815</v>
      </c>
      <c r="F501" s="177" t="str">
        <f>$E$155</f>
        <v>t CO2e</v>
      </c>
    </row>
    <row r="502" spans="3:41" ht="20.25" x14ac:dyDescent="0.25">
      <c r="D502" s="178" t="s">
        <v>631</v>
      </c>
      <c r="E502" s="176">
        <f>SUM(K490:K499)</f>
        <v>4000</v>
      </c>
      <c r="F502" s="177"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1" t="s">
        <v>622</v>
      </c>
      <c r="E508" s="171" t="str">
        <f ca="1">Common_InputFunctions.Utility_DisplayFunctionName(VEERG_15_11_1_1__1_TotalUpstreamEmissionsFromFuel_Result)</f>
        <v>=Scope3_Equations.VEERG_15_11_1_1__1_TotalUpstreamEmissionsFromFuel</v>
      </c>
    </row>
    <row r="512" spans="3:41" x14ac:dyDescent="0.25">
      <c r="D512" s="27" t="s">
        <v>623</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6" t="str" cm="1">
        <f t="array" ref="D515:E516">_xlfn.CHOOSECOLS(Scope3_Equations.VEERG_15_11_1_1__1_TotalUpstreamEmissionsFromFuel_Arguments(),1,2)</f>
        <v>E_WTTtransq</v>
      </c>
      <c r="E515" s="170" t="str">
        <v>upstream emissions from scope 1 transport fuel use</v>
      </c>
      <c r="F515" s="165"/>
      <c r="G515" s="166" t="str" cm="1">
        <f t="array" ref="G515:H516">_xlfn.CHOOSECOLS(Scope3_Equations.VEERG_15_11_1_1__1_TotalUpstreamEmissionsFromFuel_Arguments(),3,4)</f>
        <v>t CO2e</v>
      </c>
      <c r="H515" s="168" t="str">
        <v>Calculated by 15.11.1.1 (2)</v>
      </c>
      <c r="I515" s="166">
        <f>VEERG_8_1_1_1__1_FuelCombustionTransport_Result</f>
        <v>20.5016</v>
      </c>
    </row>
    <row r="516" spans="3:41" x14ac:dyDescent="0.25">
      <c r="D516" s="166" t="str">
        <v>E_WTTSCq</v>
      </c>
      <c r="E516" s="170" t="str">
        <v>upstream emissions from scope 1 stationary combustion fuel use</v>
      </c>
      <c r="F516" s="165"/>
      <c r="G516" s="166" t="str">
        <v>t CO2e</v>
      </c>
      <c r="H516" s="168" t="str">
        <v>Calculated by 15.11.1.1 (3)</v>
      </c>
      <c r="I516" s="166">
        <f>VEERG_8_2_1_1__1_FuelCombustionStationary_Result</f>
        <v>6.2923999999999998</v>
      </c>
    </row>
    <row r="518" spans="3:41" ht="20.25" x14ac:dyDescent="0.25">
      <c r="D518" s="178" t="s">
        <v>737</v>
      </c>
      <c r="E518" s="176" cm="1">
        <f t="array" ref="E518">Scope3_Equations.VEERG_15_11_1_1__1_TotalUpstreamEmissionsFromFuel(I515,I516)</f>
        <v>26.794</v>
      </c>
      <c r="F518" s="177"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1" t="s">
        <v>622</v>
      </c>
      <c r="E523" s="171" t="str">
        <f ca="1">Common_InputFunctions.Utility_DisplayFunctionName(VEERG_15_12_1_1__1_UpstreamPurchasedElectricityLocationBased_Result)</f>
        <v>=Scope3_Equations.VEERG_15_12_1_1__1_UpstreamPurchasedElectricityLocationBased</v>
      </c>
    </row>
    <row r="526" spans="3:41" x14ac:dyDescent="0.25">
      <c r="D526" s="27" t="s">
        <v>623</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6" t="str" cm="1">
        <f t="array" ref="D529:E531">_xlfn.CHOOSECOLS(Scope3_Equations.VEERG_15_12_1_1__1_UpstreamPurchasedElectricityLocationBased_Arguments(),1,2)</f>
        <v>Q_elec</v>
      </c>
      <c r="E529" s="166" t="str">
        <v>amount of electricity purchased from the grid</v>
      </c>
      <c r="F529" s="166"/>
      <c r="G529" s="166" t="str" cm="1">
        <f t="array" ref="G529:H531">_xlfn.CHOOSECOLS(Scope3_Equations.VEERG_15_12_1_1__1_UpstreamPurchasedElectricityLocationBased_Arguments(),3,4)</f>
        <v>kWh</v>
      </c>
      <c r="H529" s="167" t="str">
        <v>Input</v>
      </c>
      <c r="I529" s="170">
        <f>X_Cell_Electricity_Location_AmountPurchasedInkWh</f>
        <v>30000</v>
      </c>
      <c r="J529" s="165"/>
    </row>
    <row r="530" spans="3:41" x14ac:dyDescent="0.25">
      <c r="D530" s="166" t="str">
        <v>EF_3elec</v>
      </c>
      <c r="E530" s="166" t="str">
        <v>scope 3 emission factor for purchased electricity</v>
      </c>
      <c r="F530" s="166"/>
      <c r="G530" s="166" t="str">
        <v>kg CO2e/kWh</v>
      </c>
      <c r="H530" s="168" t="str">
        <v>Constant</v>
      </c>
      <c r="I530" s="170" cm="1">
        <f t="array" ref="I530">Common_InputFunctions.Utility_LookupValueInTableNumber(I531,Table_SourceData_ElectricityEFs[State, Territory or grid description],Table_SourceData_ElectricityEFs[Scope 3 Emission Factors (kg CO2-e/kWh)])</f>
        <v>0.09</v>
      </c>
      <c r="J530" s="165"/>
    </row>
    <row r="531" spans="3:41" x14ac:dyDescent="0.25">
      <c r="D531" s="166" t="str">
        <v>g</v>
      </c>
      <c r="E531" s="170" t="str">
        <v>grid electricity was purchased from</v>
      </c>
      <c r="F531" s="165"/>
      <c r="G531" s="166" t="str">
        <v/>
      </c>
      <c r="H531" s="167" t="str">
        <v>Input</v>
      </c>
      <c r="I531" s="170" t="str">
        <f>X_Cell_Electricity_Location_GridElectricityPurchasedFrom</f>
        <v>Western Australia - North Western Interconnected System (NWIS)</v>
      </c>
      <c r="J531" s="165"/>
    </row>
    <row r="533" spans="3:41" ht="20.25" x14ac:dyDescent="0.25">
      <c r="D533" s="178" t="s">
        <v>738</v>
      </c>
      <c r="E533" s="176" cm="1">
        <f t="array" ref="E533">Scope3_Equations.VEERG_15_12_1_1__1_UpstreamPurchasedElectricityLocationBased(I529,I530)</f>
        <v>2.7</v>
      </c>
      <c r="F533" s="177"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1" t="s">
        <v>622</v>
      </c>
      <c r="E540" s="171"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623</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6" t="str" cm="1">
        <f t="array" ref="D547:E553">_xlfn.CHOOSECOLS(Scope3_Equations.VEERG_15_12_1_2__1_UpstreamPurchasedElectricityMarketBased_Arguments(),1,2)</f>
        <v>Q_elec</v>
      </c>
      <c r="E547" s="170" t="str">
        <v>amount of electricity purchased from the grid</v>
      </c>
      <c r="F547" s="165"/>
      <c r="G547" s="166" t="str" cm="1">
        <f t="array" ref="G547:H553">_xlfn.CHOOSECOLS(Scope3_Equations.VEERG_15_12_1_2__1_UpstreamPurchasedElectricityMarketBased_Arguments(),3,4)</f>
        <v>kWh</v>
      </c>
      <c r="H547" s="167" t="str">
        <v>Input</v>
      </c>
      <c r="I547" s="203">
        <f>X_Cell_Electricity_Market_AmountPurchasedExcludingGreenPower</f>
        <v>30000</v>
      </c>
    </row>
    <row r="548" spans="3:41" x14ac:dyDescent="0.25">
      <c r="D548" s="166" t="str">
        <v>RPP</v>
      </c>
      <c r="E548" s="170" t="str">
        <v>renewable power percentage under LRET for the applicable period</v>
      </c>
      <c r="F548" s="165"/>
      <c r="G548" s="166" t="str">
        <v>fraction</v>
      </c>
      <c r="H548" s="167" t="str">
        <v>Input</v>
      </c>
      <c r="I548" s="202">
        <f>X_Cell_Electricity_Market_RenewablePowerPercentage</f>
        <v>0.1</v>
      </c>
    </row>
    <row r="549" spans="3:41" x14ac:dyDescent="0.25">
      <c r="D549" s="166" t="str">
        <v>JRPP</v>
      </c>
      <c r="E549" s="170" t="str">
        <v>jurisdictional renewable power percentage for the applicable period</v>
      </c>
      <c r="F549" s="165"/>
      <c r="G549" s="166" t="str">
        <v>fraction</v>
      </c>
      <c r="H549" s="167" t="str">
        <v>Input</v>
      </c>
      <c r="I549" s="202">
        <f>X_Cell_Electricity_Market_JurisdictionalRenewablePowerPercentage</f>
        <v>0.1</v>
      </c>
    </row>
    <row r="550" spans="3:41" x14ac:dyDescent="0.25">
      <c r="D550" s="166" t="str">
        <v>REC_surrendered</v>
      </c>
      <c r="E550" s="170" t="str">
        <v>eligible renewable energy certificates voluntarily surrendered</v>
      </c>
      <c r="F550" s="165"/>
      <c r="G550" s="166" t="str">
        <v>MWh</v>
      </c>
      <c r="H550" s="167" t="str">
        <v>Input</v>
      </c>
      <c r="I550" s="166">
        <f>(X_Cell_Electricity_Market_AmountPurchasedGreenPower*10^-3)+X_Cell_TotalElegibleVoluntarilySurrenderedRECs</f>
        <v>20</v>
      </c>
    </row>
    <row r="551" spans="3:41" x14ac:dyDescent="0.25">
      <c r="D551" s="166" t="str">
        <v>REC_onsite</v>
      </c>
      <c r="E551" s="170" t="str">
        <v>eligible renewable energy certificates issued for onsite generated electricity</v>
      </c>
      <c r="F551" s="165"/>
      <c r="G551" s="166" t="str">
        <v>MWh</v>
      </c>
      <c r="H551" s="167" t="str">
        <v>Input</v>
      </c>
      <c r="I551" s="166">
        <f>X_Cell_TotalElegibleRECsForElectricityProducedOnSite</f>
        <v>11</v>
      </c>
    </row>
    <row r="552" spans="3:41" x14ac:dyDescent="0.25">
      <c r="D552" s="166" t="str">
        <v>EF_RMF3elec</v>
      </c>
      <c r="E552" s="170" t="str">
        <v>scope 3 residual mix emission factor for electricity</v>
      </c>
      <c r="F552" s="165"/>
      <c r="G552" s="166" t="str">
        <v>kg CO2e/kWh</v>
      </c>
      <c r="H552" s="168" t="str">
        <v>Constant</v>
      </c>
      <c r="I552" s="166" cm="1">
        <f t="array" ref="I552">Table_SourceData_ElectricityEFsMarketBased[Scope 3 EF (kg CO2-e/kWh)]</f>
        <v>0.1</v>
      </c>
    </row>
    <row r="553" spans="3:41" x14ac:dyDescent="0.25">
      <c r="D553" s="166" t="str">
        <v>i</v>
      </c>
      <c r="E553" s="170" t="str">
        <v>state</v>
      </c>
      <c r="F553" s="165"/>
      <c r="G553" s="166" t="str">
        <v/>
      </c>
      <c r="H553" s="167" t="str">
        <v>Input</v>
      </c>
      <c r="I553" s="166" t="str">
        <f>X_Cell_Site_State</f>
        <v>Western Australia</v>
      </c>
    </row>
    <row r="555" spans="3:41" ht="20.25" x14ac:dyDescent="0.25">
      <c r="D555" s="178" t="s">
        <v>738</v>
      </c>
      <c r="E555" s="176" cm="1">
        <f t="array" ref="E555">Scope3_Equations.VEERG_15_12_1_2__1_UpstreamPurchasedElectricityMarketBasedVariation(I547,I548,I549,I550,I551,I552)</f>
        <v>1.5</v>
      </c>
      <c r="F555" s="177"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1" t="s">
        <v>622</v>
      </c>
      <c r="E561" s="171" t="str" cm="1">
        <f t="array" aca="1" ref="E561" ca="1">Common_InputFunctions.Utility_DisplayFunctionName(E573)</f>
        <v>=Scope3_Equations.VEERG_15_13_1_1__1_EmissionsFromManureSentOffSite</v>
      </c>
    </row>
    <row r="564" spans="4:18" x14ac:dyDescent="0.25">
      <c r="D564" s="27" t="s">
        <v>623</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404</v>
      </c>
      <c r="L567" s="7" t="s">
        <v>405</v>
      </c>
    </row>
    <row r="569" spans="4:18" x14ac:dyDescent="0.25">
      <c r="D569" s="166" t="str" cm="1">
        <f t="array" ref="D569:E571">_xlfn.CHOOSECOLS(Scope3_Equations.VEERG_15_13_1_1__1_EmissionsFromManureSentOffSite_Arguments(),1,2)</f>
        <v>E_N2O</v>
      </c>
      <c r="E569" s="170" t="str">
        <v>direct nitrous oxide emissions from application of manure to soils outside of scope 1 boundary</v>
      </c>
      <c r="F569" s="204"/>
      <c r="G569" s="165"/>
      <c r="H569" s="166" t="str" cm="1">
        <f t="array" ref="H569:I571">_xlfn.CHOOSECOLS(Scope3_Equations.VEERG_15_13_1_1__1_EmissionsFromManureSentOffSite_Arguments(),3,4)</f>
        <v>t N2O</v>
      </c>
      <c r="I569" s="168" t="str">
        <v>Calculated</v>
      </c>
      <c r="J569" s="166">
        <f>VEERG_5_2_1_1__1_OrganicFertiliserApplicationN2OEmissions_Result_Method1</f>
        <v>7.8571428571428577E-3</v>
      </c>
      <c r="L569" s="166" t="str" cm="1">
        <f t="array" ref="L569:M571">_xlfn.CHOOSECOLS(Scope3_Equations.VEERG_15_13_1_1__1_EmissionsFromManureSentOffSite_Arguments(),1,2)</f>
        <v>E_N2O</v>
      </c>
      <c r="M569" s="170" t="str">
        <v>direct nitrous oxide emissions from application of manure to soils outside of scope 1 boundary</v>
      </c>
      <c r="N569" s="204"/>
      <c r="O569" s="165"/>
      <c r="P569" s="166" t="str" cm="1">
        <f t="array" ref="P569:Q571">_xlfn.CHOOSECOLS(Scope3_Equations.VEERG_15_13_1_1__1_EmissionsFromManureSentOffSite_Arguments(),3,4)</f>
        <v>t N2O</v>
      </c>
      <c r="Q569" s="168" t="str">
        <v>Calculated</v>
      </c>
      <c r="R569" s="166">
        <f>VEERG_5_2_1_1__1_OrganicFertiliserApplicationN2OEmissions_Result_Method2</f>
        <v>1.5714285714285715E-2</v>
      </c>
    </row>
    <row r="570" spans="4:18" x14ac:dyDescent="0.25">
      <c r="D570" s="166" t="str">
        <v>E_ad</v>
      </c>
      <c r="E570" s="170" t="str">
        <v>nitrous oxide emissions from atmospheric deposition of manure to soils</v>
      </c>
      <c r="F570" s="204"/>
      <c r="G570" s="165"/>
      <c r="H570" s="166" t="str">
        <v>t N2O</v>
      </c>
      <c r="I570" s="168" t="str">
        <v>Calculated</v>
      </c>
      <c r="J570" s="166">
        <f>VEERG_5_4_1_3__1_OrganicFertiliserAtmosphericDepositionN2OEmissions_Result_Method1</f>
        <v>2.31E-3</v>
      </c>
      <c r="L570" s="166" t="str">
        <v>E_ad</v>
      </c>
      <c r="M570" s="170" t="str">
        <v>nitrous oxide emissions from atmospheric deposition of manure to soils</v>
      </c>
      <c r="N570" s="204"/>
      <c r="O570" s="165"/>
      <c r="P570" s="166" t="str">
        <v>t N2O</v>
      </c>
      <c r="Q570" s="168" t="str">
        <v>Calculated</v>
      </c>
      <c r="R570" s="166">
        <f>VEERG_5_4_1_3__1_OrganicFertiliserAtmosphericDepositionN2OEmissions_Result_Method2</f>
        <v>4.62E-3</v>
      </c>
    </row>
    <row r="571" spans="4:18" x14ac:dyDescent="0.25">
      <c r="D571" s="166" t="str">
        <v>E_leach</v>
      </c>
      <c r="E571" s="170" t="str">
        <v>nitrous oxide emissions from nitrogen leaching and runoff of manure to soils</v>
      </c>
      <c r="F571" s="204"/>
      <c r="G571" s="165"/>
      <c r="H571" s="166" t="str">
        <v>t N2O</v>
      </c>
      <c r="I571" s="168" t="str">
        <v>Calculated</v>
      </c>
      <c r="J571" s="166">
        <f>VEERG_5_5_1_1__1_FertiliserLeachingAndRunoffN2OEmissions_Result_Method1</f>
        <v>4.1485714285714277E-3</v>
      </c>
      <c r="L571" s="166" t="str">
        <v>E_leach</v>
      </c>
      <c r="M571" s="170" t="str">
        <v>nitrous oxide emissions from nitrogen leaching and runoff of manure to soils</v>
      </c>
      <c r="N571" s="204"/>
      <c r="O571" s="165"/>
      <c r="P571" s="166" t="str">
        <v>t N2O</v>
      </c>
      <c r="Q571" s="168" t="str">
        <v>Calculated</v>
      </c>
      <c r="R571" s="166">
        <f>VEERG_5_5_1_1__1_FertiliserLeachingAndRunoffN2OEmissions_Result_Method2</f>
        <v>8.2971428571428554E-3</v>
      </c>
    </row>
    <row r="573" spans="4:18" ht="20.25" x14ac:dyDescent="0.25">
      <c r="D573" s="178" t="s">
        <v>738</v>
      </c>
      <c r="E573" s="176" cm="1">
        <f t="array" ref="E573">Scope3_Equations.VEERG_15_13_1_1__1_EmissionsFromManureSentOffSite(J569,J570,J571)</f>
        <v>1.4315714285714286E-2</v>
      </c>
      <c r="F573" s="177" t="str">
        <f>$E$565</f>
        <v>t N2O</v>
      </c>
      <c r="L573" s="178" t="s">
        <v>738</v>
      </c>
      <c r="M573" s="176" cm="1">
        <f t="array" ref="M573">Scope3_Equations.VEERG_15_13_1_1__1_EmissionsFromManureSentOffSite(R569,R570,R571)</f>
        <v>2.8631428571428572E-2</v>
      </c>
      <c r="N573" s="177" t="str">
        <f>$E$565</f>
        <v>t N2O</v>
      </c>
    </row>
    <row r="575" spans="4:18" x14ac:dyDescent="0.25">
      <c r="D575" s="205" t="str" cm="1">
        <f t="array" ref="D575:E576">Common_Equations.Common_ConvertN2OToCO2e_Arguments()</f>
        <v>EN2O</v>
      </c>
      <c r="E575" s="206" t="str">
        <v>Nitrous oxide emissions (t N2O)</v>
      </c>
      <c r="F575" s="207"/>
      <c r="G575" s="49">
        <f>E573</f>
        <v>1.4315714285714286E-2</v>
      </c>
      <c r="L575" s="205" t="str" cm="1">
        <f t="array" ref="L575:M576">Common_Equations.Common_ConvertN2OToCO2e_Arguments()</f>
        <v>EN2O</v>
      </c>
      <c r="M575" s="206" t="str">
        <v>Nitrous oxide emissions (t N2O)</v>
      </c>
      <c r="N575" s="207"/>
      <c r="O575" s="49">
        <f>M573</f>
        <v>2.8631428571428572E-2</v>
      </c>
    </row>
    <row r="576" spans="4:18" x14ac:dyDescent="0.25">
      <c r="D576" s="205" t="str">
        <v>GWPN2O</v>
      </c>
      <c r="E576" s="206" t="str">
        <v>Global warming potential for nitrous oxide (t CO2-e / t N2O)</v>
      </c>
      <c r="F576" s="207"/>
      <c r="G576" s="49">
        <f>Common_InputFunctions.Utility_LookupValueInTableNumber("N2O",Table_GWPData[Gas],Table_GWPData[CO2-e factor])</f>
        <v>265</v>
      </c>
      <c r="L576" s="205" t="str">
        <v>GWPN2O</v>
      </c>
      <c r="M576" s="206" t="str">
        <v>Global warming potential for nitrous oxide (t CO2-e / t N2O)</v>
      </c>
      <c r="N576" s="207"/>
      <c r="O576" s="49">
        <f>Common_InputFunctions.Utility_LookupValueInTableNumber("N2O",Table_GWPData[Gas],Table_GWPData[CO2-e factor])</f>
        <v>265</v>
      </c>
    </row>
    <row r="578" spans="3:41" ht="18.75" x14ac:dyDescent="0.25">
      <c r="D578" s="98" t="s">
        <v>743</v>
      </c>
      <c r="E578" s="98" cm="1">
        <f t="array" ref="E578">Common_Equations.Common_ConvertN2OToCO2e(G575,G576)</f>
        <v>3.7936642857142857</v>
      </c>
      <c r="F578" s="174" t="str" cm="1">
        <f t="array" ref="F578">Common_Equations.Common_ConvertN2OToCO2e_Unit()</f>
        <v>t CO2e</v>
      </c>
      <c r="L578" s="98" t="s">
        <v>743</v>
      </c>
      <c r="M578" s="98" cm="1">
        <f t="array" ref="M578">Common_Equations.Common_ConvertN2OToCO2e(O575,O576)</f>
        <v>7.5873285714285714</v>
      </c>
      <c r="N578" s="174"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623</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8" t="s">
        <v>738</v>
      </c>
      <c r="E588" s="176">
        <f>VEERG_10_1_1_1__1_EmissionsFromWasteManagement_Scope3_Result_Method1</f>
        <v>441.15000000000003</v>
      </c>
      <c r="F588" s="177"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1" t="s">
        <v>622</v>
      </c>
      <c r="E594" s="171" t="str" cm="1">
        <f t="array" aca="1" ref="E594" ca="1">Common_InputFunctions.Utility_DisplayFunctionName(J609)</f>
        <v>=Scope3_Equations.VEERG_15_14_1_1__1_EmbeddedEmissionsFromUpstreamFreight</v>
      </c>
    </row>
    <row r="598" spans="4:13" x14ac:dyDescent="0.25">
      <c r="D598" s="27" t="s">
        <v>623</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6" t="str" cm="1">
        <f t="array" ref="D601:E604">_xlfn.CHOOSECOLS(Scope3_Equations.VEERG_15_14_1_1__1_EmbeddedEmissionsFromUpstreamFreight_Arguments(),1,2)</f>
        <v>W_f</v>
      </c>
      <c r="E601" s="170" t="str">
        <v>total mass of goods transported per freight type f</v>
      </c>
      <c r="F601" s="165"/>
      <c r="G601" s="166" t="str" cm="1">
        <f t="array" ref="G601:H604">_xlfn.CHOOSECOLS(Scope3_Equations.VEERG_15_14_1_1__1_EmbeddedEmissionsFromUpstreamFreight_Arguments(),3,4)</f>
        <v>t</v>
      </c>
      <c r="H601" s="167" t="str">
        <v>Input</v>
      </c>
    </row>
    <row r="602" spans="4:13" x14ac:dyDescent="0.25">
      <c r="D602" s="166" t="str">
        <v>D_f</v>
      </c>
      <c r="E602" s="170" t="str">
        <v>total distance transported per freight type f</v>
      </c>
      <c r="F602" s="165"/>
      <c r="G602" s="166" t="str">
        <v>km</v>
      </c>
      <c r="H602" s="167" t="str">
        <v>Input</v>
      </c>
    </row>
    <row r="603" spans="4:13" x14ac:dyDescent="0.25">
      <c r="D603" s="166" t="str">
        <v>EF_f</v>
      </c>
      <c r="E603" s="170" t="str">
        <v>emission factor for freight type f</v>
      </c>
      <c r="F603" s="165"/>
      <c r="G603" s="166" t="str">
        <v>t CO2e/(t km)</v>
      </c>
      <c r="H603" s="168" t="str">
        <v>Constant</v>
      </c>
    </row>
    <row r="604" spans="4:13" x14ac:dyDescent="0.25">
      <c r="D604" s="166" t="str">
        <v>f</v>
      </c>
      <c r="E604" s="170" t="str">
        <v>freight type</v>
      </c>
      <c r="F604" s="165"/>
      <c r="G604" s="166" t="str">
        <v/>
      </c>
      <c r="H604" s="167" t="str">
        <v>Input</v>
      </c>
    </row>
    <row r="606" spans="4:13" ht="18.75" x14ac:dyDescent="0.25">
      <c r="D606" s="144" t="s">
        <v>799</v>
      </c>
    </row>
    <row r="608" spans="4:13" ht="17.25" x14ac:dyDescent="0.25">
      <c r="D608" s="46" t="s">
        <v>800</v>
      </c>
      <c r="E608" s="46" t="s">
        <v>812</v>
      </c>
      <c r="F608" s="46" t="s">
        <v>813</v>
      </c>
      <c r="G608" s="57" t="s">
        <v>814</v>
      </c>
      <c r="H608" s="57" t="s">
        <v>629</v>
      </c>
      <c r="I608" s="46" t="s">
        <v>665</v>
      </c>
      <c r="J608" s="57" t="s">
        <v>631</v>
      </c>
      <c r="K608" s="46" t="s">
        <v>625</v>
      </c>
      <c r="L608" s="46" t="s">
        <v>626</v>
      </c>
      <c r="M608" s="46" t="s">
        <v>627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815</v>
      </c>
      <c r="H609" s="49" t="s">
        <v>815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815</v>
      </c>
      <c r="H610" s="49" t="s">
        <v>815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815</v>
      </c>
      <c r="H611" s="49" t="s">
        <v>815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815</v>
      </c>
      <c r="H612" s="49" t="s">
        <v>815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815</v>
      </c>
      <c r="H613" s="49" t="s">
        <v>815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815</v>
      </c>
      <c r="H614" s="49" t="s">
        <v>815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815</v>
      </c>
      <c r="H615" s="49" t="s">
        <v>815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815</v>
      </c>
      <c r="H616" s="49" t="s">
        <v>815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815</v>
      </c>
      <c r="H617" s="49" t="s">
        <v>815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815</v>
      </c>
      <c r="H618" s="49" t="s">
        <v>815</v>
      </c>
      <c r="I618" s="66"/>
      <c r="J618" s="49" cm="1">
        <f t="array" ref="J618">Scope3_Equations.VEERG_15_14_1_1__1_EmbeddedEmissionsFromUpstreamFreight(E618,F618,I618)</f>
        <v>0</v>
      </c>
      <c r="K618" s="82"/>
      <c r="L618" s="47"/>
      <c r="M618" s="82"/>
    </row>
    <row r="620" spans="4:13" x14ac:dyDescent="0.25">
      <c r="D620" s="173" t="s">
        <v>818</v>
      </c>
      <c r="E620" s="98" t="s">
        <v>815</v>
      </c>
      <c r="F620" s="174" t="str">
        <f>$E$104</f>
        <v>t CO2e</v>
      </c>
    </row>
    <row r="621" spans="4:13" x14ac:dyDescent="0.25">
      <c r="D621" s="173" t="s">
        <v>819</v>
      </c>
      <c r="E621" s="98">
        <f>SUM(J609:J618)</f>
        <v>5146700</v>
      </c>
      <c r="F621" s="174" t="str">
        <f>$E$104</f>
        <v>t CO2e</v>
      </c>
    </row>
    <row r="624" spans="4:13" ht="18.75" x14ac:dyDescent="0.25">
      <c r="D624" s="144" t="s">
        <v>807</v>
      </c>
    </row>
    <row r="626" spans="4:13" ht="17.25" x14ac:dyDescent="0.25">
      <c r="D626" s="46" t="s">
        <v>800</v>
      </c>
      <c r="E626" s="46" t="s">
        <v>812</v>
      </c>
      <c r="F626" s="46" t="s">
        <v>813</v>
      </c>
      <c r="G626" s="57" t="s">
        <v>814</v>
      </c>
      <c r="H626" s="57" t="s">
        <v>629</v>
      </c>
      <c r="I626" s="46" t="s">
        <v>665</v>
      </c>
      <c r="J626" s="57" t="s">
        <v>631</v>
      </c>
      <c r="K626" s="46" t="s">
        <v>625</v>
      </c>
      <c r="L626" s="46" t="s">
        <v>626</v>
      </c>
      <c r="M626" s="46" t="s">
        <v>627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815</v>
      </c>
      <c r="H627" s="49" t="s">
        <v>815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815</v>
      </c>
      <c r="H628" s="49" t="s">
        <v>815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815</v>
      </c>
      <c r="H629" s="49" t="s">
        <v>815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815</v>
      </c>
      <c r="H630" s="49" t="s">
        <v>815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815</v>
      </c>
      <c r="H631" s="49" t="s">
        <v>815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815</v>
      </c>
      <c r="H632" s="49" t="s">
        <v>815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815</v>
      </c>
      <c r="H633" s="49" t="s">
        <v>815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815</v>
      </c>
      <c r="H634" s="49" t="s">
        <v>815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815</v>
      </c>
      <c r="H635" s="49" t="s">
        <v>815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815</v>
      </c>
      <c r="H636" s="49" t="s">
        <v>815</v>
      </c>
      <c r="I636" s="66"/>
      <c r="J636" s="49" cm="1">
        <f t="array" ref="J636">Scope3_Equations.VEERG_15_14_1_1__1_EmbeddedEmissionsFromUpstreamFreight(E636,F636,I636)</f>
        <v>0</v>
      </c>
      <c r="K636" s="82"/>
      <c r="L636" s="47"/>
      <c r="M636" s="82"/>
    </row>
    <row r="638" spans="4:13" x14ac:dyDescent="0.25">
      <c r="D638" s="173" t="s">
        <v>816</v>
      </c>
      <c r="E638" s="98" t="s">
        <v>815</v>
      </c>
      <c r="F638" s="174" t="str">
        <f>$E$104</f>
        <v>t CO2e</v>
      </c>
    </row>
    <row r="639" spans="4:13" x14ac:dyDescent="0.25">
      <c r="D639" s="173" t="s">
        <v>817</v>
      </c>
      <c r="E639" s="98">
        <f>SUM(J627:J636)</f>
        <v>432640</v>
      </c>
      <c r="F639" s="174" t="str">
        <f>$E$104</f>
        <v>t CO2e</v>
      </c>
    </row>
    <row r="641" spans="4:6" ht="20.25" x14ac:dyDescent="0.25">
      <c r="D641" s="175" t="s">
        <v>629</v>
      </c>
      <c r="E641" s="176" t="s">
        <v>815</v>
      </c>
      <c r="F641" s="177" t="str">
        <f>$E$104</f>
        <v>t CO2e</v>
      </c>
    </row>
    <row r="642" spans="4:6" ht="20.25" x14ac:dyDescent="0.25">
      <c r="D642" s="175" t="s">
        <v>631</v>
      </c>
      <c r="E642" s="176">
        <f>VEERG_15_14_1_1__1_EmbeddedEmissionsFromUpstreamFreight_Incoming_Result_Method2+VEERG_15_14_1_1__1_EmbeddedEmissionsFromUpstreamFreight_Outgoing_Result_Method2</f>
        <v>5579340</v>
      </c>
      <c r="F642" s="177"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3E2F-9D12-4CED-AF18-868F39C93906}">
  <sheetPr>
    <tabColor rgb="FF008000"/>
  </sheetPr>
  <dimension ref="A1:L342"/>
  <sheetViews>
    <sheetView showGridLines="0" topLeftCell="A17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784</v>
      </c>
    </row>
    <row r="2" spans="1:12" s="2" customFormat="1" ht="20.100000000000001" customHeight="1" x14ac:dyDescent="0.25">
      <c r="A2"/>
    </row>
    <row r="3" spans="1:12" ht="20.100000000000001" customHeight="1" x14ac:dyDescent="0.25">
      <c r="A3" s="16" t="str">
        <f>HYPERLINK("#'Overview'!A1", "Overview")</f>
        <v>Overview</v>
      </c>
      <c r="C3" s="5"/>
      <c r="D3" s="5" t="s">
        <v>404</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1" t="s">
        <v>622</v>
      </c>
      <c r="E7" s="171"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96</v>
      </c>
      <c r="E11" s="13" t="str" cm="1">
        <f t="array" ref="E11">WasteSolid_Equations.VEERG_10_1_1_1__2_MassOfWasteFromVolume_Unit()</f>
        <v>t</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c r="D13" s="166" t="str" cm="1">
        <f t="array" ref="D13:E16">_xlfn.CHOOSECOLS(WasteSolid_Equations.VEERG_10_1_1_1__2_MassOfWasteFromVolume_Arguments(),1,2)</f>
        <v>V_wt</v>
      </c>
      <c r="E13" s="170" t="str">
        <v>volume of solid waste type w being sent to treatment facility t</v>
      </c>
      <c r="F13" s="165"/>
      <c r="G13" s="166" t="str" cm="1">
        <f t="array" ref="G13:H16">_xlfn.CHOOSECOLS(WasteSolid_Equations.VEERG_10_1_1_1__2_MassOfWasteFromVolume_Arguments(),3,4)</f>
        <v>m3</v>
      </c>
      <c r="H13" s="230" t="str">
        <v>Input</v>
      </c>
      <c r="I13" s="169" t="str" cm="1">
        <f t="array" aca="1" ref="I13" ca="1">HYPERLINK(Common_InputFunctions.Utility_SourceHyperlink($D$18),$D$18)</f>
        <v>Table_V_w_t_onsite</v>
      </c>
      <c r="J13" s="169" t="str" cm="1">
        <f t="array" aca="1" ref="J13" ca="1">HYPERLINK(Common_InputFunctions.Utility_SourceHyperlink($D$56),$D$56)</f>
        <v>Table_V_w_t_offsite</v>
      </c>
    </row>
    <row r="14" spans="1:12" ht="20.100000000000001" customHeight="1" x14ac:dyDescent="0.25">
      <c r="A14" s="16" t="str">
        <f>HYPERLINK("#'Input - Pig purchases'!A1", "Pig purchases")</f>
        <v>Pig purchases</v>
      </c>
      <c r="D14" s="166" t="str">
        <v>VTM_w</v>
      </c>
      <c r="E14" s="170" t="str">
        <v>conversion factor of volume to mass for waste type w</v>
      </c>
      <c r="F14" s="165"/>
      <c r="G14" s="166" t="str">
        <v>t/m3</v>
      </c>
      <c r="H14" s="168" t="str">
        <v>Constant</v>
      </c>
      <c r="I14" s="169" t="str" cm="1">
        <f t="array" aca="1" ref="I14" ca="1">HYPERLINK(Common_InputFunctions.Utility_SourceHyperlink($D$18),$D$18)</f>
        <v>Table_V_w_t_onsite</v>
      </c>
      <c r="J14" s="169" t="str" cm="1">
        <f t="array" aca="1" ref="J14" ca="1">HYPERLINK(Common_InputFunctions.Utility_SourceHyperlink($D$56),$D$56)</f>
        <v>Table_V_w_t_offsite</v>
      </c>
    </row>
    <row r="15" spans="1:12" ht="20.100000000000001" customHeight="1" x14ac:dyDescent="0.25">
      <c r="A15" s="16" t="str">
        <f>HYPERLINK("#'Input - Poultry purchases'!A1", "Poultry purchases")</f>
        <v>Poultry purchases</v>
      </c>
      <c r="D15" s="166" t="str">
        <v>w</v>
      </c>
      <c r="E15" s="170" t="str">
        <v>waste type</v>
      </c>
      <c r="F15" s="165"/>
      <c r="G15" s="166" t="str">
        <v/>
      </c>
      <c r="H15" s="230" t="str">
        <v>Input</v>
      </c>
      <c r="I15" s="169" t="str" cm="1">
        <f t="array" aca="1" ref="I15" ca="1">HYPERLINK(Common_InputFunctions.Utility_SourceHyperlink($D$18),$D$18)</f>
        <v>Table_V_w_t_onsite</v>
      </c>
      <c r="J15" s="169" t="str" cm="1">
        <f t="array" aca="1" ref="J15" ca="1">HYPERLINK(Common_InputFunctions.Utility_SourceHyperlink($D$56),$D$56)</f>
        <v>Table_V_w_t_offsite</v>
      </c>
    </row>
    <row r="16" spans="1:12" ht="20.100000000000001" customHeight="1" x14ac:dyDescent="0.25">
      <c r="A16" s="16" t="str">
        <f>HYPERLINK("#'Input - Freight'!A1", "Freight")</f>
        <v>Freight</v>
      </c>
      <c r="D16" s="166" t="str">
        <v>t</v>
      </c>
      <c r="E16" s="170" t="str">
        <v>treatment facility</v>
      </c>
      <c r="F16" s="165"/>
      <c r="G16" s="166" t="str">
        <v/>
      </c>
      <c r="H16" s="230" t="str">
        <v>Input</v>
      </c>
      <c r="I16" s="169" t="str" cm="1">
        <f t="array" aca="1" ref="I16" ca="1">HYPERLINK(Common_InputFunctions.Utility_SourceHyperlink($D$18),$D$18)</f>
        <v>Table_V_w_t_onsite</v>
      </c>
      <c r="J16" s="169" t="str" cm="1">
        <f t="array" aca="1" ref="J16" ca="1">HYPERLINK(Common_InputFunctions.Utility_SourceHyperlink($D$56),$D$56)</f>
        <v>Table_V_w_t_offsite</v>
      </c>
    </row>
    <row r="17" spans="1:9" ht="20.100000000000001" customHeight="1" x14ac:dyDescent="0.25">
      <c r="A17" s="16" t="str">
        <f>HYPERLINK("#'Input - Solid waste'!A1", "Solid waste")</f>
        <v>Solid waste</v>
      </c>
    </row>
    <row r="18" spans="1:9" ht="20.100000000000001" customHeight="1" x14ac:dyDescent="0.25">
      <c r="A18" s="16" t="str">
        <f>HYPERLINK("#'Input - Manure sent off-site'!A1", "Manure sent off-site")</f>
        <v>Manure sent off-site</v>
      </c>
      <c r="D18" s="55" t="s">
        <v>785</v>
      </c>
    </row>
    <row r="19" spans="1:9" ht="20.100000000000001" customHeight="1" x14ac:dyDescent="0.25">
      <c r="A19" s="16" t="str">
        <f>HYPERLINK("#'Input - Electricity'!A1", "Electricity")</f>
        <v>Electricity</v>
      </c>
      <c r="D19" s="56" t="s">
        <v>786</v>
      </c>
    </row>
    <row r="20" spans="1:9" ht="20.100000000000001" customHeight="1" x14ac:dyDescent="0.25">
      <c r="A20"/>
      <c r="D20" s="46" t="s">
        <v>787</v>
      </c>
      <c r="E20" s="46" t="s">
        <v>788</v>
      </c>
      <c r="F20" s="46"/>
      <c r="G20" s="46" t="s">
        <v>789</v>
      </c>
      <c r="H20" s="57" t="s">
        <v>790</v>
      </c>
      <c r="I20" s="57" t="s">
        <v>791</v>
      </c>
    </row>
    <row r="21" spans="1:9" ht="20.100000000000001" customHeight="1" x14ac:dyDescent="0.25">
      <c r="A21"/>
      <c r="D21" s="166" t="str" cm="1">
        <f t="array" ref="D21:D54">Table_SourceData_WasteSolid_WasteTreatmentEFs[Treatment type t]</f>
        <v>Landfill</v>
      </c>
      <c r="E21" s="170" t="str" cm="1">
        <f t="array" ref="E21:E54">Table_SourceData_WasteSolid_WasteTreatmentEFs[Waste type w]</f>
        <v>Food waste (including animal carcasses, spoiled animal feed or crop)</v>
      </c>
      <c r="F21" s="208"/>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21" t="s">
        <v>77</v>
      </c>
      <c r="D22" s="166" t="str">
        <v>Landfill</v>
      </c>
      <c r="E22" s="170" t="str">
        <v>Paper and cardboard</v>
      </c>
      <c r="F22" s="208"/>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HYPERLINK("#'15 Scope 3'!A1", "15 Scope 3")</f>
        <v>15 Scope 3</v>
      </c>
      <c r="D23" s="166" t="str">
        <v>Landfill</v>
      </c>
      <c r="E23" s="170" t="str">
        <v>Green waste (including crop residues or prunings)</v>
      </c>
      <c r="F23" s="208"/>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79" t="str">
        <f>HYPERLINK("#'10.1.1-2 Solid waste treatment'!A1", "10.1.1-2 Solid waste treatment")</f>
        <v>10.1.1-2 Solid waste treatment</v>
      </c>
      <c r="D24" s="166" t="str">
        <v>Landfill</v>
      </c>
      <c r="E24" s="170" t="str">
        <v>Wood</v>
      </c>
      <c r="F24" s="208"/>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HYPERLINK("#'Calcs - Manure sent off-site'!A1", "Calcs - Manure sent off-site")</f>
        <v>Calcs - Manure sent off-site</v>
      </c>
      <c r="D25" s="166" t="str">
        <v>Landfill</v>
      </c>
      <c r="E25" s="170" t="str">
        <v>Textiles</v>
      </c>
      <c r="F25" s="208"/>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s="16" t="str">
        <f>HYPERLINK("#'8.1.1.1-2 Transport fuel'!A1", "8.1.1.1-2 Transport fuel")</f>
        <v>8.1.1.1-2 Transport fuel</v>
      </c>
      <c r="D26" s="166" t="str">
        <v>Landfill</v>
      </c>
      <c r="E26" s="170" t="str">
        <v>Sludge</v>
      </c>
      <c r="F26" s="208"/>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16" t="str">
        <f>HYPERLINK("#'8.2.1.1-2 Stationary fuel'!A1", "8.2.1.1-2 Stationary fuel")</f>
        <v>8.2.1.1-2 Stationary fuel</v>
      </c>
      <c r="D27" s="166" t="str">
        <v>Landfill</v>
      </c>
      <c r="E27" s="170" t="str">
        <v>Rubber and leather</v>
      </c>
      <c r="F27" s="208"/>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c r="D28" s="166" t="str">
        <v>Landfill</v>
      </c>
      <c r="E28" s="170" t="str">
        <v>Inert waste (including concrete, metal, plastic or glass)</v>
      </c>
      <c r="F28" s="208"/>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c r="D29" s="166" t="str">
        <v>Landfill</v>
      </c>
      <c r="E29" s="170" t="str">
        <v>Municipal solid waste</v>
      </c>
      <c r="F29" s="208"/>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221" t="s">
        <v>78</v>
      </c>
      <c r="D30" s="166" t="str">
        <v>Landfill</v>
      </c>
      <c r="E30" s="170" t="str">
        <v>Commercial and industrial waste</v>
      </c>
      <c r="F30" s="208"/>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Scope 3'!A1", "Constants - Scope 3")</f>
        <v>Constants - Scope 3</v>
      </c>
      <c r="D31" s="166" t="str">
        <v>Landfill</v>
      </c>
      <c r="E31" s="170" t="str">
        <v>Construction and demolition waste</v>
      </c>
      <c r="F31" s="208"/>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Solid Waste'!A1", "Constants - Solid Waste")</f>
        <v>Constants - Solid Waste</v>
      </c>
      <c r="D32" s="166" t="str">
        <v>Incineration</v>
      </c>
      <c r="E32" s="170" t="str">
        <v>Food waste, green waste, wood, sludge</v>
      </c>
      <c r="F32" s="208"/>
      <c r="G32" s="49" t="s">
        <v>838</v>
      </c>
      <c r="H32" s="49" t="s">
        <v>838</v>
      </c>
      <c r="I32" s="49" t="s">
        <v>838</v>
      </c>
    </row>
    <row r="33" spans="1:9" ht="20.100000000000001" customHeight="1" x14ac:dyDescent="0.25">
      <c r="A33" s="16" t="str">
        <f>HYPERLINK("#'Constants - Fuel'!A1", "Constants - Fuel")</f>
        <v>Constants - Fuel</v>
      </c>
      <c r="D33" s="166" t="str">
        <v>Incineration</v>
      </c>
      <c r="E33" s="170" t="str">
        <v>Food waste (including animal carcasses, spoiled animal feed or crop)</v>
      </c>
      <c r="F33" s="208"/>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Poultry'!A1", "Constants - Poultry")</f>
        <v>Constants - Poultry</v>
      </c>
      <c r="D34" s="166" t="str">
        <v>Incineration</v>
      </c>
      <c r="E34" s="170" t="str">
        <v>Green waste (including crop residues or prunings)</v>
      </c>
      <c r="F34" s="208"/>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16" t="str">
        <f>HYPERLINK("#'Constants - Swine'!A1", "Constants - Swine")</f>
        <v>Constants - Swine</v>
      </c>
      <c r="D35" s="166" t="str">
        <v>Incineration</v>
      </c>
      <c r="E35" s="170" t="str">
        <v>Wood</v>
      </c>
      <c r="F35" s="208"/>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Dairy'!A1", "Constants - Dairy")</f>
        <v>Constants - Dairy</v>
      </c>
      <c r="D36" s="166" t="str">
        <v>Incineration</v>
      </c>
      <c r="E36" s="170" t="str">
        <v>Sludge</v>
      </c>
      <c r="F36" s="208"/>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Pasture Beef'!A1", "Constants - Pasture Beef")</f>
        <v>Constants - Pasture Beef</v>
      </c>
      <c r="D37" s="166" t="str">
        <v>Incineration</v>
      </c>
      <c r="E37" s="170" t="str">
        <v>Paper and cardboard</v>
      </c>
      <c r="F37" s="208"/>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Common Livestock'!A1", "Constants - Common Livestock")</f>
        <v>Constants - Common Livestock</v>
      </c>
      <c r="D38" s="166" t="str">
        <v>Incineration</v>
      </c>
      <c r="E38" s="170" t="str">
        <v>Textiles</v>
      </c>
      <c r="F38" s="208"/>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Fertiliser'!A1", "Constants - Fertiliser")</f>
        <v>Constants - Fertiliser</v>
      </c>
      <c r="D39" s="166" t="str">
        <v>Incineration</v>
      </c>
      <c r="E39" s="170" t="str">
        <v>Rubber and leather</v>
      </c>
      <c r="F39" s="208"/>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Electricity'!A1", "Constants - Electricity")</f>
        <v>Constants - Electricity</v>
      </c>
      <c r="D40" s="166" t="str">
        <v>Incineration</v>
      </c>
      <c r="E40" s="166" t="str">
        <v>Inert waste (including concrete, metal, plastic or glass)</v>
      </c>
      <c r="F40" s="166"/>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Common'!A1", "Constants - Common")</f>
        <v>Constants - Common</v>
      </c>
      <c r="D41" s="166" t="str">
        <v>Incineration</v>
      </c>
      <c r="E41" s="170" t="str">
        <v>Municipal solid waste</v>
      </c>
      <c r="F41" s="165"/>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c r="D42" s="166" t="str">
        <v>Incineration</v>
      </c>
      <c r="E42" s="170" t="str">
        <v>Commercial and industrial waste</v>
      </c>
      <c r="F42" s="165"/>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c r="D43" s="166" t="str">
        <v>Composting</v>
      </c>
      <c r="E43" s="170" t="str">
        <v>All organic waste</v>
      </c>
      <c r="F43" s="165"/>
      <c r="G43" s="49" t="s">
        <v>838</v>
      </c>
      <c r="H43" s="49" t="s">
        <v>838</v>
      </c>
      <c r="I43" s="49" t="s">
        <v>838</v>
      </c>
    </row>
    <row r="44" spans="1:9" ht="20.100000000000001" customHeight="1" x14ac:dyDescent="0.25">
      <c r="A44"/>
      <c r="D44" s="166" t="str">
        <v>Composting</v>
      </c>
      <c r="E44" s="170" t="str">
        <v>Food waste (including animal carcasses, spoiled animal feed or crop)</v>
      </c>
      <c r="F44" s="165"/>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c r="D45" s="166" t="str">
        <v>Composting</v>
      </c>
      <c r="E45" s="170" t="str">
        <v>Green waste (including crop residues or prunings)</v>
      </c>
      <c r="F45" s="165"/>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c r="D46" s="166" t="str">
        <v>Composting</v>
      </c>
      <c r="E46" s="170" t="str">
        <v>Wood</v>
      </c>
      <c r="F46" s="165"/>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6" t="str">
        <v>Composting</v>
      </c>
      <c r="E47" s="170" t="str">
        <v>Sludge</v>
      </c>
      <c r="F47" s="165"/>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6" t="str">
        <v>Composting</v>
      </c>
      <c r="E48" s="170" t="str">
        <v>Paper and cardboard</v>
      </c>
      <c r="F48" s="165"/>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6" t="str">
        <v>Anaerobic digestion</v>
      </c>
      <c r="E49" s="170" t="str">
        <v>All organic waste</v>
      </c>
      <c r="F49" s="165"/>
      <c r="G49" s="49" t="s">
        <v>838</v>
      </c>
      <c r="H49" s="49" t="s">
        <v>838</v>
      </c>
      <c r="I49" s="49" t="s">
        <v>838</v>
      </c>
    </row>
    <row r="50" spans="1:9" ht="20.100000000000001" customHeight="1" x14ac:dyDescent="0.25">
      <c r="A50"/>
      <c r="D50" s="166" t="str">
        <v>Anaerobic digestion</v>
      </c>
      <c r="E50" s="170" t="str">
        <v>Food waste (including animal carcasses, spoiled animal feed or crop)</v>
      </c>
      <c r="F50" s="165"/>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6" t="str">
        <v>Anaerobic digestion</v>
      </c>
      <c r="E51" s="170" t="str">
        <v>Green waste (including crop residues or prunings)</v>
      </c>
      <c r="F51" s="165"/>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6" t="str">
        <v>Anaerobic digestion</v>
      </c>
      <c r="E52" s="170" t="str">
        <v>Wood</v>
      </c>
      <c r="F52" s="165"/>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6" t="str">
        <v>Anaerobic digestion</v>
      </c>
      <c r="E53" s="170" t="str">
        <v>Sludge</v>
      </c>
      <c r="F53" s="165"/>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6" t="str">
        <v>Anaerobic digestion</v>
      </c>
      <c r="E54" s="170" t="str">
        <v>Paper and cardboard</v>
      </c>
      <c r="F54" s="165"/>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792</v>
      </c>
    </row>
    <row r="57" spans="1:9" ht="20.100000000000001" customHeight="1" x14ac:dyDescent="0.25">
      <c r="A57"/>
      <c r="D57" s="56" t="s">
        <v>793</v>
      </c>
    </row>
    <row r="58" spans="1:9" ht="20.100000000000001" customHeight="1" x14ac:dyDescent="0.25">
      <c r="A58"/>
      <c r="D58" s="46" t="s">
        <v>787</v>
      </c>
      <c r="E58" s="46" t="s">
        <v>788</v>
      </c>
      <c r="F58" s="46"/>
      <c r="G58" s="46" t="s">
        <v>789</v>
      </c>
      <c r="H58" s="57" t="s">
        <v>790</v>
      </c>
      <c r="I58" s="57" t="s">
        <v>791</v>
      </c>
    </row>
    <row r="59" spans="1:9" ht="20.100000000000001" customHeight="1" x14ac:dyDescent="0.25">
      <c r="A59"/>
      <c r="D59" s="166" t="str" cm="1">
        <f t="array" ref="D59:D92">Table_SourceData_WasteSolid_WasteTreatmentEFs[Treatment type t]</f>
        <v>Landfill</v>
      </c>
      <c r="E59" s="170" t="str" cm="1">
        <f t="array" ref="E59:E92">Table_SourceData_WasteSolid_WasteTreatmentEFs[Waste type w]</f>
        <v>Food waste (including animal carcasses, spoiled animal feed or crop)</v>
      </c>
      <c r="F59" s="208"/>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6" t="str">
        <v>Landfill</v>
      </c>
      <c r="E60" s="170" t="str">
        <v>Paper and cardboard</v>
      </c>
      <c r="F60" s="208"/>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6" t="str">
        <v>Landfill</v>
      </c>
      <c r="E61" s="170" t="str">
        <v>Green waste (including crop residues or prunings)</v>
      </c>
      <c r="F61" s="208"/>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6" t="str">
        <v>Landfill</v>
      </c>
      <c r="E62" s="170" t="str">
        <v>Wood</v>
      </c>
      <c r="F62" s="208"/>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6" t="str">
        <v>Landfill</v>
      </c>
      <c r="E63" s="170" t="str">
        <v>Textiles</v>
      </c>
      <c r="F63" s="208"/>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6" t="str">
        <v>Landfill</v>
      </c>
      <c r="E64" s="170" t="str">
        <v>Sludge</v>
      </c>
      <c r="F64" s="208"/>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6" t="str">
        <v>Landfill</v>
      </c>
      <c r="E65" s="170" t="str">
        <v>Rubber and leather</v>
      </c>
      <c r="F65" s="208"/>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6" t="str">
        <v>Landfill</v>
      </c>
      <c r="E66" s="170" t="str">
        <v>Inert waste (including concrete, metal, plastic or glass)</v>
      </c>
      <c r="F66" s="208"/>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6" t="str">
        <v>Landfill</v>
      </c>
      <c r="E67" s="170" t="str">
        <v>Municipal solid waste</v>
      </c>
      <c r="F67" s="208"/>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6" t="str">
        <v>Landfill</v>
      </c>
      <c r="E68" s="170" t="str">
        <v>Commercial and industrial waste</v>
      </c>
      <c r="F68" s="208"/>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6" t="str">
        <v>Landfill</v>
      </c>
      <c r="E69" s="170" t="str">
        <v>Construction and demolition waste</v>
      </c>
      <c r="F69" s="208"/>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6" t="str">
        <v>Incineration</v>
      </c>
      <c r="E70" s="170" t="str">
        <v>Food waste, green waste, wood, sludge</v>
      </c>
      <c r="F70" s="208"/>
      <c r="G70" s="49" t="s">
        <v>838</v>
      </c>
      <c r="H70" s="49" t="s">
        <v>838</v>
      </c>
      <c r="I70" s="49" t="s">
        <v>838</v>
      </c>
    </row>
    <row r="71" spans="1:9" ht="20.100000000000001" customHeight="1" x14ac:dyDescent="0.25">
      <c r="A71"/>
      <c r="D71" s="166" t="str">
        <v>Incineration</v>
      </c>
      <c r="E71" s="170" t="str">
        <v>Food waste (including animal carcasses, spoiled animal feed or crop)</v>
      </c>
      <c r="F71" s="208"/>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6" t="str">
        <v>Incineration</v>
      </c>
      <c r="E72" s="170" t="str">
        <v>Green waste (including crop residues or prunings)</v>
      </c>
      <c r="F72" s="208"/>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6" t="str">
        <v>Incineration</v>
      </c>
      <c r="E73" s="170" t="str">
        <v>Wood</v>
      </c>
      <c r="F73" s="208"/>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6" t="str">
        <v>Incineration</v>
      </c>
      <c r="E74" s="170" t="str">
        <v>Sludge</v>
      </c>
      <c r="F74" s="208"/>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6" t="str">
        <v>Incineration</v>
      </c>
      <c r="E75" s="170" t="str">
        <v>Paper and cardboard</v>
      </c>
      <c r="F75" s="208"/>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6" t="str">
        <v>Incineration</v>
      </c>
      <c r="E76" s="170" t="str">
        <v>Textiles</v>
      </c>
      <c r="F76" s="208"/>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6" t="str">
        <v>Incineration</v>
      </c>
      <c r="E77" s="170" t="str">
        <v>Rubber and leather</v>
      </c>
      <c r="F77" s="208"/>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6" t="str">
        <v>Incineration</v>
      </c>
      <c r="E78" s="170" t="str">
        <v>Inert waste (including concrete, metal, plastic or glass)</v>
      </c>
      <c r="F78" s="208"/>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6" t="str">
        <v>Incineration</v>
      </c>
      <c r="E79" s="170" t="str">
        <v>Municipal solid waste</v>
      </c>
      <c r="F79" s="165"/>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6" t="str">
        <v>Incineration</v>
      </c>
      <c r="E80" s="170" t="str">
        <v>Commercial and industrial waste</v>
      </c>
      <c r="F80" s="165"/>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6" t="str">
        <v>Composting</v>
      </c>
      <c r="E81" s="170" t="str">
        <v>All organic waste</v>
      </c>
      <c r="F81" s="165"/>
      <c r="G81" s="49" t="s">
        <v>838</v>
      </c>
      <c r="H81" s="49" t="s">
        <v>838</v>
      </c>
      <c r="I81" s="49" t="s">
        <v>838</v>
      </c>
    </row>
    <row r="82" spans="1:12" ht="20.100000000000001" customHeight="1" x14ac:dyDescent="0.25">
      <c r="A82"/>
      <c r="D82" s="166" t="str">
        <v>Composting</v>
      </c>
      <c r="E82" s="170" t="str">
        <v>Food waste (including animal carcasses, spoiled animal feed or crop)</v>
      </c>
      <c r="F82" s="165"/>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6" t="str">
        <v>Composting</v>
      </c>
      <c r="E83" s="170" t="str">
        <v>Green waste (including crop residues or prunings)</v>
      </c>
      <c r="F83" s="165"/>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6" t="str">
        <v>Composting</v>
      </c>
      <c r="E84" s="170" t="str">
        <v>Wood</v>
      </c>
      <c r="F84" s="165"/>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6" t="str">
        <v>Composting</v>
      </c>
      <c r="E85" s="170" t="str">
        <v>Sludge</v>
      </c>
      <c r="F85" s="165"/>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6" t="str">
        <v>Composting</v>
      </c>
      <c r="E86" s="170" t="str">
        <v>Paper and cardboard</v>
      </c>
      <c r="F86" s="165"/>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6" t="str">
        <v>Anaerobic digestion</v>
      </c>
      <c r="E87" s="170" t="str">
        <v>All organic waste</v>
      </c>
      <c r="F87" s="165"/>
      <c r="G87" s="49" t="s">
        <v>838</v>
      </c>
      <c r="H87" s="49" t="s">
        <v>838</v>
      </c>
      <c r="I87" s="49" t="s">
        <v>838</v>
      </c>
    </row>
    <row r="88" spans="1:12" ht="20.100000000000001" customHeight="1" x14ac:dyDescent="0.25">
      <c r="A88"/>
      <c r="D88" s="166" t="str">
        <v>Anaerobic digestion</v>
      </c>
      <c r="E88" s="170" t="str">
        <v>Food waste (including animal carcasses, spoiled animal feed or crop)</v>
      </c>
      <c r="F88" s="165"/>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6" t="str">
        <v>Anaerobic digestion</v>
      </c>
      <c r="E89" s="170" t="str">
        <v>Green waste (including crop residues or prunings)</v>
      </c>
      <c r="F89" s="165"/>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6" t="str">
        <v>Anaerobic digestion</v>
      </c>
      <c r="E90" s="170" t="str">
        <v>Wood</v>
      </c>
      <c r="F90" s="165"/>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6" t="str">
        <v>Anaerobic digestion</v>
      </c>
      <c r="E91" s="170" t="str">
        <v>Sludge</v>
      </c>
      <c r="F91" s="165"/>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6" t="str">
        <v>Anaerobic digestion</v>
      </c>
      <c r="E92" s="170" t="str">
        <v>Paper and cardboard</v>
      </c>
      <c r="F92" s="165"/>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1" t="s">
        <v>622</v>
      </c>
      <c r="E99" s="171"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623</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6" t="str" cm="1">
        <f t="array" ref="D105:E111">_xlfn.CHOOSECOLS(WasteSolid_Equations.VEERG_10_1_1_1__1_EmissionsFromWasteManagement_Arguments(),1,2)</f>
        <v>Q_wt</v>
      </c>
      <c r="E105" s="170" t="str">
        <v>quantity of solid waste of type w being sent to treatment facility t, on a wet weight basis</v>
      </c>
      <c r="F105" s="204"/>
      <c r="G105" s="165"/>
      <c r="H105" s="166" t="str" cm="1">
        <f t="array" ref="H105:I111">_xlfn.CHOOSECOLS(WasteSolid_Equations.VEERG_10_1_1_1__1_EmissionsFromWasteManagement_Arguments(),3,4)</f>
        <v>t</v>
      </c>
      <c r="I105" s="168" t="str">
        <v>Sum of Q_volwt and Q_masswt</v>
      </c>
    </row>
    <row r="106" spans="1:9" ht="20.100000000000001" customHeight="1" x14ac:dyDescent="0.25">
      <c r="A106"/>
      <c r="D106" s="166" t="str">
        <v>EF_wtg</v>
      </c>
      <c r="E106" s="170" t="str">
        <v>emission factor for greenhouse gas g for the management of waste at treatment facility t</v>
      </c>
      <c r="F106" s="204"/>
      <c r="G106" s="165"/>
      <c r="H106" s="166" t="str">
        <v>t CO2e/t</v>
      </c>
      <c r="I106" s="168" t="str">
        <v>Constant</v>
      </c>
    </row>
    <row r="107" spans="1:9" ht="20.100000000000001" customHeight="1" x14ac:dyDescent="0.25">
      <c r="A107"/>
      <c r="D107" s="166" t="str">
        <v>w</v>
      </c>
      <c r="E107" s="170" t="str">
        <v>waste type</v>
      </c>
      <c r="F107" s="204"/>
      <c r="G107" s="165"/>
      <c r="H107" s="166" t="str">
        <v/>
      </c>
      <c r="I107" s="230" t="str">
        <v>Input</v>
      </c>
    </row>
    <row r="108" spans="1:9" ht="20.100000000000001" customHeight="1" x14ac:dyDescent="0.25">
      <c r="A108"/>
      <c r="D108" s="166" t="str">
        <v>t</v>
      </c>
      <c r="E108" s="170" t="str">
        <v>treatment facility</v>
      </c>
      <c r="F108" s="204"/>
      <c r="G108" s="165"/>
      <c r="H108" s="166" t="str">
        <v/>
      </c>
      <c r="I108" s="230" t="str">
        <v>Input</v>
      </c>
    </row>
    <row r="109" spans="1:9" ht="20.100000000000001" customHeight="1" x14ac:dyDescent="0.25">
      <c r="A109"/>
      <c r="D109" s="166" t="str">
        <v>g</v>
      </c>
      <c r="E109" s="170" t="str">
        <v>greenhouse gas</v>
      </c>
      <c r="F109" s="204"/>
      <c r="G109" s="165"/>
      <c r="H109" s="166" t="str">
        <v/>
      </c>
      <c r="I109" s="230" t="str">
        <v>Input</v>
      </c>
    </row>
    <row r="110" spans="1:9" ht="20.100000000000001" customHeight="1" x14ac:dyDescent="0.25">
      <c r="A110"/>
      <c r="D110" s="166" t="str">
        <v>Q_volwt</v>
      </c>
      <c r="E110" s="170" t="str">
        <v>quantity of sold waste input as volume and converted to tonnes</v>
      </c>
      <c r="F110" s="204"/>
      <c r="G110" s="165"/>
      <c r="H110" s="166" t="str">
        <v>tonnes</v>
      </c>
      <c r="I110" s="168" t="str">
        <v>Calculated from 10.1.1.1 (2)</v>
      </c>
    </row>
    <row r="111" spans="1:9" ht="20.100000000000001" customHeight="1" x14ac:dyDescent="0.25">
      <c r="A111"/>
      <c r="D111" s="166" t="str">
        <v>Q_masswt</v>
      </c>
      <c r="E111" s="170" t="str">
        <v>quantity of solid waste input as mass</v>
      </c>
      <c r="F111" s="204"/>
      <c r="G111" s="165"/>
      <c r="H111" s="166" t="str">
        <v>tonnes</v>
      </c>
      <c r="I111" s="230" t="str">
        <v>Input</v>
      </c>
    </row>
    <row r="112" spans="1:9" ht="20.100000000000001" customHeight="1" x14ac:dyDescent="0.25">
      <c r="A112"/>
    </row>
    <row r="113" spans="1:11" ht="20.100000000000001" customHeight="1" x14ac:dyDescent="0.25">
      <c r="A113"/>
      <c r="D113" s="55" t="s">
        <v>794</v>
      </c>
    </row>
    <row r="114" spans="1:11" ht="20.100000000000001" customHeight="1" x14ac:dyDescent="0.25">
      <c r="A114"/>
      <c r="D114" s="56" t="s">
        <v>795</v>
      </c>
    </row>
    <row r="115" spans="1:11" ht="20.100000000000001" customHeight="1" x14ac:dyDescent="0.25">
      <c r="A115"/>
      <c r="D115" s="46" t="s">
        <v>787</v>
      </c>
      <c r="E115" s="46" t="s">
        <v>788</v>
      </c>
      <c r="F115" s="46"/>
      <c r="G115" s="46" t="s">
        <v>839</v>
      </c>
      <c r="H115" s="57" t="s">
        <v>840</v>
      </c>
      <c r="I115" s="57" t="s">
        <v>791</v>
      </c>
      <c r="J115" s="57" t="s">
        <v>841</v>
      </c>
      <c r="K115" s="57" t="s">
        <v>842</v>
      </c>
    </row>
    <row r="116" spans="1:11" ht="20.100000000000001" customHeight="1" x14ac:dyDescent="0.25">
      <c r="A116"/>
      <c r="D116" s="166" t="str" cm="1">
        <f t="array" ref="D116:D149">Table_SourceData_WasteSolid_WasteTreatmentEFs[Treatment type t]</f>
        <v>Landfill</v>
      </c>
      <c r="E116" s="170" t="str" cm="1">
        <f t="array" ref="E116:E149">Table_SourceData_WasteSolid_WasteTreatmentEFs[Waste type w]</f>
        <v>Food waste (including animal carcasses, spoiled animal feed or crop)</v>
      </c>
      <c r="F116" s="208"/>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6" t="str">
        <v>Landfill</v>
      </c>
      <c r="E117" s="170" t="str">
        <v>Paper and cardboard</v>
      </c>
      <c r="F117" s="208"/>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6" t="str">
        <v>Landfill</v>
      </c>
      <c r="E118" s="170" t="str">
        <v>Green waste (including crop residues or prunings)</v>
      </c>
      <c r="F118" s="208"/>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6" t="str">
        <v>Landfill</v>
      </c>
      <c r="E119" s="170" t="str">
        <v>Wood</v>
      </c>
      <c r="F119" s="208"/>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6" t="str">
        <v>Landfill</v>
      </c>
      <c r="E120" s="170" t="str">
        <v>Textiles</v>
      </c>
      <c r="F120" s="208"/>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6" t="str">
        <v>Landfill</v>
      </c>
      <c r="E121" s="170" t="str">
        <v>Sludge</v>
      </c>
      <c r="F121" s="208"/>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6" t="str">
        <v>Landfill</v>
      </c>
      <c r="E122" s="170" t="str">
        <v>Rubber and leather</v>
      </c>
      <c r="F122" s="208"/>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6" t="str">
        <v>Landfill</v>
      </c>
      <c r="E123" s="170" t="str">
        <v>Inert waste (including concrete, metal, plastic or glass)</v>
      </c>
      <c r="F123" s="208"/>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6" t="str">
        <v>Landfill</v>
      </c>
      <c r="E124" s="170" t="str">
        <v>Municipal solid waste</v>
      </c>
      <c r="F124" s="208"/>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6" t="str">
        <v>Landfill</v>
      </c>
      <c r="E125" s="170" t="str">
        <v>Commercial and industrial waste</v>
      </c>
      <c r="F125" s="208"/>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6" t="str">
        <v>Landfill</v>
      </c>
      <c r="E126" s="170" t="str">
        <v>Construction and demolition waste</v>
      </c>
      <c r="F126" s="208"/>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6" t="str">
        <v>Incineration</v>
      </c>
      <c r="E127" s="170" t="str">
        <v>Food waste, green waste, wood, sludge</v>
      </c>
      <c r="F127" s="208"/>
      <c r="G127" s="49" t="s">
        <v>838</v>
      </c>
      <c r="H127" s="49" t="str">
        <f t="shared" si="0"/>
        <v>Not used</v>
      </c>
      <c r="I127" s="49">
        <f>SUM(G128:G131)+SUM(H128:H131)</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6" t="str">
        <v>Incineration</v>
      </c>
      <c r="E128" s="170" t="str">
        <v>Food waste (including animal carcasses, spoiled animal feed or crop)</v>
      </c>
      <c r="F128" s="208"/>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843</v>
      </c>
      <c r="J128" s="49" t="s">
        <v>838</v>
      </c>
      <c r="K128" s="49" t="s">
        <v>838</v>
      </c>
    </row>
    <row r="129" spans="1:11" ht="20.100000000000001" customHeight="1" x14ac:dyDescent="0.25">
      <c r="A129"/>
      <c r="D129" s="166" t="str">
        <v>Incineration</v>
      </c>
      <c r="E129" s="170" t="str">
        <v>Green waste (including crop residues or prunings)</v>
      </c>
      <c r="F129" s="208"/>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843</v>
      </c>
      <c r="J129" s="49" t="s">
        <v>838</v>
      </c>
      <c r="K129" s="49" t="s">
        <v>838</v>
      </c>
    </row>
    <row r="130" spans="1:11" ht="20.100000000000001" customHeight="1" x14ac:dyDescent="0.25">
      <c r="A130"/>
      <c r="D130" s="166" t="str">
        <v>Incineration</v>
      </c>
      <c r="E130" s="170" t="str">
        <v>Wood</v>
      </c>
      <c r="F130" s="208"/>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843</v>
      </c>
      <c r="J130" s="49" t="s">
        <v>838</v>
      </c>
      <c r="K130" s="49" t="s">
        <v>838</v>
      </c>
    </row>
    <row r="131" spans="1:11" ht="20.100000000000001" customHeight="1" x14ac:dyDescent="0.25">
      <c r="A131"/>
      <c r="D131" s="166" t="str">
        <v>Incineration</v>
      </c>
      <c r="E131" s="170" t="str">
        <v>Sludge</v>
      </c>
      <c r="F131" s="208"/>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843</v>
      </c>
      <c r="J131" s="49" t="s">
        <v>838</v>
      </c>
      <c r="K131" s="49" t="s">
        <v>838</v>
      </c>
    </row>
    <row r="132" spans="1:11" ht="20.100000000000001" customHeight="1" x14ac:dyDescent="0.25">
      <c r="A132"/>
      <c r="D132" s="166" t="str">
        <v>Incineration</v>
      </c>
      <c r="E132" s="170" t="str">
        <v>Paper and cardboard</v>
      </c>
      <c r="F132" s="208"/>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 t="shared" ref="I132:I137" si="2">G132+H132</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6" t="str">
        <v>Incineration</v>
      </c>
      <c r="E133" s="170" t="str">
        <v>Textiles</v>
      </c>
      <c r="F133" s="208"/>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6" t="str">
        <v>Incineration</v>
      </c>
      <c r="E134" s="170" t="str">
        <v>Rubber and leather</v>
      </c>
      <c r="F134" s="208"/>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6" t="str">
        <v>Incineration</v>
      </c>
      <c r="E135" s="170" t="str">
        <v>Inert waste (including concrete, metal, plastic or glass)</v>
      </c>
      <c r="F135" s="208"/>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6" t="str">
        <v>Incineration</v>
      </c>
      <c r="E136" s="170" t="str">
        <v>Municipal solid waste</v>
      </c>
      <c r="F136" s="165"/>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6" t="str">
        <v>Incineration</v>
      </c>
      <c r="E137" s="170" t="str">
        <v>Commercial and industrial waste</v>
      </c>
      <c r="F137" s="165"/>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6" t="str">
        <v>Composting</v>
      </c>
      <c r="E138" s="170" t="str">
        <v>All organic waste</v>
      </c>
      <c r="F138" s="165"/>
      <c r="G138" s="49" t="s">
        <v>838</v>
      </c>
      <c r="H138" s="49" t="str">
        <f t="shared" si="0"/>
        <v>Not used</v>
      </c>
      <c r="I138" s="49">
        <f>SUM(G139:G143)+SUM(H139:H143)</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6" t="str">
        <v>Composting</v>
      </c>
      <c r="E139" s="170" t="str">
        <v>Food waste (including animal carcasses, spoiled animal feed or crop)</v>
      </c>
      <c r="F139" s="165"/>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843</v>
      </c>
      <c r="J139" s="49" t="s">
        <v>838</v>
      </c>
      <c r="K139" s="49" t="s">
        <v>838</v>
      </c>
    </row>
    <row r="140" spans="1:11" ht="20.100000000000001" customHeight="1" x14ac:dyDescent="0.25">
      <c r="A140"/>
      <c r="D140" s="166" t="str">
        <v>Composting</v>
      </c>
      <c r="E140" s="170" t="str">
        <v>Green waste (including crop residues or prunings)</v>
      </c>
      <c r="F140" s="165"/>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843</v>
      </c>
      <c r="J140" s="49" t="s">
        <v>838</v>
      </c>
      <c r="K140" s="49" t="s">
        <v>838</v>
      </c>
    </row>
    <row r="141" spans="1:11" ht="20.100000000000001" customHeight="1" x14ac:dyDescent="0.25">
      <c r="A141"/>
      <c r="D141" s="166" t="str">
        <v>Composting</v>
      </c>
      <c r="E141" s="170" t="str">
        <v>Wood</v>
      </c>
      <c r="F141" s="165"/>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843</v>
      </c>
      <c r="J141" s="49" t="s">
        <v>838</v>
      </c>
      <c r="K141" s="49" t="s">
        <v>838</v>
      </c>
    </row>
    <row r="142" spans="1:11" ht="20.100000000000001" customHeight="1" x14ac:dyDescent="0.25">
      <c r="A142"/>
      <c r="D142" s="166" t="str">
        <v>Composting</v>
      </c>
      <c r="E142" s="170" t="str">
        <v>Sludge</v>
      </c>
      <c r="F142" s="165"/>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843</v>
      </c>
      <c r="J142" s="49" t="s">
        <v>838</v>
      </c>
      <c r="K142" s="49" t="s">
        <v>838</v>
      </c>
    </row>
    <row r="143" spans="1:11" ht="20.100000000000001" customHeight="1" x14ac:dyDescent="0.25">
      <c r="A143"/>
      <c r="D143" s="166" t="str">
        <v>Composting</v>
      </c>
      <c r="E143" s="170" t="str">
        <v>Paper and cardboard</v>
      </c>
      <c r="F143" s="165"/>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843</v>
      </c>
      <c r="J143" s="49" t="s">
        <v>838</v>
      </c>
      <c r="K143" s="49" t="s">
        <v>838</v>
      </c>
    </row>
    <row r="144" spans="1:11" ht="20.100000000000001" customHeight="1" x14ac:dyDescent="0.25">
      <c r="A144"/>
      <c r="D144" s="166" t="str">
        <v>Anaerobic digestion</v>
      </c>
      <c r="E144" s="170" t="str">
        <v>All organic waste</v>
      </c>
      <c r="F144" s="165"/>
      <c r="G144" s="49" t="s">
        <v>838</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6" t="str">
        <v>Anaerobic digestion</v>
      </c>
      <c r="E145" s="170" t="str">
        <v>Food waste (including animal carcasses, spoiled animal feed or crop)</v>
      </c>
      <c r="F145" s="165"/>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843</v>
      </c>
      <c r="J145" s="49" t="s">
        <v>838</v>
      </c>
      <c r="K145" s="49" t="s">
        <v>838</v>
      </c>
    </row>
    <row r="146" spans="1:11" ht="20.100000000000001" customHeight="1" x14ac:dyDescent="0.25">
      <c r="A146"/>
      <c r="D146" s="166" t="str">
        <v>Anaerobic digestion</v>
      </c>
      <c r="E146" s="170" t="str">
        <v>Green waste (including crop residues or prunings)</v>
      </c>
      <c r="F146" s="165"/>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843</v>
      </c>
      <c r="J146" s="49" t="s">
        <v>838</v>
      </c>
      <c r="K146" s="49" t="s">
        <v>838</v>
      </c>
    </row>
    <row r="147" spans="1:11" ht="20.100000000000001" customHeight="1" x14ac:dyDescent="0.25">
      <c r="A147"/>
      <c r="D147" s="166" t="str">
        <v>Anaerobic digestion</v>
      </c>
      <c r="E147" s="170" t="str">
        <v>Wood</v>
      </c>
      <c r="F147" s="165"/>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843</v>
      </c>
      <c r="J147" s="49" t="s">
        <v>838</v>
      </c>
      <c r="K147" s="49" t="s">
        <v>838</v>
      </c>
    </row>
    <row r="148" spans="1:11" ht="20.100000000000001" customHeight="1" x14ac:dyDescent="0.25">
      <c r="A148"/>
      <c r="D148" s="166" t="str">
        <v>Anaerobic digestion</v>
      </c>
      <c r="E148" s="170" t="str">
        <v>Sludge</v>
      </c>
      <c r="F148" s="165"/>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843</v>
      </c>
      <c r="J148" s="49" t="s">
        <v>838</v>
      </c>
      <c r="K148" s="49" t="s">
        <v>838</v>
      </c>
    </row>
    <row r="149" spans="1:11" ht="20.100000000000001" customHeight="1" x14ac:dyDescent="0.25">
      <c r="A149"/>
      <c r="D149" s="166" t="str">
        <v>Anaerobic digestion</v>
      </c>
      <c r="E149" s="170" t="str">
        <v>Paper and cardboard</v>
      </c>
      <c r="F149" s="165"/>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843</v>
      </c>
      <c r="J149" s="49" t="s">
        <v>838</v>
      </c>
      <c r="K149" s="49" t="s">
        <v>838</v>
      </c>
    </row>
    <row r="150" spans="1:11" ht="20.100000000000001" customHeight="1" x14ac:dyDescent="0.25">
      <c r="A150"/>
    </row>
    <row r="151" spans="1:11" ht="20.100000000000001" customHeight="1" x14ac:dyDescent="0.25">
      <c r="A151"/>
      <c r="D151" s="175" t="s">
        <v>796</v>
      </c>
      <c r="E151" s="176">
        <f>SUM(K116:K149)</f>
        <v>438.82805000000002</v>
      </c>
      <c r="F151" s="177"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797</v>
      </c>
    </row>
    <row r="155" spans="1:11" ht="20.100000000000001" customHeight="1" x14ac:dyDescent="0.25">
      <c r="A155"/>
      <c r="D155" s="56" t="s">
        <v>798</v>
      </c>
    </row>
    <row r="156" spans="1:11" ht="20.100000000000001" customHeight="1" x14ac:dyDescent="0.25">
      <c r="A156"/>
      <c r="D156" s="46" t="s">
        <v>787</v>
      </c>
      <c r="E156" s="46" t="s">
        <v>788</v>
      </c>
      <c r="F156" s="46"/>
      <c r="G156" s="46" t="s">
        <v>839</v>
      </c>
      <c r="H156" s="57" t="s">
        <v>840</v>
      </c>
      <c r="I156" s="57" t="s">
        <v>791</v>
      </c>
      <c r="J156" s="57" t="s">
        <v>841</v>
      </c>
      <c r="K156" s="57" t="s">
        <v>842</v>
      </c>
    </row>
    <row r="157" spans="1:11" ht="20.100000000000001" customHeight="1" x14ac:dyDescent="0.25">
      <c r="A157"/>
      <c r="D157" s="166" t="str" cm="1">
        <f t="array" ref="D157:D190">Table_SourceData_WasteSolid_WasteTreatmentEFs[Treatment type t]</f>
        <v>Landfill</v>
      </c>
      <c r="E157" s="170" t="str" cm="1">
        <f t="array" ref="E157:E190">Table_SourceData_WasteSolid_WasteTreatmentEFs[Waste type w]</f>
        <v>Food waste (including animal carcasses, spoiled animal feed or crop)</v>
      </c>
      <c r="F157" s="208"/>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6" t="str">
        <v>Landfill</v>
      </c>
      <c r="E158" s="170" t="str">
        <v>Paper and cardboard</v>
      </c>
      <c r="F158" s="208"/>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6" t="str">
        <v>Landfill</v>
      </c>
      <c r="E159" s="170" t="str">
        <v>Green waste (including crop residues or prunings)</v>
      </c>
      <c r="F159" s="208"/>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6" t="str">
        <v>Landfill</v>
      </c>
      <c r="E160" s="170" t="str">
        <v>Wood</v>
      </c>
      <c r="F160" s="208"/>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6" t="str">
        <v>Landfill</v>
      </c>
      <c r="E161" s="170" t="str">
        <v>Textiles</v>
      </c>
      <c r="F161" s="208"/>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6" t="str">
        <v>Landfill</v>
      </c>
      <c r="E162" s="170" t="str">
        <v>Sludge</v>
      </c>
      <c r="F162" s="208"/>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6" t="str">
        <v>Landfill</v>
      </c>
      <c r="E163" s="170" t="str">
        <v>Rubber and leather</v>
      </c>
      <c r="F163" s="208"/>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6" t="str">
        <v>Landfill</v>
      </c>
      <c r="E164" s="170" t="str">
        <v>Inert waste (including concrete, metal, plastic or glass)</v>
      </c>
      <c r="F164" s="208"/>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6" t="str">
        <v>Landfill</v>
      </c>
      <c r="E165" s="170" t="str">
        <v>Municipal solid waste</v>
      </c>
      <c r="F165" s="208"/>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6" t="str">
        <v>Landfill</v>
      </c>
      <c r="E166" s="170" t="str">
        <v>Commercial and industrial waste</v>
      </c>
      <c r="F166" s="208"/>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6" t="str">
        <v>Landfill</v>
      </c>
      <c r="E167" s="170" t="str">
        <v>Construction and demolition waste</v>
      </c>
      <c r="F167" s="208"/>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6" t="str">
        <v>Incineration</v>
      </c>
      <c r="E168" s="170" t="str">
        <v>Food waste, green waste, wood, sludge</v>
      </c>
      <c r="F168" s="208"/>
      <c r="G168" s="49" t="s">
        <v>838</v>
      </c>
      <c r="H168" s="49" t="str">
        <f t="shared" si="3"/>
        <v>Not used</v>
      </c>
      <c r="I168" s="49">
        <f>SUM(G169:G172)+SUM(H169:H172)</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6" t="str">
        <v>Incineration</v>
      </c>
      <c r="E169" s="170" t="str">
        <v>Food waste (including animal carcasses, spoiled animal feed or crop)</v>
      </c>
      <c r="F169" s="208"/>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843</v>
      </c>
      <c r="J169" s="49" t="s">
        <v>838</v>
      </c>
      <c r="K169" s="49" t="s">
        <v>838</v>
      </c>
    </row>
    <row r="170" spans="4:11" ht="20.100000000000001" customHeight="1" x14ac:dyDescent="0.25">
      <c r="D170" s="166" t="str">
        <v>Incineration</v>
      </c>
      <c r="E170" s="170" t="str">
        <v>Green waste (including crop residues or prunings)</v>
      </c>
      <c r="F170" s="208"/>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843</v>
      </c>
      <c r="J170" s="49" t="s">
        <v>838</v>
      </c>
      <c r="K170" s="49" t="s">
        <v>838</v>
      </c>
    </row>
    <row r="171" spans="4:11" ht="20.100000000000001" customHeight="1" x14ac:dyDescent="0.25">
      <c r="D171" s="166" t="str">
        <v>Incineration</v>
      </c>
      <c r="E171" s="170" t="str">
        <v>Wood</v>
      </c>
      <c r="F171" s="208"/>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843</v>
      </c>
      <c r="J171" s="49" t="s">
        <v>838</v>
      </c>
      <c r="K171" s="49" t="s">
        <v>838</v>
      </c>
    </row>
    <row r="172" spans="4:11" ht="20.100000000000001" customHeight="1" x14ac:dyDescent="0.25">
      <c r="D172" s="166" t="str">
        <v>Incineration</v>
      </c>
      <c r="E172" s="170" t="str">
        <v>Sludge</v>
      </c>
      <c r="F172" s="208"/>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843</v>
      </c>
      <c r="J172" s="49" t="s">
        <v>838</v>
      </c>
      <c r="K172" s="49" t="s">
        <v>838</v>
      </c>
    </row>
    <row r="173" spans="4:11" ht="20.100000000000001" customHeight="1" x14ac:dyDescent="0.25">
      <c r="D173" s="166" t="str">
        <v>Incineration</v>
      </c>
      <c r="E173" s="170" t="str">
        <v>Paper and cardboard</v>
      </c>
      <c r="F173" s="208"/>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6" t="str">
        <v>Incineration</v>
      </c>
      <c r="E174" s="170" t="str">
        <v>Textiles</v>
      </c>
      <c r="F174" s="208"/>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6" t="str">
        <v>Incineration</v>
      </c>
      <c r="E175" s="170" t="str">
        <v>Rubber and leather</v>
      </c>
      <c r="F175" s="208"/>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6" t="str">
        <v>Incineration</v>
      </c>
      <c r="E176" s="170" t="str">
        <v>Inert waste (including concrete, metal, plastic or glass)</v>
      </c>
      <c r="F176" s="208"/>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6" t="str">
        <v>Incineration</v>
      </c>
      <c r="E177" s="170" t="str">
        <v>Municipal solid waste</v>
      </c>
      <c r="F177" s="165"/>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6" t="str">
        <v>Incineration</v>
      </c>
      <c r="E178" s="170" t="str">
        <v>Commercial and industrial waste</v>
      </c>
      <c r="F178" s="165"/>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6" t="str">
        <v>Composting</v>
      </c>
      <c r="E179" s="170" t="str">
        <v>All organic waste</v>
      </c>
      <c r="F179" s="165"/>
      <c r="G179" s="49" t="s">
        <v>838</v>
      </c>
      <c r="H179" s="49" t="str">
        <f t="shared" si="3"/>
        <v>Not used</v>
      </c>
      <c r="I179" s="49">
        <f>SUM(G180:G184)+SUM(H180:H184)</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6" t="str">
        <v>Composting</v>
      </c>
      <c r="E180" s="170" t="str">
        <v>Food waste (including animal carcasses, spoiled animal feed or crop)</v>
      </c>
      <c r="F180" s="165"/>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843</v>
      </c>
      <c r="J180" s="49" t="s">
        <v>838</v>
      </c>
      <c r="K180" s="49" t="s">
        <v>838</v>
      </c>
    </row>
    <row r="181" spans="4:11" ht="20.100000000000001" customHeight="1" x14ac:dyDescent="0.25">
      <c r="D181" s="166" t="str">
        <v>Composting</v>
      </c>
      <c r="E181" s="170" t="str">
        <v>Green waste (including crop residues or prunings)</v>
      </c>
      <c r="F181" s="165"/>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843</v>
      </c>
      <c r="J181" s="49" t="s">
        <v>838</v>
      </c>
      <c r="K181" s="49" t="s">
        <v>838</v>
      </c>
    </row>
    <row r="182" spans="4:11" ht="20.100000000000001" customHeight="1" x14ac:dyDescent="0.25">
      <c r="D182" s="166" t="str">
        <v>Composting</v>
      </c>
      <c r="E182" s="170" t="str">
        <v>Wood</v>
      </c>
      <c r="F182" s="165"/>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843</v>
      </c>
      <c r="J182" s="49" t="s">
        <v>838</v>
      </c>
      <c r="K182" s="49" t="s">
        <v>838</v>
      </c>
    </row>
    <row r="183" spans="4:11" ht="20.100000000000001" customHeight="1" x14ac:dyDescent="0.25">
      <c r="D183" s="166" t="str">
        <v>Composting</v>
      </c>
      <c r="E183" s="170" t="str">
        <v>Sludge</v>
      </c>
      <c r="F183" s="165"/>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843</v>
      </c>
      <c r="J183" s="49" t="s">
        <v>838</v>
      </c>
      <c r="K183" s="49" t="s">
        <v>838</v>
      </c>
    </row>
    <row r="184" spans="4:11" ht="20.100000000000001" customHeight="1" x14ac:dyDescent="0.25">
      <c r="D184" s="166" t="str">
        <v>Composting</v>
      </c>
      <c r="E184" s="170" t="str">
        <v>Paper and cardboard</v>
      </c>
      <c r="F184" s="165"/>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843</v>
      </c>
      <c r="J184" s="49" t="s">
        <v>838</v>
      </c>
      <c r="K184" s="49" t="s">
        <v>838</v>
      </c>
    </row>
    <row r="185" spans="4:11" ht="20.100000000000001" customHeight="1" x14ac:dyDescent="0.25">
      <c r="D185" s="166" t="str">
        <v>Anaerobic digestion</v>
      </c>
      <c r="E185" s="170" t="str">
        <v>All organic waste</v>
      </c>
      <c r="F185" s="165"/>
      <c r="G185" s="49" t="s">
        <v>838</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6" t="str">
        <v>Anaerobic digestion</v>
      </c>
      <c r="E186" s="170" t="str">
        <v>Food waste (including animal carcasses, spoiled animal feed or crop)</v>
      </c>
      <c r="F186" s="165"/>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843</v>
      </c>
      <c r="J186" s="49" t="s">
        <v>838</v>
      </c>
      <c r="K186" s="49" t="s">
        <v>838</v>
      </c>
    </row>
    <row r="187" spans="4:11" ht="20.100000000000001" customHeight="1" x14ac:dyDescent="0.25">
      <c r="D187" s="166" t="str">
        <v>Anaerobic digestion</v>
      </c>
      <c r="E187" s="170" t="str">
        <v>Green waste (including crop residues or prunings)</v>
      </c>
      <c r="F187" s="165"/>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843</v>
      </c>
      <c r="J187" s="49" t="s">
        <v>838</v>
      </c>
      <c r="K187" s="49" t="s">
        <v>838</v>
      </c>
    </row>
    <row r="188" spans="4:11" ht="20.100000000000001" customHeight="1" x14ac:dyDescent="0.25">
      <c r="D188" s="166" t="str">
        <v>Anaerobic digestion</v>
      </c>
      <c r="E188" s="170" t="str">
        <v>Wood</v>
      </c>
      <c r="F188" s="165"/>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843</v>
      </c>
      <c r="J188" s="49" t="s">
        <v>838</v>
      </c>
      <c r="K188" s="49" t="s">
        <v>838</v>
      </c>
    </row>
    <row r="189" spans="4:11" ht="20.100000000000001" customHeight="1" x14ac:dyDescent="0.25">
      <c r="D189" s="166" t="str">
        <v>Anaerobic digestion</v>
      </c>
      <c r="E189" s="170" t="str">
        <v>Sludge</v>
      </c>
      <c r="F189" s="165"/>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843</v>
      </c>
      <c r="J189" s="49" t="s">
        <v>838</v>
      </c>
      <c r="K189" s="49" t="s">
        <v>838</v>
      </c>
    </row>
    <row r="190" spans="4:11" ht="20.100000000000001" customHeight="1" x14ac:dyDescent="0.25">
      <c r="D190" s="166" t="str">
        <v>Anaerobic digestion</v>
      </c>
      <c r="E190" s="170" t="str">
        <v>Paper and cardboard</v>
      </c>
      <c r="F190" s="165"/>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843</v>
      </c>
      <c r="J190" s="49" t="s">
        <v>838</v>
      </c>
      <c r="K190" s="49" t="s">
        <v>838</v>
      </c>
    </row>
    <row r="191" spans="4:11" ht="20.100000000000001" customHeight="1" x14ac:dyDescent="0.25"/>
    <row r="192" spans="4:11" ht="20.100000000000001" customHeight="1" x14ac:dyDescent="0.25">
      <c r="D192" s="175" t="s">
        <v>796</v>
      </c>
      <c r="E192" s="176">
        <f>SUM(K157:K190)</f>
        <v>441.15000000000003</v>
      </c>
      <c r="F192" s="17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A32D32C6-82CB-4B55-B3EB-C09247A773CC}"/>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61"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848</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404</v>
      </c>
      <c r="E3" s="5"/>
      <c r="F3" s="5"/>
      <c r="G3" s="5"/>
      <c r="H3" s="5"/>
      <c r="I3" s="5"/>
      <c r="J3" s="5"/>
      <c r="K3" s="5"/>
      <c r="M3" s="5"/>
      <c r="N3" s="5" t="s">
        <v>405</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1" t="s">
        <v>622</v>
      </c>
      <c r="E7" s="171" t="str">
        <f ca="1">Common_InputFunctions.Utility_DisplayFunctionName(VEERG_5_2_1_1__1_OrganicFertiliserApplicationN2OEmissions_Result_Method1)</f>
        <v>=Fertiliser_Equations_OrganicN2O.VEERG_5_2_1_1__1_OrganicFertiliserApplicationN2OEmissions</v>
      </c>
      <c r="N7" s="171" t="s">
        <v>622</v>
      </c>
      <c r="O7" s="171"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623</v>
      </c>
      <c r="E10" s="8" t="str" cm="1">
        <f t="array" ref="E10">Fertiliser_Equations_OrganicN2O.VEERG_5_2_1_1__1_OrganicFertiliserApplicationN2OEmissions_Variable()</f>
        <v>E_N2O</v>
      </c>
      <c r="N10" s="27" t="s">
        <v>623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Beef cattle purchases'!A1", "Beef cattle purchases")</f>
        <v>Beef cattle purchases</v>
      </c>
    </row>
    <row r="13" spans="1:21" ht="20.100000000000001" customHeight="1" x14ac:dyDescent="0.25">
      <c r="A13" s="16" t="str">
        <f>HYPERLINK("#'Input - Dairy cattle purchases'!A1", "Dairy cattle purchases")</f>
        <v>Dairy cattle purchases</v>
      </c>
      <c r="D13" s="166" t="str" cm="1">
        <f t="array" ref="D13:E17">_xlfn.CHOOSECOLS(Fertiliser_Equations_OrganicN2O.VEERG_5_2_1_1__1_OrganicFertiliserApplicationN2OEmissions_Arguments(), 1, 2)</f>
        <v>MNSoil_jf</v>
      </c>
      <c r="E13" s="170" t="str">
        <v>mass of nitrogen in organic fertiliser type f applied to production system j</v>
      </c>
      <c r="F13" s="204"/>
      <c r="G13" s="165"/>
      <c r="H13" s="166" t="str" cm="1">
        <f t="array" ref="H13:I17">_xlfn.CHOOSECOLS(Fertiliser_Equations_OrganicN2O.VEERG_5_2_1_1__1_OrganicFertiliserApplicationN2OEmissions_Arguments(), 3,4)</f>
        <v>kg N</v>
      </c>
      <c r="I13" s="168" t="str">
        <v>Calculated from 5.2.1.1 (2)</v>
      </c>
      <c r="J13" s="166">
        <f>X_Cell_ManureSentOffsite_MassNitrogenManure_Method1</f>
        <v>1000</v>
      </c>
      <c r="N13" s="166" t="str" cm="1">
        <f t="array" ref="N13:O17">_xlfn.CHOOSECOLS(Fertiliser_Equations_OrganicN2O.VEERG_5_2_1_1__1_OrganicFertiliserApplicationN2OEmissions_Arguments(), 1, 2)</f>
        <v>MNSoil_jf</v>
      </c>
      <c r="O13" s="170" t="str">
        <v>mass of nitrogen in organic fertiliser type f applied to production system j</v>
      </c>
      <c r="P13" s="204"/>
      <c r="Q13" s="165"/>
      <c r="R13" s="166" t="str" cm="1">
        <f t="array" ref="R13:S17">_xlfn.CHOOSECOLS(Fertiliser_Equations_OrganicN2O.VEERG_5_2_1_1__1_OrganicFertiliserApplicationN2OEmissions_Arguments(), 3,4)</f>
        <v>kg N</v>
      </c>
      <c r="S13" s="168" t="str">
        <v>Calculated from 5.2.1.1 (2)</v>
      </c>
      <c r="T13" s="166">
        <f>X_Cell_ManureSentOffsite_MassNitrogenManure_Method2</f>
        <v>2000</v>
      </c>
    </row>
    <row r="14" spans="1:21" ht="20.100000000000001" customHeight="1" x14ac:dyDescent="0.25">
      <c r="A14" s="16" t="str">
        <f>HYPERLINK("#'Input - Pig purchases'!A1", "Pig purchases")</f>
        <v>Pig purchases</v>
      </c>
      <c r="D14" s="166" t="str">
        <v>EF_N2Oi</v>
      </c>
      <c r="E14" s="170" t="str">
        <v>emission factor for direct nitrous oxide emissions from organic fertiliser applied to soils and aquatic systems in climate zone i</v>
      </c>
      <c r="F14" s="204"/>
      <c r="G14" s="165"/>
      <c r="H14" s="166" t="str">
        <v>kg N2O-N/kg N</v>
      </c>
      <c r="I14" s="168" t="str">
        <v>Lookup</v>
      </c>
      <c r="J14" s="166">
        <f>Common_InputFunctions.Utility_LookupValueInTableNumber(J17, Table_SourceData_Common_EFOrganicFertCropResidues[Climate Zone],Table_SourceData_Common_EFOrganicFertCropResidues[EFNi &amp; EFN2Oi])</f>
        <v>5.0000000000000001E-3</v>
      </c>
      <c r="N14" s="166" t="str">
        <v>EF_N2Oi</v>
      </c>
      <c r="O14" s="170" t="str">
        <v>emission factor for direct nitrous oxide emissions from organic fertiliser applied to soils and aquatic systems in climate zone i</v>
      </c>
      <c r="P14" s="204"/>
      <c r="Q14" s="165"/>
      <c r="R14" s="166" t="str">
        <v>kg N2O-N/kg N</v>
      </c>
      <c r="S14" s="168" t="str">
        <v>Lookup</v>
      </c>
      <c r="T14" s="166"/>
    </row>
    <row r="15" spans="1:21" ht="20.100000000000001" customHeight="1" x14ac:dyDescent="0.25">
      <c r="A15" s="16" t="str">
        <f>HYPERLINK("#'Input - Poultry purchases'!A1", "Poultry purchases")</f>
        <v>Poultry purchases</v>
      </c>
      <c r="D15" s="166" t="str">
        <v>C_N2O</v>
      </c>
      <c r="E15" s="170" t="str">
        <v>factor to convert elemental mass of nitrous oxide to molecular mass</v>
      </c>
      <c r="F15" s="204"/>
      <c r="G15" s="165"/>
      <c r="H15" s="166" t="str">
        <v/>
      </c>
      <c r="I15" s="168" t="str">
        <v>Constant</v>
      </c>
      <c r="J15" s="166">
        <f>Common_InputFunctions.Utility_LookupValueInTableNumber("N2O",Table_GasToMolecularConversionFactor[Gas],Table_GasToMolecularConversionFactor[Conversion factor combined])</f>
        <v>1.5714285714285714</v>
      </c>
      <c r="N15" s="166" t="str">
        <v>C_N2O</v>
      </c>
      <c r="O15" s="170" t="str">
        <v>factor to convert elemental mass of nitrous oxide to molecular mass</v>
      </c>
      <c r="P15" s="204"/>
      <c r="Q15" s="165"/>
      <c r="R15" s="166" t="str">
        <v/>
      </c>
      <c r="S15" s="168" t="str">
        <v>Constant</v>
      </c>
      <c r="T15" s="166"/>
    </row>
    <row r="16" spans="1:21" ht="20.100000000000001" customHeight="1" x14ac:dyDescent="0.25">
      <c r="A16" s="16" t="str">
        <f>HYPERLINK("#'Input - Freight'!A1", "Freight")</f>
        <v>Freight</v>
      </c>
      <c r="D16" s="166" t="str">
        <v>j</v>
      </c>
      <c r="E16" s="170" t="str">
        <v>Production system</v>
      </c>
      <c r="F16" s="204"/>
      <c r="G16" s="165"/>
      <c r="H16" s="166" t="str">
        <v/>
      </c>
      <c r="I16" s="167" t="str">
        <v>Input</v>
      </c>
      <c r="J16" s="166" t="str">
        <f>X_Cell_ManureSentOffsite_ManureProductionSystem</f>
        <v>Crop</v>
      </c>
      <c r="N16" s="166" t="str">
        <v>j</v>
      </c>
      <c r="O16" s="170" t="str">
        <v>Production system</v>
      </c>
      <c r="P16" s="204"/>
      <c r="Q16" s="165"/>
      <c r="R16" s="166" t="str">
        <v/>
      </c>
      <c r="S16" s="167" t="str">
        <v>Input</v>
      </c>
      <c r="T16" s="166"/>
    </row>
    <row r="17" spans="1:20" ht="20.100000000000001" customHeight="1" x14ac:dyDescent="0.25">
      <c r="A17" s="16" t="str">
        <f>HYPERLINK("#'Input - Solid waste'!A1", "Solid waste")</f>
        <v>Solid waste</v>
      </c>
      <c r="D17" s="166" t="str">
        <v>i</v>
      </c>
      <c r="E17" s="170" t="str">
        <v>Wet or dry climate zone</v>
      </c>
      <c r="F17" s="204"/>
      <c r="G17" s="165"/>
      <c r="H17" s="166" t="str">
        <v/>
      </c>
      <c r="I17" s="167" t="str">
        <v>Input</v>
      </c>
      <c r="J17" s="166" t="str">
        <f>X_Cell_Site_WetOrDryClimateZone</f>
        <v>Dry climate zone</v>
      </c>
      <c r="N17" s="166" t="str">
        <v>i</v>
      </c>
      <c r="O17" s="170" t="str">
        <v>Wet or dry climate zone</v>
      </c>
      <c r="P17" s="204"/>
      <c r="Q17" s="165"/>
      <c r="R17" s="166" t="str">
        <v/>
      </c>
      <c r="S17" s="167" t="str">
        <v>Input</v>
      </c>
      <c r="T17" s="166"/>
    </row>
    <row r="18" spans="1:20" ht="20.100000000000001" customHeight="1" x14ac:dyDescent="0.25">
      <c r="A18" s="16" t="str">
        <f>HYPERLINK("#'Input - Manure sent off-site'!A1", "Manure sent off-site")</f>
        <v>Manure sent off-site</v>
      </c>
    </row>
    <row r="19" spans="1:20" ht="20.100000000000001" customHeight="1" x14ac:dyDescent="0.25">
      <c r="A19" s="16" t="str">
        <f>HYPERLINK("#'Input - Electricity'!A1", "Electricity")</f>
        <v>Electricity</v>
      </c>
      <c r="D19" s="175" t="s">
        <v>742</v>
      </c>
      <c r="E19" s="176" cm="1">
        <f t="array" ref="E19">Fertiliser_Equations_OrganicN2O.VEERG_5_2_1_1__1_OrganicFertiliserApplicationN2OEmissions(J13,J14,J15)</f>
        <v>7.8571428571428577E-3</v>
      </c>
      <c r="F19" s="177" t="str">
        <f>$E$11</f>
        <v>t N2O</v>
      </c>
      <c r="N19" s="175" t="s">
        <v>742</v>
      </c>
      <c r="O19" s="176" cm="1">
        <f t="array" ref="O19">Fertiliser_Equations_OrganicN2O.VEERG_5_2_1_1__1_OrganicFertiliserApplicationN2OEmissions(T13,J14,J15)</f>
        <v>1.5714285714285715E-2</v>
      </c>
      <c r="P19" s="177" t="str">
        <f>$E$11</f>
        <v>t N2O</v>
      </c>
    </row>
    <row r="20" spans="1:20" ht="20.100000000000001" customHeight="1" x14ac:dyDescent="0.25"/>
    <row r="21" spans="1:20" ht="20.100000000000001" customHeight="1" x14ac:dyDescent="0.25"/>
    <row r="22" spans="1:20" ht="20.100000000000001" customHeight="1" x14ac:dyDescent="0.25">
      <c r="A22" s="21" t="s">
        <v>77</v>
      </c>
    </row>
    <row r="23" spans="1:20" ht="20.100000000000001" customHeight="1" x14ac:dyDescent="0.25">
      <c r="A23" s="16" t="str">
        <f>HYPERLINK("#'15 Scope 3'!A1", "15 Scope 3")</f>
        <v>15 Scope 3</v>
      </c>
    </row>
    <row r="24" spans="1:20" ht="20.100000000000001" customHeight="1" x14ac:dyDescent="0.25">
      <c r="A24" s="16" t="str">
        <f>HYPERLINK("#'10.1.1-2 Solid waste treatment'!A1", "10.1.1-2 Solid waste treatment")</f>
        <v>10.1.1-2 Solid waste treatment</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179" t="str">
        <f>HYPERLINK("#'Calcs - Manure sent off-site'!A1", "Calcs - Manure sent off-site")</f>
        <v>Calcs - Manure sent off-site</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A26" s="16" t="str">
        <f>HYPERLINK("#'8.1.1.1-2 Transport fuel'!A1", "8.1.1.1-2 Transport fuel")</f>
        <v>8.1.1.1-2 Transport fuel</v>
      </c>
      <c r="D26" s="171" t="s">
        <v>622</v>
      </c>
      <c r="E26" s="171" t="str" cm="1">
        <f t="array" aca="1" ref="E26" ca="1">Common_InputFunctions.Utility_DisplayFunctionName(E35)</f>
        <v>=Fertiliser_Equations_AtmosphericDeposition.VEERG_5_4_1_3__2_MassOfNitrogenVolatilisedFromOrganicFertiliser</v>
      </c>
      <c r="N26" s="171" t="s">
        <v>622</v>
      </c>
      <c r="O26" s="171" t="str" cm="1">
        <f t="array" aca="1" ref="O26" ca="1">Common_InputFunctions.Utility_DisplayFunctionName(O35)</f>
        <v>=Fertiliser_Equations_AtmosphericDeposition.VEERG_5_4_1_3__2_MassOfNitrogenVolatilisedFromOrganicFertiliser</v>
      </c>
    </row>
    <row r="27" spans="1:20" ht="20.100000000000001" customHeight="1" x14ac:dyDescent="0.25">
      <c r="A27" s="16" t="str">
        <f>HYPERLINK("#'8.2.1.1-2 Stationary fuel'!A1", "8.2.1.1-2 Stationary fuel")</f>
        <v>8.2.1.1-2 Stationary fuel</v>
      </c>
    </row>
    <row r="28" spans="1:20" ht="20.100000000000001" customHeight="1" x14ac:dyDescent="0.25"/>
    <row r="29" spans="1:20" ht="20.100000000000001" customHeight="1" x14ac:dyDescent="0.25">
      <c r="D29" s="27" t="s">
        <v>623</v>
      </c>
      <c r="E29" s="8" t="str" cm="1">
        <f t="array" ref="E29">Fertiliser_Equations_AtmosphericDeposition.VEERG_5_4_1_3__2_MassOfNitrogenVolatilisedFromOrganicFertiliser_Variable()</f>
        <v>M_volorganicjf</v>
      </c>
      <c r="N29" s="27" t="s">
        <v>623</v>
      </c>
      <c r="O29" s="8" t="str" cm="1">
        <f t="array" ref="O29">Fertiliser_Equations_AtmosphericDeposition.VEERG_5_4_1_3__2_MassOfNitrogenVolatilisedFromOrganicFertiliser_Variable()</f>
        <v>M_volorganicjf</v>
      </c>
    </row>
    <row r="30" spans="1:20" ht="20.100000000000001" customHeight="1" x14ac:dyDescent="0.25">
      <c r="A30" s="221" t="s">
        <v>78</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HYPERLINK("#'Constants - Scope 3'!A1", "Constants - Scope 3")</f>
        <v>Constants - Scope 3</v>
      </c>
    </row>
    <row r="32" spans="1:20" ht="20.100000000000001" customHeight="1" x14ac:dyDescent="0.25">
      <c r="A32" s="16" t="str">
        <f>HYPERLINK("#'Constants - Solid Waste'!A1", "Constants - Solid Waste")</f>
        <v>Constants - Solid Waste</v>
      </c>
      <c r="D32" s="166" t="str" cm="1">
        <f t="array" ref="D32:E33">_xlfn.CHOOSECOLS(Fertiliser_Equations_AtmosphericDeposition.VEERG_5_4_1_3__2_MassOfNitrogenVolatilisedFromOrganicFertiliser_Arguments(), 1, 2)</f>
        <v>MNSoil_jf</v>
      </c>
      <c r="E32" s="166" t="str">
        <v>mass of nitrogen in organic fertiliser type f applied to production system j</v>
      </c>
      <c r="F32" s="166"/>
      <c r="G32" s="166" t="str" cm="1">
        <f t="array" ref="G32:H33">_xlfn.CHOOSECOLS(Fertiliser_Equations_AtmosphericDeposition.VEERG_5_4_1_3__2_MassOfNitrogenVolatilisedFromOrganicFertiliser_Arguments(), 3,4)</f>
        <v>kg N</v>
      </c>
      <c r="H32" s="168" t="str">
        <v>Calculated from 5.2.1.1 (2)</v>
      </c>
      <c r="I32" s="166">
        <f>X_Cell_ManureSentOffsite_MassNitrogenManure_Method1</f>
        <v>1000</v>
      </c>
      <c r="N32" s="166" t="str" cm="1">
        <f t="array" ref="N32:O33">_xlfn.CHOOSECOLS(Fertiliser_Equations_AtmosphericDeposition.VEERG_5_4_1_3__2_MassOfNitrogenVolatilisedFromOrganicFertiliser_Arguments(), 1, 2)</f>
        <v>MNSoil_jf</v>
      </c>
      <c r="O32" s="166" t="str">
        <v>mass of nitrogen in organic fertiliser type f applied to production system j</v>
      </c>
      <c r="P32" s="166"/>
      <c r="Q32" s="166" t="str" cm="1">
        <f t="array" ref="Q32:R33">_xlfn.CHOOSECOLS(Fertiliser_Equations_AtmosphericDeposition.VEERG_5_4_1_3__2_MassOfNitrogenVolatilisedFromOrganicFertiliser_Arguments(), 3,4)</f>
        <v>kg N</v>
      </c>
      <c r="R32" s="168" t="str">
        <v>Calculated from 5.2.1.1 (2)</v>
      </c>
      <c r="S32" s="166">
        <f>X_Cell_ManureSentOffsite_MassNitrogenManure_Method2</f>
        <v>2000</v>
      </c>
    </row>
    <row r="33" spans="1:19" ht="20.100000000000001" customHeight="1" x14ac:dyDescent="0.25">
      <c r="A33" s="16" t="str">
        <f>HYPERLINK("#'Constants - Fuel'!A1", "Constants - Fuel")</f>
        <v>Constants - Fuel</v>
      </c>
      <c r="D33" s="166" t="str">
        <v>FracGASM_soil</v>
      </c>
      <c r="E33" s="166" t="str">
        <v>fraction of organic fertiliser N that volatilises</v>
      </c>
      <c r="F33" s="166"/>
      <c r="G33" s="166" t="str">
        <v>(kg NH3-N + NOx-N)/kg N</v>
      </c>
      <c r="H33" s="168" t="str">
        <v>Constant</v>
      </c>
      <c r="I33" s="166">
        <f>Fertiliser_FracGASMSoil_Data</f>
        <v>0.21</v>
      </c>
      <c r="N33" s="166" t="str">
        <v>FracGASM_soil</v>
      </c>
      <c r="O33" s="166" t="str">
        <v>fraction of organic fertiliser N that volatilises</v>
      </c>
      <c r="P33" s="166"/>
      <c r="Q33" s="166" t="str">
        <v>(kg NH3-N + NOx-N)/kg N</v>
      </c>
      <c r="R33" s="168" t="str">
        <v>Constant</v>
      </c>
      <c r="S33" s="166"/>
    </row>
    <row r="34" spans="1:19" ht="20.100000000000001" customHeight="1" x14ac:dyDescent="0.25">
      <c r="A34" s="16" t="str">
        <f>HYPERLINK("#'Constants - Poultry'!A1", "Constants - Poultry")</f>
        <v>Constants - Poultry</v>
      </c>
    </row>
    <row r="35" spans="1:19" ht="20.100000000000001" customHeight="1" x14ac:dyDescent="0.25">
      <c r="A35" s="16" t="str">
        <f>HYPERLINK("#'Constants - Swine'!A1", "Constants - Swine")</f>
        <v>Constants - Swine</v>
      </c>
      <c r="D35" s="173" t="s">
        <v>744</v>
      </c>
      <c r="E35" s="98" cm="1">
        <f t="array" ref="E35">Fertiliser_Equations_AtmosphericDeposition.VEERG_5_4_1_3__2_MassOfNitrogenVolatilisedFromOrganicFertiliser(I32,I33)</f>
        <v>210</v>
      </c>
      <c r="F35" s="174" t="str">
        <f>E30</f>
        <v>kg N</v>
      </c>
      <c r="N35" s="173" t="s">
        <v>744</v>
      </c>
      <c r="O35" s="98" cm="1">
        <f t="array" ref="O35">Fertiliser_Equations_AtmosphericDeposition.VEERG_5_4_1_3__2_MassOfNitrogenVolatilisedFromOrganicFertiliser(S32,I33)</f>
        <v>420</v>
      </c>
      <c r="P35" s="174" t="str">
        <f>O30</f>
        <v>kg N</v>
      </c>
    </row>
    <row r="36" spans="1:19" ht="20.100000000000001" customHeight="1" x14ac:dyDescent="0.25">
      <c r="A36" s="16" t="str">
        <f>HYPERLINK("#'Constants - Dairy'!A1", "Constants - Dairy")</f>
        <v>Constants - Dairy</v>
      </c>
    </row>
    <row r="37" spans="1:19" ht="20.100000000000001" customHeight="1" x14ac:dyDescent="0.25">
      <c r="A37" s="16" t="str">
        <f>HYPERLINK("#'Constants - Pasture Beef'!A1", "Constants - Pasture Beef")</f>
        <v>Constants - Pasture Beef</v>
      </c>
    </row>
    <row r="38" spans="1:19" ht="20.100000000000001" customHeight="1" x14ac:dyDescent="0.25">
      <c r="A38" s="16" t="str">
        <f>HYPERLINK("#'Constants - Common Livestock'!A1", "Constants - Common Livestock")</f>
        <v>Constants - Common Livestock</v>
      </c>
    </row>
    <row r="39" spans="1:19" ht="20.100000000000001" customHeight="1" x14ac:dyDescent="0.25">
      <c r="A39" s="16" t="str">
        <f>HYPERLINK("#'Constants - Fertiliser'!A1", "Constants - Fertiliser")</f>
        <v>Constants - Fertiliser</v>
      </c>
    </row>
    <row r="40" spans="1:19" ht="20.100000000000001" customHeight="1" x14ac:dyDescent="0.25">
      <c r="A40" s="16" t="str">
        <f>HYPERLINK("#'Constants - Electricity'!A1", "Constants - Electricity")</f>
        <v>Constants - Electricity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Common'!A1", "Constants - Common")</f>
        <v>Constants - Common</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1" t="s">
        <v>622</v>
      </c>
      <c r="E42" s="171" t="str">
        <f ca="1">Common_InputFunctions.Utility_DisplayFunctionName(VEERG_5_4_1_3__1_OrganicFertiliserAtmosphericDepositionN2OEmissions_Result_Method1)</f>
        <v>=Fertiliser_Equations_AtmosphericDeposition.VEERG_5_4_1_3__1_OrganicFertiliserAtmosphericDepositionN2OEmissions</v>
      </c>
      <c r="N42" s="171" t="s">
        <v>622</v>
      </c>
      <c r="O42" s="17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623</v>
      </c>
      <c r="E45" s="8" t="str" cm="1">
        <f t="array" ref="E45">Fertiliser_Equations_AtmosphericDeposition.VEERG_5_4_1_3__1_OrganicFertiliserAtmosphericDepositionN2OEmissions_Variable()</f>
        <v>E_adorganic</v>
      </c>
      <c r="N45" s="27" t="s">
        <v>623</v>
      </c>
      <c r="O45" s="8" t="str" cm="1">
        <f t="array" ref="O45">Fertiliser_Equations_AtmosphericDeposition.VEERG_5_4_1_3__1_OrganicFertiliserAtmosphericDepositionN2OEmissions_Variable()</f>
        <v>E_adorganic</v>
      </c>
    </row>
    <row r="46" spans="1:19" ht="20.100000000000001" customHeight="1" x14ac:dyDescent="0.25">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6" t="str" cm="1">
        <f t="array" ref="D48:E53">_xlfn.CHOOSECOLS(Fertiliser_Equations_AtmosphericDeposition.VEERG_5_4_1_3__1_OrganicFertiliserAtmosphericDepositionN2OEmissions_Arguments(), 1, 2)</f>
        <v>M_volorganicjf</v>
      </c>
      <c r="E48" s="170" t="str">
        <v>mass of nitrogen volatilised from organic fertiliser applied to production system</v>
      </c>
      <c r="F48" s="165"/>
      <c r="G48" s="166" t="str" cm="1">
        <f t="array" ref="G48:H53">_xlfn.CHOOSECOLS(Fertiliser_Equations_AtmosphericDeposition.VEERG_5_4_1_3__1_OrganicFertiliserAtmosphericDepositionN2OEmissions_Arguments(), 3,4)</f>
        <v>kg N</v>
      </c>
      <c r="H48" s="168" t="str">
        <v>Calculated from 5.4.1.3 (2)</v>
      </c>
      <c r="I48" s="166">
        <f>E35</f>
        <v>210</v>
      </c>
      <c r="N48" s="166" t="str" cm="1">
        <f t="array" ref="N48:O53">_xlfn.CHOOSECOLS(Fertiliser_Equations_AtmosphericDeposition.VEERG_5_4_1_3__1_OrganicFertiliserAtmosphericDepositionN2OEmissions_Arguments(), 1, 2)</f>
        <v>M_volorganicjf</v>
      </c>
      <c r="O48" s="170" t="str">
        <v>mass of nitrogen volatilised from organic fertiliser applied to production system</v>
      </c>
      <c r="P48" s="165"/>
      <c r="Q48" s="166" t="str" cm="1">
        <f t="array" ref="Q48:R53">_xlfn.CHOOSECOLS(Fertiliser_Equations_AtmosphericDeposition.VEERG_5_4_1_3__1_OrganicFertiliserAtmosphericDepositionN2OEmissions_Arguments(), 3,4)</f>
        <v>kg N</v>
      </c>
      <c r="R48" s="168" t="str">
        <v>Calculated from 5.4.1.3 (2)</v>
      </c>
      <c r="S48" s="166">
        <f>O35</f>
        <v>420</v>
      </c>
    </row>
    <row r="49" spans="4:19" ht="20.100000000000001" customHeight="1" x14ac:dyDescent="0.25">
      <c r="D49" s="166" t="str">
        <v>EF_N2Oj</v>
      </c>
      <c r="E49" s="170" t="str">
        <v>emission factor for atmospheric deposition in production system j</v>
      </c>
      <c r="F49" s="165"/>
      <c r="G49" s="166" t="str">
        <v>kg N2O-N/kg N</v>
      </c>
      <c r="H49" s="168" t="str">
        <v>Constant</v>
      </c>
      <c r="I49" s="16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6" t="str">
        <v>EF_N2Oj</v>
      </c>
      <c r="O49" s="170" t="str">
        <v>emission factor for atmospheric deposition in production system j</v>
      </c>
      <c r="P49" s="165"/>
      <c r="Q49" s="166" t="str">
        <v>kg N2O-N/kg N</v>
      </c>
      <c r="R49" s="168" t="str">
        <v>Constant</v>
      </c>
      <c r="S49" s="166"/>
    </row>
    <row r="50" spans="4:19" ht="20.100000000000001" customHeight="1" x14ac:dyDescent="0.25">
      <c r="D50" s="166" t="str">
        <v>C_N2O</v>
      </c>
      <c r="E50" s="170" t="str">
        <v>factor to convert elemental mass of nitrous oxide to molecular mass</v>
      </c>
      <c r="F50" s="165"/>
      <c r="G50" s="166" t="str">
        <v/>
      </c>
      <c r="H50" s="168" t="str">
        <v>Constant</v>
      </c>
      <c r="I50" s="205">
        <f>Common_InputFunctions.Utility_LookupValueInTableNumber("N2O",Table_GasToMolecularConversionFactor[Gas],Table_GasToMolecularConversionFactor[Conversion factor combined])</f>
        <v>1.5714285714285714</v>
      </c>
      <c r="N50" s="166" t="str">
        <v>C_N2O</v>
      </c>
      <c r="O50" s="170" t="str">
        <v>factor to convert elemental mass of nitrous oxide to molecular mass</v>
      </c>
      <c r="P50" s="165"/>
      <c r="Q50" s="166" t="str">
        <v/>
      </c>
      <c r="R50" s="168" t="str">
        <v>Constant</v>
      </c>
      <c r="S50" s="205"/>
    </row>
    <row r="51" spans="4:19" ht="20.100000000000001" customHeight="1" x14ac:dyDescent="0.25">
      <c r="D51" s="166" t="str">
        <v>j</v>
      </c>
      <c r="E51" s="170" t="str">
        <v>Production system</v>
      </c>
      <c r="F51" s="165"/>
      <c r="G51" s="166" t="str">
        <v/>
      </c>
      <c r="H51" s="167" t="str">
        <v>Input</v>
      </c>
      <c r="I51" s="166" t="str">
        <f>X_Cell_ManureSentOffsite_ManureProductionSystem</f>
        <v>Crop</v>
      </c>
      <c r="N51" s="166" t="str">
        <v>j</v>
      </c>
      <c r="O51" s="170" t="str">
        <v>Production system</v>
      </c>
      <c r="P51" s="165"/>
      <c r="Q51" s="166" t="str">
        <v/>
      </c>
      <c r="R51" s="167" t="str">
        <v>Input</v>
      </c>
      <c r="S51" s="166"/>
    </row>
    <row r="52" spans="4:19" ht="20.100000000000001" customHeight="1" x14ac:dyDescent="0.25">
      <c r="D52" s="166" t="str">
        <v>ir</v>
      </c>
      <c r="E52" s="170" t="str">
        <v>irrigation method</v>
      </c>
      <c r="F52" s="165"/>
      <c r="G52" s="166" t="str">
        <v/>
      </c>
      <c r="H52" s="167" t="str">
        <v>Input</v>
      </c>
      <c r="I52" s="166" t="str">
        <f>X_Cell_ManureSentOffsite_ManureIrrigationMethod</f>
        <v>Sprinkler irrigation</v>
      </c>
      <c r="N52" s="166" t="str">
        <v>ir</v>
      </c>
      <c r="O52" s="170" t="str">
        <v>irrigation method</v>
      </c>
      <c r="P52" s="165"/>
      <c r="Q52" s="166" t="str">
        <v/>
      </c>
      <c r="R52" s="167" t="str">
        <v>Input</v>
      </c>
      <c r="S52" s="166"/>
    </row>
    <row r="53" spans="4:19" ht="20.100000000000001" customHeight="1" x14ac:dyDescent="0.25">
      <c r="D53" s="166" t="str">
        <v>r</v>
      </c>
      <c r="E53" s="170" t="str">
        <v>rainfall region</v>
      </c>
      <c r="F53" s="165"/>
      <c r="G53" s="166" t="str">
        <v/>
      </c>
      <c r="H53" s="167" t="str">
        <v>Input</v>
      </c>
      <c r="I53" s="166" t="str">
        <f>X_Cell_Site_RainfallZone</f>
        <v>Low rainfall</v>
      </c>
      <c r="N53" s="166" t="str">
        <v>r</v>
      </c>
      <c r="O53" s="170" t="str">
        <v>rainfall region</v>
      </c>
      <c r="P53" s="165"/>
      <c r="Q53" s="166" t="str">
        <v/>
      </c>
      <c r="R53" s="167" t="str">
        <v>Input</v>
      </c>
      <c r="S53" s="166"/>
    </row>
    <row r="54" spans="4:19" ht="20.100000000000001" customHeight="1" x14ac:dyDescent="0.25"/>
    <row r="55" spans="4:19" ht="20.100000000000001" customHeight="1" x14ac:dyDescent="0.25">
      <c r="D55" s="175" t="s">
        <v>758</v>
      </c>
      <c r="E55" s="176" cm="1">
        <f t="array" ref="E55">Fertiliser_Equations_AtmosphericDeposition.VEERG_5_4_1_3__1_OrganicFertiliserAtmosphericDepositionN2OEmissions(I48,I49,I50)</f>
        <v>2.31E-3</v>
      </c>
      <c r="F55" s="177" t="str">
        <f>$E$46</f>
        <v>t N2O</v>
      </c>
      <c r="N55" s="175" t="s">
        <v>758</v>
      </c>
      <c r="O55" s="176" cm="1">
        <f t="array" ref="O55">Fertiliser_Equations_AtmosphericDeposition.VEERG_5_4_1_3__1_OrganicFertiliserAtmosphericDepositionN2OEmissions(S48,I49,I50)</f>
        <v>4.62E-3</v>
      </c>
      <c r="P55" s="177"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1" t="s">
        <v>622</v>
      </c>
      <c r="E61" s="171" t="str" cm="1">
        <f t="array" aca="1" ref="E61" ca="1">Common_InputFunctions.Utility_DisplayFunctionName(E74)</f>
        <v>=Fertiliser_Equations_LeachingAndRunoff.VEERG_5_5_1_1__3_MassOfNitrogenLeachedFromOrganicFertiliser</v>
      </c>
      <c r="N61" s="171" t="s">
        <v>622</v>
      </c>
      <c r="O61" s="171"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623</v>
      </c>
      <c r="E64" s="8" t="str" cm="1">
        <f t="array" ref="E64">Fertiliser_Equations_LeachingAndRunoff.VEERG_5_5_1_1__3_MassOfNitrogenLeachedFromOrganicFertiliser_Variable()</f>
        <v>M_leachorganicj</v>
      </c>
      <c r="N64" s="27" t="s">
        <v>623</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6" t="str" cm="1">
        <f t="array" ref="D67:E72">_xlfn.CHOOSECOLS(Fertiliser_Equations_LeachingAndRunoff.VEERG_5_5_1_1__3_MassOfNitrogenLeachedFromOrganicFertiliser_Arguments(), 1, 2)</f>
        <v>MNSoil_jf</v>
      </c>
      <c r="E67" s="170" t="str">
        <v>mass of nitrogen in organic fertiliser</v>
      </c>
      <c r="F67" s="165"/>
      <c r="G67" s="166" t="str" cm="1">
        <f t="array" ref="G67:H72">_xlfn.CHOOSECOLS(Fertiliser_Equations_LeachingAndRunoff.VEERG_5_5_1_1__3_MassOfNitrogenLeachedFromOrganicFertiliser_Arguments(), 3,4)</f>
        <v>kg N</v>
      </c>
      <c r="H67" s="168" t="str">
        <v>Calculated from 5.2.1.1 (2)</v>
      </c>
      <c r="I67" s="166">
        <f>X_Cell_ManureSentOffsite_MassNitrogenManure_Method1</f>
        <v>1000</v>
      </c>
      <c r="N67" s="166" t="str" cm="1">
        <f t="array" ref="N67:O72">_xlfn.CHOOSECOLS(Fertiliser_Equations_LeachingAndRunoff.VEERG_5_5_1_1__3_MassOfNitrogenLeachedFromOrganicFertiliser_Arguments(), 1, 2)</f>
        <v>MNSoil_jf</v>
      </c>
      <c r="O67" s="170" t="str">
        <v>mass of nitrogen in organic fertiliser</v>
      </c>
      <c r="P67" s="165"/>
      <c r="Q67" s="166" t="str" cm="1">
        <f t="array" ref="Q67:R72">_xlfn.CHOOSECOLS(Fertiliser_Equations_LeachingAndRunoff.VEERG_5_5_1_1__3_MassOfNitrogenLeachedFromOrganicFertiliser_Arguments(), 3,4)</f>
        <v>kg N</v>
      </c>
      <c r="R67" s="168" t="str">
        <v>Calculated from 5.2.1.1 (2)</v>
      </c>
      <c r="S67" s="166">
        <f>X_Cell_ManureSentOffsite_MassNitrogenManure_Method2</f>
        <v>2000</v>
      </c>
    </row>
    <row r="68" spans="4:19" ht="20.100000000000001" customHeight="1" x14ac:dyDescent="0.25">
      <c r="D68" s="166" t="str">
        <v>FracWETj</v>
      </c>
      <c r="E68" s="170" t="str">
        <v>fraction of N available for leaching and runoff</v>
      </c>
      <c r="F68" s="165"/>
      <c r="G68" s="166" t="str">
        <v>fraction</v>
      </c>
      <c r="H68" s="168" t="str">
        <v>Constant</v>
      </c>
      <c r="I68" s="166">
        <f>Common_InputFunctions.CommonCropping_GetFracWET(I70,I72,#REF!,#REF!,Table_SourceData_FracWETIrrigation[Irrigation type i],Table_SourceData_FracWETIrrigation[FracWET])</f>
        <v>1</v>
      </c>
      <c r="N68" s="166" t="str">
        <v>FracWETj</v>
      </c>
      <c r="O68" s="170" t="str">
        <v>fraction of N available for leaching and runoff</v>
      </c>
      <c r="P68" s="165"/>
      <c r="Q68" s="166" t="str">
        <v>fraction</v>
      </c>
      <c r="R68" s="168" t="str">
        <v>Constant</v>
      </c>
      <c r="S68" s="166"/>
    </row>
    <row r="69" spans="4:19" ht="20.100000000000001" customHeight="1" x14ac:dyDescent="0.25">
      <c r="D69" s="166" t="str">
        <v>FracLEACH</v>
      </c>
      <c r="E69" s="170" t="str">
        <v>fraction of N that is lost through leaching and runoff</v>
      </c>
      <c r="F69" s="165"/>
      <c r="G69" s="166" t="str">
        <v>fraction</v>
      </c>
      <c r="H69" s="168" t="str">
        <v>Constant</v>
      </c>
      <c r="I69" s="166">
        <f>Fertiliser_FracLEACH_Data</f>
        <v>0.24</v>
      </c>
      <c r="N69" s="166" t="str">
        <v>FracLEACH</v>
      </c>
      <c r="O69" s="170" t="str">
        <v>fraction of N that is lost through leaching and runoff</v>
      </c>
      <c r="P69" s="165"/>
      <c r="Q69" s="166" t="str">
        <v>fraction</v>
      </c>
      <c r="R69" s="168" t="str">
        <v>Constant</v>
      </c>
      <c r="S69" s="166"/>
    </row>
    <row r="70" spans="4:19" ht="20.100000000000001" customHeight="1" x14ac:dyDescent="0.25">
      <c r="D70" s="166" t="str">
        <v>z</v>
      </c>
      <c r="E70" s="170" t="str">
        <v>location in leaching zone</v>
      </c>
      <c r="F70" s="165"/>
      <c r="G70" s="166" t="str">
        <v/>
      </c>
      <c r="H70" s="167" t="str">
        <v>Input</v>
      </c>
      <c r="I70" s="166" t="str">
        <f>X_Cell_Site_LeachingZone</f>
        <v>NO - Not in leaching zone</v>
      </c>
      <c r="N70" s="166" t="str">
        <v>z</v>
      </c>
      <c r="O70" s="170" t="str">
        <v>location in leaching zone</v>
      </c>
      <c r="P70" s="165"/>
      <c r="Q70" s="166" t="str">
        <v/>
      </c>
      <c r="R70" s="167" t="str">
        <v>Input</v>
      </c>
      <c r="S70" s="166"/>
    </row>
    <row r="71" spans="4:19" ht="20.100000000000001" customHeight="1" x14ac:dyDescent="0.25">
      <c r="D71" s="166" t="str">
        <v>j</v>
      </c>
      <c r="E71" s="170" t="str">
        <v>production system</v>
      </c>
      <c r="F71" s="165"/>
      <c r="G71" s="166" t="str">
        <v/>
      </c>
      <c r="H71" s="167" t="str">
        <v>Input</v>
      </c>
      <c r="I71" s="166" t="str">
        <f>X_Cell_ManureSentOffsite_ManureProductionSystem</f>
        <v>Crop</v>
      </c>
      <c r="N71" s="166" t="str">
        <v>j</v>
      </c>
      <c r="O71" s="170" t="str">
        <v>production system</v>
      </c>
      <c r="P71" s="165"/>
      <c r="Q71" s="166" t="str">
        <v/>
      </c>
      <c r="R71" s="167" t="str">
        <v>Input</v>
      </c>
      <c r="S71" s="166"/>
    </row>
    <row r="72" spans="4:19" ht="20.100000000000001" customHeight="1" x14ac:dyDescent="0.25">
      <c r="D72" s="166" t="str">
        <v>ir</v>
      </c>
      <c r="E72" s="170" t="str">
        <v>irrigation method</v>
      </c>
      <c r="F72" s="165"/>
      <c r="G72" s="166" t="str">
        <v/>
      </c>
      <c r="H72" s="167" t="str">
        <v>Input</v>
      </c>
      <c r="I72" s="166" t="str">
        <f>X_Cell_ManureSentOffsite_ManureIrrigationMethod</f>
        <v>Sprinkler irrigation</v>
      </c>
      <c r="N72" s="166" t="str">
        <v>ir</v>
      </c>
      <c r="O72" s="170" t="str">
        <v>irrigation method</v>
      </c>
      <c r="P72" s="165"/>
      <c r="Q72" s="166" t="str">
        <v/>
      </c>
      <c r="R72" s="167" t="str">
        <v>Input</v>
      </c>
      <c r="S72" s="166"/>
    </row>
    <row r="73" spans="4:19" ht="20.100000000000001" customHeight="1" x14ac:dyDescent="0.25"/>
    <row r="74" spans="4:19" ht="20.100000000000001" customHeight="1" x14ac:dyDescent="0.25">
      <c r="D74" s="173" t="s">
        <v>759</v>
      </c>
      <c r="E74" s="98" cm="1">
        <f t="array" ref="E74">Fertiliser_Equations_LeachingAndRunoff.VEERG_5_5_1_1__3_MassOfNitrogenLeachedFromOrganicFertiliser(I67,I68,I69)</f>
        <v>240</v>
      </c>
      <c r="F74" s="174" t="str">
        <f>$E$65</f>
        <v>kg N</v>
      </c>
      <c r="N74" s="173" t="s">
        <v>759</v>
      </c>
      <c r="O74" s="98" cm="1">
        <f t="array" ref="O74">Fertiliser_Equations_LeachingAndRunoff.VEERG_5_5_1_1__3_MassOfNitrogenLeachedFromOrganicFertiliser(S67,I68,I69)</f>
        <v>480</v>
      </c>
      <c r="P74" s="174"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1" t="s">
        <v>622</v>
      </c>
      <c r="E79" s="171" t="str">
        <f ca="1">Common_InputFunctions.Utility_DisplayFunctionName(VEERG_5_5_1_1__1_FertiliserLeachingAndRunoffN2OEmissions_Result_Method1)</f>
        <v>=Fertiliser_Equations_LeachingAndRunoff.VEERG_5_5_1_1__1_FertiliserLeachingAndRunoffN2OEmissions</v>
      </c>
      <c r="N79" s="171" t="s">
        <v>622</v>
      </c>
      <c r="O79" s="171"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623</v>
      </c>
      <c r="E82" s="8" t="str" cm="1">
        <f t="array" ref="E82">Fertiliser_Equations_LeachingAndRunoff.VEERG_5_5_1_1__1_FertiliserLeachingAndRunoffN2OEmissions_Variable()</f>
        <v>E_fertleach</v>
      </c>
      <c r="N82" s="27" t="s">
        <v>623</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6" t="str" cm="1">
        <f t="array" ref="D85:E88">_xlfn.CHOOSECOLS(Fertiliser_Equations_LeachingAndRunoff.VEERG_5_5_1_1__1_FertiliserLeachingAndRunoffN2OEmissions_Arguments(), 1, 2)</f>
        <v>M_leachinorganicj</v>
      </c>
      <c r="E85" s="170" t="str">
        <v>mass of nitrogen lost through leaching and runoff from inorganic fertiliser application in production system j</v>
      </c>
      <c r="F85" s="204"/>
      <c r="G85" s="165"/>
      <c r="H85" s="166" t="str" cm="1">
        <f t="array" ref="H85:I88">_xlfn.CHOOSECOLS(Fertiliser_Equations_LeachingAndRunoff.VEERG_5_5_1_1__1_FertiliserLeachingAndRunoffN2OEmissions_Arguments(), 3,4)</f>
        <v>kg N</v>
      </c>
      <c r="I85" s="168" t="str">
        <v>Calculated from 5.5.1.1 (2)</v>
      </c>
      <c r="J85" s="166">
        <v>0</v>
      </c>
      <c r="N85" s="166" t="str" cm="1">
        <f t="array" ref="N85:O88">_xlfn.CHOOSECOLS(Fertiliser_Equations_LeachingAndRunoff.VEERG_5_5_1_1__1_FertiliserLeachingAndRunoffN2OEmissions_Arguments(), 1, 2)</f>
        <v>M_leachinorganicj</v>
      </c>
      <c r="O85" s="170" t="str">
        <v>mass of nitrogen lost through leaching and runoff from inorganic fertiliser application in production system j</v>
      </c>
      <c r="P85" s="204"/>
      <c r="Q85" s="165"/>
      <c r="R85" s="166" t="str" cm="1">
        <f t="array" ref="R85:S88">_xlfn.CHOOSECOLS(Fertiliser_Equations_LeachingAndRunoff.VEERG_5_5_1_1__1_FertiliserLeachingAndRunoffN2OEmissions_Arguments(), 3,4)</f>
        <v>kg N</v>
      </c>
      <c r="S85" s="168" t="str">
        <v>Calculated from 5.5.1.1 (2)</v>
      </c>
      <c r="T85" s="166"/>
    </row>
    <row r="86" spans="4:20" x14ac:dyDescent="0.25">
      <c r="D86" s="166" t="str">
        <v>M_leachorganicj</v>
      </c>
      <c r="E86" s="170" t="str">
        <v>mass of nitrogen lost through leaching and runoff from organic fertiliser application</v>
      </c>
      <c r="F86" s="204"/>
      <c r="G86" s="165"/>
      <c r="H86" s="166" t="str">
        <v>kg N</v>
      </c>
      <c r="I86" s="168" t="str">
        <v>Calculated from 5.5.1.1 (3)</v>
      </c>
      <c r="J86" s="166">
        <f>E74</f>
        <v>240</v>
      </c>
      <c r="N86" s="166" t="str">
        <v>M_leachorganicj</v>
      </c>
      <c r="O86" s="170" t="str">
        <v>mass of nitrogen lost through leaching and runoff from organic fertiliser application</v>
      </c>
      <c r="P86" s="204"/>
      <c r="Q86" s="165"/>
      <c r="R86" s="166" t="str">
        <v>kg N</v>
      </c>
      <c r="S86" s="168" t="str">
        <v>Calculated from 5.5.1.1 (3)</v>
      </c>
      <c r="T86" s="166">
        <f>O74</f>
        <v>480</v>
      </c>
    </row>
    <row r="87" spans="4:20" x14ac:dyDescent="0.25">
      <c r="D87" s="166" t="str">
        <v>EF_leach</v>
      </c>
      <c r="E87" s="170" t="str">
        <v>emission factor for nitrogen leaching and runoff</v>
      </c>
      <c r="F87" s="204"/>
      <c r="G87" s="165"/>
      <c r="H87" s="166" t="str">
        <v>kg N2O-N/kg N</v>
      </c>
      <c r="I87" s="168" t="str">
        <v>Constant</v>
      </c>
      <c r="J87" s="166">
        <f>Fertiliser_EFLeach_Data</f>
        <v>1.0999999999999999E-2</v>
      </c>
      <c r="N87" s="166" t="str">
        <v>EF_leach</v>
      </c>
      <c r="O87" s="170" t="str">
        <v>emission factor for nitrogen leaching and runoff</v>
      </c>
      <c r="P87" s="204"/>
      <c r="Q87" s="165"/>
      <c r="R87" s="166" t="str">
        <v>kg N2O-N/kg N</v>
      </c>
      <c r="S87" s="168" t="str">
        <v>Constant</v>
      </c>
      <c r="T87" s="166"/>
    </row>
    <row r="88" spans="4:20" x14ac:dyDescent="0.25">
      <c r="D88" s="166" t="str">
        <v>C_N2O</v>
      </c>
      <c r="E88" s="170" t="str">
        <v>factor to convert elemental mass of nitrous oxide to molecular mass</v>
      </c>
      <c r="F88" s="204"/>
      <c r="G88" s="165"/>
      <c r="H88" s="166" t="str">
        <v/>
      </c>
      <c r="I88" s="168" t="str">
        <v>Constant</v>
      </c>
      <c r="J88" s="205">
        <f>Common_InputFunctions.Utility_LookupValueInTableNumber("N2O",Table_GasToMolecularConversionFactor[Gas],Table_GasToMolecularConversionFactor[Conversion factor combined])</f>
        <v>1.5714285714285714</v>
      </c>
      <c r="N88" s="166" t="str">
        <v>C_N2O</v>
      </c>
      <c r="O88" s="170" t="str">
        <v>factor to convert elemental mass of nitrous oxide to molecular mass</v>
      </c>
      <c r="P88" s="204"/>
      <c r="Q88" s="165"/>
      <c r="R88" s="166" t="str">
        <v/>
      </c>
      <c r="S88" s="168" t="str">
        <v>Constant</v>
      </c>
      <c r="T88" s="205"/>
    </row>
    <row r="90" spans="4:20" ht="23.25" x14ac:dyDescent="0.25">
      <c r="D90" s="175" t="s">
        <v>760</v>
      </c>
      <c r="E90" s="176" cm="1">
        <f t="array" ref="E90">Fertiliser_Equations_LeachingAndRunoff.VEERG_5_5_1_1__1_FertiliserLeachingAndRunoffN2OEmissions(J85,J86,J87,J88)</f>
        <v>4.1485714285714277E-3</v>
      </c>
      <c r="F90" s="177" t="str">
        <f>$E$83</f>
        <v>t N2O</v>
      </c>
      <c r="N90" s="175" t="s">
        <v>760</v>
      </c>
      <c r="O90" s="176" cm="1">
        <f t="array" ref="O90">Fertiliser_Equations_LeachingAndRunoff.VEERG_5_5_1_1__1_FertiliserLeachingAndRunoffN2OEmissions(J85,T86,J87,J88)</f>
        <v>8.2971428571428554E-3</v>
      </c>
      <c r="P90" s="177"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855E4-BCD6-4E91-86C0-508FB5693D70}">
  <dimension ref="A1:R342"/>
  <sheetViews>
    <sheetView showGridLines="0" topLeftCell="A4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706</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1" t="s">
        <v>622</v>
      </c>
      <c r="E7" s="171" t="str" cm="1">
        <f t="array" aca="1" ref="E7" ca="1">Common_InputFunctions.Utility_DisplayFunctionName(N25)</f>
        <v>=Fuel_Equations.VEERG_8_1_1_1__1_FuelCombustionTransport</v>
      </c>
      <c r="K7" s="171" t="s">
        <v>622</v>
      </c>
      <c r="L7" s="171"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1"/>
      <c r="L8" s="171"/>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623</v>
      </c>
      <c r="E11" s="8" t="str" cm="1">
        <f t="array" ref="E11">Fuel_Equations.VEERG_8_1_1_1__1_FuelCombustionTransport_Variable()</f>
        <v>E_g</v>
      </c>
      <c r="K11" s="27" t="s">
        <v>623</v>
      </c>
      <c r="L11" s="8" t="str" cm="1">
        <f t="array" ref="L11">Scope3_Equations.VEERG_15_11_1_1__2_UpstreamTransportFuelEmissions_Variable()</f>
        <v>E_WTTtransq</v>
      </c>
      <c r="O11" s="17"/>
      <c r="P11" s="17"/>
      <c r="Q11" s="17"/>
    </row>
    <row r="12" spans="1:18" ht="20.100000000000001" customHeight="1" x14ac:dyDescent="0.25">
      <c r="A12" s="16" t="str">
        <f>HYPERLINK("#'Input - Beef cattle purchases'!A1", "Beef cattle purchases")</f>
        <v>Beef cattle purchases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_xlfn.CHOOSECOLS(Fuel_Equations.VEERG_8_1_1_1__1_FuelCombustionTransport_Arguments(), 1,2)</f>
        <v>Q_Transtq</v>
      </c>
      <c r="E14" s="170" t="str">
        <v>Amount of fuel type q combusted for transport energy purposes</v>
      </c>
      <c r="F14" s="165"/>
      <c r="G14" s="166" t="str" cm="1">
        <f t="array" ref="G14:H20">_xlfn.CHOOSECOLS(Fuel_Equations.VEERG_8_1_1_1__1_FuelCombustionTransport_Arguments(), 3,4)</f>
        <v>Varies based on fuel type: kL, m3, GJ</v>
      </c>
      <c r="H14" s="230" t="str">
        <v>Input</v>
      </c>
      <c r="I14" s="169" t="str" cm="1">
        <f t="array" aca="1" ref="I14" ca="1">HYPERLINK(Common_InputFunctions.Utility_SourceHyperlink($D$22), $D$22)</f>
        <v>Table_E_g</v>
      </c>
      <c r="K14" s="166" t="str" cm="1">
        <f t="array" ref="K14:L16">_xlfn.CHOOSECOLS(Scope3_Equations.VEERG_15_11_1_1__2_UpstreamTransportFuelEmissions_Arguments(),1,2)</f>
        <v>Q_Transq</v>
      </c>
      <c r="L14" s="166" t="str">
        <v>amount of fuel q combusted for transport energy purposes</v>
      </c>
      <c r="M14" s="166"/>
      <c r="N14" s="166" t="str" cm="1">
        <f t="array" ref="N14:O16">_xlfn.CHOOSECOLS(Scope3_Equations.VEERG_15_11_1_1__2_UpstreamTransportFuelEmissions_Arguments(),3,4)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EC_Transq</v>
      </c>
      <c r="E15" s="170" t="str">
        <v>Energy content factor for transport energy purposes</v>
      </c>
      <c r="F15" s="165"/>
      <c r="G15" s="166" t="str">
        <v>GJ / unit of fuel</v>
      </c>
      <c r="H15" s="168" t="str">
        <v>Constant</v>
      </c>
      <c r="I15" s="169" t="str" cm="1">
        <f t="array" aca="1" ref="I15" ca="1">HYPERLINK(Common_InputFunctions.Utility_SourceHyperlink($D$22), $D$22)</f>
        <v>Table_E_g</v>
      </c>
      <c r="K15" s="166" t="str">
        <v>EC_Transq</v>
      </c>
      <c r="L15" s="166" t="str">
        <v>energy content factor for transport energy purposes</v>
      </c>
      <c r="M15" s="166"/>
      <c r="N15" s="166" t="str">
        <v>GJ/kL or GJ/m3</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EF_Trans1tqg</v>
      </c>
      <c r="E16" s="170" t="str">
        <v>Scope 1 emission factor for transport energy purposes for each greenhouse gas</v>
      </c>
      <c r="F16" s="165"/>
      <c r="G16" s="166" t="str">
        <v>kg CO2e / GJ</v>
      </c>
      <c r="H16" s="168" t="str">
        <v>Constant</v>
      </c>
      <c r="I16" s="169" t="str" cm="1">
        <f t="array" aca="1" ref="I16" ca="1">HYPERLINK(Common_InputFunctions.Utility_SourceHyperlink($D$22), $D$22)</f>
        <v>Table_E_g</v>
      </c>
      <c r="K16" s="166" t="str">
        <v>EF_Trans3q</v>
      </c>
      <c r="L16" s="166" t="str">
        <v>scope 3 emission factor for transport energy purposes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P17" s="17"/>
      <c r="Q17" s="17"/>
    </row>
    <row r="18" spans="1:17" ht="20.100000000000001" customHeight="1" x14ac:dyDescent="0.25">
      <c r="A18" s="16" t="str">
        <f>HYPERLINK("#'Input - Manure sent off-site'!A1", "Manure sent off-site")</f>
        <v>Manure sent off-site</v>
      </c>
      <c r="D18" s="166" t="str">
        <v>Trans</v>
      </c>
      <c r="E18" s="170" t="str">
        <v>Transport combustion</v>
      </c>
      <c r="F18" s="165"/>
      <c r="G18" s="166" t="str">
        <v/>
      </c>
      <c r="H18" s="168" t="str">
        <v>Constant</v>
      </c>
      <c r="I18" s="169"/>
      <c r="J18" s="17"/>
      <c r="L18" s="17"/>
      <c r="M18" s="17"/>
      <c r="N18" s="17"/>
      <c r="O18" s="17"/>
      <c r="P18" s="17"/>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M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M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129</v>
      </c>
    </row>
    <row r="24" spans="1:17" ht="20.100000000000001" customHeight="1" x14ac:dyDescent="0.25">
      <c r="A24" s="16" t="str">
        <f>HYPERLINK("#'10.1.1-2 Solid waste treatment'!A1", "10.1.1-2 Solid waste treatment")</f>
        <v>10.1.1-2 Solid waste treatment</v>
      </c>
      <c r="D24" s="57" t="s">
        <v>130</v>
      </c>
      <c r="E24" s="57" t="s">
        <v>131</v>
      </c>
      <c r="F24" s="57" t="s">
        <v>132</v>
      </c>
      <c r="G24" s="57" t="s">
        <v>707</v>
      </c>
      <c r="H24" s="57" t="s">
        <v>708</v>
      </c>
      <c r="I24" s="57" t="s">
        <v>709</v>
      </c>
      <c r="J24" s="57" t="s">
        <v>710</v>
      </c>
      <c r="K24" s="57" t="s">
        <v>711</v>
      </c>
      <c r="L24" s="46" t="s">
        <v>712</v>
      </c>
      <c r="M24" s="57" t="s">
        <v>713</v>
      </c>
      <c r="N24" s="57" t="s">
        <v>714</v>
      </c>
      <c r="O24" s="57" t="s">
        <v>715</v>
      </c>
      <c r="P24" s="57" t="s">
        <v>716</v>
      </c>
      <c r="Q24" s="57" t="s">
        <v>717</v>
      </c>
    </row>
    <row r="25" spans="1:17" ht="20.100000000000001" customHeight="1" x14ac:dyDescent="0.25">
      <c r="A25" s="16" t="str">
        <f>HYPERLINK("#'Calcs - Manure sent off-site'!A1", "Calcs - Manure sent off-site")</f>
        <v>Calcs - Manure sent off-site</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81" cm="1">
        <f t="array" ref="N25">Fuel_Equations.VEERG_8_1_1_1__1_FuelCombustionTransport($L25,$G25,$H25)</f>
        <v>0</v>
      </c>
      <c r="O25" s="181" cm="1">
        <f t="array" ref="O25">Fuel_Equations.VEERG_8_1_1_1__1_FuelCombustionTransport($L25,$G25,$I25)</f>
        <v>0</v>
      </c>
      <c r="P25" s="181" cm="1">
        <f t="array" ref="P25">Fuel_Equations.VEERG_8_1_1_1__1_FuelCombustionTransport($L25,$G25,$J25)</f>
        <v>0</v>
      </c>
      <c r="Q25" s="181" cm="1">
        <f t="array" ref="Q25">Scope3_Equations.VEERG_15_11_1_1__2_UpstreamTransportFuelEmissions(L25,G25,K25)</f>
        <v>0</v>
      </c>
    </row>
    <row r="26" spans="1:17" ht="20.100000000000001" customHeight="1" x14ac:dyDescent="0.25">
      <c r="A26" s="179" t="str">
        <f>HYPERLINK("#'8.1.1.1-2 Transport fuel'!A1", "8.1.1.1-2 Transport fuel")</f>
        <v>8.1.1.1-2 Transport fuel</v>
      </c>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181" cm="1">
        <f t="array" ref="N26">Fuel_Equations.VEERG_8_1_1_1__1_FuelCombustionTransport($L26,$G26,$H26)</f>
        <v>26.981400000000001</v>
      </c>
      <c r="O26" s="181" cm="1">
        <f t="array" ref="O26">Fuel_Equations.VEERG_8_1_1_1__1_FuelCombustionTransport($L26,$G26,$I26)</f>
        <v>3.8600000000000001E-3</v>
      </c>
      <c r="P26" s="181" cm="1">
        <f t="array" ref="P26">Fuel_Equations.VEERG_8_1_1_1__1_FuelCombustionTransport($L26,$G26,$J26)</f>
        <v>0.193</v>
      </c>
      <c r="Q26" s="181" cm="1">
        <f t="array" ref="Q26">Scope3_Equations.VEERG_15_11_1_1__2_UpstreamTransportFuelEmissions(L26,G26,K26)</f>
        <v>6.6778000000000004</v>
      </c>
    </row>
    <row r="27" spans="1:17" ht="20.100000000000001" customHeight="1" x14ac:dyDescent="0.25">
      <c r="A27" s="16" t="str">
        <f>HYPERLINK("#'8.2.1.1-2 Stationary fuel'!A1", "8.2.1.1-2 Stationary fuel")</f>
        <v>8.2.1.1-2 Stationary fuel</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81" cm="1">
        <f t="array" ref="N27">Fuel_Equations.VEERG_8_1_1_1__1_FuelCombustionTransport($L27,$G27,$H27)</f>
        <v>0</v>
      </c>
      <c r="O27" s="181" cm="1">
        <f t="array" ref="O27">Fuel_Equations.VEERG_8_1_1_1__1_FuelCombustionTransport($L27,$G27,$I27)</f>
        <v>0</v>
      </c>
      <c r="P27" s="181" cm="1">
        <f t="array" ref="P27">Fuel_Equations.VEERG_8_1_1_1__1_FuelCombustionTransport($L27,$G27,$J27)</f>
        <v>0</v>
      </c>
      <c r="Q27" s="181" cm="1">
        <f t="array" ref="Q27">Scope3_Equations.VEERG_15_11_1_1__2_UpstreamTransportFuelEmissions(L27,G27,K27)</f>
        <v>0</v>
      </c>
    </row>
    <row r="28" spans="1:17" ht="20.100000000000001" customHeight="1" x14ac:dyDescent="0.25">
      <c r="A28"/>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81" cm="1">
        <f t="array" ref="N28">Fuel_Equations.VEERG_8_1_1_1__1_FuelCombustionTransport($L28,$G28,$H28)</f>
        <v>0</v>
      </c>
      <c r="O28" s="181" cm="1">
        <f t="array" ref="O28">Fuel_Equations.VEERG_8_1_1_1__1_FuelCombustionTransport($L28,$G28,$I28)</f>
        <v>0</v>
      </c>
      <c r="P28" s="181" cm="1">
        <f t="array" ref="P28">Fuel_Equations.VEERG_8_1_1_1__1_FuelCombustionTransport($L28,$G28,$J28)</f>
        <v>0</v>
      </c>
      <c r="Q28" s="181" cm="1">
        <f t="array" ref="Q28">Scope3_Equations.VEERG_15_11_1_1__2_UpstreamTransportFuelEmissions(L28,G28,K28)</f>
        <v>0</v>
      </c>
    </row>
    <row r="29" spans="1:17" ht="20.100000000000001" customHeight="1" x14ac:dyDescent="0.25">
      <c r="A29"/>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81" cm="1">
        <f t="array" ref="N29">Fuel_Equations.VEERG_8_1_1_1__1_FuelCombustionTransport($L29,$G29,$H29)</f>
        <v>0</v>
      </c>
      <c r="O29" s="181" cm="1">
        <f t="array" ref="O29">Fuel_Equations.VEERG_8_1_1_1__1_FuelCombustionTransport($L29,$G29,$I29)</f>
        <v>0</v>
      </c>
      <c r="P29" s="181" cm="1">
        <f t="array" ref="P29">Fuel_Equations.VEERG_8_1_1_1__1_FuelCombustionTransport($L29,$G29,$J29)</f>
        <v>0</v>
      </c>
      <c r="Q29" s="181" cm="1">
        <f t="array" ref="Q29">Scope3_Equations.VEERG_15_11_1_1__2_UpstreamTransportFuelEmissions(L29,G29,IF(ISNUMBER(K29),K29,0))</f>
        <v>0</v>
      </c>
    </row>
    <row r="30" spans="1:17" ht="20.100000000000001" customHeight="1" x14ac:dyDescent="0.25">
      <c r="A30" s="221" t="s">
        <v>78</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81" cm="1">
        <f t="array" ref="N30">Fuel_Equations.VEERG_8_1_1_1__1_FuelCombustionTransport($L30,$G30,$H30)</f>
        <v>0</v>
      </c>
      <c r="O30" s="181" cm="1">
        <f t="array" ref="O30">Fuel_Equations.VEERG_8_1_1_1__1_FuelCombustionTransport($L30,$G30,$I30)</f>
        <v>0</v>
      </c>
      <c r="P30" s="181" cm="1">
        <f t="array" ref="P30">Fuel_Equations.VEERG_8_1_1_1__1_FuelCombustionTransport($L30,$G30,$J30)</f>
        <v>0</v>
      </c>
      <c r="Q30" s="181" cm="1">
        <f t="array" ref="Q30">Scope3_Equations.VEERG_15_11_1_1__2_UpstreamTransportFuelEmissions(L30,G30,IF(ISNUMBER(K30),K30,0))</f>
        <v>0</v>
      </c>
    </row>
    <row r="31" spans="1:17" ht="20.100000000000001" customHeight="1" x14ac:dyDescent="0.25">
      <c r="A31" s="16" t="str">
        <f>HYPERLINK("#'Constants - Scope 3'!A1", "Constants - Scope 3")</f>
        <v>Constants - Scope 3</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181" cm="1">
        <f t="array" ref="N31">Fuel_Equations.VEERG_8_1_1_1__1_FuelCombustionTransport($L31,$G31,$H31)</f>
        <v>0</v>
      </c>
      <c r="O31" s="181" cm="1">
        <f t="array" ref="O31">Fuel_Equations.VEERG_8_1_1_1__1_FuelCombustionTransport($L31,$G31,$I31)</f>
        <v>0</v>
      </c>
      <c r="P31" s="181" cm="1">
        <f t="array" ref="P31">Fuel_Equations.VEERG_8_1_1_1__1_FuelCombustionTransport($L31,$G31,$J31)</f>
        <v>0</v>
      </c>
      <c r="Q31" s="181" cm="1">
        <f t="array" ref="Q31">Scope3_Equations.VEERG_15_11_1_1__2_UpstreamTransportFuelEmissions(L31,G31,IF(ISNUMBER(K31),K31,0))</f>
        <v>0</v>
      </c>
    </row>
    <row r="32" spans="1:17" ht="20.100000000000001" customHeight="1" x14ac:dyDescent="0.25">
      <c r="A32" s="16" t="str">
        <f>HYPERLINK("#'Constants - Solid Waste'!A1", "Constants - Solid Waste")</f>
        <v>Constants - Solid Waste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0" t="str" cm="1">
        <f t="array" ref="K32">IFERROR(_xlfn.XLOOKUP(1, (Table_Fuel_EFs_Transport[Fuel combusted]=$E32)*(Table_Fuel_EFs_Transport[Transport type]=$D$25), Table_Fuel_EFs_Transport[Scope 3 Emission Factor (kg CO2 - e / GJ)]), 0)</f>
        <v>NE</v>
      </c>
      <c r="L32" s="182"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183" cm="1">
        <f t="array" ref="N32">Fuel_Equations.VEERG_8_1_1_1__1_FuelCombustionTransport($L32,$G32,$H32)</f>
        <v>0</v>
      </c>
      <c r="O32" s="183" cm="1">
        <f t="array" ref="O32">Fuel_Equations.VEERG_8_1_1_1__1_FuelCombustionTransport($L32,$G32,$I32)</f>
        <v>0</v>
      </c>
      <c r="P32" s="183" cm="1">
        <f t="array" ref="P32">Fuel_Equations.VEERG_8_1_1_1__1_FuelCombustionTransport($L32,$G32,$J32)</f>
        <v>0</v>
      </c>
      <c r="Q32" s="181" cm="1">
        <f t="array" ref="Q32">Scope3_Equations.VEERG_15_11_1_1__2_UpstreamTransportFuelEmissions(L32,G32,IF(ISNUMBER(K32),K32,0))</f>
        <v>0</v>
      </c>
    </row>
    <row r="33" spans="1:17" ht="20.100000000000001" customHeight="1" x14ac:dyDescent="0.25">
      <c r="A33" s="16" t="str">
        <f>HYPERLINK("#'Constants - Fuel'!A1", "Constants - Fuel")</f>
        <v>Constants - Fuel</v>
      </c>
      <c r="D33" s="60" t="str">
        <f>Table_FuelTypesPerUse[[#Headers],[Off-road Agriculture and forestry equipment]]</f>
        <v>Off-road Agriculture and forestry equipment</v>
      </c>
      <c r="E33" s="61" t="str">
        <f>'Constants - Fuel'!$E$11</f>
        <v>Diesel oil</v>
      </c>
      <c r="F33" s="61" t="str">
        <f>'Constants - Fuel'!H131</f>
        <v>Diesel</v>
      </c>
      <c r="G33" s="184" cm="1">
        <f t="array" ref="G33">IFERROR(_xlfn.XLOOKUP(1, (Table_Fuel_EFs_Transport[Fuel combusted]=$E33)*(Table_Fuel_EFs_Transport[Transport type]=$D$33), Table_Fuel_EFs_Transport[Energy Content Factor (GJ per unit of fuel)]), 0)</f>
        <v>38.6</v>
      </c>
      <c r="H33" s="184" cm="1">
        <f t="array" ref="H33">IFERROR(_xlfn.XLOOKUP(1, (Table_Fuel_EFs_Transport[Fuel combusted]=$E33)*(Table_Fuel_EFs_Transport[Transport type]=$D$33), Table_Fuel_EFs_Transport[Scope 1 Emission Factor (kg CO2 - e / GJ) CO2]), 0)</f>
        <v>69.900000000000006</v>
      </c>
      <c r="I33" s="184" cm="1">
        <f t="array" ref="I33">IFERROR(_xlfn.XLOOKUP(1, (Table_Fuel_EFs_Transport[Fuel combusted]=$E33)*(Table_Fuel_EFs_Transport[Transport type]=$D$33), Table_Fuel_EFs_Transport[Scope 1 Emission Factor (kg CO2 - e / GJ) CH4]), 0)</f>
        <v>0.3</v>
      </c>
      <c r="J33" s="184" cm="1">
        <f t="array" ref="J33">IFERROR(_xlfn.XLOOKUP(1, (Table_Fuel_EFs_Transport[Fuel combusted]=$E33)*(Table_Fuel_EFs_Transport[Transport type]=$D$33), Table_Fuel_EFs_Transport[Scope 1 Emission Factor (kg CO2 - e / GJ) N2O]), 0)</f>
        <v>0.5</v>
      </c>
      <c r="K33" s="185" cm="1">
        <f t="array" ref="K33">IFERROR(_xlfn.XLOOKUP(1, (Table_Fuel_EFs_Transport[Fuel combusted]=$E33)*(Table_Fuel_EFs_Transport[Transport type]=$D$25), Table_Fuel_EFs_Transport[Scope 3 Emission Factor (kg CO2 - e / GJ)]), 0)</f>
        <v>17.3</v>
      </c>
      <c r="L33" s="186" cm="1">
        <f t="array" ref="L33">Fuel_InputFunctions.Fuel_TotalConsumption(Table_Input_Fuel[Amount consumed], Table_Input_Fuel[Fuel use (select)], D33, Table_Input_Fuel[Fuel type (select)],F33)</f>
        <v>10</v>
      </c>
      <c r="M33" s="187" t="str" cm="1">
        <f t="array" ref="M33">Common_InputFunctions.Utility_LookupValueInTable(F33,Table_FuelTypes_Units[Fuel type],Table_FuelTypes_Units[Unit])</f>
        <v>kL</v>
      </c>
      <c r="N33" s="188" cm="1">
        <f t="array" ref="N33">Fuel_Equations.VEERG_8_1_1_1__1_FuelCombustionTransport($L33,$G33,$H33)</f>
        <v>26.981400000000001</v>
      </c>
      <c r="O33" s="188" cm="1">
        <f t="array" ref="O33">Fuel_Equations.VEERG_8_1_1_1__1_FuelCombustionTransport($L33,$G33,$I33)</f>
        <v>0.1158</v>
      </c>
      <c r="P33" s="188" cm="1">
        <f t="array" ref="P33">Fuel_Equations.VEERG_8_1_1_1__1_FuelCombustionTransport($L33,$G33,$J33)</f>
        <v>0.193</v>
      </c>
      <c r="Q33" s="189" cm="1">
        <f t="array" ref="Q33">Scope3_Equations.VEERG_15_11_1_1__2_UpstreamTransportFuelEmissions(L33,G33,K33)</f>
        <v>6.6778000000000004</v>
      </c>
    </row>
    <row r="34" spans="1:17" ht="20.100000000000001" customHeight="1" x14ac:dyDescent="0.25">
      <c r="A34" s="16" t="str">
        <f>HYPERLINK("#'Constants - Poultry'!A1", "Constants - Poultry")</f>
        <v>Constants - Poultry</v>
      </c>
      <c r="D34" s="60" t="str">
        <f>Table_FuelTypesPerUse[[#Headers],[Aviation]]</f>
        <v>Aviation</v>
      </c>
      <c r="E34" s="61" t="str">
        <f>'Constants - Fuel'!$E$28</f>
        <v>Gasoline for use as fuel in an aircraft</v>
      </c>
      <c r="F34" s="61" t="str">
        <f>'Constants - Fuel'!$F$131</f>
        <v>Avgas</v>
      </c>
      <c r="G34" s="190" cm="1">
        <f t="array" ref="G34">IFERROR(_xlfn.XLOOKUP(1, (Table_Fuel_EFs_Transport[Fuel combusted]=$E34)*(Table_Fuel_EFs_Transport[Transport type]=$D$34), Table_Fuel_EFs_Transport[Energy Content Factor (GJ per unit of fuel)]), 0)</f>
        <v>33.1</v>
      </c>
      <c r="H34" s="190" cm="1">
        <f t="array" ref="H34">IFERROR(_xlfn.XLOOKUP(1, (Table_Fuel_EFs_Transport[Fuel combusted]=$E34)*(Table_Fuel_EFs_Transport[Transport type]=$D$34), Table_Fuel_EFs_Transport[Scope 1 Emission Factor (kg CO2 - e / GJ) CO2]), 0)</f>
        <v>67</v>
      </c>
      <c r="I34" s="190" cm="1">
        <f t="array" ref="I34">IFERROR(_xlfn.XLOOKUP(1, (Table_Fuel_EFs_Transport[Fuel combusted]=$E34)*(Table_Fuel_EFs_Transport[Transport type]=$D$34), Table_Fuel_EFs_Transport[Scope 1 Emission Factor (kg CO2 - e / GJ) CH4]), 0)</f>
        <v>0.06</v>
      </c>
      <c r="J34" s="190" cm="1">
        <f t="array" ref="J34">IFERROR(_xlfn.XLOOKUP(1, (Table_Fuel_EFs_Transport[Fuel combusted]=$E34)*(Table_Fuel_EFs_Transport[Transport type]=$D$34), Table_Fuel_EFs_Transport[Scope 1 Emission Factor (kg CO2 - e / GJ) N2O]), 0)</f>
        <v>0.6</v>
      </c>
      <c r="K34" s="190" cm="1">
        <f t="array" ref="K34">IFERROR(_xlfn.XLOOKUP(1, (Table_Fuel_EFs_Transport[Fuel combusted]=$E34)*(Table_Fuel_EFs_Transport[Transport type]=$D$25), Table_Fuel_EFs_Transport[Scope 3 Emission Factor (kg CO2 - e / GJ)]), 0)</f>
        <v>0</v>
      </c>
      <c r="L34" s="187" cm="1">
        <f t="array" ref="L34">Fuel_InputFunctions.Fuel_TotalConsumption(Table_Input_Fuel[Amount consumed], Table_Input_Fuel[Fuel use (select)], D34, Table_Input_Fuel[Fuel type (select)],F34)</f>
        <v>0</v>
      </c>
      <c r="M34" s="187" t="str" cm="1">
        <f t="array" ref="M34">Common_InputFunctions.Utility_LookupValueInTable(F34,Table_FuelTypes_Units[Fuel type],Table_FuelTypes_Units[Unit])</f>
        <v>kL</v>
      </c>
      <c r="N34" s="188" cm="1">
        <f t="array" ref="N34">Fuel_Equations.VEERG_8_1_1_1__1_FuelCombustionTransport($L34,$G34,$H34)</f>
        <v>0</v>
      </c>
      <c r="O34" s="188" cm="1">
        <f t="array" ref="O34">Fuel_Equations.VEERG_8_1_1_1__1_FuelCombustionTransport($L34,$G34,$I34)</f>
        <v>0</v>
      </c>
      <c r="P34" s="188" cm="1">
        <f t="array" ref="P34">Fuel_Equations.VEERG_8_1_1_1__1_FuelCombustionTransport($L34,$G34,$J34)</f>
        <v>0</v>
      </c>
      <c r="Q34" s="188" cm="1">
        <f t="array" ref="Q34">Scope3_Equations.VEERG_15_11_1_1__2_UpstreamTransportFuelEmissions(L34,G34,K34)</f>
        <v>0</v>
      </c>
    </row>
    <row r="35" spans="1:17" ht="20.100000000000001" customHeight="1" x14ac:dyDescent="0.25">
      <c r="A35" s="16" t="str">
        <f>HYPERLINK("#'Constants - Swine'!A1", "Constants - Swine")</f>
        <v>Constants - Swine</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181" cm="1">
        <f t="array" ref="N35">Fuel_Equations.VEERG_8_1_1_1__1_FuelCombustionTransport($L35,$G35,$H35)</f>
        <v>0</v>
      </c>
      <c r="O35" s="181" cm="1">
        <f t="array" ref="O35">Fuel_Equations.VEERG_8_1_1_1__1_FuelCombustionTransport($L35,$G35,$I35)</f>
        <v>0</v>
      </c>
      <c r="P35" s="181" cm="1">
        <f t="array" ref="P35">Fuel_Equations.VEERG_8_1_1_1__1_FuelCombustionTransport($L35,$G35,$J35)</f>
        <v>0</v>
      </c>
      <c r="Q35" s="181" cm="1">
        <f t="array" ref="Q35">Scope3_Equations.VEERG_15_11_1_1__2_UpstreamTransportFuelEmissions(L35,G35,K35)</f>
        <v>0</v>
      </c>
    </row>
    <row r="36" spans="1:17" ht="20.100000000000001" customHeight="1" x14ac:dyDescent="0.25">
      <c r="A36" s="16" t="str">
        <f>HYPERLINK("#'Constants - Dairy'!A1", "Constants - Dairy")</f>
        <v>Constants - Dairy</v>
      </c>
      <c r="D36" s="59" t="str">
        <f>$D$34</f>
        <v>Aviation</v>
      </c>
      <c r="E36" s="58" t="str">
        <f>'Constants - Fuel'!$E$30</f>
        <v>Renewable aviation kerosene</v>
      </c>
      <c r="F36" s="58" t="str">
        <f>'Constants - Fuel'!$F$133</f>
        <v>Renewable aviation kerosene</v>
      </c>
      <c r="G36" s="160" cm="1">
        <f t="array" ref="G36">IFERROR(_xlfn.XLOOKUP(1, (Table_Fuel_EFs_Transport[Fuel combusted]=$E36)*(Table_Fuel_EFs_Transport[Transport type]=$D$34), Table_Fuel_EFs_Transport[Energy Content Factor (GJ per unit of fuel)]), 0)</f>
        <v>36.799999999999997</v>
      </c>
      <c r="H36" s="160" cm="1">
        <f t="array" ref="H36">IFERROR(_xlfn.XLOOKUP(1, (Table_Fuel_EFs_Transport[Fuel combusted]=$E36)*(Table_Fuel_EFs_Transport[Transport type]=$D$34), Table_Fuel_EFs_Transport[Scope 1 Emission Factor (kg CO2 - e / GJ) CO2]), 0)</f>
        <v>0</v>
      </c>
      <c r="I36" s="160" cm="1">
        <f t="array" ref="I36">IFERROR(_xlfn.XLOOKUP(1, (Table_Fuel_EFs_Transport[Fuel combusted]=$E36)*(Table_Fuel_EFs_Transport[Transport type]=$D$34), Table_Fuel_EFs_Transport[Scope 1 Emission Factor (kg CO2 - e / GJ) CH4]), 0)</f>
        <v>0.01</v>
      </c>
      <c r="J36" s="160" cm="1">
        <f t="array" ref="J36">IFERROR(_xlfn.XLOOKUP(1, (Table_Fuel_EFs_Transport[Fuel combusted]=$E36)*(Table_Fuel_EFs_Transport[Transport type]=$D$34), Table_Fuel_EFs_Transport[Scope 1 Emission Factor (kg CO2 - e / GJ) N2O]), 0)</f>
        <v>0.6</v>
      </c>
      <c r="K36" s="160" cm="1">
        <f t="array" ref="K36">IFERROR(_xlfn.XLOOKUP(1, (Table_Fuel_EFs_Transport[Fuel combusted]=$E36)*(Table_Fuel_EFs_Transport[Transport type]=$D$25), Table_Fuel_EFs_Transport[Scope 3 Emission Factor (kg CO2 - e / GJ)]), 0)</f>
        <v>0</v>
      </c>
      <c r="L36" s="182"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181" cm="1">
        <f t="array" ref="N36">Fuel_Equations.VEERG_8_1_1_1__1_FuelCombustionTransport($L36,$G36,$H36)</f>
        <v>0</v>
      </c>
      <c r="O36" s="181" cm="1">
        <f t="array" ref="O36">Fuel_Equations.VEERG_8_1_1_1__1_FuelCombustionTransport($L36,$G36,$I36)</f>
        <v>0</v>
      </c>
      <c r="P36" s="181" cm="1">
        <f t="array" ref="P36">Fuel_Equations.VEERG_8_1_1_1__1_FuelCombustionTransport($L36,$G36,$J36)</f>
        <v>0</v>
      </c>
      <c r="Q36" s="183" cm="1">
        <f t="array" ref="Q36">Scope3_Equations.VEERG_15_11_1_1__2_UpstreamTransportFuelEmissions(L36,G36,K36)</f>
        <v>0</v>
      </c>
    </row>
    <row r="37" spans="1:17" ht="20.100000000000001" customHeight="1" x14ac:dyDescent="0.25">
      <c r="A37" s="16" t="str">
        <f>HYPERLINK("#'Constants - Pasture Beef'!A1", "Constants - Pasture Beef")</f>
        <v>Constants - Pasture Beef</v>
      </c>
      <c r="D37" s="60" t="str">
        <f>Table_FuelTypesPerUse[[#Headers],[Vessels]]</f>
        <v>Vessels</v>
      </c>
      <c r="E37" s="61" t="str">
        <f>'Constants - Fuel'!$E$10</f>
        <v>Gasoline</v>
      </c>
      <c r="F37" s="61" t="str">
        <f>'Constants - Fuel'!$I$131</f>
        <v>Petrol</v>
      </c>
      <c r="G37" s="190" cm="1">
        <f t="array" ref="G37">IFERROR(_xlfn.XLOOKUP(1, (Table_Fuel_EFs_Transport[Fuel combusted]=$E37)*(Table_Fuel_EFs_Transport[Transport type]=$D$37), Table_Fuel_EFs_Transport[Energy Content Factor (GJ per unit of fuel)]), 0)</f>
        <v>34.200000000000003</v>
      </c>
      <c r="H37" s="190" cm="1">
        <f t="array" ref="H37">IFERROR(_xlfn.XLOOKUP(1, (Table_Fuel_EFs_Transport[Fuel combusted]=$E37)*(Table_Fuel_EFs_Transport[Transport type]=$D$37), Table_Fuel_EFs_Transport[Scope 1 Emission Factor (kg CO2 - e / GJ) CO2]), 0)</f>
        <v>67.400000000000006</v>
      </c>
      <c r="I37" s="190" cm="1">
        <f t="array" ref="I37">IFERROR(_xlfn.XLOOKUP(1, (Table_Fuel_EFs_Transport[Fuel combusted]=$E37)*(Table_Fuel_EFs_Transport[Transport type]=$D$37), Table_Fuel_EFs_Transport[Scope 1 Emission Factor (kg CO2 - e / GJ) CH4]), 0)</f>
        <v>10.1</v>
      </c>
      <c r="J37" s="190" cm="1">
        <f t="array" ref="J37">IFERROR(_xlfn.XLOOKUP(1, (Table_Fuel_EFs_Transport[Fuel combusted]=$E37)*(Table_Fuel_EFs_Transport[Transport type]=$D$37), Table_Fuel_EFs_Transport[Scope 1 Emission Factor (kg CO2 - e / GJ) N2O]), 0)</f>
        <v>0.3</v>
      </c>
      <c r="K37" s="190" cm="1">
        <f t="array" ref="K37">IFERROR(_xlfn.XLOOKUP(1, (Table_Fuel_EFs_Transport[Fuel combusted]=$E37)*(Table_Fuel_EFs_Transport[Transport type]=$D$25), Table_Fuel_EFs_Transport[Scope 3 Emission Factor (kg CO2 - e / GJ)]), 0)</f>
        <v>17.2</v>
      </c>
      <c r="L37" s="187" cm="1">
        <f t="array" ref="L37">Fuel_InputFunctions.Fuel_TotalConsumption(Table_Input_Fuel[Amount consumed], Table_Input_Fuel[Fuel use (select)], D37, Table_Input_Fuel[Fuel type (select)],F37)</f>
        <v>0</v>
      </c>
      <c r="M37" s="191" t="str" cm="1">
        <f t="array" ref="M37">Common_InputFunctions.Utility_LookupValueInTable(F37,Table_FuelTypes_Units[Fuel type],Table_FuelTypes_Units[Unit])</f>
        <v>kL</v>
      </c>
      <c r="N37" s="188" cm="1">
        <f t="array" ref="N37">Fuel_Equations.VEERG_8_1_1_1__1_FuelCombustionTransport($L37,$G37,$H37)</f>
        <v>0</v>
      </c>
      <c r="O37" s="188" cm="1">
        <f t="array" ref="O37">Fuel_Equations.VEERG_8_1_1_1__1_FuelCombustionTransport($L37,$G37,$I37)</f>
        <v>0</v>
      </c>
      <c r="P37" s="188" cm="1">
        <f t="array" ref="P37">Fuel_Equations.VEERG_8_1_1_1__1_FuelCombustionTransport($L37,$G37,$J37)</f>
        <v>0</v>
      </c>
      <c r="Q37" s="188" cm="1">
        <f t="array" ref="Q37">Scope3_Equations.VEERG_15_11_1_1__2_UpstreamTransportFuelEmissions(L37,G37,K37)</f>
        <v>0</v>
      </c>
    </row>
    <row r="38" spans="1:17" ht="20.100000000000001" customHeight="1" x14ac:dyDescent="0.25">
      <c r="A38" s="16" t="str">
        <f>HYPERLINK("#'Constants - Common Livestock'!A1", "Constants - Common Livestock")</f>
        <v>Constants - Common Livestock</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181" cm="1">
        <f t="array" ref="N38">Fuel_Equations.VEERG_8_1_1_1__1_FuelCombustionTransport($L38,$G38,$H38)</f>
        <v>0</v>
      </c>
      <c r="O38" s="181" cm="1">
        <f t="array" ref="O38">Fuel_Equations.VEERG_8_1_1_1__1_FuelCombustionTransport($L38,$G38,$I38)</f>
        <v>0</v>
      </c>
      <c r="P38" s="181" cm="1">
        <f t="array" ref="P38">Fuel_Equations.VEERG_8_1_1_1__1_FuelCombustionTransport($L38,$G38,$J38)</f>
        <v>0</v>
      </c>
      <c r="Q38" s="181" cm="1">
        <f t="array" ref="Q38">Scope3_Equations.VEERG_15_11_1_1__2_UpstreamTransportFuelEmissions(L38,G38,K38)</f>
        <v>0</v>
      </c>
    </row>
    <row r="39" spans="1:17" ht="20.100000000000001" customHeight="1" x14ac:dyDescent="0.25">
      <c r="A39" s="16" t="str">
        <f>HYPERLINK("#'Constants - Fertiliser'!A1", "Constants - Fertiliser")</f>
        <v>Constants - Fertiliser</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181" cm="1">
        <f t="array" ref="N39">Fuel_Equations.VEERG_8_1_1_1__1_FuelCombustionTransport($L39,$G39,$H39)</f>
        <v>29.219199999999997</v>
      </c>
      <c r="O39" s="181" cm="1">
        <f t="array" ref="O39">Fuel_Equations.VEERG_8_1_1_1__1_FuelCombustionTransport($L39,$G39,$I39)</f>
        <v>7.9400000000000012E-2</v>
      </c>
      <c r="P39" s="181" cm="1">
        <f t="array" ref="P39">Fuel_Equations.VEERG_8_1_1_1__1_FuelCombustionTransport($L39,$G39,$J39)</f>
        <v>0.19850000000000001</v>
      </c>
      <c r="Q39" s="181" cm="1">
        <f t="array" ref="Q39">Scope3_Equations.VEERG_15_11_1_1__2_UpstreamTransportFuelEmissions(L39,G39,K39)</f>
        <v>7.1459999999999999</v>
      </c>
    </row>
    <row r="40" spans="1:17" ht="20.100000000000001" customHeight="1" x14ac:dyDescent="0.25">
      <c r="A40" s="16" t="str">
        <f>HYPERLINK("#'Constants - Electricity'!A1", "Constants - Electricity")</f>
        <v>Constants - Electricity</v>
      </c>
      <c r="H40" s="17"/>
      <c r="I40" s="17"/>
      <c r="J40" s="17"/>
      <c r="L40" s="17"/>
      <c r="M40" s="17"/>
      <c r="N40" s="17"/>
      <c r="O40" s="17"/>
      <c r="P40" s="17"/>
      <c r="Q40" s="17"/>
    </row>
    <row r="41" spans="1:17" ht="20.100000000000001" customHeight="1" x14ac:dyDescent="0.25">
      <c r="A41" s="16" t="str">
        <f>HYPERLINK("#'Constants - Common'!A1", "Constants - Common")</f>
        <v>Constants - Common</v>
      </c>
      <c r="H41" s="17"/>
      <c r="I41" s="17"/>
      <c r="J41" s="17"/>
      <c r="L41" s="17"/>
      <c r="M41" s="17"/>
      <c r="N41" s="17"/>
      <c r="O41" s="17"/>
      <c r="P41" s="17"/>
      <c r="Q41" s="17"/>
    </row>
    <row r="42" spans="1:17" ht="20.100000000000001" customHeight="1" x14ac:dyDescent="0.25">
      <c r="A42"/>
      <c r="D42" s="192" t="str">
        <f>"Total scope 1 - " &amp; D25</f>
        <v>Total scope 1 - Cars and light commercial vehicles</v>
      </c>
      <c r="E42" s="193"/>
      <c r="F42" s="194"/>
    </row>
    <row r="43" spans="1:17" ht="20.100000000000001" customHeight="1" x14ac:dyDescent="0.25">
      <c r="A43"/>
      <c r="D43" s="7" t="s">
        <v>718</v>
      </c>
      <c r="E43" s="195">
        <f>SUM(N25:N32)</f>
        <v>26.981400000000001</v>
      </c>
      <c r="F43" s="65" t="str">
        <f>$E$12</f>
        <v>t CO2-e</v>
      </c>
    </row>
    <row r="44" spans="1:17" ht="20.100000000000001" customHeight="1" x14ac:dyDescent="0.25">
      <c r="A44"/>
      <c r="D44" s="7" t="s">
        <v>719</v>
      </c>
      <c r="E44" s="195">
        <f>SUM(O25:O32)</f>
        <v>3.8600000000000001E-3</v>
      </c>
      <c r="F44" s="65" t="str">
        <f t="shared" ref="F44:F46" si="1">$E$12</f>
        <v>t CO2-e</v>
      </c>
    </row>
    <row r="45" spans="1:17" ht="20.100000000000001" customHeight="1" x14ac:dyDescent="0.25">
      <c r="A45"/>
      <c r="D45" s="7" t="s">
        <v>720</v>
      </c>
      <c r="E45" s="195">
        <f>SUM(P25:P32)</f>
        <v>0.193</v>
      </c>
      <c r="F45" s="65" t="str">
        <f t="shared" si="1"/>
        <v>t CO2-e</v>
      </c>
    </row>
    <row r="46" spans="1:17" ht="20.100000000000001" customHeight="1" x14ac:dyDescent="0.25">
      <c r="A46"/>
      <c r="D46" s="7" t="s">
        <v>721</v>
      </c>
      <c r="E46" s="195">
        <f>SUM(Q25:Q32)</f>
        <v>6.6778000000000004</v>
      </c>
      <c r="F46" s="65" t="str">
        <f t="shared" si="1"/>
        <v>t CO2-e</v>
      </c>
    </row>
    <row r="47" spans="1:17" ht="20.100000000000001" customHeight="1" x14ac:dyDescent="0.25">
      <c r="A47"/>
      <c r="D47" s="17"/>
      <c r="E47" s="17"/>
      <c r="F47" s="17"/>
    </row>
    <row r="48" spans="1:17" ht="20.100000000000001" customHeight="1" x14ac:dyDescent="0.25">
      <c r="A48"/>
      <c r="D48" s="192" t="str">
        <f>"Total scope 1 - " &amp; D33</f>
        <v>Total scope 1 - Off-road Agriculture and forestry equipment</v>
      </c>
      <c r="E48" s="196"/>
      <c r="F48" s="194"/>
      <c r="H48" s="17"/>
      <c r="I48" s="17"/>
      <c r="J48" s="17"/>
      <c r="L48" s="17"/>
      <c r="M48" s="17"/>
      <c r="N48" s="17"/>
      <c r="O48" s="17"/>
      <c r="P48" s="17"/>
      <c r="Q48" s="17"/>
    </row>
    <row r="49" spans="1:17" ht="20.100000000000001" customHeight="1" x14ac:dyDescent="0.25">
      <c r="A49"/>
      <c r="D49" s="7" t="s">
        <v>718</v>
      </c>
      <c r="E49" s="195">
        <f>SUM(N33:N33)</f>
        <v>26.981400000000001</v>
      </c>
      <c r="F49" s="65" t="str">
        <f t="shared" ref="F49:F52" si="2">$E$12</f>
        <v>t CO2-e</v>
      </c>
      <c r="H49" s="17"/>
      <c r="I49" s="17"/>
      <c r="J49" s="17"/>
      <c r="L49" s="17"/>
      <c r="M49" s="17"/>
      <c r="N49" s="17"/>
      <c r="O49" s="17"/>
      <c r="P49" s="17"/>
      <c r="Q49" s="17"/>
    </row>
    <row r="50" spans="1:17" ht="20.100000000000001" customHeight="1" x14ac:dyDescent="0.25">
      <c r="A50"/>
      <c r="D50" s="7" t="s">
        <v>719</v>
      </c>
      <c r="E50" s="195">
        <f>SUM(O33:O33)</f>
        <v>0.1158</v>
      </c>
      <c r="F50" s="65" t="str">
        <f t="shared" si="2"/>
        <v>t CO2-e</v>
      </c>
      <c r="H50" s="17"/>
      <c r="I50" s="17"/>
      <c r="J50" s="17"/>
      <c r="L50" s="17"/>
      <c r="M50" s="17"/>
      <c r="N50" s="17"/>
      <c r="O50" s="17"/>
      <c r="P50" s="17"/>
      <c r="Q50" s="17"/>
    </row>
    <row r="51" spans="1:17" ht="20.100000000000001" customHeight="1" x14ac:dyDescent="0.25">
      <c r="A51"/>
      <c r="D51" s="7" t="s">
        <v>720</v>
      </c>
      <c r="E51" s="195">
        <f>SUM(P33:P33)</f>
        <v>0.193</v>
      </c>
      <c r="F51" s="65" t="str">
        <f t="shared" si="2"/>
        <v>t CO2-e</v>
      </c>
      <c r="H51" s="17"/>
      <c r="I51" s="17"/>
      <c r="J51" s="17"/>
      <c r="L51" s="17"/>
      <c r="M51" s="17"/>
      <c r="N51" s="17"/>
      <c r="O51" s="17"/>
      <c r="P51" s="17"/>
      <c r="Q51" s="17"/>
    </row>
    <row r="52" spans="1:17" ht="20.100000000000001" customHeight="1" x14ac:dyDescent="0.25">
      <c r="A52"/>
      <c r="D52" s="7" t="s">
        <v>721</v>
      </c>
      <c r="E52" s="195">
        <f>SUM(Q33)</f>
        <v>6.6778000000000004</v>
      </c>
      <c r="F52" s="65" t="str">
        <f t="shared" si="2"/>
        <v>t CO2-e</v>
      </c>
      <c r="H52" s="17"/>
      <c r="I52" s="17"/>
      <c r="J52" s="17"/>
      <c r="L52" s="17"/>
      <c r="M52" s="17"/>
      <c r="N52" s="17"/>
      <c r="O52" s="17"/>
      <c r="P52" s="17"/>
      <c r="Q52" s="17"/>
    </row>
    <row r="53" spans="1:17" ht="20.100000000000001" customHeight="1" x14ac:dyDescent="0.25">
      <c r="A53"/>
      <c r="D53" s="17"/>
      <c r="E53" s="197"/>
      <c r="F53" s="17"/>
      <c r="G53" s="17"/>
      <c r="H53" s="17"/>
      <c r="I53" s="17"/>
      <c r="J53" s="17"/>
      <c r="L53" s="17"/>
      <c r="M53" s="17"/>
      <c r="N53" s="17"/>
      <c r="O53" s="17"/>
      <c r="P53" s="17"/>
      <c r="Q53" s="17"/>
    </row>
    <row r="54" spans="1:17" ht="20.100000000000001" customHeight="1" x14ac:dyDescent="0.25">
      <c r="A54"/>
      <c r="D54" s="192" t="str">
        <f>"Total scope 1 - " &amp; D34</f>
        <v>Total scope 1 - Aviation</v>
      </c>
      <c r="E54" s="196"/>
      <c r="F54" s="194"/>
      <c r="G54" s="17"/>
      <c r="H54" s="17"/>
      <c r="I54" s="17"/>
      <c r="J54" s="17"/>
      <c r="L54" s="17"/>
      <c r="M54" s="17"/>
      <c r="N54" s="17"/>
      <c r="O54" s="17"/>
      <c r="P54" s="17"/>
      <c r="Q54" s="17"/>
    </row>
    <row r="55" spans="1:17" ht="20.100000000000001" customHeight="1" x14ac:dyDescent="0.25">
      <c r="A55"/>
      <c r="D55" s="7" t="s">
        <v>718</v>
      </c>
      <c r="E55" s="195">
        <f>SUM(N34:N36)</f>
        <v>0</v>
      </c>
      <c r="F55" s="65" t="str">
        <f t="shared" ref="F55:F58" si="3">$E$12</f>
        <v>t CO2-e</v>
      </c>
      <c r="G55" s="17"/>
      <c r="H55" s="17"/>
      <c r="I55" s="17"/>
      <c r="J55" s="17"/>
      <c r="L55" s="17"/>
      <c r="M55" s="17"/>
      <c r="N55" s="17"/>
      <c r="O55" s="17"/>
      <c r="P55" s="17"/>
      <c r="Q55" s="17"/>
    </row>
    <row r="56" spans="1:17" ht="20.100000000000001" customHeight="1" x14ac:dyDescent="0.25">
      <c r="A56"/>
      <c r="D56" s="7" t="s">
        <v>719</v>
      </c>
      <c r="E56" s="195">
        <f>SUM(O34:O36)</f>
        <v>0</v>
      </c>
      <c r="F56" s="65" t="str">
        <f t="shared" si="3"/>
        <v>t CO2-e</v>
      </c>
      <c r="G56" s="17"/>
      <c r="H56" s="17"/>
      <c r="I56" s="17"/>
      <c r="J56" s="17"/>
      <c r="L56" s="17"/>
      <c r="M56" s="17"/>
      <c r="N56" s="17"/>
      <c r="O56" s="17"/>
      <c r="P56" s="17"/>
      <c r="Q56" s="17"/>
    </row>
    <row r="57" spans="1:17" ht="20.100000000000001" customHeight="1" x14ac:dyDescent="0.25">
      <c r="A57"/>
      <c r="D57" s="7" t="s">
        <v>720</v>
      </c>
      <c r="E57" s="195">
        <f>SUM(P34:P36)</f>
        <v>0</v>
      </c>
      <c r="F57" s="65" t="str">
        <f t="shared" si="3"/>
        <v>t CO2-e</v>
      </c>
      <c r="G57" s="17"/>
      <c r="H57" s="17"/>
      <c r="I57" s="17"/>
      <c r="J57" s="17"/>
      <c r="L57" s="17"/>
      <c r="M57" s="17"/>
      <c r="N57" s="17"/>
      <c r="O57" s="17"/>
      <c r="P57" s="17"/>
      <c r="Q57" s="17"/>
    </row>
    <row r="58" spans="1:17" ht="20.100000000000001" customHeight="1" x14ac:dyDescent="0.25">
      <c r="A58"/>
      <c r="D58" s="7" t="s">
        <v>721</v>
      </c>
      <c r="E58" s="195">
        <f>SUM(Q34:Q36)</f>
        <v>0</v>
      </c>
      <c r="F58" s="65" t="str">
        <f t="shared" si="3"/>
        <v>t CO2-e</v>
      </c>
      <c r="G58" s="17"/>
      <c r="H58" s="17"/>
      <c r="I58" s="17"/>
      <c r="J58" s="17"/>
      <c r="L58" s="17"/>
      <c r="M58" s="17"/>
      <c r="N58" s="17"/>
      <c r="O58" s="17"/>
      <c r="P58" s="17"/>
      <c r="Q58" s="17"/>
    </row>
    <row r="59" spans="1:17" ht="20.100000000000001" customHeight="1" x14ac:dyDescent="0.25">
      <c r="A59"/>
      <c r="D59" s="17"/>
      <c r="E59" s="197"/>
      <c r="F59" s="17"/>
      <c r="G59" s="17"/>
      <c r="H59" s="17"/>
      <c r="I59" s="17"/>
      <c r="J59" s="17"/>
      <c r="L59" s="17"/>
      <c r="M59" s="17"/>
      <c r="N59" s="17"/>
      <c r="O59" s="17"/>
      <c r="P59" s="17"/>
      <c r="Q59" s="17"/>
    </row>
    <row r="60" spans="1:17" ht="20.100000000000001" customHeight="1" x14ac:dyDescent="0.25">
      <c r="A60"/>
      <c r="D60" s="192" t="str">
        <f>"Total scope 1 - " &amp; D37</f>
        <v>Total scope 1 - Vessels</v>
      </c>
      <c r="E60" s="196"/>
      <c r="F60" s="194"/>
      <c r="G60" s="17"/>
      <c r="H60" s="17"/>
      <c r="I60" s="17"/>
      <c r="J60" s="17"/>
      <c r="L60" s="17"/>
      <c r="M60" s="17"/>
      <c r="N60" s="17"/>
      <c r="O60" s="17"/>
      <c r="P60" s="17"/>
      <c r="Q60" s="17"/>
    </row>
    <row r="61" spans="1:17" ht="20.100000000000001" customHeight="1" x14ac:dyDescent="0.25">
      <c r="A61"/>
      <c r="D61" s="7" t="s">
        <v>718</v>
      </c>
      <c r="E61" s="195">
        <f>SUM(N37:N39)</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719</v>
      </c>
      <c r="E62" s="195">
        <f>SUM(O37:O39)</f>
        <v>7.9400000000000012E-2</v>
      </c>
      <c r="F62" s="65" t="str">
        <f t="shared" si="4"/>
        <v>t CO2-e</v>
      </c>
      <c r="G62" s="17"/>
      <c r="H62" s="17"/>
      <c r="I62" s="17"/>
      <c r="J62" s="17"/>
      <c r="L62" s="17"/>
      <c r="M62" s="17"/>
      <c r="N62" s="17"/>
      <c r="O62" s="17"/>
      <c r="P62" s="17"/>
      <c r="Q62" s="17"/>
    </row>
    <row r="63" spans="1:17" ht="20.100000000000001" customHeight="1" x14ac:dyDescent="0.25">
      <c r="A63"/>
      <c r="D63" s="7" t="s">
        <v>720</v>
      </c>
      <c r="E63" s="195">
        <f>SUM(P37:P39)</f>
        <v>0.19850000000000001</v>
      </c>
      <c r="F63" s="65" t="str">
        <f t="shared" si="4"/>
        <v>t CO2-e</v>
      </c>
      <c r="G63" s="17"/>
      <c r="H63" s="17"/>
      <c r="I63" s="17"/>
      <c r="J63" s="17"/>
      <c r="L63" s="17"/>
      <c r="M63" s="17"/>
      <c r="N63" s="17"/>
      <c r="O63" s="17"/>
      <c r="P63" s="17"/>
      <c r="Q63" s="17"/>
    </row>
    <row r="64" spans="1:17" ht="20.100000000000001" customHeight="1" x14ac:dyDescent="0.25">
      <c r="A64"/>
      <c r="D64" s="7" t="s">
        <v>721</v>
      </c>
      <c r="E64" s="195">
        <f>SUM(Q37:Q39)</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2" t="s">
        <v>722</v>
      </c>
      <c r="E66" s="198"/>
      <c r="F66" s="194"/>
      <c r="G66" s="17"/>
      <c r="H66" s="17"/>
      <c r="I66" s="17"/>
      <c r="J66" s="17"/>
      <c r="L66" s="17"/>
      <c r="M66" s="17"/>
      <c r="N66" s="17"/>
      <c r="O66" s="17"/>
      <c r="P66" s="17"/>
      <c r="Q66" s="17"/>
    </row>
    <row r="67" spans="1:17" ht="20.100000000000001" customHeight="1" x14ac:dyDescent="0.25">
      <c r="A67"/>
      <c r="D67" s="7" t="s">
        <v>718</v>
      </c>
      <c r="E67" s="195">
        <f>E43+E49+E55+E61</f>
        <v>83.182000000000002</v>
      </c>
      <c r="F67" s="65" t="str">
        <f t="shared" ref="F67:F70" si="5">$E$12</f>
        <v>t CO2-e</v>
      </c>
      <c r="G67" s="17"/>
    </row>
    <row r="68" spans="1:17" ht="20.100000000000001" customHeight="1" x14ac:dyDescent="0.25">
      <c r="A68"/>
      <c r="D68" s="7" t="s">
        <v>719</v>
      </c>
      <c r="E68" s="195">
        <f t="shared" ref="E68:E70" si="6">E44+E50+E56+E62</f>
        <v>0.19906000000000001</v>
      </c>
      <c r="F68" s="65" t="str">
        <f t="shared" si="5"/>
        <v>t CO2-e</v>
      </c>
      <c r="G68" s="17"/>
    </row>
    <row r="69" spans="1:17" ht="20.100000000000001" customHeight="1" x14ac:dyDescent="0.25">
      <c r="A69"/>
      <c r="D69" s="7" t="s">
        <v>720</v>
      </c>
      <c r="E69" s="195">
        <f t="shared" si="6"/>
        <v>0.58450000000000002</v>
      </c>
      <c r="F69" s="65" t="str">
        <f t="shared" si="5"/>
        <v>t CO2-e</v>
      </c>
      <c r="G69" s="17"/>
    </row>
    <row r="70" spans="1:17" ht="20.100000000000001" customHeight="1" x14ac:dyDescent="0.25">
      <c r="A70"/>
      <c r="D70" s="7" t="s">
        <v>721</v>
      </c>
      <c r="E70" s="195">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6FCDF018-4015-4DC0-88EA-47BAD7B2DC4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F37-F294-4E18-8826-90B9B7AD16E5}">
  <dimension ref="A1:R165"/>
  <sheetViews>
    <sheetView showGridLines="0" topLeftCell="A33"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723</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1" t="s">
        <v>622</v>
      </c>
      <c r="E7" s="171"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1" t="s">
        <v>622</v>
      </c>
      <c r="L8" s="171"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623</v>
      </c>
      <c r="E11" s="8" t="str" cm="1">
        <f t="array" ref="E11">Fuel_Equations.VEERG_8_2_1_1__1_FuelCombustionStationary_Variable()</f>
        <v>E_g</v>
      </c>
      <c r="K11" s="27" t="s">
        <v>623</v>
      </c>
      <c r="L11" s="8" t="str" cm="1">
        <f t="array" ref="L11">Scope3_Equations.VEERG_15_11_1_1__3_UpstreamStationaryFuelEmissions_Variable()</f>
        <v>E_WTTSCq</v>
      </c>
      <c r="O11" s="17"/>
      <c r="P11" s="17"/>
      <c r="Q11" s="17"/>
      <c r="R11" s="17"/>
    </row>
    <row r="12" spans="1:18" ht="20.100000000000001" customHeight="1" x14ac:dyDescent="0.25">
      <c r="A12" s="16" t="str">
        <f>HYPERLINK("#'Input - Beef cattle purchases'!A1", "Beef cattle purchases")</f>
        <v>Beef cattle purchases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_xlfn.CHOOSECOLS(Fuel_Equations.VEERG_8_2_1_1__1_FuelCombustionStationary_Arguments(), 1,2)</f>
        <v>Q_SCq</v>
      </c>
      <c r="E14" s="170" t="str">
        <v>Amount of fuel type q used for stationary combustion operations</v>
      </c>
      <c r="F14" s="165"/>
      <c r="G14" s="166" t="str" cm="1">
        <f t="array" ref="G14:H20">_xlfn.CHOOSECOLS(Fuel_Equations.VEERG_8_2_1_1__1_FuelCombustionStationary_Arguments(), 3,4)</f>
        <v>Varies based on fuel type: kL, m3, GJ</v>
      </c>
      <c r="H14" s="230" t="str">
        <v>Input</v>
      </c>
      <c r="I14" s="169" t="str" cm="1">
        <f t="array" aca="1" ref="I14" ca="1">HYPERLINK(Common_InputFunctions.Utility_SourceHyperlink($D$22), $D$22)</f>
        <v>Table_E_g</v>
      </c>
      <c r="K14" s="166" t="str" cm="1">
        <f t="array" ref="K14:L18">_xlfn.CHOOSECOLS(Scope3_Equations.VEERG_15_11_1_1__3_UpstreamStationaryFuelEmissions_Arguments(),1,2)</f>
        <v>Q_SCq</v>
      </c>
      <c r="L14" s="166" t="str">
        <v>amount of fuel q used for stationary combustion operations</v>
      </c>
      <c r="M14" s="166"/>
      <c r="N14" s="166" t="str" cm="1">
        <f t="array" ref="N14:O18">_xlfn.CHOOSECOLS(Scope3_Equations.VEERG_15_11_1_1__3_UpstreamStationaryFuelEmissions_Arguments(),3,4)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EC_SCq</v>
      </c>
      <c r="E15" s="170" t="str">
        <v>Energy content factor for stationary combustion operations</v>
      </c>
      <c r="F15" s="165"/>
      <c r="G15" s="166" t="str">
        <v>GJ / unit of fuel</v>
      </c>
      <c r="H15" s="168" t="str">
        <v>Constant</v>
      </c>
      <c r="I15" s="169" t="str" cm="1">
        <f t="array" aca="1" ref="I15" ca="1">HYPERLINK(Common_InputFunctions.Utility_SourceHyperlink($D$22), $D$22)</f>
        <v>Table_E_g</v>
      </c>
      <c r="K15" s="166" t="str">
        <v>EC_SCq</v>
      </c>
      <c r="L15" s="166" t="str">
        <v>energy content factor for stationary combustion operations</v>
      </c>
      <c r="M15" s="166"/>
      <c r="N15" s="166" t="str">
        <v>GJ/kL</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EF_SC1qg</v>
      </c>
      <c r="E16" s="170" t="str">
        <v>Scope 1 emission factor for stationary combustion for each greenhouse gas</v>
      </c>
      <c r="F16" s="165"/>
      <c r="G16" s="166" t="str">
        <v>kg CO2e / GJ</v>
      </c>
      <c r="H16" s="168" t="str">
        <v>Constant</v>
      </c>
      <c r="I16" s="169" t="str" cm="1">
        <f t="array" aca="1" ref="I16" ca="1">HYPERLINK(Common_InputFunctions.Utility_SourceHyperlink($D$22), $D$22)</f>
        <v>Table_E_g</v>
      </c>
      <c r="K16" s="166" t="str">
        <v>EF_SC3q</v>
      </c>
      <c r="L16" s="166" t="str">
        <v>scope 3 emission factor for stationary combustion operations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K17" s="166" t="str">
        <v>i</v>
      </c>
      <c r="L17" s="170" t="str">
        <v>state</v>
      </c>
      <c r="M17" s="165"/>
      <c r="N17" s="166" t="str">
        <v/>
      </c>
      <c r="O17" s="230" t="str">
        <v>Input</v>
      </c>
      <c r="P17" s="166" t="str">
        <f>X_Cell_Site_State</f>
        <v>Western Australia</v>
      </c>
      <c r="Q17" s="17"/>
    </row>
    <row r="18" spans="1:17" ht="20.100000000000001" customHeight="1" x14ac:dyDescent="0.25">
      <c r="A18" s="16" t="str">
        <f>HYPERLINK("#'Input - Manure sent off-site'!A1", "Manure sent off-site")</f>
        <v>Manure sent off-site</v>
      </c>
      <c r="D18" s="166" t="str">
        <v>SC</v>
      </c>
      <c r="E18" s="170" t="str">
        <v>Stationary combustion</v>
      </c>
      <c r="F18" s="165"/>
      <c r="G18" s="166" t="str">
        <v/>
      </c>
      <c r="H18" s="168" t="str">
        <v>Constant</v>
      </c>
      <c r="I18" s="169"/>
      <c r="J18" s="17"/>
      <c r="K18" s="166" t="str">
        <v>m</v>
      </c>
      <c r="L18" s="170" t="str">
        <v>metropolitan/non-metropolitan location</v>
      </c>
      <c r="M18" s="165"/>
      <c r="N18" s="166" t="str">
        <v/>
      </c>
      <c r="O18" s="230" t="str">
        <v>Input</v>
      </c>
      <c r="P18" s="166" t="str">
        <f>X_Cell_Fuel_IsMetroLocation</f>
        <v>Metro</v>
      </c>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724</v>
      </c>
    </row>
    <row r="24" spans="1:17" ht="20.100000000000001" customHeight="1" x14ac:dyDescent="0.25">
      <c r="A24" s="16" t="str">
        <f>HYPERLINK("#'10.1.1-2 Solid waste treatment'!A1", "10.1.1-2 Solid waste treatment")</f>
        <v>10.1.1-2 Solid waste treatment</v>
      </c>
      <c r="D24" s="57" t="s">
        <v>130</v>
      </c>
      <c r="E24" s="57" t="s">
        <v>131</v>
      </c>
      <c r="F24" s="57" t="s">
        <v>132</v>
      </c>
      <c r="G24" s="57" t="s">
        <v>725</v>
      </c>
      <c r="H24" s="57" t="s">
        <v>726</v>
      </c>
      <c r="I24" s="57" t="s">
        <v>727</v>
      </c>
      <c r="J24" s="57" t="s">
        <v>728</v>
      </c>
      <c r="K24" s="57" t="s">
        <v>729</v>
      </c>
      <c r="L24" s="46" t="s">
        <v>730</v>
      </c>
      <c r="M24" s="57" t="s">
        <v>713</v>
      </c>
      <c r="N24" s="57" t="s">
        <v>714</v>
      </c>
      <c r="O24" s="57" t="s">
        <v>715</v>
      </c>
      <c r="P24" s="57" t="s">
        <v>716</v>
      </c>
      <c r="Q24" s="57" t="s">
        <v>731</v>
      </c>
    </row>
    <row r="25" spans="1:17" ht="20.100000000000001" customHeight="1" x14ac:dyDescent="0.25">
      <c r="A25" s="16" t="str">
        <f>HYPERLINK("#'Calcs - Manure sent off-site'!A1", "Calcs - Manure sent off-site")</f>
        <v>Calcs - Manure sent off-site</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99" cm="1">
        <f t="array" ref="N25">Fuel_Equations.VEERG_8_2_1_1__1_FuelCombustionStationary($L25,$G25,H25)</f>
        <v>0</v>
      </c>
      <c r="O25" s="199" cm="1">
        <f t="array" ref="O25">Fuel_Equations.VEERG_8_2_1_1__1_FuelCombustionStationary($L25,$G25,I25)</f>
        <v>0</v>
      </c>
      <c r="P25" s="199" cm="1">
        <f t="array" ref="P25">Fuel_Equations.VEERG_8_2_1_1__1_FuelCombustionStationary($L25,$G25,J25)</f>
        <v>0</v>
      </c>
      <c r="Q25" s="199" cm="1">
        <f t="array" ref="Q25">Fuel_Equations.VEERG_8_2_1_1__1_FuelCombustionStationary($L25,$G25,IF(ISNUMBER(K25), K25, 0))</f>
        <v>0</v>
      </c>
    </row>
    <row r="26" spans="1:17" ht="20.100000000000001" customHeight="1" x14ac:dyDescent="0.25">
      <c r="A26" s="16" t="str">
        <f>HYPERLINK("#'8.1.1.1-2 Transport fuel'!A1", "8.1.1.1-2 Transport fuel")</f>
        <v>8.1.1.1-2 Transport fuel</v>
      </c>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199" cm="1">
        <f t="array" ref="N26">Fuel_Equations.VEERG_8_2_1_1__1_FuelCombustionStationary($L26,$G26,H26)</f>
        <v>0</v>
      </c>
      <c r="O26" s="199" cm="1">
        <f t="array" ref="O26">Fuel_Equations.VEERG_8_2_1_1__1_FuelCombustionStationary($L26,$G26,I26)</f>
        <v>0</v>
      </c>
      <c r="P26" s="199" cm="1">
        <f t="array" ref="P26">Fuel_Equations.VEERG_8_2_1_1__1_FuelCombustionStationary($L26,$G26,J26)</f>
        <v>0</v>
      </c>
      <c r="Q26" s="199" cm="1">
        <f t="array" ref="Q26">Fuel_Equations.VEERG_8_2_1_1__1_FuelCombustionStationary($L26,$G26,IF(ISNUMBER(K26), K26, 0))</f>
        <v>0</v>
      </c>
    </row>
    <row r="27" spans="1:17" ht="20.100000000000001" customHeight="1" x14ac:dyDescent="0.25">
      <c r="A27" s="179" t="str">
        <f>HYPERLINK("#'8.2.1.1-2 Stationary fuel'!A1", "8.2.1.1-2 Stationary fuel")</f>
        <v>8.2.1.1-2 Stationary fuel</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99" cm="1">
        <f t="array" ref="N27">Fuel_Equations.VEERG_8_2_1_1__1_FuelCombustionStationary($L27,$G27,H27)</f>
        <v>0</v>
      </c>
      <c r="O27" s="199" cm="1">
        <f t="array" ref="O27">Fuel_Equations.VEERG_8_2_1_1__1_FuelCombustionStationary($L27,$G27,I27)</f>
        <v>0</v>
      </c>
      <c r="P27" s="199" cm="1">
        <f t="array" ref="P27">Fuel_Equations.VEERG_8_2_1_1__1_FuelCombustionStationary($L27,$G27,J27)</f>
        <v>0</v>
      </c>
      <c r="Q27" s="199" cm="1">
        <f t="array" ref="Q27">Fuel_Equations.VEERG_8_2_1_1__1_FuelCombustionStationary($L27,$G27,IF(ISNUMBER(K27), K27, 0))</f>
        <v>0</v>
      </c>
    </row>
    <row r="28" spans="1:17" ht="20.100000000000001" customHeight="1" x14ac:dyDescent="0.25">
      <c r="A28"/>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99" cm="1">
        <f t="array" ref="N28">Fuel_Equations.VEERG_8_2_1_1__1_FuelCombustionStationary($L28,$G28,H28)</f>
        <v>0</v>
      </c>
      <c r="O28" s="199" cm="1">
        <f t="array" ref="O28">Fuel_Equations.VEERG_8_2_1_1__1_FuelCombustionStationary($L28,$G28,I28)</f>
        <v>0</v>
      </c>
      <c r="P28" s="199" cm="1">
        <f t="array" ref="P28">Fuel_Equations.VEERG_8_2_1_1__1_FuelCombustionStationary($L28,$G28,J28)</f>
        <v>0</v>
      </c>
      <c r="Q28" s="199" cm="1">
        <f t="array" ref="Q28">Fuel_Equations.VEERG_8_2_1_1__1_FuelCombustionStationary($L28,$G28,IF(ISNUMBER(K28), K28, 0))</f>
        <v>0</v>
      </c>
    </row>
    <row r="29" spans="1:17" ht="20.100000000000001" customHeight="1" x14ac:dyDescent="0.25">
      <c r="A29"/>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99" cm="1">
        <f t="array" ref="N29">Fuel_Equations.VEERG_8_2_1_1__1_FuelCombustionStationary($L29,$G29,H29)</f>
        <v>0</v>
      </c>
      <c r="O29" s="199" cm="1">
        <f t="array" ref="O29">Fuel_Equations.VEERG_8_2_1_1__1_FuelCombustionStationary($L29,$G29,I29)</f>
        <v>0</v>
      </c>
      <c r="P29" s="199" cm="1">
        <f t="array" ref="P29">Fuel_Equations.VEERG_8_2_1_1__1_FuelCombustionStationary($L29,$G29,J29)</f>
        <v>0</v>
      </c>
      <c r="Q29" s="199" cm="1">
        <f t="array" ref="Q29">Fuel_Equations.VEERG_8_2_1_1__1_FuelCombustionStationary($L29,$G29,IF(ISNUMBER(K29), K29, 0))</f>
        <v>0</v>
      </c>
    </row>
    <row r="30" spans="1:17" ht="20.100000000000001" customHeight="1" x14ac:dyDescent="0.25">
      <c r="A30" s="221" t="s">
        <v>78</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99" cm="1">
        <f t="array" ref="N30">Fuel_Equations.VEERG_8_2_1_1__1_FuelCombustionStationary($L30,$G30,H30)</f>
        <v>0</v>
      </c>
      <c r="O30" s="199" cm="1">
        <f t="array" ref="O30">Fuel_Equations.VEERG_8_2_1_1__1_FuelCombustionStationary($L30,$G30,I30)</f>
        <v>0</v>
      </c>
      <c r="P30" s="199" cm="1">
        <f t="array" ref="P30">Fuel_Equations.VEERG_8_2_1_1__1_FuelCombustionStationary($L30,$G30,J30)</f>
        <v>0</v>
      </c>
      <c r="Q30" s="199" cm="1">
        <f t="array" ref="Q30">Fuel_Equations.VEERG_8_2_1_1__1_FuelCombustionStationary($L30,$G30,IF(ISNUMBER(K30), K30, 0))</f>
        <v>0</v>
      </c>
    </row>
    <row r="31" spans="1:17" ht="20.100000000000001" customHeight="1" x14ac:dyDescent="0.25">
      <c r="A31" s="16" t="str">
        <f>HYPERLINK("#'Constants - Scope 3'!A1", "Constants - Scope 3")</f>
        <v>Constants - Scope 3</v>
      </c>
      <c r="D31" s="59" t="str">
        <f t="shared" si="0"/>
        <v>Generators</v>
      </c>
      <c r="E31" s="58" t="str">
        <f>'Constants - Fuel'!$D$77</f>
        <v>Renewable diesel</v>
      </c>
      <c r="F31" s="58" t="str">
        <f>'Constants - Fuel'!D137</f>
        <v>Renewable diesel</v>
      </c>
      <c r="G31" s="160">
        <f>IFERROR(_xlfn.XLOOKUP($E31, Table_Fuel_EFs_StationaryLiquid[Fuel combusted], Table_Fuel_EFs_StationaryLiquid[Energy Content Factor (GJ per unit of fuel)]),0)</f>
        <v>38.6</v>
      </c>
      <c r="H31" s="160">
        <f>IFERROR(_xlfn.XLOOKUP($E31, Table_Fuel_EFs_StationaryLiquid[Fuel combusted], Table_Fuel_EFs_StationaryLiquid[Scope 1 Emission Factor (kg CO2 - e / GJ) CO2]),0)</f>
        <v>0</v>
      </c>
      <c r="I31" s="160">
        <f>IFERROR(_xlfn.XLOOKUP($E31, Table_Fuel_EFs_StationaryLiquid[Fuel combusted], Table_Fuel_EFs_StationaryLiquid[Scope 1 Emission Factor (kg CO2 - e / GJ) CH4]),0)</f>
        <v>0.1</v>
      </c>
      <c r="J31" s="160">
        <f>IFERROR(_xlfn.XLOOKUP($E31, Table_Fuel_EFs_StationaryLiquid[Fuel combusted], Table_Fuel_EFs_StationaryLiquid[Scope 1 Emission Factor (kg CO2 - e / GJ) N2O]),0)</f>
        <v>0.2</v>
      </c>
      <c r="K31" s="160" t="str">
        <f>IFERROR(_xlfn.XLOOKUP($E31, Table_Fuel_EFs_StationaryLiquid[Fuel combusted], Table_Fuel_EFs_StationaryLiquid[Scope 3 Emission Factor (kg CO2 - e / GJ)]),0)</f>
        <v>NE</v>
      </c>
      <c r="L31" s="182" cm="1">
        <f t="array" ref="L31">Fuel_InputFunctions.Fuel_TotalConsumption(Table_Input_Fuel[Amount consumed], Table_Input_Fuel[Fuel use (select)], D31, Table_Input_Fuel[Fuel type (select)],F31)</f>
        <v>0</v>
      </c>
      <c r="M31" s="182" t="str" cm="1">
        <f t="array" ref="M31">Common_InputFunctions.Utility_LookupValueInTable(F31,Table_FuelTypes_Units[Fuel type],Table_FuelTypes_Units[Unit])</f>
        <v>kL</v>
      </c>
      <c r="N31" s="200" cm="1">
        <f t="array" ref="N31">Fuel_Equations.VEERG_8_2_1_1__1_FuelCombustionStationary($L31,$G31,H31)</f>
        <v>0</v>
      </c>
      <c r="O31" s="200" cm="1">
        <f t="array" ref="O31">Fuel_Equations.VEERG_8_2_1_1__1_FuelCombustionStationary($L31,$G31,I31)</f>
        <v>0</v>
      </c>
      <c r="P31" s="200" cm="1">
        <f t="array" ref="P31">Fuel_Equations.VEERG_8_2_1_1__1_FuelCombustionStationary($L31,$G31,J31)</f>
        <v>0</v>
      </c>
      <c r="Q31" s="200" cm="1">
        <f t="array" ref="Q31">Fuel_Equations.VEERG_8_2_1_1__1_FuelCombustionStationary($L31,$G31,IF(ISNUMBER(K31), K31, 0))</f>
        <v>0</v>
      </c>
    </row>
    <row r="32" spans="1:17" ht="20.100000000000001" customHeight="1" x14ac:dyDescent="0.25">
      <c r="A32" s="16" t="str">
        <f>HYPERLINK("#'Constants - Solid Waste'!A1", "Constants - Solid Waste")</f>
        <v>Constants - Solid Waste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0">
        <f>IFERROR(_xlfn.XLOOKUP($E32, Table_Fuel_EFs_StationaryLiquid[Fuel combusted], Table_Fuel_EFs_StationaryLiquid[Energy Content Factor (GJ per unit of fuel)]),0)</f>
        <v>34.200000000000003</v>
      </c>
      <c r="H32" s="190">
        <f>IFERROR(_xlfn.XLOOKUP($E32, Table_Fuel_EFs_StationaryLiquid[Fuel combusted], Table_Fuel_EFs_StationaryLiquid[Scope 1 Emission Factor (kg CO2 - e / GJ) CO2]),0)</f>
        <v>67.400000000000006</v>
      </c>
      <c r="I32" s="190">
        <f>IFERROR(_xlfn.XLOOKUP($E32, Table_Fuel_EFs_StationaryLiquid[Fuel combusted], Table_Fuel_EFs_StationaryLiquid[Scope 1 Emission Factor (kg CO2 - e / GJ) CH4]),0)</f>
        <v>0.2</v>
      </c>
      <c r="J32" s="190">
        <f>IFERROR(_xlfn.XLOOKUP($E32, Table_Fuel_EFs_StationaryLiquid[Fuel combusted], Table_Fuel_EFs_StationaryLiquid[Scope 1 Emission Factor (kg CO2 - e / GJ) N2O]),0)</f>
        <v>0.2</v>
      </c>
      <c r="K32" s="190">
        <f>IFERROR(_xlfn.XLOOKUP($E32, Table_Fuel_EFs_StationaryLiquid[Fuel combusted], Table_Fuel_EFs_StationaryLiquid[Scope 3 Emission Factor (kg CO2 - e / GJ)]),0)</f>
        <v>17.2</v>
      </c>
      <c r="L32" s="186" cm="1">
        <f t="array" ref="L32">Fuel_InputFunctions.Fuel_TotalConsumption(Table_Input_Fuel[Amount consumed], Table_Input_Fuel[Fuel use (select)], D32, Table_Input_Fuel[Fuel type (select)],F32)</f>
        <v>10</v>
      </c>
      <c r="M32" s="187" t="str" cm="1">
        <f t="array" ref="M32">Common_InputFunctions.Utility_LookupValueInTable(F32,Table_FuelTypes_Units[Fuel type],Table_FuelTypes_Units[Unit])</f>
        <v>kL</v>
      </c>
      <c r="N32" s="201" cm="1">
        <f t="array" ref="N32">Fuel_Equations.VEERG_8_2_1_1__1_FuelCombustionStationary($L32,$G32,H32)</f>
        <v>23.050800000000002</v>
      </c>
      <c r="O32" s="201" cm="1">
        <f t="array" ref="O32">Fuel_Equations.VEERG_8_2_1_1__1_FuelCombustionStationary($L32,$G32,I32)</f>
        <v>6.8400000000000002E-2</v>
      </c>
      <c r="P32" s="201" cm="1">
        <f t="array" ref="P32">Fuel_Equations.VEERG_8_2_1_1__1_FuelCombustionStationary($L32,$G32,J32)</f>
        <v>6.8400000000000002E-2</v>
      </c>
      <c r="Q32" s="201" cm="1">
        <f t="array" ref="Q32">Fuel_Equations.VEERG_8_2_1_1__1_FuelCombustionStationary($L32,$G32,IF(ISNUMBER(K32), K32, 0))</f>
        <v>5.8823999999999996</v>
      </c>
    </row>
    <row r="33" spans="1:17" ht="20.100000000000001" customHeight="1" x14ac:dyDescent="0.25">
      <c r="A33" s="16" t="str">
        <f>HYPERLINK("#'Constants - Fuel'!A1", "Constants - Fuel")</f>
        <v>Constants -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9" cm="1">
        <f t="array" ref="N33">Fuel_Equations.VEERG_8_2_1_1__1_FuelCombustionStationary($L33,$G33,H33)</f>
        <v>0</v>
      </c>
      <c r="O33" s="199" cm="1">
        <f t="array" ref="O33">Fuel_Equations.VEERG_8_2_1_1__1_FuelCombustionStationary($L33,$G33,I33)</f>
        <v>0</v>
      </c>
      <c r="P33" s="199" cm="1">
        <f t="array" ref="P33">Fuel_Equations.VEERG_8_2_1_1__1_FuelCombustionStationary($L33,$G33,J33)</f>
        <v>0</v>
      </c>
      <c r="Q33" s="199" cm="1">
        <f t="array" ref="Q33">Fuel_Equations.VEERG_8_2_1_1__1_FuelCombustionStationary($L33,$G33,IF(ISNUMBER(K33), K33, 0))</f>
        <v>0</v>
      </c>
    </row>
    <row r="34" spans="1:17" ht="20.100000000000001" customHeight="1" x14ac:dyDescent="0.25">
      <c r="A34" s="16" t="str">
        <f>HYPERLINK("#'Constants - Poultry'!A1", "Constants - Poultry")</f>
        <v>Constants - Poultry</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9" cm="1">
        <f t="array" ref="N34">Fuel_Equations.VEERG_8_2_1_1__1_FuelCombustionStationary($L34,$G34,H34)</f>
        <v>0</v>
      </c>
      <c r="O34" s="199" cm="1">
        <f t="array" ref="O34">Fuel_Equations.VEERG_8_2_1_1__1_FuelCombustionStationary($L34,$G34,I34)</f>
        <v>0</v>
      </c>
      <c r="P34" s="199" cm="1">
        <f t="array" ref="P34">Fuel_Equations.VEERG_8_2_1_1__1_FuelCombustionStationary($L34,$G34,J34)</f>
        <v>0</v>
      </c>
      <c r="Q34" s="199" cm="1">
        <f t="array" ref="Q34">Fuel_Equations.VEERG_8_2_1_1__1_FuelCombustionStationary($L34,$G34,IF(ISNUMBER(K34), K34, 0))</f>
        <v>0</v>
      </c>
    </row>
    <row r="35" spans="1:17" ht="20.100000000000001" customHeight="1" x14ac:dyDescent="0.25">
      <c r="A35" s="16" t="str">
        <f>HYPERLINK("#'Constants - Swine'!A1", "Constants - Swine")</f>
        <v>Constants - Swine</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9" cm="1">
        <f t="array" ref="N35">Fuel_Equations.VEERG_8_2_1_1__1_FuelCombustionStationary($L35,$G35,H35)</f>
        <v>0</v>
      </c>
      <c r="O35" s="199" cm="1">
        <f t="array" ref="O35">Fuel_Equations.VEERG_8_2_1_1__1_FuelCombustionStationary($L35,$G35,I35)</f>
        <v>0</v>
      </c>
      <c r="P35" s="199" cm="1">
        <f t="array" ref="P35">Fuel_Equations.VEERG_8_2_1_1__1_FuelCombustionStationary($L35,$G35,J35)</f>
        <v>0</v>
      </c>
      <c r="Q35" s="199" cm="1">
        <f t="array" ref="Q35">Fuel_Equations.VEERG_8_2_1_1__1_FuelCombustionStationary($L35,$G35,IF(ISNUMBER(K35), K35, 0))</f>
        <v>0</v>
      </c>
    </row>
    <row r="36" spans="1:17" ht="20.100000000000001" customHeight="1" x14ac:dyDescent="0.25">
      <c r="A36" s="16" t="str">
        <f>HYPERLINK("#'Constants - Dairy'!A1", "Constants - Dairy")</f>
        <v>Constants - Dairy</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9" cm="1">
        <f t="array" ref="N36">Fuel_Equations.VEERG_8_2_1_1__1_FuelCombustionStationary($L36,$G36,H36)</f>
        <v>0</v>
      </c>
      <c r="O36" s="199" cm="1">
        <f t="array" ref="O36">Fuel_Equations.VEERG_8_2_1_1__1_FuelCombustionStationary($L36,$G36,I36)</f>
        <v>0</v>
      </c>
      <c r="P36" s="199" cm="1">
        <f t="array" ref="P36">Fuel_Equations.VEERG_8_2_1_1__1_FuelCombustionStationary($L36,$G36,J36)</f>
        <v>0</v>
      </c>
      <c r="Q36" s="199" cm="1">
        <f t="array" ref="Q36">Fuel_Equations.VEERG_8_2_1_1__1_FuelCombustionStationary($L36,$G36,IF(ISNUMBER(K36), K36, 0))</f>
        <v>0</v>
      </c>
    </row>
    <row r="37" spans="1:17" ht="20.100000000000001" customHeight="1" x14ac:dyDescent="0.25">
      <c r="A37" s="16" t="str">
        <f>HYPERLINK("#'Constants - Pasture Beef'!A1", "Constants - Pasture Beef")</f>
        <v>Constants - Pasture Beef</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9" cm="1">
        <f t="array" ref="N37">Fuel_Equations.VEERG_8_2_1_1__1_FuelCombustionStationary($L37,$G37,H37)</f>
        <v>0</v>
      </c>
      <c r="O37" s="199" cm="1">
        <f t="array" ref="O37">Fuel_Equations.VEERG_8_2_1_1__1_FuelCombustionStationary($L37,$G37,I37)</f>
        <v>0</v>
      </c>
      <c r="P37" s="199" cm="1">
        <f t="array" ref="P37">Fuel_Equations.VEERG_8_2_1_1__1_FuelCombustionStationary($L37,$G37,J37)</f>
        <v>0</v>
      </c>
      <c r="Q37" s="199" cm="1">
        <f t="array" ref="Q37">Fuel_Equations.VEERG_8_2_1_1__1_FuelCombustionStationary($L37,$G37,IF(ISNUMBER(K37), K37, 0))</f>
        <v>0</v>
      </c>
    </row>
    <row r="38" spans="1:17" ht="20.100000000000001" customHeight="1" x14ac:dyDescent="0.25">
      <c r="A38" s="16" t="str">
        <f>HYPERLINK("#'Constants - Common Livestock'!A1", "Constants - Common Livestock")</f>
        <v>Constants - Common Livestock</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9" cm="1">
        <f t="array" ref="N38">Fuel_Equations.VEERG_8_2_1_1__1_FuelCombustionStationary($L38,$G38,H38)</f>
        <v>0</v>
      </c>
      <c r="O38" s="199" cm="1">
        <f t="array" ref="O38">Fuel_Equations.VEERG_8_2_1_1__1_FuelCombustionStationary($L38,$G38,I38)</f>
        <v>0</v>
      </c>
      <c r="P38" s="199" cm="1">
        <f t="array" ref="P38">Fuel_Equations.VEERG_8_2_1_1__1_FuelCombustionStationary($L38,$G38,J38)</f>
        <v>0</v>
      </c>
      <c r="Q38" s="199" cm="1">
        <f t="array" ref="Q38">Fuel_Equations.VEERG_8_2_1_1__1_FuelCombustionStationary($L38,$G38,IF(ISNUMBER(K38), K38, 0))</f>
        <v>0</v>
      </c>
    </row>
    <row r="39" spans="1:17" ht="20.100000000000001" customHeight="1" x14ac:dyDescent="0.25">
      <c r="A39" s="16" t="str">
        <f>HYPERLINK("#'Constants - Fertiliser'!A1", "Constants - Fertiliser")</f>
        <v>Constants - Fertiliser</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199" cm="1">
        <f t="array" ref="N39">Fuel_Equations.VEERG_8_2_1_1__1_FuelCombustionStationary($L39,$G39,H39)</f>
        <v>0</v>
      </c>
      <c r="O39" s="199" cm="1">
        <f t="array" ref="O39">Fuel_Equations.VEERG_8_2_1_1__1_FuelCombustionStationary($L39,$G39,I39)</f>
        <v>0</v>
      </c>
      <c r="P39" s="199" cm="1">
        <f t="array" ref="P39">Fuel_Equations.VEERG_8_2_1_1__1_FuelCombustionStationary($L39,$G39,J39)</f>
        <v>0</v>
      </c>
      <c r="Q39" s="199" cm="1">
        <f t="array" ref="Q39">Fuel_Equations.VEERG_8_2_1_1__1_FuelCombustionStationary($L39,$G39,IF(ISNUMBER(K39), K39, 0))</f>
        <v>0</v>
      </c>
    </row>
    <row r="40" spans="1:17" ht="20.100000000000001" customHeight="1" x14ac:dyDescent="0.25">
      <c r="A40" s="16" t="str">
        <f>HYPERLINK("#'Constants - Electricity'!A1", "Constants - Electricity")</f>
        <v>Constants - Electricity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199" cm="1">
        <f t="array" ref="N40">Fuel_Equations.VEERG_8_2_1_1__1_FuelCombustionStationary($L40,$G40,H40)</f>
        <v>6.0200000000000005</v>
      </c>
      <c r="O40" s="199" cm="1">
        <f t="array" ref="O40">Fuel_Equations.VEERG_8_2_1_1__1_FuelCombustionStationary($L40,$G40,I40)</f>
        <v>4.0000000000000001E-3</v>
      </c>
      <c r="P40" s="199" cm="1">
        <f t="array" ref="P40">Fuel_Equations.VEERG_8_2_1_1__1_FuelCombustionStationary($L40,$G40,J40)</f>
        <v>3.0000000000000001E-3</v>
      </c>
      <c r="Q40" s="199" cm="1">
        <f t="array" ref="Q40">Fuel_Equations.VEERG_8_2_1_1__1_FuelCombustionStationary($L40,$G40,IF(ISNUMBER(K40), K40, 0))</f>
        <v>0.41</v>
      </c>
    </row>
    <row r="41" spans="1:17" ht="20.100000000000001" customHeight="1" x14ac:dyDescent="0.25">
      <c r="A41" s="16" t="str">
        <f>HYPERLINK("#'Constants - Common'!A1", "Constants - Common")</f>
        <v>Constants - Common</v>
      </c>
    </row>
    <row r="42" spans="1:17" ht="20.100000000000001" customHeight="1" x14ac:dyDescent="0.25">
      <c r="A42"/>
      <c r="D42" s="192" t="str">
        <f>"Total scope 1 - " &amp; D25</f>
        <v>Total scope 1 - Generators</v>
      </c>
      <c r="E42" s="193"/>
      <c r="F42" s="194"/>
    </row>
    <row r="43" spans="1:17" ht="20.100000000000001" customHeight="1" x14ac:dyDescent="0.25">
      <c r="A43"/>
      <c r="D43" s="7" t="s">
        <v>718</v>
      </c>
      <c r="E43" s="195">
        <f>SUM(N25:N31)</f>
        <v>0</v>
      </c>
      <c r="F43" s="65" t="str">
        <f>$E$12</f>
        <v>t CO2-e</v>
      </c>
    </row>
    <row r="44" spans="1:17" ht="20.100000000000001" customHeight="1" x14ac:dyDescent="0.25">
      <c r="A44"/>
      <c r="D44" s="7" t="s">
        <v>719</v>
      </c>
      <c r="E44" s="195">
        <f>SUM(O25:O31)</f>
        <v>0</v>
      </c>
      <c r="F44" s="65" t="str">
        <f t="shared" ref="F44:F46" si="2">$E$12</f>
        <v>t CO2-e</v>
      </c>
    </row>
    <row r="45" spans="1:17" ht="20.100000000000001" customHeight="1" x14ac:dyDescent="0.25">
      <c r="A45"/>
      <c r="D45" s="7" t="s">
        <v>720</v>
      </c>
      <c r="E45" s="195">
        <f>SUM(P25:P31)</f>
        <v>0</v>
      </c>
      <c r="F45" s="65" t="str">
        <f t="shared" si="2"/>
        <v>t CO2-e</v>
      </c>
    </row>
    <row r="46" spans="1:17" ht="20.100000000000001" customHeight="1" x14ac:dyDescent="0.25">
      <c r="A46"/>
      <c r="D46" s="7" t="s">
        <v>721</v>
      </c>
      <c r="E46" s="195">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2" t="str">
        <f>"Total scope 1 - " &amp; D32</f>
        <v>Total scope 1 - Power standalone machinery or heating</v>
      </c>
      <c r="E48" s="196"/>
      <c r="F48" s="194"/>
      <c r="H48" s="17"/>
      <c r="I48" s="17"/>
      <c r="J48" s="17"/>
      <c r="L48" s="17"/>
      <c r="N48" s="17"/>
      <c r="O48" s="17"/>
      <c r="P48" s="17"/>
      <c r="Q48" s="17"/>
    </row>
    <row r="49" spans="1:17" ht="20.100000000000001" customHeight="1" x14ac:dyDescent="0.25">
      <c r="A49"/>
      <c r="D49" s="7" t="s">
        <v>718</v>
      </c>
      <c r="E49" s="195">
        <f>SUM(N32:N40)</f>
        <v>29.070800000000002</v>
      </c>
      <c r="F49" s="65" t="str">
        <f t="shared" ref="F49:F52" si="3">$E$12</f>
        <v>t CO2-e</v>
      </c>
      <c r="H49" s="17"/>
      <c r="I49" s="17"/>
      <c r="J49" s="17"/>
      <c r="L49" s="17"/>
      <c r="N49" s="17"/>
      <c r="O49" s="17"/>
      <c r="P49" s="17"/>
      <c r="Q49" s="17"/>
    </row>
    <row r="50" spans="1:17" ht="20.100000000000001" customHeight="1" x14ac:dyDescent="0.25">
      <c r="A50"/>
      <c r="D50" s="7" t="s">
        <v>719</v>
      </c>
      <c r="E50" s="195">
        <f>SUM(O32:O40)</f>
        <v>7.2400000000000006E-2</v>
      </c>
      <c r="F50" s="65" t="str">
        <f t="shared" si="3"/>
        <v>t CO2-e</v>
      </c>
      <c r="H50" s="17"/>
      <c r="I50" s="17"/>
      <c r="J50" s="17"/>
      <c r="L50" s="17"/>
      <c r="N50" s="17"/>
      <c r="O50" s="17"/>
      <c r="P50" s="17"/>
      <c r="Q50" s="17"/>
    </row>
    <row r="51" spans="1:17" ht="20.100000000000001" customHeight="1" x14ac:dyDescent="0.25">
      <c r="A51"/>
      <c r="D51" s="7" t="s">
        <v>720</v>
      </c>
      <c r="E51" s="195">
        <f>SUM(P32:P40)</f>
        <v>7.1400000000000005E-2</v>
      </c>
      <c r="F51" s="65" t="str">
        <f t="shared" si="3"/>
        <v>t CO2-e</v>
      </c>
      <c r="H51" s="17"/>
      <c r="I51" s="17"/>
      <c r="J51" s="17"/>
      <c r="L51" s="17"/>
      <c r="N51" s="17"/>
      <c r="O51" s="17"/>
      <c r="P51" s="17"/>
      <c r="Q51" s="17"/>
    </row>
    <row r="52" spans="1:17" ht="20.100000000000001" customHeight="1" x14ac:dyDescent="0.25">
      <c r="A52"/>
      <c r="D52" s="7" t="s">
        <v>721</v>
      </c>
      <c r="E52" s="195">
        <f>SUM(Q32:Q40)</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2" t="s">
        <v>732</v>
      </c>
      <c r="E54" s="196"/>
      <c r="F54" s="194"/>
      <c r="G54" s="17"/>
      <c r="H54" s="17"/>
      <c r="I54" s="17"/>
      <c r="J54" s="17"/>
      <c r="L54" s="17"/>
      <c r="N54" s="17"/>
      <c r="O54" s="17"/>
      <c r="P54" s="17"/>
      <c r="Q54" s="17"/>
    </row>
    <row r="55" spans="1:17" ht="20.100000000000001" customHeight="1" x14ac:dyDescent="0.25">
      <c r="A55"/>
      <c r="D55" s="7" t="s">
        <v>718</v>
      </c>
      <c r="E55" s="195">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719</v>
      </c>
      <c r="E56" s="195">
        <f>E44+E50</f>
        <v>7.2400000000000006E-2</v>
      </c>
      <c r="F56" s="65" t="str">
        <f t="shared" si="4"/>
        <v>t CO2-e</v>
      </c>
      <c r="H56" s="17"/>
    </row>
    <row r="57" spans="1:17" ht="20.100000000000001" customHeight="1" x14ac:dyDescent="0.25">
      <c r="A57"/>
      <c r="D57" s="7" t="s">
        <v>720</v>
      </c>
      <c r="E57" s="195">
        <f>E45+E51</f>
        <v>7.1400000000000005E-2</v>
      </c>
      <c r="F57" s="65" t="str">
        <f t="shared" si="4"/>
        <v>t CO2-e</v>
      </c>
      <c r="G57" s="17"/>
      <c r="H57" s="17"/>
      <c r="I57" s="17"/>
      <c r="J57" s="17"/>
      <c r="L57" s="17"/>
      <c r="N57" s="17"/>
      <c r="O57" s="17"/>
      <c r="P57" s="17"/>
      <c r="Q57" s="17"/>
    </row>
    <row r="58" spans="1:17" ht="20.100000000000001" customHeight="1" x14ac:dyDescent="0.25">
      <c r="A58"/>
      <c r="D58" s="7" t="s">
        <v>721</v>
      </c>
      <c r="E58" s="195">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Beef cattle purchases'!A1", "Beef cattle purchases")</f>
        <v>Beef cattle purchases</v>
      </c>
    </row>
    <row r="13" spans="1:17" ht="20.100000000000001" customHeight="1" x14ac:dyDescent="0.25">
      <c r="A13" s="16" t="str">
        <f>HYPERLINK("#'Input - Dairy cattle purchases'!A1", "Dairy cattle purchases")</f>
        <v>Dairy cattle purchases</v>
      </c>
    </row>
    <row r="14" spans="1:17" ht="20.100000000000001" customHeight="1" x14ac:dyDescent="0.25">
      <c r="A14" s="16" t="str">
        <f>HYPERLINK("#'Input - Pig purchases'!A1", "Pig purchases")</f>
        <v>Pig purchases</v>
      </c>
    </row>
    <row r="15" spans="1:17" ht="20.100000000000001" customHeight="1" x14ac:dyDescent="0.25">
      <c r="A15" s="16" t="str">
        <f>HYPERLINK("#'Input - Poultry purchases'!A1", "Poultry purchases")</f>
        <v>Poultry purchases</v>
      </c>
    </row>
    <row r="16" spans="1:17" ht="20.100000000000001" customHeight="1" x14ac:dyDescent="0.25">
      <c r="A16" s="16" t="str">
        <f>HYPERLINK("#'Input - Freight'!A1", "Freight")</f>
        <v>Freight</v>
      </c>
    </row>
    <row r="17" spans="1:11" ht="20.100000000000001" customHeight="1" x14ac:dyDescent="0.25">
      <c r="A17" s="16" t="str">
        <f>HYPERLINK("#'Input - Solid waste'!A1", "Solid waste")</f>
        <v>Solid waste</v>
      </c>
    </row>
    <row r="18" spans="1:11" ht="20.100000000000001" customHeight="1" x14ac:dyDescent="0.25">
      <c r="A18" s="16" t="str">
        <f>HYPERLINK("#'Input - Manure sent off-site'!A1", "Manure sent off-site")</f>
        <v>Manure sent off-site</v>
      </c>
    </row>
    <row r="19" spans="1:11" ht="20.100000000000001" customHeight="1" x14ac:dyDescent="0.25">
      <c r="A19" s="16" t="str">
        <f>HYPERLINK("#'Input - Electricity'!A1", "Electricity")</f>
        <v>Electricity</v>
      </c>
    </row>
    <row r="20" spans="1:11" ht="20.100000000000001" customHeight="1" x14ac:dyDescent="0.25"/>
    <row r="21" spans="1:11" ht="20.100000000000001" customHeight="1" x14ac:dyDescent="0.25"/>
    <row r="22" spans="1:11" ht="20.100000000000001" customHeight="1" x14ac:dyDescent="0.25">
      <c r="A22" s="21" t="s">
        <v>77</v>
      </c>
    </row>
    <row r="23" spans="1:11" ht="20.100000000000001" customHeight="1" x14ac:dyDescent="0.25">
      <c r="A23" s="16" t="str">
        <f>HYPERLINK("#'15 Scope 3'!A1", "15 Scope 3")</f>
        <v>15 Scope 3</v>
      </c>
    </row>
    <row r="24" spans="1:11" ht="20.100000000000001" customHeight="1" x14ac:dyDescent="0.25">
      <c r="A24" s="16" t="str">
        <f>HYPERLINK("#'10.1.1-2 Solid waste treatment'!A1", "10.1.1-2 Solid waste treatment")</f>
        <v>10.1.1-2 Solid waste treatment</v>
      </c>
    </row>
    <row r="25" spans="1:11" ht="20.100000000000001" customHeight="1" x14ac:dyDescent="0.25">
      <c r="A25" s="16" t="str">
        <f>HYPERLINK("#'Calcs - Manure sent off-site'!A1", "Calcs - Manure sent off-site")</f>
        <v>Calcs - Manure sent off-site</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row>
    <row r="28" spans="1:11" ht="20.100000000000001" customHeight="1" x14ac:dyDescent="0.25"/>
    <row r="29" spans="1:11" ht="20.100000000000001" customHeight="1" x14ac:dyDescent="0.25"/>
    <row r="30" spans="1:11" ht="20.100000000000001" customHeight="1" x14ac:dyDescent="0.25">
      <c r="A30" s="221" t="s">
        <v>78</v>
      </c>
    </row>
    <row r="31" spans="1:11" ht="20.100000000000001" customHeight="1" x14ac:dyDescent="0.25">
      <c r="A31" s="23" t="str">
        <f>HYPERLINK("#'Constants - Scope 3'!A1", "Constants - Scope 3")</f>
        <v>Constants - Scope 3</v>
      </c>
    </row>
    <row r="32" spans="1:11" ht="20.100000000000001" customHeight="1" x14ac:dyDescent="0.25">
      <c r="A32" s="16" t="str">
        <f>HYPERLINK("#'Constants - Solid Waste'!A1", "Constants - Solid Waste")</f>
        <v>Constants - Solid Waste</v>
      </c>
      <c r="D32" s="9" t="s">
        <v>353</v>
      </c>
      <c r="K32" s="8" t="s">
        <v>425</v>
      </c>
    </row>
    <row r="33" spans="1:12" ht="20.100000000000001" customHeight="1" x14ac:dyDescent="0.25">
      <c r="A33" s="16" t="str">
        <f>HYPERLINK("#'Constants - Fuel'!A1", "Constants - Fuel")</f>
        <v>Constants - Fuel</v>
      </c>
      <c r="D33" s="10" t="s">
        <v>311</v>
      </c>
      <c r="E33" s="10" t="s">
        <v>212</v>
      </c>
      <c r="F33" s="10" t="s">
        <v>312</v>
      </c>
      <c r="G33" s="10" t="s">
        <v>278</v>
      </c>
      <c r="H33" s="10" t="s">
        <v>279</v>
      </c>
      <c r="I33" s="10" t="s">
        <v>354</v>
      </c>
      <c r="K33" s="10" t="s">
        <v>378</v>
      </c>
      <c r="L33" s="10" t="s">
        <v>508</v>
      </c>
    </row>
    <row r="34" spans="1:12" ht="20.100000000000001" customHeight="1" x14ac:dyDescent="0.25">
      <c r="A34" s="16" t="str">
        <f>HYPERLINK("#'Constants - Poultry'!A1", "Constants - Poultry")</f>
        <v>Constants - Poultry</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308</v>
      </c>
      <c r="L34" s="10" t="s">
        <v>329</v>
      </c>
    </row>
    <row r="35" spans="1:12" ht="20.100000000000001" customHeight="1" x14ac:dyDescent="0.25">
      <c r="A35" s="16" t="str">
        <f>HYPERLINK("#'Constants - Swine'!A1", "Constants - Swine")</f>
        <v>Constants - Swine</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329</v>
      </c>
      <c r="L35" s="10" t="s">
        <v>329</v>
      </c>
    </row>
    <row r="36" spans="1:12" ht="20.100000000000001" customHeight="1" x14ac:dyDescent="0.25">
      <c r="A36" s="16" t="str">
        <f>HYPERLINK("#'Constants - Dairy'!A1", "Constants - Dairy")</f>
        <v>Constants - Dairy</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385</v>
      </c>
      <c r="L36" s="10" t="s">
        <v>385</v>
      </c>
    </row>
    <row r="37" spans="1:12" ht="20.100000000000001" customHeight="1" x14ac:dyDescent="0.25">
      <c r="A37" s="16" t="str">
        <f>HYPERLINK("#'Constants - Pasture Beef'!A1", "Constants - Pasture Beef")</f>
        <v>Constants - Pasture Beef</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382</v>
      </c>
      <c r="L37" s="10" t="s">
        <v>382</v>
      </c>
    </row>
    <row r="38" spans="1:12" ht="20.100000000000001" customHeight="1" x14ac:dyDescent="0.25">
      <c r="A38" s="16" t="str">
        <f>HYPERLINK("#'Constants - Common Livestock'!A1", "Constants - Common Livestock")</f>
        <v>Constants - Common Livestock</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335</v>
      </c>
      <c r="L38" s="10" t="s">
        <v>335</v>
      </c>
    </row>
    <row r="39" spans="1:12" ht="20.100000000000001" customHeight="1" x14ac:dyDescent="0.25">
      <c r="A39" s="16" t="str">
        <f>HYPERLINK("#'Constants - Fertiliser'!A1", "Constants - Fertiliser")</f>
        <v>Constants - Fertiliser</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429</v>
      </c>
      <c r="L39" s="10" t="s">
        <v>336</v>
      </c>
    </row>
    <row r="40" spans="1:12" ht="20.100000000000001" customHeight="1" x14ac:dyDescent="0.25">
      <c r="A40" s="16" t="str">
        <f>HYPERLINK("#'Constants - Electricity'!A1", "Constants - Electricity")</f>
        <v>Constants - Electricity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428</v>
      </c>
      <c r="L40" s="10" t="s">
        <v>336</v>
      </c>
    </row>
    <row r="41" spans="1:12" ht="20.100000000000001" customHeight="1" x14ac:dyDescent="0.25">
      <c r="A41" s="16" t="str">
        <f>HYPERLINK("#'Constants - Common'!A1", "Constants - Common")</f>
        <v>Constants - Common</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430</v>
      </c>
      <c r="L41" s="10" t="s">
        <v>336</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431</v>
      </c>
      <c r="L42" s="10" t="s">
        <v>427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432</v>
      </c>
      <c r="L43" s="10" t="s">
        <v>427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433</v>
      </c>
      <c r="L44" s="10" t="s">
        <v>427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434</v>
      </c>
      <c r="L45" s="10" t="s">
        <v>330</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435</v>
      </c>
      <c r="L46" s="10" t="s">
        <v>330</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436</v>
      </c>
      <c r="L47" s="10" t="s">
        <v>330</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437</v>
      </c>
      <c r="L48" s="10" t="s">
        <v>330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328</v>
      </c>
      <c r="L49" s="8" t="s">
        <v>328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356</v>
      </c>
    </row>
    <row r="77" spans="4:9" ht="20.100000000000001" customHeight="1" x14ac:dyDescent="0.25">
      <c r="D77" s="10" t="s">
        <v>311</v>
      </c>
      <c r="E77" s="10" t="s">
        <v>212</v>
      </c>
      <c r="F77" s="10" t="s">
        <v>312</v>
      </c>
      <c r="G77" s="10" t="s">
        <v>278</v>
      </c>
      <c r="H77" s="10" t="s">
        <v>279</v>
      </c>
      <c r="I77" s="10" t="s">
        <v>354</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311</v>
      </c>
      <c r="E82" s="10" t="s">
        <v>212</v>
      </c>
      <c r="F82" s="10" t="s">
        <v>312</v>
      </c>
      <c r="G82" s="10" t="s">
        <v>278</v>
      </c>
      <c r="H82" s="10" t="s">
        <v>279</v>
      </c>
      <c r="I82" s="10" t="s">
        <v>354</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357</v>
      </c>
    </row>
    <row r="89" spans="4:16" ht="20.100000000000001" customHeight="1" x14ac:dyDescent="0.25">
      <c r="D89" s="10" t="s">
        <v>311</v>
      </c>
      <c r="E89" s="10" t="s">
        <v>212</v>
      </c>
      <c r="F89" s="10" t="s">
        <v>312</v>
      </c>
      <c r="G89" s="10" t="s">
        <v>278</v>
      </c>
      <c r="H89" s="10" t="s">
        <v>279</v>
      </c>
      <c r="I89" s="10" t="s">
        <v>354</v>
      </c>
      <c r="K89" s="10" t="s">
        <v>212</v>
      </c>
      <c r="L89" s="10" t="s">
        <v>378</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212</v>
      </c>
      <c r="O90" s="10" t="s">
        <v>378</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212</v>
      </c>
      <c r="L98" s="10" t="s">
        <v>378</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212</v>
      </c>
      <c r="O105" s="10" t="s">
        <v>378</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212</v>
      </c>
      <c r="L110" s="10" t="s">
        <v>378</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212</v>
      </c>
      <c r="O118" s="10" t="s">
        <v>378</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212</v>
      </c>
      <c r="L125" s="10" t="s">
        <v>378</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212</v>
      </c>
      <c r="O131" s="10" t="s">
        <v>378</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212</v>
      </c>
      <c r="L138" s="10" t="s">
        <v>378</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212</v>
      </c>
      <c r="O144" s="10" t="s">
        <v>378</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2" t="s">
        <v>212</v>
      </c>
      <c r="L151" s="152" t="s">
        <v>378</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212</v>
      </c>
      <c r="O152" s="10" t="s">
        <v>378</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212</v>
      </c>
      <c r="L153" s="10" t="s">
        <v>378</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212</v>
      </c>
      <c r="O154" s="10" t="s">
        <v>378</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212</v>
      </c>
      <c r="L155" s="10" t="s">
        <v>378</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212</v>
      </c>
      <c r="O156" s="10" t="s">
        <v>378</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212</v>
      </c>
      <c r="L157" s="10" t="s">
        <v>378</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212</v>
      </c>
      <c r="O158" s="10" t="s">
        <v>378</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311</v>
      </c>
      <c r="E161" s="10" t="s">
        <v>212</v>
      </c>
      <c r="F161" s="10" t="s">
        <v>312</v>
      </c>
      <c r="G161" s="10" t="s">
        <v>278</v>
      </c>
      <c r="H161" s="10" t="s">
        <v>279</v>
      </c>
      <c r="I161" s="10" t="s">
        <v>354</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311</v>
      </c>
      <c r="E167" s="10" t="s">
        <v>212</v>
      </c>
      <c r="F167" s="10" t="s">
        <v>312</v>
      </c>
      <c r="G167" s="10" t="s">
        <v>278</v>
      </c>
      <c r="H167" s="10" t="s">
        <v>279</v>
      </c>
      <c r="I167" s="10" t="s">
        <v>354</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342</v>
      </c>
    </row>
    <row r="173" spans="4:13" ht="20.100000000000001" customHeight="1" x14ac:dyDescent="0.25">
      <c r="D173" s="10" t="s">
        <v>311</v>
      </c>
      <c r="E173" s="10" t="s">
        <v>212</v>
      </c>
      <c r="F173" s="10" t="s">
        <v>312</v>
      </c>
      <c r="G173" s="10" t="s">
        <v>276</v>
      </c>
      <c r="H173" s="10" t="s">
        <v>171</v>
      </c>
      <c r="I173" s="10" t="s">
        <v>172</v>
      </c>
      <c r="J173" s="10" t="s">
        <v>277</v>
      </c>
      <c r="K173" s="10" t="s">
        <v>278</v>
      </c>
      <c r="L173" s="10" t="s">
        <v>279</v>
      </c>
      <c r="M173" s="10" t="s">
        <v>354</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358</v>
      </c>
      <c r="N200" s="10"/>
      <c r="O200" s="10"/>
      <c r="P200" s="10"/>
    </row>
    <row r="201" spans="4:16" ht="20.100000000000001" customHeight="1" x14ac:dyDescent="0.25">
      <c r="D201" s="10" t="s">
        <v>311</v>
      </c>
      <c r="E201" s="10" t="s">
        <v>212</v>
      </c>
      <c r="F201" s="10" t="s">
        <v>312</v>
      </c>
      <c r="G201" s="10" t="s">
        <v>278</v>
      </c>
      <c r="H201" s="10" t="s">
        <v>279</v>
      </c>
      <c r="I201" s="10" t="s">
        <v>354</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359</v>
      </c>
    </row>
    <row r="212" spans="4:16" ht="20.100000000000001" customHeight="1" x14ac:dyDescent="0.25">
      <c r="D212" s="10" t="s">
        <v>311</v>
      </c>
      <c r="E212" s="10" t="s">
        <v>212</v>
      </c>
      <c r="F212" s="10" t="s">
        <v>312</v>
      </c>
      <c r="G212" s="10" t="s">
        <v>278</v>
      </c>
      <c r="H212" s="10" t="s">
        <v>279</v>
      </c>
      <c r="I212" s="10" t="s">
        <v>354</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360</v>
      </c>
    </row>
    <row r="219" spans="4:16" ht="20.100000000000001" customHeight="1" x14ac:dyDescent="0.25">
      <c r="D219" s="10" t="s">
        <v>311</v>
      </c>
      <c r="E219" s="10" t="s">
        <v>212</v>
      </c>
      <c r="F219" s="10" t="s">
        <v>312</v>
      </c>
      <c r="G219" s="10" t="s">
        <v>278</v>
      </c>
      <c r="H219" s="10" t="s">
        <v>279</v>
      </c>
      <c r="I219" s="10" t="s">
        <v>354</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361</v>
      </c>
    </row>
    <row r="234" spans="4:9" ht="20.100000000000001" customHeight="1" x14ac:dyDescent="0.25">
      <c r="D234" s="10" t="s">
        <v>311</v>
      </c>
      <c r="E234" s="10" t="s">
        <v>212</v>
      </c>
      <c r="F234" s="10" t="s">
        <v>312</v>
      </c>
      <c r="G234" s="10" t="s">
        <v>278</v>
      </c>
      <c r="H234" s="10" t="s">
        <v>279</v>
      </c>
      <c r="I234" s="10" t="s">
        <v>354</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4C2A-EBC4-4736-9EBB-053C2CB921F5}">
  <sheetPr>
    <tabColor theme="2" tint="-0.499984740745262"/>
  </sheetPr>
  <dimension ref="A1:AI165"/>
  <sheetViews>
    <sheetView showGridLines="0" topLeftCell="A29"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763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Beef cattle purchases'!A1", "Beef cattle purchases")</f>
        <v>Beef cattle purchases</v>
      </c>
      <c r="D12" s="12" t="str">
        <v>Added sub-categories for 'Composting: All organic waste' in order to use volume to mass conversion factor values</v>
      </c>
    </row>
    <row r="13" spans="1:35" ht="20.100000000000001" customHeight="1" x14ac:dyDescent="0.25">
      <c r="A13" s="16" t="str">
        <f>HYPERLINK("#'Input - Dairy cattle purchases'!A1", "Dairy cattle purchases")</f>
        <v>Dairy cattle purchases</v>
      </c>
      <c r="D13" s="12" t="str">
        <v>Added sub-categories for 'Anaerobic digestion: All organic waste' in order to use volume to mass conversion factor values</v>
      </c>
    </row>
    <row r="14" spans="1:35" ht="20.100000000000001" customHeight="1" x14ac:dyDescent="0.25">
      <c r="A14" s="16" t="str">
        <f>HYPERLINK("#'Input - Pig purchases'!A1", "Pig purchases")</f>
        <v>Pig purchases</v>
      </c>
      <c r="D14" s="8" t="str" cm="1">
        <f t="array" ref="D14">WasteSolid_SourceData.Waste_EmissionFactorsForWasteTreatment_Variable()</f>
        <v>EFwt</v>
      </c>
    </row>
    <row r="15" spans="1:35" ht="20.100000000000001" customHeight="1" x14ac:dyDescent="0.25">
      <c r="A15" s="16" t="str">
        <f>HYPERLINK("#'Input - Poultry purchases'!A1", "Poultry purchases")</f>
        <v>Poultry purchases</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Freight'!A1", "Freight")</f>
        <v>Freight</v>
      </c>
      <c r="D16" s="10" t="s">
        <v>768</v>
      </c>
      <c r="E16" s="10" t="s">
        <v>769</v>
      </c>
      <c r="F16" s="10" t="s">
        <v>770</v>
      </c>
      <c r="G16" s="10" t="s">
        <v>771</v>
      </c>
      <c r="I16" s="10" t="s">
        <v>769</v>
      </c>
      <c r="K16" s="159" t="s">
        <v>769</v>
      </c>
      <c r="M16" s="159" t="s">
        <v>769</v>
      </c>
      <c r="O16" s="159" t="s">
        <v>769</v>
      </c>
    </row>
    <row r="17" spans="1:15" ht="20.100000000000001" customHeight="1" x14ac:dyDescent="0.25">
      <c r="A17" s="16" t="str">
        <f>HYPERLINK("#'Input - Solid waste'!A1", "Solid waste")</f>
        <v>Solid waste</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Manure sent off-site'!A1", "Manure sent off-site")</f>
        <v>Manure sent off-site</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Electricity'!A1", "Electricity")</f>
        <v>Electricity</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21" t="s">
        <v>77</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HYPERLINK("#'15 Scope 3'!A1", "15 Scope 3")</f>
        <v>15 Scope 3</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HYPERLINK("#'10.1.1-2 Solid waste treatment'!A1", "10.1.1-2 Solid waste treatment")</f>
        <v>10.1.1-2 Solid waste treatment</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HYPERLINK("#'Calcs - Manure sent off-site'!A1", "Calcs - Manure sent off-site")</f>
        <v>Calcs - Manure sent off-site</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s="16" t="str">
        <f>HYPERLINK("#'8.1.1.1-2 Transport fuel'!A1", "8.1.1.1-2 Transport fuel")</f>
        <v>8.1.1.1-2 Transport fuel</v>
      </c>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16" t="str">
        <f>HYPERLINK("#'8.2.1.1-2 Stationary fuel'!A1", "8.2.1.1-2 Stationary fuel")</f>
        <v>8.2.1.1-2 Stationary fuel</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221" t="s">
        <v>78</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Scope 3'!A1", "Constants - Scope 3")</f>
        <v>Constants - Scope 3</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23" t="str">
        <f>HYPERLINK("#'Constants - Solid Waste'!A1", "Constants - Solid Waste")</f>
        <v>Constants - Solid Waste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Fuel'!A1", "Constants - Fuel")</f>
        <v>Constants -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Poultry'!A1", "Constants - Poultry")</f>
        <v>Constants - Poultry</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Swine'!A1", "Constants - Swine")</f>
        <v>Constants - Swine</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Dairy'!A1", "Constants - Dairy")</f>
        <v>Constants - Dairy</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Pasture Beef'!A1", "Constants - Pasture Beef")</f>
        <v>Constants - Pasture Beef</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 Livestock'!A1", "Constants - Common Livestock")</f>
        <v>Constants - Common Livestock</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Fertiliser'!A1", "Constants - Fertiliser")</f>
        <v>Constants - Fertiliser</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Electricity'!A1", "Constants - Electricity")</f>
        <v>Constants - Electricity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Common'!A1", "Constants - Common")</f>
        <v>Constants - Common</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769</v>
      </c>
      <c r="E57" s="10" t="s">
        <v>772</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C1376-1C23-4228-80DA-44E83D9A4C12}">
  <dimension ref="A1:AI165"/>
  <sheetViews>
    <sheetView showGridLines="0" topLeftCell="A138"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Beef cattle purchases'!A1", "Beef cattle purchases")</f>
        <v>Beef cattle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Dairy cattle purchases'!A1", "Dairy cattle purchases")</f>
        <v>Dairy cattle purchases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Pig purchases'!A1", "Pig purchases")</f>
        <v>Pig purchases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Poultry purchases'!A1", "Poultry purchases")</f>
        <v>Poultry purchases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Freight'!A1", "Freight")</f>
        <v>Freight</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Solid waste'!A1", "Solid waste")</f>
        <v>Solid waste</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Manure sent off-site'!A1", "Manure sent off-site")</f>
        <v>Manure sent off-site</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Electricity'!A1", "Electricity")</f>
        <v>Electricity</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21" t="s">
        <v>77</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HYPERLINK("#'15 Scope 3'!A1", "15 Scope 3")</f>
        <v>15 Scope 3</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HYPERLINK("#'10.1.1-2 Solid waste treatment'!A1", "10.1.1-2 Solid waste treatment")</f>
        <v>10.1.1-2 Solid waste treatment</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HYPERLINK("#'Calcs - Manure sent off-site'!A1", "Calcs - Manure sent off-site")</f>
        <v>Calcs - Manure sent off-site</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s="16" t="str">
        <f>HYPERLINK("#'8.1.1.1-2 Transport fuel'!A1", "8.1.1.1-2 Transport fuel")</f>
        <v>8.1.1.1-2 Transport fuel</v>
      </c>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16" t="str">
        <f>HYPERLINK("#'8.2.1.1-2 Stationary fuel'!A1", "8.2.1.1-2 Stationary fuel")</f>
        <v>8.2.1.1-2 Stationary fuel</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21" t="s">
        <v>78</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Scope 3'!A1", "Constants - Scope 3")</f>
        <v>Constants - Scope 3</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Solid Waste'!A1", "Constants - Solid Waste")</f>
        <v>Constants - Solid Waste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23" t="str">
        <f>HYPERLINK("#'Constants - Fuel'!A1", "Constants - Fuel")</f>
        <v>Constants -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Poultry'!A1", "Constants - Poultry")</f>
        <v>Constants - Poultry</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row>
    <row r="37" spans="1:12" ht="20.100000000000001" customHeight="1" x14ac:dyDescent="0.25">
      <c r="A37" s="16" t="str">
        <f>HYPERLINK("#'Constants - Pasture Beef'!A1", "Constants - Pasture Beef")</f>
        <v>Constants - Pasture Beef</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 Livestock'!A1", "Constants - Common Livestock")</f>
        <v>Constants - Common Livestock</v>
      </c>
      <c r="D38" s="11" t="str" cm="1">
        <f t="array" ref="D38">Fuel_SourceData.Fuel_Scope1Scope3EmissionFactorsTransportOffRoad_Source()</f>
        <v>VEERG 2026: Table A.4.2.1</v>
      </c>
    </row>
    <row r="39" spans="1:12" ht="20.100000000000001" customHeight="1" x14ac:dyDescent="0.25">
      <c r="A39" s="16" t="str">
        <f>HYPERLINK("#'Constants - Fertiliser'!A1", "Constants - Fertiliser")</f>
        <v>Constants - Fertiliser</v>
      </c>
      <c r="D39" s="10" t="s">
        <v>79</v>
      </c>
      <c r="E39" s="10" t="s">
        <v>80</v>
      </c>
      <c r="F39" s="10" t="s">
        <v>81</v>
      </c>
      <c r="G39" s="10" t="s">
        <v>82</v>
      </c>
      <c r="H39" s="10" t="s">
        <v>83</v>
      </c>
      <c r="I39" s="10" t="s">
        <v>84</v>
      </c>
      <c r="J39" s="10" t="s">
        <v>85</v>
      </c>
    </row>
    <row r="40" spans="1:12" ht="20.100000000000001" customHeight="1" x14ac:dyDescent="0.25">
      <c r="A40" s="16" t="str">
        <f>HYPERLINK("#'Constants - Electricity'!A1", "Constants - Electricity")</f>
        <v>Constants - Electricity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Common'!A1", "Constants - Common")</f>
        <v>Constants - Common</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704</v>
      </c>
      <c r="F112" s="20" t="s">
        <v>705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904</v>
      </c>
      <c r="G142" s="17"/>
      <c r="H142" s="17"/>
      <c r="I142" s="17"/>
      <c r="J142" s="17"/>
      <c r="K142" s="17"/>
      <c r="L142" s="17"/>
      <c r="M142" s="17"/>
      <c r="AG142" s="8"/>
    </row>
    <row r="143" spans="1:33" ht="20.100000000000001" customHeight="1" x14ac:dyDescent="0.25">
      <c r="A143"/>
      <c r="D143" s="34" t="s">
        <v>97</v>
      </c>
      <c r="E143" s="3" t="s">
        <v>98</v>
      </c>
      <c r="F143" s="3" t="s">
        <v>905</v>
      </c>
      <c r="G143" s="17"/>
      <c r="H143" s="17"/>
      <c r="I143" s="17"/>
      <c r="J143" s="17"/>
      <c r="K143" s="17"/>
      <c r="L143" s="17"/>
      <c r="M143" s="17"/>
      <c r="AG143" s="8"/>
    </row>
    <row r="144" spans="1:33" ht="20.100000000000001" customHeight="1" x14ac:dyDescent="0.25">
      <c r="A144"/>
      <c r="D144" s="34" t="s">
        <v>99</v>
      </c>
      <c r="E144" s="3" t="s">
        <v>98</v>
      </c>
      <c r="F144" s="3" t="s">
        <v>905</v>
      </c>
      <c r="G144" s="17"/>
      <c r="H144" s="17"/>
      <c r="I144" s="17"/>
      <c r="J144" s="17"/>
      <c r="K144" s="17"/>
      <c r="L144" s="17"/>
      <c r="M144" s="17"/>
      <c r="AG144" s="8"/>
    </row>
    <row r="145" spans="1:33" ht="20.100000000000001" customHeight="1" x14ac:dyDescent="0.25">
      <c r="A145"/>
      <c r="D145" s="34" t="s">
        <v>100</v>
      </c>
      <c r="E145" s="3" t="s">
        <v>98</v>
      </c>
      <c r="F145" s="3" t="s">
        <v>905</v>
      </c>
      <c r="G145" s="17"/>
      <c r="H145" s="17"/>
      <c r="I145" s="17"/>
      <c r="J145" s="17"/>
      <c r="K145" s="17"/>
      <c r="L145" s="17"/>
      <c r="M145" s="17"/>
      <c r="AG145" s="8"/>
    </row>
    <row r="146" spans="1:33" ht="20.100000000000001" customHeight="1" x14ac:dyDescent="0.25">
      <c r="A146"/>
      <c r="D146" s="34" t="s">
        <v>101</v>
      </c>
      <c r="E146" s="3" t="s">
        <v>98</v>
      </c>
      <c r="F146" s="3" t="s">
        <v>905</v>
      </c>
      <c r="G146" s="17"/>
      <c r="H146" s="17"/>
      <c r="I146" s="17"/>
      <c r="J146" s="17"/>
      <c r="K146" s="17"/>
      <c r="L146" s="17"/>
      <c r="M146" s="17"/>
      <c r="AG146" s="8"/>
    </row>
    <row r="147" spans="1:33" ht="20.100000000000001" customHeight="1" x14ac:dyDescent="0.25">
      <c r="A147"/>
      <c r="D147" s="34" t="s">
        <v>102</v>
      </c>
      <c r="E147" s="3" t="s">
        <v>98</v>
      </c>
      <c r="F147" s="3" t="s">
        <v>905</v>
      </c>
      <c r="G147" s="17"/>
      <c r="H147" s="17"/>
      <c r="I147" s="17"/>
      <c r="J147" s="17"/>
      <c r="K147" s="17"/>
      <c r="L147" s="17"/>
      <c r="M147" s="17"/>
      <c r="AG147" s="8"/>
    </row>
    <row r="148" spans="1:33" ht="20.100000000000001" customHeight="1" x14ac:dyDescent="0.25">
      <c r="A148"/>
      <c r="D148" s="34" t="s">
        <v>103</v>
      </c>
      <c r="E148" s="3" t="s">
        <v>98</v>
      </c>
      <c r="F148" s="3" t="s">
        <v>905</v>
      </c>
      <c r="G148" s="17"/>
      <c r="H148" s="17"/>
      <c r="I148" s="17"/>
      <c r="J148" s="17"/>
      <c r="K148" s="17"/>
      <c r="L148" s="17"/>
      <c r="M148" s="17"/>
      <c r="AG148" s="8"/>
    </row>
    <row r="149" spans="1:33" ht="20.100000000000001" customHeight="1" x14ac:dyDescent="0.25">
      <c r="A149"/>
      <c r="D149" s="34" t="s">
        <v>104</v>
      </c>
      <c r="E149" s="3" t="s">
        <v>98</v>
      </c>
      <c r="F149" s="3" t="s">
        <v>905</v>
      </c>
      <c r="G149" s="17"/>
      <c r="H149" s="17"/>
      <c r="I149" s="17"/>
      <c r="J149" s="17"/>
      <c r="K149" s="17"/>
      <c r="L149" s="17"/>
      <c r="M149" s="17"/>
      <c r="AG149" s="8"/>
    </row>
    <row r="150" spans="1:33" ht="20.100000000000001" customHeight="1" x14ac:dyDescent="0.25">
      <c r="A150"/>
      <c r="D150" s="34" t="s">
        <v>105</v>
      </c>
      <c r="E150" s="3" t="s">
        <v>98</v>
      </c>
      <c r="F150" s="3" t="s">
        <v>905</v>
      </c>
      <c r="G150" s="17"/>
      <c r="H150" s="17"/>
      <c r="I150" s="17"/>
      <c r="J150" s="17"/>
      <c r="K150" s="17"/>
      <c r="L150" s="17"/>
      <c r="M150" s="17"/>
      <c r="AG150" s="8"/>
    </row>
    <row r="151" spans="1:33" ht="20.100000000000001" customHeight="1" x14ac:dyDescent="0.25">
      <c r="A151"/>
      <c r="D151" s="34" t="s">
        <v>106</v>
      </c>
      <c r="E151" s="3" t="s">
        <v>98</v>
      </c>
      <c r="F151" s="3" t="s">
        <v>905</v>
      </c>
      <c r="G151" s="17"/>
      <c r="H151" s="17"/>
      <c r="I151" s="17"/>
      <c r="J151" s="17"/>
      <c r="K151" s="17"/>
      <c r="L151" s="17"/>
      <c r="M151" s="17"/>
      <c r="AG151" s="8"/>
    </row>
    <row r="152" spans="1:33" ht="20.100000000000001" customHeight="1" x14ac:dyDescent="0.25">
      <c r="A152"/>
      <c r="D152" s="36" t="s">
        <v>107</v>
      </c>
      <c r="E152" s="14" t="s">
        <v>98</v>
      </c>
      <c r="F152" s="3" t="s">
        <v>905</v>
      </c>
      <c r="G152" s="17"/>
      <c r="H152" s="17"/>
      <c r="I152" s="17"/>
      <c r="J152" s="17"/>
      <c r="K152" s="17"/>
      <c r="L152" s="17"/>
      <c r="M152" s="17"/>
      <c r="AG152" s="8"/>
    </row>
    <row r="153" spans="1:33" ht="20.100000000000001" customHeight="1" x14ac:dyDescent="0.25">
      <c r="A153"/>
      <c r="D153" s="36" t="s">
        <v>108</v>
      </c>
      <c r="E153" s="14" t="s">
        <v>98</v>
      </c>
      <c r="F153" s="3" t="s">
        <v>905</v>
      </c>
      <c r="G153" s="17"/>
      <c r="H153" s="17"/>
      <c r="I153" s="17"/>
      <c r="J153" s="17"/>
      <c r="K153" s="17"/>
      <c r="L153" s="17"/>
      <c r="M153" s="17"/>
      <c r="AG153" s="8"/>
    </row>
    <row r="154" spans="1:33" ht="20.100000000000001" customHeight="1" x14ac:dyDescent="0.25">
      <c r="A154"/>
      <c r="D154" s="36" t="s">
        <v>109</v>
      </c>
      <c r="E154" s="14" t="s">
        <v>98</v>
      </c>
      <c r="F154" s="3" t="s">
        <v>905</v>
      </c>
      <c r="G154" s="17"/>
      <c r="H154" s="17"/>
      <c r="I154" s="17"/>
      <c r="J154" s="17"/>
      <c r="K154" s="17"/>
      <c r="L154" s="17"/>
      <c r="M154" s="17"/>
      <c r="AG154" s="8"/>
    </row>
    <row r="155" spans="1:33" ht="20.100000000000001" customHeight="1" x14ac:dyDescent="0.25">
      <c r="A155"/>
      <c r="D155" s="36" t="s">
        <v>110</v>
      </c>
      <c r="E155" s="14" t="s">
        <v>98</v>
      </c>
      <c r="F155" s="3" t="s">
        <v>905</v>
      </c>
      <c r="G155" s="17"/>
      <c r="H155" s="17"/>
      <c r="I155" s="17"/>
      <c r="J155" s="17"/>
      <c r="K155" s="17"/>
      <c r="L155" s="17"/>
      <c r="M155" s="17"/>
      <c r="AG155" s="8"/>
    </row>
    <row r="156" spans="1:33" ht="20.100000000000001" customHeight="1" x14ac:dyDescent="0.25">
      <c r="A156"/>
      <c r="D156" s="36" t="s">
        <v>111</v>
      </c>
      <c r="E156" s="14" t="s">
        <v>98</v>
      </c>
      <c r="F156" s="3" t="s">
        <v>905</v>
      </c>
      <c r="G156" s="17"/>
      <c r="H156" s="17"/>
      <c r="I156" s="17"/>
      <c r="J156" s="17"/>
      <c r="K156" s="17"/>
      <c r="L156" s="17"/>
      <c r="M156" s="17"/>
      <c r="AG156" s="8"/>
    </row>
    <row r="157" spans="1:33" ht="20.100000000000001" customHeight="1" x14ac:dyDescent="0.25">
      <c r="A157"/>
      <c r="D157" s="36" t="s">
        <v>112</v>
      </c>
      <c r="E157" s="14" t="s">
        <v>98</v>
      </c>
      <c r="F157" s="3" t="s">
        <v>905</v>
      </c>
      <c r="G157" s="17"/>
      <c r="H157" s="17"/>
      <c r="I157" s="17"/>
      <c r="J157" s="17"/>
      <c r="K157" s="17"/>
      <c r="L157" s="17"/>
      <c r="M157" s="17"/>
      <c r="AG157" s="8"/>
    </row>
    <row r="158" spans="1:33" ht="20.100000000000001" customHeight="1" x14ac:dyDescent="0.25">
      <c r="A158"/>
      <c r="D158" s="36" t="s">
        <v>113</v>
      </c>
      <c r="E158" s="14" t="s">
        <v>98</v>
      </c>
      <c r="F158" s="3" t="s">
        <v>905</v>
      </c>
      <c r="G158" s="17"/>
      <c r="H158" s="17"/>
      <c r="I158" s="17"/>
      <c r="J158" s="17"/>
      <c r="K158" s="17"/>
      <c r="L158" s="17"/>
      <c r="M158" s="17"/>
      <c r="AG158" s="8"/>
    </row>
    <row r="159" spans="1:33" ht="20.100000000000001" customHeight="1" x14ac:dyDescent="0.25">
      <c r="A159"/>
      <c r="D159" s="36" t="s">
        <v>114</v>
      </c>
      <c r="E159" s="14" t="s">
        <v>98</v>
      </c>
      <c r="F159" s="3" t="s">
        <v>905</v>
      </c>
      <c r="G159" s="17"/>
      <c r="H159" s="17"/>
      <c r="I159" s="17"/>
      <c r="J159" s="17"/>
      <c r="K159" s="17"/>
      <c r="L159" s="17"/>
      <c r="M159" s="17"/>
      <c r="AG159" s="8"/>
    </row>
    <row r="160" spans="1:33" ht="20.100000000000001" customHeight="1" x14ac:dyDescent="0.25">
      <c r="A160"/>
      <c r="D160" s="36" t="s">
        <v>94</v>
      </c>
      <c r="E160" s="14" t="s">
        <v>98</v>
      </c>
      <c r="F160" s="3" t="s">
        <v>905</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6C68-D42C-4F9D-B9B1-18DA0BF293E3}">
  <sheetPr>
    <tabColor theme="2" tint="-0.499984740745262"/>
  </sheetPr>
  <dimension ref="A1:W452"/>
  <sheetViews>
    <sheetView showGridLines="0" topLeftCell="A2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Beef cattle purchases'!A1", "Beef cattle purchases")</f>
        <v>Beef cattle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Dairy cattle purchases'!A1", "Dairy cattle purchases")</f>
        <v>Dairy cattle purchases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M16" s="8"/>
    </row>
    <row r="17" spans="1:13" ht="20.100000000000001" customHeight="1" x14ac:dyDescent="0.25">
      <c r="A17" s="16" t="str">
        <f>HYPERLINK("#'Input - Solid waste'!A1", "Solid waste")</f>
        <v>Solid waste</v>
      </c>
      <c r="D17" s="9" t="str" cm="1">
        <f t="array" ref="D17">SourceData_Poultry.SourceData_Poultry_MethaneEmissionsPotential_Title()</f>
        <v>Poultry - Methane emissions potential per class</v>
      </c>
      <c r="M17" s="8"/>
    </row>
    <row r="18" spans="1:13" ht="20.100000000000001" customHeight="1" x14ac:dyDescent="0.25">
      <c r="A18" s="16" t="str">
        <f>HYPERLINK("#'Input - Manure sent off-site'!A1", "Manure sent off-site")</f>
        <v>Manure sent off-site</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Electricity'!A1", "Electricity")</f>
        <v>Electricity</v>
      </c>
      <c r="D19" s="10" t="s">
        <v>572</v>
      </c>
      <c r="E19" s="10" t="s">
        <v>573</v>
      </c>
      <c r="M19" s="8"/>
    </row>
    <row r="20" spans="1:13" ht="20.100000000000001" customHeight="1" x14ac:dyDescent="0.25">
      <c r="A20"/>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M24" s="8"/>
    </row>
    <row r="25" spans="1:13" ht="20.100000000000001" customHeight="1" x14ac:dyDescent="0.25">
      <c r="A25" s="16" t="str">
        <f>HYPERLINK("#'Calcs - Manure sent off-site'!A1", "Calcs - Manure sent off-site")</f>
        <v>Calcs - Manure sent off-site</v>
      </c>
      <c r="M25" s="8"/>
    </row>
    <row r="26" spans="1:13" ht="20.100000000000001" customHeight="1" x14ac:dyDescent="0.25">
      <c r="A26" s="16" t="str">
        <f>HYPERLINK("#'8.1.1.1-2 Transport fuel'!A1", "8.1.1.1-2 Transport fuel")</f>
        <v>8.1.1.1-2 Transport fuel</v>
      </c>
      <c r="D26" s="9" t="s">
        <v>574</v>
      </c>
      <c r="G26" s="9" t="s">
        <v>575</v>
      </c>
      <c r="J26" s="9" t="s">
        <v>576</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58" t="s">
        <v>517</v>
      </c>
      <c r="E28" s="10" t="s">
        <v>322</v>
      </c>
      <c r="G28" s="158" t="s">
        <v>517</v>
      </c>
      <c r="H28" s="10" t="s">
        <v>322</v>
      </c>
      <c r="J28" s="158" t="s">
        <v>517</v>
      </c>
      <c r="K28" s="10" t="s">
        <v>322</v>
      </c>
      <c r="M28" s="8"/>
    </row>
    <row r="29" spans="1:13" ht="20.100000000000001" customHeight="1" x14ac:dyDescent="0.25">
      <c r="A29"/>
      <c r="D29" s="10" t="s">
        <v>58</v>
      </c>
      <c r="E29" s="10" t="s">
        <v>577</v>
      </c>
      <c r="G29" s="10" t="s">
        <v>58</v>
      </c>
      <c r="H29" s="10" t="s">
        <v>577</v>
      </c>
      <c r="J29" s="10" t="s">
        <v>55</v>
      </c>
      <c r="K29" s="10" t="s">
        <v>578</v>
      </c>
      <c r="M29" s="8"/>
    </row>
    <row r="30" spans="1:13" ht="20.100000000000001" customHeight="1" x14ac:dyDescent="0.25">
      <c r="A30" s="221" t="s">
        <v>78</v>
      </c>
      <c r="D30" s="10" t="s">
        <v>579</v>
      </c>
      <c r="E30" s="10" t="s">
        <v>580</v>
      </c>
      <c r="G30" s="10" t="s">
        <v>579</v>
      </c>
      <c r="H30" s="10" t="s">
        <v>580</v>
      </c>
      <c r="J30" s="10" t="s">
        <v>54</v>
      </c>
      <c r="K30" s="10" t="s">
        <v>581</v>
      </c>
      <c r="M30" s="8"/>
    </row>
    <row r="31" spans="1:13" ht="20.100000000000001" customHeight="1" x14ac:dyDescent="0.25">
      <c r="A31" s="16" t="str">
        <f>HYPERLINK("#'Constants - Scope 3'!A1", "Constants - Scope 3")</f>
        <v>Constants - Scope 3</v>
      </c>
      <c r="D31" s="10" t="s">
        <v>582</v>
      </c>
      <c r="E31" s="10" t="s">
        <v>583</v>
      </c>
      <c r="G31" s="10" t="s">
        <v>582</v>
      </c>
      <c r="H31" s="10" t="s">
        <v>583</v>
      </c>
      <c r="J31" s="8" t="s">
        <v>51</v>
      </c>
      <c r="K31" s="8" t="s">
        <v>584</v>
      </c>
      <c r="M31" s="8"/>
    </row>
    <row r="32" spans="1:13" ht="20.100000000000001" customHeight="1" x14ac:dyDescent="0.25">
      <c r="A32" s="16" t="str">
        <f>HYPERLINK("#'Constants - Solid Waste'!A1", "Constants - Solid Waste")</f>
        <v>Constants - Solid Waste</v>
      </c>
      <c r="D32" s="10" t="s">
        <v>62</v>
      </c>
      <c r="E32" s="10" t="s">
        <v>585</v>
      </c>
      <c r="G32" s="10" t="s">
        <v>62</v>
      </c>
      <c r="H32" s="10" t="s">
        <v>585</v>
      </c>
      <c r="J32" s="10" t="s">
        <v>60</v>
      </c>
      <c r="K32" s="10" t="s">
        <v>586</v>
      </c>
      <c r="M32" s="8"/>
    </row>
    <row r="33" spans="1:13" ht="20.100000000000001" customHeight="1" x14ac:dyDescent="0.25">
      <c r="A33" s="16" t="str">
        <f>HYPERLINK("#'Constants - Fuel'!A1", "Constants - Fuel")</f>
        <v>Constants - Fuel</v>
      </c>
      <c r="D33" s="10" t="s">
        <v>55</v>
      </c>
      <c r="E33" s="10" t="s">
        <v>578</v>
      </c>
      <c r="G33" s="8" t="s">
        <v>587</v>
      </c>
      <c r="H33" s="10" t="s">
        <v>587</v>
      </c>
      <c r="J33" s="10" t="s">
        <v>61</v>
      </c>
      <c r="K33" s="10" t="s">
        <v>588</v>
      </c>
      <c r="M33" s="8"/>
    </row>
    <row r="34" spans="1:13" ht="20.100000000000001" customHeight="1" x14ac:dyDescent="0.25">
      <c r="A34" s="23" t="str">
        <f>HYPERLINK("#'Constants - Poultry'!A1", "Constants - Poultry")</f>
        <v>Constants - Poultry</v>
      </c>
      <c r="D34" s="10" t="s">
        <v>54</v>
      </c>
      <c r="E34" s="10" t="s">
        <v>581</v>
      </c>
      <c r="J34" s="8" t="s">
        <v>587</v>
      </c>
      <c r="K34" s="10" t="s">
        <v>587</v>
      </c>
      <c r="M34" s="8"/>
    </row>
    <row r="35" spans="1:13" ht="20.100000000000001" customHeight="1" x14ac:dyDescent="0.25">
      <c r="A35" s="16" t="str">
        <f>HYPERLINK("#'Constants - Swine'!A1", "Constants - Swine")</f>
        <v>Constants - Swine</v>
      </c>
      <c r="D35" s="8" t="s">
        <v>51</v>
      </c>
      <c r="E35" s="8" t="s">
        <v>584</v>
      </c>
      <c r="M35" s="8"/>
    </row>
    <row r="36" spans="1:13" ht="20.100000000000001" customHeight="1" x14ac:dyDescent="0.25">
      <c r="A36" s="16" t="str">
        <f>HYPERLINK("#'Constants - Dairy'!A1", "Constants - Dairy")</f>
        <v>Constants - Dairy</v>
      </c>
      <c r="D36" s="10" t="s">
        <v>60</v>
      </c>
      <c r="E36" s="10" t="s">
        <v>586</v>
      </c>
      <c r="M36" s="8"/>
    </row>
    <row r="37" spans="1:13" ht="20.100000000000001" customHeight="1" x14ac:dyDescent="0.25">
      <c r="A37" s="16" t="str">
        <f>HYPERLINK("#'Constants - Pasture Beef'!A1", "Constants - Pasture Beef")</f>
        <v>Constants - Pasture Beef</v>
      </c>
      <c r="D37" s="10" t="s">
        <v>61</v>
      </c>
      <c r="E37" s="10" t="s">
        <v>588</v>
      </c>
      <c r="M37" s="8"/>
    </row>
    <row r="38" spans="1:13" ht="20.100000000000001" customHeight="1" x14ac:dyDescent="0.25">
      <c r="A38" s="16" t="str">
        <f>HYPERLINK("#'Constants - Common Livestock'!A1", "Constants - Common Livestock")</f>
        <v>Constants - Common Livestock</v>
      </c>
      <c r="D38" s="8" t="s">
        <v>587</v>
      </c>
      <c r="E38" s="10" t="s">
        <v>587</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
        <v>589</v>
      </c>
      <c r="G42" s="9" t="s">
        <v>907</v>
      </c>
      <c r="J42" s="9" t="s">
        <v>142</v>
      </c>
      <c r="M42" s="8"/>
    </row>
    <row r="43" spans="1:13" ht="20.100000000000001" customHeight="1" x14ac:dyDescent="0.25">
      <c r="A43"/>
      <c r="M43" s="8"/>
    </row>
    <row r="44" spans="1:13" ht="20.100000000000001" customHeight="1" x14ac:dyDescent="0.25">
      <c r="A44"/>
      <c r="D44" s="10" t="s">
        <v>144</v>
      </c>
      <c r="G44" s="10" t="s">
        <v>144</v>
      </c>
      <c r="J44" s="10" t="s">
        <v>43</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329</v>
      </c>
      <c r="G59" s="10" t="s">
        <v>308</v>
      </c>
      <c r="H59" s="10" t="s">
        <v>330</v>
      </c>
      <c r="I59" s="10" t="s">
        <v>427</v>
      </c>
      <c r="J59" s="10" t="s">
        <v>335</v>
      </c>
      <c r="K59" s="10" t="s">
        <v>385</v>
      </c>
      <c r="L59" s="10" t="s">
        <v>336</v>
      </c>
      <c r="M59" s="10" t="s">
        <v>382</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557</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ED1A0-4246-48B9-AE64-0486C0BA7EF2}">
  <dimension ref="A1:W452"/>
  <sheetViews>
    <sheetView showGridLines="0" topLeftCell="A86"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Farm Inputs'!A1", "Farm Inputs")</f>
        <v>Farm Inputs</v>
      </c>
      <c r="G11" s="8" t="s">
        <v>154</v>
      </c>
      <c r="M11" s="8"/>
    </row>
    <row r="12" spans="1:21" ht="20.100000000000001" customHeight="1" x14ac:dyDescent="0.25">
      <c r="A12" s="16" t="str">
        <f>HYPERLINK("#'Input - Beef cattle purchases'!A1", "Beef cattle purchases")</f>
        <v>Beef cattle purchases</v>
      </c>
      <c r="G12" s="8" t="s">
        <v>157</v>
      </c>
      <c r="M12" s="8"/>
    </row>
    <row r="13" spans="1:21" ht="20.100000000000001" customHeight="1" x14ac:dyDescent="0.25">
      <c r="A13" s="16" t="str">
        <f>HYPERLINK("#'Input - Dairy cattle purchases'!A1", "Dairy cattle purchases")</f>
        <v>Dairy cattle purchases</v>
      </c>
      <c r="G13" s="8" t="s">
        <v>159</v>
      </c>
      <c r="M13" s="8"/>
    </row>
    <row r="14" spans="1:21" ht="20.100000000000001" customHeight="1" x14ac:dyDescent="0.25">
      <c r="A14" s="16" t="str">
        <f>HYPERLINK("#'Input - Pig purchases'!A1", "Pig purchases")</f>
        <v>Pig purchases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Poultry purchases'!A1", "Poultry purchases")</f>
        <v>Poultry purchases</v>
      </c>
      <c r="D15" s="11" t="str" cm="1">
        <f t="array" ref="D15">SourceData_Swine.SourceData_Swine_FracLEACH_DrylotMMS_Source()</f>
        <v>VEERG 2026: 4.5.2.3 CONSTANT</v>
      </c>
      <c r="M15" s="8"/>
    </row>
    <row r="16" spans="1:21" ht="20.100000000000001" customHeight="1" x14ac:dyDescent="0.25">
      <c r="A16" s="16" t="str">
        <f>HYPERLINK("#'Input - Freight'!A1", "Freight")</f>
        <v>Freight</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Solid waste'!A1", "Solid waste")</f>
        <v>Solid waste</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Manure sent off-site'!A1", "Manure sent off-site")</f>
        <v>Manure sent off-site</v>
      </c>
      <c r="M18" s="8"/>
    </row>
    <row r="19" spans="1:13" ht="20.100000000000001" customHeight="1" x14ac:dyDescent="0.25">
      <c r="A19" s="16" t="str">
        <f>HYPERLINK("#'Input - Electricity'!A1", "Electricity")</f>
        <v>Electricity</v>
      </c>
      <c r="D19" s="9" t="str" cm="1">
        <f t="array" ref="D19">SourceData_Swine.SourceData_Swine_MethaneVolatileSolidsEmissionsPotential_Title()</f>
        <v>Emissions potential of methane per kilogram of volatile solids</v>
      </c>
      <c r="M19" s="8"/>
    </row>
    <row r="20" spans="1:13" ht="20.100000000000001" customHeight="1" x14ac:dyDescent="0.25">
      <c r="A20"/>
      <c r="D20" s="11" t="e" cm="1">
        <f t="array" aca="1" ref="D20" ca="1">SourceData_Swine.SourceData_Swine_MethaneVolatileSolidsEmissionsPotential_Source()</f>
        <v>#NAME?</v>
      </c>
      <c r="M20" s="8"/>
    </row>
    <row r="21" spans="1:13" ht="20.100000000000001" customHeight="1" x14ac:dyDescent="0.25">
      <c r="A21"/>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D24" s="9" t="str" cm="1">
        <f t="array" ref="D24">SourceData_Swine.SourceData_Swine_MMS_MCFs_Title()</f>
        <v>Methane conversion factor for temperature zone and manure management system.</v>
      </c>
      <c r="H24" s="156" t="s">
        <v>540</v>
      </c>
      <c r="M24" s="8"/>
    </row>
    <row r="25" spans="1:13" ht="20.100000000000001" customHeight="1" x14ac:dyDescent="0.25">
      <c r="A25" s="16" t="str">
        <f>HYPERLINK("#'Calcs - Manure sent off-site'!A1", "Calcs - Manure sent off-site")</f>
        <v>Calcs - Manure sent off-site</v>
      </c>
      <c r="D25" s="11" t="str" cm="1">
        <f t="array" ref="D25">SourceData_Swine.SourceData_Swine_MMS_MCFs_Source()</f>
        <v>VEERG 2026: Table A.1.6.4: Swine - MCFs (MCFim)</v>
      </c>
      <c r="H25" s="156" t="s">
        <v>541</v>
      </c>
      <c r="M25" s="8"/>
    </row>
    <row r="26" spans="1:13" ht="20.100000000000001" customHeight="1" x14ac:dyDescent="0.25">
      <c r="A26" s="16" t="str">
        <f>HYPERLINK("#'8.1.1.1-2 Transport fuel'!A1", "8.1.1.1-2 Transport fuel")</f>
        <v>8.1.1.1-2 Transport fuel</v>
      </c>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0" t="s">
        <v>517</v>
      </c>
      <c r="E28" s="10" t="s">
        <v>329</v>
      </c>
      <c r="F28" s="10" t="s">
        <v>308</v>
      </c>
      <c r="G28" s="10" t="s">
        <v>330</v>
      </c>
      <c r="H28" s="10" t="s">
        <v>427</v>
      </c>
      <c r="I28" s="10" t="s">
        <v>385</v>
      </c>
      <c r="J28" s="10" t="s">
        <v>382</v>
      </c>
      <c r="K28" s="10" t="s">
        <v>335</v>
      </c>
      <c r="L28" s="10" t="s">
        <v>336</v>
      </c>
      <c r="M28" s="10" t="s">
        <v>542</v>
      </c>
    </row>
    <row r="29" spans="1:13" ht="20.100000000000001" customHeight="1" x14ac:dyDescent="0.25">
      <c r="A29"/>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221" t="s">
        <v>78</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Scope 3'!A1", "Constants - Scope 3")</f>
        <v>Constants - Scope 3</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HYPERLINK("#'Constants - Solid Waste'!A1", "Constants - Solid Waste")</f>
        <v>Constants - Solid Waste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Fuel'!A1", "Constants - Fuel")</f>
        <v>Constants -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Poultry'!A1", "Constants - Poultry")</f>
        <v>Constants - Poultry</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3" t="str">
        <f>HYPERLINK("#'Constants - Swine'!A1", "Constants - Swine")</f>
        <v>Constants - Swine</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Dairy'!A1", "Constants - Dairy")</f>
        <v>Constants - Dairy</v>
      </c>
      <c r="M36" s="8"/>
    </row>
    <row r="37" spans="1:13" ht="20.100000000000001" customHeight="1" x14ac:dyDescent="0.25">
      <c r="A37" s="16" t="str">
        <f>HYPERLINK("#'Constants - Pasture Beef'!A1", "Constants - Pasture Beef")</f>
        <v>Constants - Pasture Beef</v>
      </c>
      <c r="M37" s="8"/>
    </row>
    <row r="38" spans="1:13" ht="20.100000000000001" customHeight="1" x14ac:dyDescent="0.25">
      <c r="A38" s="16" t="str">
        <f>HYPERLINK("#'Constants - Common Livestock'!A1", "Constants - Common Livestock")</f>
        <v>Constants - Common Livestock</v>
      </c>
      <c r="D38" s="9" t="s">
        <v>543</v>
      </c>
      <c r="G38" s="9" t="s">
        <v>544</v>
      </c>
      <c r="K38" s="9" t="s">
        <v>545</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D40" s="158" t="s">
        <v>517</v>
      </c>
      <c r="E40" s="10" t="s">
        <v>322</v>
      </c>
      <c r="G40" s="158" t="s">
        <v>517</v>
      </c>
      <c r="H40" s="10" t="s">
        <v>322</v>
      </c>
      <c r="K40" s="158" t="s">
        <v>517</v>
      </c>
      <c r="L40" s="10" t="s">
        <v>322</v>
      </c>
      <c r="M40" s="8"/>
    </row>
    <row r="41" spans="1:13" ht="20.100000000000001" customHeight="1" x14ac:dyDescent="0.25">
      <c r="A41" s="16" t="str">
        <f>HYPERLINK("#'Constants - Common'!A1", "Constants - Common")</f>
        <v>Constants - Common</v>
      </c>
      <c r="D41" s="10" t="s">
        <v>50</v>
      </c>
      <c r="E41" s="10" t="s">
        <v>909</v>
      </c>
      <c r="G41" s="10" t="s">
        <v>50</v>
      </c>
      <c r="H41" s="10" t="s">
        <v>909</v>
      </c>
      <c r="K41" s="10" t="s">
        <v>50</v>
      </c>
      <c r="L41" s="10" t="s">
        <v>909</v>
      </c>
      <c r="M41" s="8"/>
    </row>
    <row r="42" spans="1:13" ht="20.100000000000001" customHeight="1" x14ac:dyDescent="0.25">
      <c r="A42"/>
      <c r="D42" s="10" t="s">
        <v>55</v>
      </c>
      <c r="E42" s="10" t="s">
        <v>578</v>
      </c>
      <c r="G42" s="10" t="s">
        <v>914</v>
      </c>
      <c r="H42" s="10" t="s">
        <v>915</v>
      </c>
      <c r="K42" s="10" t="s">
        <v>55</v>
      </c>
      <c r="L42" s="10" t="s">
        <v>578</v>
      </c>
      <c r="M42" s="8"/>
    </row>
    <row r="43" spans="1:13" ht="20.100000000000001" customHeight="1" x14ac:dyDescent="0.25">
      <c r="A43"/>
      <c r="D43" s="10" t="s">
        <v>914</v>
      </c>
      <c r="E43" s="10" t="s">
        <v>915</v>
      </c>
      <c r="G43" s="10" t="s">
        <v>51</v>
      </c>
      <c r="H43" s="10" t="s">
        <v>584</v>
      </c>
      <c r="K43" s="10" t="s">
        <v>914</v>
      </c>
      <c r="L43" s="10" t="s">
        <v>915</v>
      </c>
      <c r="M43" s="8"/>
    </row>
    <row r="44" spans="1:13" ht="20.100000000000001" customHeight="1" x14ac:dyDescent="0.25">
      <c r="A44"/>
      <c r="D44" s="10" t="s">
        <v>51</v>
      </c>
      <c r="E44" s="10" t="s">
        <v>584</v>
      </c>
      <c r="G44" s="10" t="s">
        <v>57</v>
      </c>
      <c r="H44" s="10" t="s">
        <v>916</v>
      </c>
      <c r="K44" s="10" t="s">
        <v>51</v>
      </c>
      <c r="L44" s="10" t="s">
        <v>584</v>
      </c>
      <c r="M44" s="8"/>
    </row>
    <row r="45" spans="1:13" ht="20.100000000000001" customHeight="1" x14ac:dyDescent="0.25">
      <c r="A45"/>
      <c r="D45" s="10" t="s">
        <v>57</v>
      </c>
      <c r="E45" s="10" t="s">
        <v>916</v>
      </c>
      <c r="G45" s="10" t="s">
        <v>56</v>
      </c>
      <c r="H45" s="10" t="s">
        <v>917</v>
      </c>
      <c r="K45" s="10" t="s">
        <v>57</v>
      </c>
      <c r="L45" s="10" t="s">
        <v>916</v>
      </c>
      <c r="M45" s="8"/>
    </row>
    <row r="46" spans="1:13" ht="20.100000000000001" customHeight="1" x14ac:dyDescent="0.25">
      <c r="A46"/>
      <c r="D46" s="10" t="s">
        <v>56</v>
      </c>
      <c r="E46" s="10" t="s">
        <v>917</v>
      </c>
      <c r="K46" s="10" t="s">
        <v>56</v>
      </c>
      <c r="L46" s="10" t="s">
        <v>917</v>
      </c>
      <c r="M46" s="8"/>
    </row>
    <row r="47" spans="1:13" ht="20.100000000000001" customHeight="1" x14ac:dyDescent="0.25">
      <c r="A47"/>
      <c r="D47" s="10" t="s">
        <v>61</v>
      </c>
      <c r="E47" s="10" t="s">
        <v>588</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8" t="s">
        <v>517</v>
      </c>
      <c r="E53" s="10" t="s">
        <v>548</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914</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315</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315</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315</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1935B-4618-4A94-80D7-18EB362EC008}">
  <dimension ref="A1:V288"/>
  <sheetViews>
    <sheetView showGridLines="0"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142</v>
      </c>
      <c r="M5" s="8"/>
    </row>
    <row r="6" spans="1:21" ht="20.100000000000001" customHeight="1" x14ac:dyDescent="0.25">
      <c r="A6"/>
      <c r="M6" s="8"/>
    </row>
    <row r="7" spans="1:21" ht="20.100000000000001" customHeight="1" x14ac:dyDescent="0.25">
      <c r="A7" s="19" t="s">
        <v>67</v>
      </c>
      <c r="D7" s="158" t="s">
        <v>517</v>
      </c>
      <c r="E7" s="10" t="s">
        <v>322</v>
      </c>
      <c r="G7" s="10" t="s">
        <v>144</v>
      </c>
      <c r="J7" s="10" t="s">
        <v>43</v>
      </c>
      <c r="M7" s="8"/>
    </row>
    <row r="8" spans="1:21" ht="20.100000000000001" customHeight="1" x14ac:dyDescent="0.25">
      <c r="A8" s="16" t="str">
        <f>HYPERLINK("#'Input - Site'!A1", "Site")</f>
        <v>Site</v>
      </c>
      <c r="D8" s="10" t="s">
        <v>50</v>
      </c>
      <c r="E8" s="10" t="s">
        <v>909</v>
      </c>
      <c r="G8" s="10" t="str">
        <f>'Constants - Common'!$F$187</f>
        <v>Pasture</v>
      </c>
      <c r="J8" s="10" t="s">
        <v>147</v>
      </c>
      <c r="M8" s="8"/>
    </row>
    <row r="9" spans="1:21" ht="20.100000000000001" customHeight="1" x14ac:dyDescent="0.25">
      <c r="A9" s="16" t="str">
        <f>HYPERLINK("#'Input - Fuel'!A1", "Fuel")</f>
        <v>Fuel</v>
      </c>
      <c r="D9" s="10" t="s">
        <v>910</v>
      </c>
      <c r="E9" s="10" t="s">
        <v>911</v>
      </c>
      <c r="G9" s="8" t="str">
        <f>'Constants - Common'!$F$188</f>
        <v>Crop</v>
      </c>
      <c r="J9" s="10" t="s">
        <v>151</v>
      </c>
      <c r="M9" s="8"/>
    </row>
    <row r="10" spans="1:21" ht="20.100000000000001" customHeight="1" x14ac:dyDescent="0.25">
      <c r="A10" s="16" t="str">
        <f>HYPERLINK("#'Input - Fertiliser'!A1", "Fertiliser")</f>
        <v>Fertiliser</v>
      </c>
      <c r="D10" s="10" t="s">
        <v>912</v>
      </c>
      <c r="E10" s="10" t="s">
        <v>913</v>
      </c>
      <c r="J10" s="8" t="s">
        <v>154</v>
      </c>
      <c r="M10" s="8"/>
    </row>
    <row r="11" spans="1:21" ht="20.100000000000001" customHeight="1" x14ac:dyDescent="0.25">
      <c r="A11" s="16" t="str">
        <f>HYPERLINK("#'Input - Farm Inputs'!A1", "Farm Inputs")</f>
        <v>Farm Inputs</v>
      </c>
      <c r="D11" s="10" t="s">
        <v>55</v>
      </c>
      <c r="E11" s="10" t="s">
        <v>578</v>
      </c>
      <c r="J11" s="8" t="s">
        <v>157</v>
      </c>
      <c r="M11" s="8"/>
    </row>
    <row r="12" spans="1:21" ht="20.100000000000001" customHeight="1" x14ac:dyDescent="0.25">
      <c r="A12" s="16" t="str">
        <f>HYPERLINK("#'Input - Beef cattle purchases'!A1", "Beef cattle purchases")</f>
        <v>Beef cattle purchases</v>
      </c>
      <c r="J12" s="8" t="s">
        <v>159</v>
      </c>
      <c r="M12" s="8"/>
    </row>
    <row r="13" spans="1:21" ht="20.100000000000001" customHeight="1" x14ac:dyDescent="0.25">
      <c r="A13" s="16" t="str">
        <f>HYPERLINK("#'Input - Dairy cattle purchases'!A1", "Dairy cattle purchases")</f>
        <v>Dairy cattle purchases</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Solid waste'!A1", "Solid waste")</f>
        <v>Solid waste</v>
      </c>
      <c r="D17" s="11" t="str" cm="1">
        <f t="array" ref="D17">SourceData_Dairy.SourceData_Dairy_LiveweightCowsAndHeifers_Source()</f>
        <v>VEERG 2026: Table A.1.3.1</v>
      </c>
      <c r="M17" s="8"/>
    </row>
    <row r="18" spans="1:13" ht="20.100000000000001" customHeight="1" x14ac:dyDescent="0.25">
      <c r="A18" s="16" t="str">
        <f>HYPERLINK("#'Input - Manure sent off-site'!A1", "Manure sent off-site")</f>
        <v>Manure sent off-site</v>
      </c>
      <c r="D18" s="8" t="str" cm="1">
        <f t="array" ref="D18">SourceData_Dairy.SourceData_Dairy_LiveweightCowsAndHeifers_Variable()</f>
        <v>Wj</v>
      </c>
      <c r="M18" s="8"/>
    </row>
    <row r="19" spans="1:13" ht="20.100000000000001" customHeight="1" x14ac:dyDescent="0.25">
      <c r="A19" s="16" t="str">
        <f>HYPERLINK("#'Input - Electricity'!A1", "Electricity")</f>
        <v>Electricity</v>
      </c>
      <c r="D19" s="13" t="str" cm="1">
        <f t="array" ref="D19">SourceData_Dairy.SourceData_Dairy_LiveweightCowsAndHeifers_Unit()</f>
        <v>kg</v>
      </c>
      <c r="M19" s="8"/>
    </row>
    <row r="20" spans="1:13" ht="20.100000000000001" customHeight="1" x14ac:dyDescent="0.25">
      <c r="A20"/>
      <c r="D20" s="12" t="e" cm="1">
        <f t="array" aca="1" ref="D20" ca="1">SourceData_Dairy.SourceData_Dairy_LiveweightCowsAndHeifers_Variation()</f>
        <v>#NAME?</v>
      </c>
      <c r="M20" s="8"/>
    </row>
    <row r="21" spans="1:13" ht="20.100000000000001" customHeight="1" x14ac:dyDescent="0.25">
      <c r="A21"/>
      <c r="D21" s="10" t="s">
        <v>496</v>
      </c>
      <c r="E21" s="10" t="s">
        <v>509</v>
      </c>
      <c r="F21" s="10" t="s">
        <v>518</v>
      </c>
      <c r="G21" s="10" t="s">
        <v>510</v>
      </c>
      <c r="M21" s="8"/>
    </row>
    <row r="22" spans="1:13" ht="20.100000000000001" customHeight="1" x14ac:dyDescent="0.25">
      <c r="A22" s="21" t="s">
        <v>77</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HYPERLINK("#'15 Scope 3'!A1", "15 Scope 3")</f>
        <v>15 Scope 3</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HYPERLINK("#'10.1.1-2 Solid waste treatment'!A1", "10.1.1-2 Solid waste treatment")</f>
        <v>10.1.1-2 Solid waste treatment</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HYPERLINK("#'Calcs - Manure sent off-site'!A1", "Calcs - Manure sent off-site")</f>
        <v>Calcs - Manure sent off-site</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s="16" t="str">
        <f>HYPERLINK("#'8.1.1.1-2 Transport fuel'!A1", "8.1.1.1-2 Transport fuel")</f>
        <v>8.1.1.1-2 Transport fuel</v>
      </c>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16" t="str">
        <f>HYPERLINK("#'8.2.1.1-2 Stationary fuel'!A1", "8.2.1.1-2 Stationary fuel")</f>
        <v>8.2.1.1-2 Stationary fuel</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221" t="s">
        <v>78</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Scope 3'!A1", "Constants - Scope 3")</f>
        <v>Constants - Scope 3</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Solid Waste'!A1", "Constants - Solid Waste")</f>
        <v>Constants - Solid Waste</v>
      </c>
      <c r="M32" s="8"/>
    </row>
    <row r="33" spans="1:13" ht="20.100000000000001" customHeight="1" x14ac:dyDescent="0.25">
      <c r="A33" s="16" t="str">
        <f>HYPERLINK("#'Constants - Fuel'!A1", "Constants - Fuel")</f>
        <v>Constants - Fuel</v>
      </c>
      <c r="M33" s="8"/>
    </row>
    <row r="34" spans="1:13" ht="20.100000000000001" customHeight="1" x14ac:dyDescent="0.25">
      <c r="A34" s="16" t="str">
        <f>HYPERLINK("#'Constants - Poultry'!A1", "Constants - Poultry")</f>
        <v>Constants - Poultry</v>
      </c>
      <c r="D34" s="9" t="str" cm="1">
        <f t="array" ref="D34">SourceData_Dairy.SourceData_Dairy_LiveweightBulls_Title()</f>
        <v>Table A.1.3.2: Dairy cattle - Liveweight (kg) - Bulls (Wj)</v>
      </c>
      <c r="M34" s="8"/>
    </row>
    <row r="35" spans="1:13" ht="20.100000000000001" customHeight="1" x14ac:dyDescent="0.25">
      <c r="A35" s="16" t="str">
        <f>HYPERLINK("#'Constants - Swine'!A1", "Constants - Swine")</f>
        <v>Constants - Swine</v>
      </c>
      <c r="D35" s="11" t="str" cm="1">
        <f t="array" ref="D35">SourceData_Dairy.SourceData_Dairy_LiveweightBulls_Source()</f>
        <v>VEERG 2026: Table A.1.3.2</v>
      </c>
      <c r="M35" s="8"/>
    </row>
    <row r="36" spans="1:13" ht="20.100000000000001" customHeight="1" x14ac:dyDescent="0.25">
      <c r="A36" s="23" t="str">
        <f>HYPERLINK("#'Constants - Dairy'!A1", "Constants - Dairy")</f>
        <v>Constants - Dairy</v>
      </c>
      <c r="D36" s="8" t="str" cm="1">
        <f t="array" ref="D36">SourceData_Dairy.SourceData_Dairy_LiveweightBulls_Variable()</f>
        <v>Wj</v>
      </c>
      <c r="M36" s="8"/>
    </row>
    <row r="37" spans="1:13" ht="20.100000000000001" customHeight="1" x14ac:dyDescent="0.25">
      <c r="A37" s="16" t="str">
        <f>HYPERLINK("#'Constants - Pasture Beef'!A1", "Constants - Pasture Beef")</f>
        <v>Constants - Pasture Beef</v>
      </c>
      <c r="D37" s="13" t="str" cm="1">
        <f t="array" ref="D37">SourceData_Dairy.SourceData_Dairy_LiveweightBulls_Unit()</f>
        <v>kg</v>
      </c>
      <c r="M37" s="8"/>
    </row>
    <row r="38" spans="1:13" ht="20.100000000000001" customHeight="1" x14ac:dyDescent="0.25">
      <c r="A38" s="16" t="str">
        <f>HYPERLINK("#'Constants - Common Livestock'!A1", "Constants - Common Livestock")</f>
        <v>Constants - Common Livestock</v>
      </c>
      <c r="D38" s="10" t="s">
        <v>496</v>
      </c>
      <c r="E38" s="10" t="s">
        <v>519</v>
      </c>
      <c r="F38" s="10" t="s">
        <v>520</v>
      </c>
      <c r="M38" s="8"/>
    </row>
    <row r="39" spans="1:13" ht="20.100000000000001" customHeight="1" x14ac:dyDescent="0.25">
      <c r="A39" s="16" t="str">
        <f>HYPERLINK("#'Constants - Fertiliser'!A1", "Constants - Fertiliser")</f>
        <v>Constants - Fertiliser</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9" t="s">
        <v>509</v>
      </c>
      <c r="E54" s="159" t="s">
        <v>518</v>
      </c>
      <c r="F54" s="159" t="s">
        <v>510</v>
      </c>
      <c r="G54" s="159" t="s">
        <v>519</v>
      </c>
      <c r="H54" s="159"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329</v>
      </c>
      <c r="G72" s="10" t="s">
        <v>427</v>
      </c>
      <c r="H72" s="10" t="s">
        <v>330</v>
      </c>
      <c r="I72" s="10" t="s">
        <v>385</v>
      </c>
      <c r="J72" s="10" t="s">
        <v>382</v>
      </c>
      <c r="K72" s="10" t="s">
        <v>335</v>
      </c>
      <c r="L72" s="10" t="s">
        <v>336</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146</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56"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57E02-9195-42D8-89BE-9055E383F742}">
  <dimension ref="A1:V483"/>
  <sheetViews>
    <sheetView showGridLines="0" topLeftCell="A436"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142</v>
      </c>
      <c r="M5" s="8" t="s">
        <v>440</v>
      </c>
      <c r="O5" s="8" t="s">
        <v>441</v>
      </c>
      <c r="Q5" s="8" t="s">
        <v>442</v>
      </c>
      <c r="S5" s="8" t="s">
        <v>443</v>
      </c>
    </row>
    <row r="6" spans="1:21" ht="20.100000000000001" customHeight="1" x14ac:dyDescent="0.25">
      <c r="A6"/>
      <c r="M6" s="8"/>
    </row>
    <row r="7" spans="1:21" ht="20.100000000000001" customHeight="1" x14ac:dyDescent="0.25">
      <c r="A7" s="19" t="s">
        <v>67</v>
      </c>
      <c r="D7" s="10" t="s">
        <v>144</v>
      </c>
      <c r="G7" s="10" t="s">
        <v>43</v>
      </c>
      <c r="M7" s="3" t="s">
        <v>378</v>
      </c>
      <c r="O7" s="10" t="s">
        <v>378</v>
      </c>
      <c r="Q7" s="10" t="s">
        <v>378</v>
      </c>
      <c r="S7" s="10" t="s">
        <v>378</v>
      </c>
    </row>
    <row r="8" spans="1:21" ht="20.100000000000001" customHeight="1" x14ac:dyDescent="0.25">
      <c r="A8" s="16" t="str">
        <f>HYPERLINK("#'Input - Site'!A1", "Site")</f>
        <v>Site</v>
      </c>
      <c r="D8" s="10" t="str">
        <f>'Constants - Common'!$F$187</f>
        <v>Pasture</v>
      </c>
      <c r="G8" s="10" t="s">
        <v>147</v>
      </c>
      <c r="M8" s="10" t="s">
        <v>444</v>
      </c>
      <c r="O8" s="10" t="s">
        <v>445</v>
      </c>
      <c r="Q8" s="10" t="s">
        <v>446</v>
      </c>
      <c r="S8" s="10" t="s">
        <v>426</v>
      </c>
    </row>
    <row r="9" spans="1:21" ht="20.100000000000001" customHeight="1" x14ac:dyDescent="0.25">
      <c r="A9" s="16" t="str">
        <f>HYPERLINK("#'Input - Fuel'!A1", "Fuel")</f>
        <v>Fuel</v>
      </c>
      <c r="D9" s="8" t="str">
        <f>'Constants - Common'!$F$188</f>
        <v>Crop</v>
      </c>
      <c r="G9" s="10" t="s">
        <v>151</v>
      </c>
      <c r="M9" s="10" t="s">
        <v>447</v>
      </c>
      <c r="O9" s="10" t="s">
        <v>448</v>
      </c>
      <c r="Q9" s="10" t="s">
        <v>449</v>
      </c>
    </row>
    <row r="10" spans="1:21" ht="20.100000000000001" customHeight="1" x14ac:dyDescent="0.25">
      <c r="A10" s="16" t="str">
        <f>HYPERLINK("#'Input - Fertiliser'!A1", "Fertiliser")</f>
        <v>Fertiliser</v>
      </c>
      <c r="G10" s="8" t="s">
        <v>154</v>
      </c>
      <c r="M10" s="10" t="s">
        <v>450</v>
      </c>
      <c r="O10" s="10" t="s">
        <v>451</v>
      </c>
      <c r="Q10" s="10" t="s">
        <v>452</v>
      </c>
      <c r="S10" s="8" t="s">
        <v>453</v>
      </c>
    </row>
    <row r="11" spans="1:21" ht="20.100000000000001" customHeight="1" x14ac:dyDescent="0.25">
      <c r="A11" s="16" t="str">
        <f>HYPERLINK("#'Input - Farm Inputs'!A1", "Farm Inputs")</f>
        <v>Farm Inputs</v>
      </c>
      <c r="G11" s="8" t="s">
        <v>157</v>
      </c>
      <c r="M11" s="8"/>
      <c r="Q11" s="10" t="s">
        <v>454</v>
      </c>
    </row>
    <row r="12" spans="1:21" ht="20.100000000000001" customHeight="1" x14ac:dyDescent="0.25">
      <c r="A12" s="16" t="str">
        <f>HYPERLINK("#'Input - Beef cattle purchases'!A1", "Beef cattle purchases")</f>
        <v>Beef cattle purchases</v>
      </c>
      <c r="G12" s="8" t="s">
        <v>159</v>
      </c>
      <c r="M12" s="8"/>
      <c r="S12" s="10" t="s">
        <v>378</v>
      </c>
    </row>
    <row r="13" spans="1:21" ht="20.100000000000001" customHeight="1" x14ac:dyDescent="0.25">
      <c r="A13" s="16" t="str">
        <f>HYPERLINK("#'Input - Dairy cattle purchases'!A1", "Dairy cattle purchases")</f>
        <v>Dairy cattle purchases</v>
      </c>
      <c r="M13" s="8"/>
      <c r="S13" s="10" t="s">
        <v>426</v>
      </c>
    </row>
    <row r="14" spans="1:21" ht="20.100000000000001" customHeight="1" x14ac:dyDescent="0.25">
      <c r="A14" s="16" t="str">
        <f>HYPERLINK("#'Input - Pig purchases'!A1", "Pig purchases")</f>
        <v>Pig purchases</v>
      </c>
      <c r="D14" s="9" t="str" cm="1">
        <f t="array" ref="D14">SourceData_PastureBeef.SourceData_PastureBeef_Liveweight_Title()</f>
        <v>Beef pasture cattle - Liveweight (kg) (Wjkl)</v>
      </c>
      <c r="M14" s="8"/>
    </row>
    <row r="15" spans="1:21" ht="20.100000000000001" customHeight="1" x14ac:dyDescent="0.25">
      <c r="A15" s="16" t="str">
        <f>HYPERLINK("#'Input - Poultry purchases'!A1", "Poultry purchases")</f>
        <v>Poultry purchases</v>
      </c>
      <c r="D15" s="11" t="str" cm="1">
        <f t="array" ref="D15">SourceData_PastureBeef.SourceData_PastureBeef_Liveweight_Source()</f>
        <v>VEERG 2026: Table A.1.2.1</v>
      </c>
      <c r="M15" s="8"/>
      <c r="S15" s="8" t="s">
        <v>455</v>
      </c>
    </row>
    <row r="16" spans="1:21" ht="20.100000000000001" customHeight="1" x14ac:dyDescent="0.25">
      <c r="A16" s="16" t="str">
        <f>HYPERLINK("#'Input - Freight'!A1", "Freight")</f>
        <v>Freight</v>
      </c>
      <c r="D16" s="8" t="str" cm="1">
        <f t="array" ref="D16">SourceData_PastureBeef.SourceData_PastureBeef_Liveweight_Variable()</f>
        <v>Wjkl</v>
      </c>
      <c r="M16" s="8"/>
    </row>
    <row r="17" spans="1:19" ht="20.100000000000001" customHeight="1" x14ac:dyDescent="0.25">
      <c r="A17" s="16" t="str">
        <f>HYPERLINK("#'Input - Solid waste'!A1", "Solid waste")</f>
        <v>Solid waste</v>
      </c>
      <c r="D17" s="13" t="str" cm="1">
        <f t="array" ref="D17">SourceData_PastureBeef.SourceData_PastureBeef_Liveweight_Unit()</f>
        <v>kg</v>
      </c>
      <c r="M17" s="8"/>
      <c r="O17" s="8" t="s">
        <v>507</v>
      </c>
      <c r="S17" s="10" t="s">
        <v>378</v>
      </c>
    </row>
    <row r="18" spans="1:19" ht="20.100000000000001" customHeight="1" x14ac:dyDescent="0.25">
      <c r="A18" s="16" t="str">
        <f>HYPERLINK("#'Input - Manure sent off-site'!A1", "Manure sent off-site")</f>
        <v>Manure sent off-site</v>
      </c>
      <c r="D18" s="10" t="s">
        <v>273</v>
      </c>
      <c r="E18" s="10" t="s">
        <v>378</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16" t="str">
        <f>HYPERLINK("#'Input - Electricity'!A1", "Electricity")</f>
        <v>Electricity</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476</v>
      </c>
    </row>
    <row r="20" spans="1:19" ht="20.100000000000001" customHeight="1" x14ac:dyDescent="0.25">
      <c r="A20"/>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477</v>
      </c>
      <c r="S20" s="8" t="s">
        <v>463</v>
      </c>
    </row>
    <row r="21" spans="1:19" ht="20.100000000000001" customHeight="1" x14ac:dyDescent="0.25">
      <c r="A21"/>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478</v>
      </c>
    </row>
    <row r="22" spans="1:19" ht="20.100000000000001" customHeight="1" x14ac:dyDescent="0.25">
      <c r="A22" s="21" t="s">
        <v>77</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479</v>
      </c>
      <c r="S22" s="10" t="s">
        <v>378</v>
      </c>
    </row>
    <row r="23" spans="1:19" ht="20.100000000000001" customHeight="1" x14ac:dyDescent="0.25">
      <c r="A23" s="16" t="str">
        <f>HYPERLINK("#'15 Scope 3'!A1", "15 Scope 3")</f>
        <v>15 Scope 3</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480</v>
      </c>
      <c r="S23" s="10" t="s">
        <v>426</v>
      </c>
    </row>
    <row r="24" spans="1:19" ht="20.100000000000001" customHeight="1" x14ac:dyDescent="0.25">
      <c r="A24" s="16" t="str">
        <f>HYPERLINK("#'10.1.1-2 Solid waste treatment'!A1", "10.1.1-2 Solid waste treatment")</f>
        <v>10.1.1-2 Solid waste treatment</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481</v>
      </c>
    </row>
    <row r="25" spans="1:19" ht="20.100000000000001" customHeight="1" x14ac:dyDescent="0.25">
      <c r="A25" s="16" t="str">
        <f>HYPERLINK("#'Calcs - Manure sent off-site'!A1", "Calcs - Manure sent off-site")</f>
        <v>Calcs - Manure sent off-site</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482</v>
      </c>
      <c r="S25" s="8" t="s">
        <v>464</v>
      </c>
    </row>
    <row r="26" spans="1:19" ht="20.100000000000001" customHeight="1" x14ac:dyDescent="0.25">
      <c r="A26" s="16" t="str">
        <f>HYPERLINK("#'8.1.1.1-2 Transport fuel'!A1", "8.1.1.1-2 Transport fuel")</f>
        <v>8.1.1.1-2 Transport fuel</v>
      </c>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483</v>
      </c>
    </row>
    <row r="27" spans="1:19" ht="20.100000000000001" customHeight="1" x14ac:dyDescent="0.25">
      <c r="A27" s="16" t="str">
        <f>HYPERLINK("#'8.2.1.1-2 Stationary fuel'!A1", "8.2.1.1-2 Stationary fuel")</f>
        <v>8.2.1.1-2 Stationary fuel</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484</v>
      </c>
      <c r="S27" s="10" t="s">
        <v>378</v>
      </c>
    </row>
    <row r="28" spans="1:19" ht="20.100000000000001" customHeight="1" x14ac:dyDescent="0.25">
      <c r="A28"/>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485</v>
      </c>
      <c r="S28" s="10" t="s">
        <v>426</v>
      </c>
    </row>
    <row r="29" spans="1:19" ht="20.100000000000001" customHeight="1" x14ac:dyDescent="0.25">
      <c r="A29"/>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221" t="s">
        <v>78</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Scope 3'!A1", "Constants - Scope 3")</f>
        <v>Constants - Scope 3</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425</v>
      </c>
    </row>
    <row r="32" spans="1:19" ht="20.100000000000001" customHeight="1" x14ac:dyDescent="0.25">
      <c r="A32" s="16" t="str">
        <f>HYPERLINK("#'Constants - Solid Waste'!A1", "Constants - Solid Waste")</f>
        <v>Constants - Solid Waste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378</v>
      </c>
      <c r="P32" s="10" t="s">
        <v>508</v>
      </c>
    </row>
    <row r="33" spans="1:16" ht="20.100000000000001" customHeight="1" x14ac:dyDescent="0.25">
      <c r="A33" s="16" t="str">
        <f>HYPERLINK("#'Constants - Fuel'!A1", "Constants - Fuel")</f>
        <v>Constants -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308</v>
      </c>
      <c r="P33" s="10" t="s">
        <v>329</v>
      </c>
    </row>
    <row r="34" spans="1:16" ht="20.100000000000001" customHeight="1" x14ac:dyDescent="0.25">
      <c r="A34" s="16" t="str">
        <f>HYPERLINK("#'Constants - Poultry'!A1", "Constants - Poultry")</f>
        <v>Constants - Poultry</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329</v>
      </c>
      <c r="P34" s="10" t="s">
        <v>329</v>
      </c>
    </row>
    <row r="35" spans="1:16" ht="20.100000000000001" customHeight="1" x14ac:dyDescent="0.25">
      <c r="A35" s="16" t="str">
        <f>HYPERLINK("#'Constants - Swine'!A1", "Constants - Swine")</f>
        <v>Constants - Swine</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385</v>
      </c>
      <c r="P35" s="10" t="s">
        <v>385</v>
      </c>
    </row>
    <row r="36" spans="1:16" ht="20.100000000000001" customHeight="1" x14ac:dyDescent="0.25">
      <c r="A36" s="16" t="str">
        <f>HYPERLINK("#'Constants - Dairy'!A1", "Constants - Dairy")</f>
        <v>Constants - Dairy</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382</v>
      </c>
      <c r="P36" s="10" t="s">
        <v>382</v>
      </c>
    </row>
    <row r="37" spans="1:16" ht="20.100000000000001" customHeight="1" x14ac:dyDescent="0.25">
      <c r="A37" s="23" t="str">
        <f>HYPERLINK("#'Constants - Pasture Beef'!A1", "Constants - Pasture Beef")</f>
        <v>Constants - Pasture Beef</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335</v>
      </c>
      <c r="P37" s="10" t="s">
        <v>335</v>
      </c>
    </row>
    <row r="38" spans="1:16" ht="20.100000000000001" customHeight="1" x14ac:dyDescent="0.25">
      <c r="A38" s="16" t="str">
        <f>HYPERLINK("#'Constants - Common Livestock'!A1", "Constants - Common Livestock")</f>
        <v>Constants - Common Livestock</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429</v>
      </c>
      <c r="P38" s="10" t="s">
        <v>336</v>
      </c>
    </row>
    <row r="39" spans="1:16" ht="20.100000000000001" customHeight="1" x14ac:dyDescent="0.25">
      <c r="A39" s="16" t="str">
        <f>HYPERLINK("#'Constants - Fertiliser'!A1", "Constants - Fertiliser")</f>
        <v>Constants - Fertiliser</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428</v>
      </c>
      <c r="P39" s="10" t="s">
        <v>336</v>
      </c>
    </row>
    <row r="40" spans="1:16" ht="20.100000000000001" customHeight="1" x14ac:dyDescent="0.25">
      <c r="A40" s="16" t="str">
        <f>HYPERLINK("#'Constants - Electricity'!A1", "Constants - Electricity")</f>
        <v>Constants - Electricity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430</v>
      </c>
      <c r="P40" s="10" t="s">
        <v>336</v>
      </c>
    </row>
    <row r="41" spans="1:16" ht="20.100000000000001" customHeight="1" x14ac:dyDescent="0.25">
      <c r="A41" s="16" t="str">
        <f>HYPERLINK("#'Constants - Common'!A1", "Constants - Common")</f>
        <v>Constants - Common</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431</v>
      </c>
      <c r="P41" s="10" t="s">
        <v>427</v>
      </c>
    </row>
    <row r="42" spans="1:16"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432</v>
      </c>
      <c r="P42" s="10" t="s">
        <v>427</v>
      </c>
    </row>
    <row r="43" spans="1:16"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433</v>
      </c>
      <c r="P43" s="10" t="s">
        <v>427</v>
      </c>
    </row>
    <row r="44" spans="1:16"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434</v>
      </c>
      <c r="P44" s="10" t="s">
        <v>330</v>
      </c>
    </row>
    <row r="45" spans="1:16"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435</v>
      </c>
      <c r="P45" s="10" t="s">
        <v>330</v>
      </c>
    </row>
    <row r="46" spans="1:16"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436</v>
      </c>
      <c r="P46" s="10" t="s">
        <v>330</v>
      </c>
    </row>
    <row r="47" spans="1:16" ht="20.100000000000001" customHeight="1" x14ac:dyDescent="0.25">
      <c r="A47"/>
      <c r="M47" s="8"/>
      <c r="O47" s="10" t="s">
        <v>437</v>
      </c>
      <c r="P47" s="10" t="s">
        <v>330</v>
      </c>
    </row>
    <row r="48" spans="1:16" ht="20.100000000000001" customHeight="1" x14ac:dyDescent="0.25">
      <c r="A48"/>
      <c r="M48" s="8"/>
      <c r="O48" s="8" t="s">
        <v>328</v>
      </c>
      <c r="P48" s="8" t="s">
        <v>328</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273</v>
      </c>
      <c r="E53" s="10" t="s">
        <v>378</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273</v>
      </c>
      <c r="E85" s="10" t="s">
        <v>378</v>
      </c>
      <c r="F85" s="10" t="s">
        <v>47</v>
      </c>
      <c r="G85" s="155" t="s">
        <v>476</v>
      </c>
      <c r="H85" s="155" t="s">
        <v>477</v>
      </c>
      <c r="I85" s="155" t="s">
        <v>478</v>
      </c>
      <c r="J85" s="155" t="s">
        <v>479</v>
      </c>
      <c r="K85" s="155" t="s">
        <v>480</v>
      </c>
      <c r="L85" s="155" t="s">
        <v>481</v>
      </c>
      <c r="M85" s="155" t="s">
        <v>482</v>
      </c>
      <c r="N85" s="155" t="s">
        <v>483</v>
      </c>
      <c r="O85" s="155" t="s">
        <v>484</v>
      </c>
      <c r="P85" s="155"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329</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329</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329</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329</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385</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385</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385</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385</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382</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382</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382</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382</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335</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335</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335</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335</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328</v>
      </c>
      <c r="E146" s="8" t="s">
        <v>426</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328</v>
      </c>
      <c r="E147" s="8" t="s">
        <v>426</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328</v>
      </c>
      <c r="E148" s="8" t="s">
        <v>426</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328</v>
      </c>
      <c r="E149" s="8" t="s">
        <v>426</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273</v>
      </c>
      <c r="E154" s="10" t="s">
        <v>378</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273</v>
      </c>
      <c r="E189" s="10" t="s">
        <v>378</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273</v>
      </c>
      <c r="E222" s="10" t="s">
        <v>378</v>
      </c>
      <c r="F222" s="10" t="s">
        <v>47</v>
      </c>
      <c r="G222" s="155" t="s">
        <v>476</v>
      </c>
      <c r="H222" s="155" t="s">
        <v>477</v>
      </c>
      <c r="I222" s="155" t="s">
        <v>478</v>
      </c>
      <c r="J222" s="155" t="s">
        <v>479</v>
      </c>
      <c r="K222" s="155" t="s">
        <v>480</v>
      </c>
      <c r="L222" s="155" t="s">
        <v>481</v>
      </c>
      <c r="M222" s="155" t="s">
        <v>482</v>
      </c>
      <c r="N222" s="155" t="s">
        <v>483</v>
      </c>
      <c r="O222" s="155" t="s">
        <v>484</v>
      </c>
      <c r="P222" s="155" t="s">
        <v>485</v>
      </c>
    </row>
    <row r="223" spans="4:16" x14ac:dyDescent="0.25">
      <c r="D223" s="10" t="s">
        <v>308</v>
      </c>
      <c r="E223" s="10" t="s">
        <v>426</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308</v>
      </c>
      <c r="E225" s="10" t="s">
        <v>426</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308</v>
      </c>
      <c r="E226" s="10" t="s">
        <v>426</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329</v>
      </c>
      <c r="E227" s="10" t="s">
        <v>426</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329</v>
      </c>
      <c r="E228" s="10" t="s">
        <v>426</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329</v>
      </c>
      <c r="E229" s="10" t="s">
        <v>426</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329</v>
      </c>
      <c r="E230" s="10" t="s">
        <v>426</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385</v>
      </c>
      <c r="E231" s="10" t="s">
        <v>426</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385</v>
      </c>
      <c r="E232" s="10" t="s">
        <v>426</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385</v>
      </c>
      <c r="E233" s="10" t="s">
        <v>426</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385</v>
      </c>
      <c r="E234" s="10" t="s">
        <v>426</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382</v>
      </c>
      <c r="E235" s="10" t="s">
        <v>426</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382</v>
      </c>
      <c r="E236" s="10" t="s">
        <v>426</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382</v>
      </c>
      <c r="E237" s="10" t="s">
        <v>426</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382</v>
      </c>
      <c r="E238" s="10" t="s">
        <v>426</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335</v>
      </c>
      <c r="E239" s="10" t="s">
        <v>426</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335</v>
      </c>
      <c r="E240" s="10" t="s">
        <v>426</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335</v>
      </c>
      <c r="E241" s="10" t="s">
        <v>426</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335</v>
      </c>
      <c r="E242" s="10" t="s">
        <v>426</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336</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336</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336</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336</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336</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336</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336</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336</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336</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336</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336</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336</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427</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427</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427</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427</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427</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427</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427</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427</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427</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427</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427</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427</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330</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330</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330</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330</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330</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330</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330</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330</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330</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330</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330</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330</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330</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330</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330</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330</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273</v>
      </c>
      <c r="E290" s="10" t="s">
        <v>378</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273</v>
      </c>
      <c r="E313" s="10" t="s">
        <v>378</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273</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273</v>
      </c>
      <c r="E361" s="155" t="s">
        <v>476</v>
      </c>
      <c r="F361" s="155" t="s">
        <v>477</v>
      </c>
      <c r="G361" s="155" t="s">
        <v>478</v>
      </c>
      <c r="H361" s="155" t="s">
        <v>479</v>
      </c>
      <c r="I361" s="155" t="s">
        <v>480</v>
      </c>
      <c r="J361" s="155" t="s">
        <v>481</v>
      </c>
      <c r="K361" s="155" t="s">
        <v>482</v>
      </c>
      <c r="L361" s="155" t="s">
        <v>483</v>
      </c>
      <c r="M361" s="155" t="s">
        <v>484</v>
      </c>
      <c r="N361" s="155" t="s">
        <v>485</v>
      </c>
      <c r="O361" s="10" t="s">
        <v>504</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6"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273</v>
      </c>
      <c r="E377" s="10" t="s">
        <v>378</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273</v>
      </c>
      <c r="E400" s="10" t="s">
        <v>378</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311</v>
      </c>
      <c r="E442" s="10" t="s">
        <v>212</v>
      </c>
      <c r="F442" s="10" t="s">
        <v>312</v>
      </c>
      <c r="G442" s="10" t="s">
        <v>278</v>
      </c>
      <c r="H442" s="10" t="s">
        <v>279</v>
      </c>
      <c r="I442" s="10" t="s">
        <v>354</v>
      </c>
      <c r="M442" s="8"/>
    </row>
    <row r="443" spans="4:13" x14ac:dyDescent="0.25">
      <c r="D443" s="10" t="str" cm="1">
        <f t="array" ref="D443">Common_InputFunctions.Utility_DisplayArrayInTable(Scope3_SourceData.Scope3_Livestock_Data(), Table_SourceData_Scope3_Animals154[[#Headers],[Category]], 0, 2)</f>
        <v>Beef cattle</v>
      </c>
      <c r="E443" s="10" t="str" cm="1">
        <f t="array" ref="E443">Common_InputFunctions.Utility_DisplayArrayInTable(Scope3_SourceData.Scope3_Livestock_Data(), Table_SourceData_Scope3_Animals154[[#Headers],[Category]], 0, 2)</f>
        <v>Cattle, for manufacturing beef</v>
      </c>
      <c r="F443" s="10" t="str" cm="1">
        <f t="array" ref="F443">Common_InputFunctions.Utility_DisplayArrayInTable(Scope3_SourceData.Scope3_Livestock_Data(), Table_SourceData_Scope3_Animals154[[#Headers],[Category]], 0, 2)</f>
        <v>Australia</v>
      </c>
      <c r="G443" s="10" t="str" cm="1">
        <f t="array" ref="G443">Common_InputFunctions.Utility_DisplayArrayInTable(Scope3_SourceData.Scope3_Livestock_Data(), Table_SourceData_Scope3_Animals154[[#Headers],[Category]], 0, 2)</f>
        <v>kg liveweight</v>
      </c>
      <c r="H443" s="10" cm="1">
        <f t="array" ref="H443">Common_InputFunctions.Utility_DisplayArrayInTable(Scope3_SourceData.Scope3_Livestock_Data(), Table_SourceData_Scope3_Animals154[[#Headers],[Category]], 0, 2)</f>
        <v>11</v>
      </c>
      <c r="I443" s="10" t="str" cm="1">
        <f t="array" ref="I443">Common_InputFunctions.Utility_DisplayArrayInTable(Scope3_SourceData.Scope3_Livestock_Data(), Table_SourceData_Scope3_Animals154[[#Headers],[Category]], 0, 2)</f>
        <v>at market</v>
      </c>
      <c r="M443" s="8"/>
    </row>
    <row r="444" spans="4:13" x14ac:dyDescent="0.25">
      <c r="D444" s="10" t="str" cm="1">
        <f t="array" ref="D444">Common_InputFunctions.Utility_DisplayArrayInTable(Scope3_SourceData.Scope3_Livestock_Data(), Table_SourceData_Scope3_Animals154[[#Headers],[Category]], 0, 2)</f>
        <v>Beef cattle</v>
      </c>
      <c r="E444" s="10" t="str" cm="1">
        <f t="array" ref="E444">Common_InputFunctions.Utility_DisplayArrayInTable(Scope3_SourceData.Scope3_Livestock_Data(), Table_SourceData_Scope3_Animals154[[#Headers],[Category]], 0, 2)</f>
        <v>Cattle, for manufacturing beef</v>
      </c>
      <c r="F444" s="10" t="str" cm="1">
        <f t="array" ref="F444">Common_InputFunctions.Utility_DisplayArrayInTable(Scope3_SourceData.Scope3_Livestock_Data(), Table_SourceData_Scope3_Animals154[[#Headers],[Category]], 0, 2)</f>
        <v>NSW</v>
      </c>
      <c r="G444" s="10" t="str" cm="1">
        <f t="array" ref="G444">Common_InputFunctions.Utility_DisplayArrayInTable(Scope3_SourceData.Scope3_Livestock_Data(), Table_SourceData_Scope3_Animals154[[#Headers],[Category]], 0, 2)</f>
        <v>kg liveweight</v>
      </c>
      <c r="H444" s="10" cm="1">
        <f t="array" ref="H444">Common_InputFunctions.Utility_DisplayArrayInTable(Scope3_SourceData.Scope3_Livestock_Data(), Table_SourceData_Scope3_Animals154[[#Headers],[Category]], 0, 2)</f>
        <v>8.2100000000000009</v>
      </c>
      <c r="I444" s="10" t="str" cm="1">
        <f t="array" ref="I444">Common_InputFunctions.Utility_DisplayArrayInTable(Scope3_SourceData.Scope3_Livestock_Data(), Table_SourceData_Scope3_Animals154[[#Headers],[Category]], 0, 2)</f>
        <v>at market</v>
      </c>
      <c r="M444" s="8"/>
    </row>
    <row r="445" spans="4:13" x14ac:dyDescent="0.25">
      <c r="D445" s="10" t="str" cm="1">
        <f t="array" ref="D445">Common_InputFunctions.Utility_DisplayArrayInTable(Scope3_SourceData.Scope3_Livestock_Data(), Table_SourceData_Scope3_Animals154[[#Headers],[Category]], 0, 2)</f>
        <v>Beef cattle</v>
      </c>
      <c r="E445" s="10" t="str" cm="1">
        <f t="array" ref="E445">Common_InputFunctions.Utility_DisplayArrayInTable(Scope3_SourceData.Scope3_Livestock_Data(), Table_SourceData_Scope3_Animals154[[#Headers],[Category]], 0, 2)</f>
        <v>Cattle, for manufacturing beef</v>
      </c>
      <c r="F445" s="10" t="str" cm="1">
        <f t="array" ref="F445">Common_InputFunctions.Utility_DisplayArrayInTable(Scope3_SourceData.Scope3_Livestock_Data(), Table_SourceData_Scope3_Animals154[[#Headers],[Category]], 0, 2)</f>
        <v>NT</v>
      </c>
      <c r="G445" s="10" t="str" cm="1">
        <f t="array" ref="G445">Common_InputFunctions.Utility_DisplayArrayInTable(Scope3_SourceData.Scope3_Livestock_Data(), Table_SourceData_Scope3_Animals154[[#Headers],[Category]], 0, 2)</f>
        <v>kg liveweight</v>
      </c>
      <c r="H445" s="10" cm="1">
        <f t="array" ref="H445">Common_InputFunctions.Utility_DisplayArrayInTable(Scope3_SourceData.Scope3_Livestock_Data(), Table_SourceData_Scope3_Animals154[[#Headers],[Category]], 0, 2)</f>
        <v>12.2</v>
      </c>
      <c r="I445" s="10" t="str" cm="1">
        <f t="array" ref="I445">Common_InputFunctions.Utility_DisplayArrayInTable(Scope3_SourceData.Scope3_Livestock_Data(), Table_SourceData_Scope3_Animals154[[#Headers],[Category]], 0, 2)</f>
        <v>at market</v>
      </c>
      <c r="M445" s="8"/>
    </row>
    <row r="446" spans="4:13" x14ac:dyDescent="0.25">
      <c r="D446" s="10" t="str" cm="1">
        <f t="array" ref="D446">Common_InputFunctions.Utility_DisplayArrayInTable(Scope3_SourceData.Scope3_Livestock_Data(), Table_SourceData_Scope3_Animals154[[#Headers],[Category]], 0, 2)</f>
        <v>Beef cattle</v>
      </c>
      <c r="E446" s="10" t="str" cm="1">
        <f t="array" ref="E446">Common_InputFunctions.Utility_DisplayArrayInTable(Scope3_SourceData.Scope3_Livestock_Data(), Table_SourceData_Scope3_Animals154[[#Headers],[Category]], 0, 2)</f>
        <v>Cattle, for manufacturing beef</v>
      </c>
      <c r="F446" s="10" t="str" cm="1">
        <f t="array" ref="F446">Common_InputFunctions.Utility_DisplayArrayInTable(Scope3_SourceData.Scope3_Livestock_Data(), Table_SourceData_Scope3_Animals154[[#Headers],[Category]], 0, 2)</f>
        <v>QLD</v>
      </c>
      <c r="G446" s="10" t="str" cm="1">
        <f t="array" ref="G446">Common_InputFunctions.Utility_DisplayArrayInTable(Scope3_SourceData.Scope3_Livestock_Data(), Table_SourceData_Scope3_Animals154[[#Headers],[Category]], 0, 2)</f>
        <v>kg liveweight</v>
      </c>
      <c r="H446" s="10" cm="1">
        <f t="array" ref="H446">Common_InputFunctions.Utility_DisplayArrayInTable(Scope3_SourceData.Scope3_Livestock_Data(), Table_SourceData_Scope3_Animals154[[#Headers],[Category]], 0, 2)</f>
        <v>10.9</v>
      </c>
      <c r="I446" s="10" t="str" cm="1">
        <f t="array" ref="I446">Common_InputFunctions.Utility_DisplayArrayInTable(Scope3_SourceData.Scope3_Livestock_Data(), Table_SourceData_Scope3_Animals154[[#Headers],[Category]], 0, 2)</f>
        <v>at market</v>
      </c>
      <c r="M446" s="8"/>
    </row>
    <row r="447" spans="4:13" x14ac:dyDescent="0.25">
      <c r="D447" s="10" t="str" cm="1">
        <f t="array" ref="D447">Common_InputFunctions.Utility_DisplayArrayInTable(Scope3_SourceData.Scope3_Livestock_Data(), Table_SourceData_Scope3_Animals154[[#Headers],[Category]], 0, 2)</f>
        <v>Beef cattle</v>
      </c>
      <c r="E447" s="10" t="str" cm="1">
        <f t="array" ref="E447">Common_InputFunctions.Utility_DisplayArrayInTable(Scope3_SourceData.Scope3_Livestock_Data(), Table_SourceData_Scope3_Animals154[[#Headers],[Category]], 0, 2)</f>
        <v>Cattle, for manufacturing beef</v>
      </c>
      <c r="F447" s="10" t="str" cm="1">
        <f t="array" ref="F447">Common_InputFunctions.Utility_DisplayArrayInTable(Scope3_SourceData.Scope3_Livestock_Data(), Table_SourceData_Scope3_Animals154[[#Headers],[Category]], 0, 2)</f>
        <v>SA</v>
      </c>
      <c r="G447" s="10" t="str" cm="1">
        <f t="array" ref="G447">Common_InputFunctions.Utility_DisplayArrayInTable(Scope3_SourceData.Scope3_Livestock_Data(), Table_SourceData_Scope3_Animals154[[#Headers],[Category]], 0, 2)</f>
        <v>kg liveweight</v>
      </c>
      <c r="H447" s="10" cm="1">
        <f t="array" ref="H447">Common_InputFunctions.Utility_DisplayArrayInTable(Scope3_SourceData.Scope3_Livestock_Data(), Table_SourceData_Scope3_Animals154[[#Headers],[Category]], 0, 2)</f>
        <v>7.63</v>
      </c>
      <c r="I447" s="10" t="str" cm="1">
        <f t="array" ref="I447">Common_InputFunctions.Utility_DisplayArrayInTable(Scope3_SourceData.Scope3_Livestock_Data(), Table_SourceData_Scope3_Animals154[[#Headers],[Category]], 0, 2)</f>
        <v>at market</v>
      </c>
      <c r="M447" s="8"/>
    </row>
    <row r="448" spans="4:13" x14ac:dyDescent="0.25">
      <c r="D448" s="10" t="str" cm="1">
        <f t="array" ref="D448">Common_InputFunctions.Utility_DisplayArrayInTable(Scope3_SourceData.Scope3_Livestock_Data(), Table_SourceData_Scope3_Animals154[[#Headers],[Category]], 0, 2)</f>
        <v>Beef cattle</v>
      </c>
      <c r="E448" s="10" t="str" cm="1">
        <f t="array" ref="E448">Common_InputFunctions.Utility_DisplayArrayInTable(Scope3_SourceData.Scope3_Livestock_Data(), Table_SourceData_Scope3_Animals154[[#Headers],[Category]], 0, 2)</f>
        <v>Cattle, for manufacturing beef</v>
      </c>
      <c r="F448" s="10" t="str" cm="1">
        <f t="array" ref="F448">Common_InputFunctions.Utility_DisplayArrayInTable(Scope3_SourceData.Scope3_Livestock_Data(), Table_SourceData_Scope3_Animals154[[#Headers],[Category]], 0, 2)</f>
        <v>TAS</v>
      </c>
      <c r="G448" s="10" t="str" cm="1">
        <f t="array" ref="G448">Common_InputFunctions.Utility_DisplayArrayInTable(Scope3_SourceData.Scope3_Livestock_Data(), Table_SourceData_Scope3_Animals154[[#Headers],[Category]], 0, 2)</f>
        <v>kg liveweight</v>
      </c>
      <c r="H448" s="10" cm="1">
        <f t="array" ref="H448">Common_InputFunctions.Utility_DisplayArrayInTable(Scope3_SourceData.Scope3_Livestock_Data(), Table_SourceData_Scope3_Animals154[[#Headers],[Category]], 0, 2)</f>
        <v>8.75</v>
      </c>
      <c r="I448" s="10" t="str" cm="1">
        <f t="array" ref="I448">Common_InputFunctions.Utility_DisplayArrayInTable(Scope3_SourceData.Scope3_Livestock_Data(), Table_SourceData_Scope3_Animals154[[#Headers],[Category]], 0, 2)</f>
        <v>at market</v>
      </c>
      <c r="M448" s="8"/>
    </row>
    <row r="449" spans="4:13" x14ac:dyDescent="0.25">
      <c r="D449" s="10" t="str" cm="1">
        <f t="array" ref="D449">Common_InputFunctions.Utility_DisplayArrayInTable(Scope3_SourceData.Scope3_Livestock_Data(), Table_SourceData_Scope3_Animals154[[#Headers],[Category]], 0, 2)</f>
        <v>Beef cattle</v>
      </c>
      <c r="E449" s="10" t="str" cm="1">
        <f t="array" ref="E449">Common_InputFunctions.Utility_DisplayArrayInTable(Scope3_SourceData.Scope3_Livestock_Data(), Table_SourceData_Scope3_Animals154[[#Headers],[Category]], 0, 2)</f>
        <v>Cattle, for manufacturing beef</v>
      </c>
      <c r="F449" s="10" t="str" cm="1">
        <f t="array" ref="F449">Common_InputFunctions.Utility_DisplayArrayInTable(Scope3_SourceData.Scope3_Livestock_Data(), Table_SourceData_Scope3_Animals154[[#Headers],[Category]], 0, 2)</f>
        <v>VIC</v>
      </c>
      <c r="G449" s="10" t="str" cm="1">
        <f t="array" ref="G449">Common_InputFunctions.Utility_DisplayArrayInTable(Scope3_SourceData.Scope3_Livestock_Data(), Table_SourceData_Scope3_Animals154[[#Headers],[Category]], 0, 2)</f>
        <v>kg liveweight</v>
      </c>
      <c r="H449" s="10" cm="1">
        <f t="array" ref="H449">Common_InputFunctions.Utility_DisplayArrayInTable(Scope3_SourceData.Scope3_Livestock_Data(), Table_SourceData_Scope3_Animals154[[#Headers],[Category]], 0, 2)</f>
        <v>8.17</v>
      </c>
      <c r="I449" s="10" t="str" cm="1">
        <f t="array" ref="I449">Common_InputFunctions.Utility_DisplayArrayInTable(Scope3_SourceData.Scope3_Livestock_Data(), Table_SourceData_Scope3_Animals154[[#Headers],[Category]], 0, 2)</f>
        <v>at market</v>
      </c>
      <c r="M449" s="8"/>
    </row>
    <row r="450" spans="4:13" x14ac:dyDescent="0.25">
      <c r="D450" s="10" t="str" cm="1">
        <f t="array" ref="D450">Common_InputFunctions.Utility_DisplayArrayInTable(Scope3_SourceData.Scope3_Livestock_Data(), Table_SourceData_Scope3_Animals154[[#Headers],[Category]], 0, 2)</f>
        <v>Beef cattle</v>
      </c>
      <c r="E450" s="10" t="str" cm="1">
        <f t="array" ref="E450">Common_InputFunctions.Utility_DisplayArrayInTable(Scope3_SourceData.Scope3_Livestock_Data(), Table_SourceData_Scope3_Animals154[[#Headers],[Category]], 0, 2)</f>
        <v>Cattle, for manufacturing beef</v>
      </c>
      <c r="F450" s="10" t="str" cm="1">
        <f t="array" ref="F450">Common_InputFunctions.Utility_DisplayArrayInTable(Scope3_SourceData.Scope3_Livestock_Data(), Table_SourceData_Scope3_Animals154[[#Headers],[Category]], 0, 2)</f>
        <v>WA</v>
      </c>
      <c r="G450" s="10" t="str" cm="1">
        <f t="array" ref="G450">Common_InputFunctions.Utility_DisplayArrayInTable(Scope3_SourceData.Scope3_Livestock_Data(), Table_SourceData_Scope3_Animals154[[#Headers],[Category]], 0, 2)</f>
        <v>kg liveweight</v>
      </c>
      <c r="H450" s="10" cm="1">
        <f t="array" ref="H450">Common_InputFunctions.Utility_DisplayArrayInTable(Scope3_SourceData.Scope3_Livestock_Data(), Table_SourceData_Scope3_Animals154[[#Headers],[Category]], 0, 2)</f>
        <v>13.1</v>
      </c>
      <c r="I450" s="10" t="str" cm="1">
        <f t="array" ref="I450">Common_InputFunctions.Utility_DisplayArrayInTable(Scope3_SourceData.Scope3_Livestock_Data(), Table_SourceData_Scope3_Animals154[[#Headers],[Category]], 0, 2)</f>
        <v>at market</v>
      </c>
      <c r="M450" s="8"/>
    </row>
    <row r="451" spans="4:13" x14ac:dyDescent="0.25">
      <c r="D451" s="10" t="str" cm="1">
        <f t="array" ref="D451">Common_InputFunctions.Utility_DisplayArrayInTable(Scope3_SourceData.Scope3_Livestock_Data(), Table_SourceData_Scope3_Animals154[[#Headers],[Category]], 0, 2)</f>
        <v>Beef cattle</v>
      </c>
      <c r="E451" s="10" t="str" cm="1">
        <f t="array" ref="E451">Common_InputFunctions.Utility_DisplayArrayInTable(Scope3_SourceData.Scope3_Livestock_Data(), Table_SourceData_Scope3_Animals154[[#Headers],[Category]], 0, 2)</f>
        <v>Cattle, for prime beef</v>
      </c>
      <c r="F451" s="10" t="str" cm="1">
        <f t="array" ref="F451">Common_InputFunctions.Utility_DisplayArrayInTable(Scope3_SourceData.Scope3_Livestock_Data(), Table_SourceData_Scope3_Animals154[[#Headers],[Category]], 0, 2)</f>
        <v>Australia</v>
      </c>
      <c r="G451" s="10" t="str" cm="1">
        <f t="array" ref="G451">Common_InputFunctions.Utility_DisplayArrayInTable(Scope3_SourceData.Scope3_Livestock_Data(), Table_SourceData_Scope3_Animals154[[#Headers],[Category]], 0, 2)</f>
        <v>kg liveweight</v>
      </c>
      <c r="H451" s="10" cm="1">
        <f t="array" ref="H451">Common_InputFunctions.Utility_DisplayArrayInTable(Scope3_SourceData.Scope3_Livestock_Data(), Table_SourceData_Scope3_Animals154[[#Headers],[Category]], 0, 2)</f>
        <v>14.5</v>
      </c>
      <c r="I451" s="10" t="str" cm="1">
        <f t="array" ref="I451">Common_InputFunctions.Utility_DisplayArrayInTable(Scope3_SourceData.Scope3_Livestock_Data(), Table_SourceData_Scope3_Animals154[[#Headers],[Category]], 0, 2)</f>
        <v>at market</v>
      </c>
      <c r="M451" s="8"/>
    </row>
    <row r="452" spans="4:13" x14ac:dyDescent="0.25">
      <c r="D452" s="10" t="str" cm="1">
        <f t="array" ref="D452">Common_InputFunctions.Utility_DisplayArrayInTable(Scope3_SourceData.Scope3_Livestock_Data(), Table_SourceData_Scope3_Animals154[[#Headers],[Category]], 0, 2)</f>
        <v>Beef cattle</v>
      </c>
      <c r="E452" s="10" t="str" cm="1">
        <f t="array" ref="E452">Common_InputFunctions.Utility_DisplayArrayInTable(Scope3_SourceData.Scope3_Livestock_Data(), Table_SourceData_Scope3_Animals154[[#Headers],[Category]], 0, 2)</f>
        <v>Cattle, for prime beef</v>
      </c>
      <c r="F452" s="10" t="str" cm="1">
        <f t="array" ref="F452">Common_InputFunctions.Utility_DisplayArrayInTable(Scope3_SourceData.Scope3_Livestock_Data(), Table_SourceData_Scope3_Animals154[[#Headers],[Category]], 0, 2)</f>
        <v>NSW</v>
      </c>
      <c r="G452" s="10" t="str" cm="1">
        <f t="array" ref="G452">Common_InputFunctions.Utility_DisplayArrayInTable(Scope3_SourceData.Scope3_Livestock_Data(), Table_SourceData_Scope3_Animals154[[#Headers],[Category]], 0, 2)</f>
        <v>kg liveweight</v>
      </c>
      <c r="H452" s="10" cm="1">
        <f t="array" ref="H452">Common_InputFunctions.Utility_DisplayArrayInTable(Scope3_SourceData.Scope3_Livestock_Data(), Table_SourceData_Scope3_Animals154[[#Headers],[Category]], 0, 2)</f>
        <v>11.3</v>
      </c>
      <c r="I452" s="10" t="str" cm="1">
        <f t="array" ref="I452">Common_InputFunctions.Utility_DisplayArrayInTable(Scope3_SourceData.Scope3_Livestock_Data(), Table_SourceData_Scope3_Animals154[[#Headers],[Category]], 0, 2)</f>
        <v>at market</v>
      </c>
      <c r="M452" s="8"/>
    </row>
    <row r="453" spans="4:13" x14ac:dyDescent="0.25">
      <c r="D453" s="10" t="str" cm="1">
        <f t="array" ref="D453">Common_InputFunctions.Utility_DisplayArrayInTable(Scope3_SourceData.Scope3_Livestock_Data(), Table_SourceData_Scope3_Animals154[[#Headers],[Category]], 0, 2)</f>
        <v>Beef cattle</v>
      </c>
      <c r="E453" s="10" t="str" cm="1">
        <f t="array" ref="E453">Common_InputFunctions.Utility_DisplayArrayInTable(Scope3_SourceData.Scope3_Livestock_Data(), Table_SourceData_Scope3_Animals154[[#Headers],[Category]], 0, 2)</f>
        <v>Cattle, for prime beef</v>
      </c>
      <c r="F453" s="10" t="str" cm="1">
        <f t="array" ref="F453">Common_InputFunctions.Utility_DisplayArrayInTable(Scope3_SourceData.Scope3_Livestock_Data(), Table_SourceData_Scope3_Animals154[[#Headers],[Category]], 0, 2)</f>
        <v>NT</v>
      </c>
      <c r="G453" s="10" t="str" cm="1">
        <f t="array" ref="G453">Common_InputFunctions.Utility_DisplayArrayInTable(Scope3_SourceData.Scope3_Livestock_Data(), Table_SourceData_Scope3_Animals154[[#Headers],[Category]], 0, 2)</f>
        <v>kg liveweight</v>
      </c>
      <c r="H453" s="10" cm="1">
        <f t="array" ref="H453">Common_InputFunctions.Utility_DisplayArrayInTable(Scope3_SourceData.Scope3_Livestock_Data(), Table_SourceData_Scope3_Animals154[[#Headers],[Category]], 0, 2)</f>
        <v>18.899999999999999</v>
      </c>
      <c r="I453" s="10" t="str" cm="1">
        <f t="array" ref="I453">Common_InputFunctions.Utility_DisplayArrayInTable(Scope3_SourceData.Scope3_Livestock_Data(), Table_SourceData_Scope3_Animals154[[#Headers],[Category]], 0, 2)</f>
        <v>at market</v>
      </c>
      <c r="M453" s="8"/>
    </row>
    <row r="454" spans="4:13" x14ac:dyDescent="0.25">
      <c r="D454" s="10" t="str" cm="1">
        <f t="array" ref="D454">Common_InputFunctions.Utility_DisplayArrayInTable(Scope3_SourceData.Scope3_Livestock_Data(), Table_SourceData_Scope3_Animals154[[#Headers],[Category]], 0, 2)</f>
        <v>Beef cattle</v>
      </c>
      <c r="E454" s="10" t="str" cm="1">
        <f t="array" ref="E454">Common_InputFunctions.Utility_DisplayArrayInTable(Scope3_SourceData.Scope3_Livestock_Data(), Table_SourceData_Scope3_Animals154[[#Headers],[Category]], 0, 2)</f>
        <v>Cattle, for prime beef</v>
      </c>
      <c r="F454" s="10" t="str" cm="1">
        <f t="array" ref="F454">Common_InputFunctions.Utility_DisplayArrayInTable(Scope3_SourceData.Scope3_Livestock_Data(), Table_SourceData_Scope3_Animals154[[#Headers],[Category]], 0, 2)</f>
        <v>QLD</v>
      </c>
      <c r="G454" s="10" t="str" cm="1">
        <f t="array" ref="G454">Common_InputFunctions.Utility_DisplayArrayInTable(Scope3_SourceData.Scope3_Livestock_Data(), Table_SourceData_Scope3_Animals154[[#Headers],[Category]], 0, 2)</f>
        <v>kg liveweight</v>
      </c>
      <c r="H454" s="10" cm="1">
        <f t="array" ref="H454">Common_InputFunctions.Utility_DisplayArrayInTable(Scope3_SourceData.Scope3_Livestock_Data(), Table_SourceData_Scope3_Animals154[[#Headers],[Category]], 0, 2)</f>
        <v>13.9</v>
      </c>
      <c r="I454" s="10" t="str" cm="1">
        <f t="array" ref="I454">Common_InputFunctions.Utility_DisplayArrayInTable(Scope3_SourceData.Scope3_Livestock_Data(), Table_SourceData_Scope3_Animals154[[#Headers],[Category]], 0, 2)</f>
        <v>at market</v>
      </c>
      <c r="M454" s="8"/>
    </row>
    <row r="455" spans="4:13" x14ac:dyDescent="0.25">
      <c r="D455" s="10" t="str" cm="1">
        <f t="array" ref="D455">Common_InputFunctions.Utility_DisplayArrayInTable(Scope3_SourceData.Scope3_Livestock_Data(), Table_SourceData_Scope3_Animals154[[#Headers],[Category]], 0, 2)</f>
        <v>Beef cattle</v>
      </c>
      <c r="E455" s="10" t="str" cm="1">
        <f t="array" ref="E455">Common_InputFunctions.Utility_DisplayArrayInTable(Scope3_SourceData.Scope3_Livestock_Data(), Table_SourceData_Scope3_Animals154[[#Headers],[Category]], 0, 2)</f>
        <v>Cattle, for prime beef</v>
      </c>
      <c r="F455" s="10" t="str" cm="1">
        <f t="array" ref="F455">Common_InputFunctions.Utility_DisplayArrayInTable(Scope3_SourceData.Scope3_Livestock_Data(), Table_SourceData_Scope3_Animals154[[#Headers],[Category]], 0, 2)</f>
        <v>SA</v>
      </c>
      <c r="G455" s="10" t="str" cm="1">
        <f t="array" ref="G455">Common_InputFunctions.Utility_DisplayArrayInTable(Scope3_SourceData.Scope3_Livestock_Data(), Table_SourceData_Scope3_Animals154[[#Headers],[Category]], 0, 2)</f>
        <v>kg liveweight</v>
      </c>
      <c r="H455" s="10" cm="1">
        <f t="array" ref="H455">Common_InputFunctions.Utility_DisplayArrayInTable(Scope3_SourceData.Scope3_Livestock_Data(), Table_SourceData_Scope3_Animals154[[#Headers],[Category]], 0, 2)</f>
        <v>12.3</v>
      </c>
      <c r="I455" s="10" t="str" cm="1">
        <f t="array" ref="I455">Common_InputFunctions.Utility_DisplayArrayInTable(Scope3_SourceData.Scope3_Livestock_Data(), Table_SourceData_Scope3_Animals154[[#Headers],[Category]], 0, 2)</f>
        <v>at market</v>
      </c>
    </row>
    <row r="456" spans="4:13" x14ac:dyDescent="0.25">
      <c r="D456" s="10" t="str" cm="1">
        <f t="array" ref="D456">Common_InputFunctions.Utility_DisplayArrayInTable(Scope3_SourceData.Scope3_Livestock_Data(), Table_SourceData_Scope3_Animals154[[#Headers],[Category]], 0, 2)</f>
        <v>Beef cattle</v>
      </c>
      <c r="E456" s="10" t="str" cm="1">
        <f t="array" ref="E456">Common_InputFunctions.Utility_DisplayArrayInTable(Scope3_SourceData.Scope3_Livestock_Data(), Table_SourceData_Scope3_Animals154[[#Headers],[Category]], 0, 2)</f>
        <v>Cattle, for prime beef</v>
      </c>
      <c r="F456" s="10" t="str" cm="1">
        <f t="array" ref="F456">Common_InputFunctions.Utility_DisplayArrayInTable(Scope3_SourceData.Scope3_Livestock_Data(), Table_SourceData_Scope3_Animals154[[#Headers],[Category]], 0, 2)</f>
        <v>TAS</v>
      </c>
      <c r="G456" s="10" t="str" cm="1">
        <f t="array" ref="G456">Common_InputFunctions.Utility_DisplayArrayInTable(Scope3_SourceData.Scope3_Livestock_Data(), Table_SourceData_Scope3_Animals154[[#Headers],[Category]], 0, 2)</f>
        <v>kg liveweight</v>
      </c>
      <c r="H456" s="10" cm="1">
        <f t="array" ref="H456">Common_InputFunctions.Utility_DisplayArrayInTable(Scope3_SourceData.Scope3_Livestock_Data(), Table_SourceData_Scope3_Animals154[[#Headers],[Category]], 0, 2)</f>
        <v>11.5</v>
      </c>
      <c r="I456" s="10" t="str" cm="1">
        <f t="array" ref="I456">Common_InputFunctions.Utility_DisplayArrayInTable(Scope3_SourceData.Scope3_Livestock_Data(), Table_SourceData_Scope3_Animals154[[#Headers],[Category]], 0, 2)</f>
        <v>at market</v>
      </c>
    </row>
    <row r="457" spans="4:13" x14ac:dyDescent="0.25">
      <c r="D457" s="10" t="str" cm="1">
        <f t="array" ref="D457">Common_InputFunctions.Utility_DisplayArrayInTable(Scope3_SourceData.Scope3_Livestock_Data(), Table_SourceData_Scope3_Animals154[[#Headers],[Category]], 0, 2)</f>
        <v>Beef cattle</v>
      </c>
      <c r="E457" s="10" t="str" cm="1">
        <f t="array" ref="E457">Common_InputFunctions.Utility_DisplayArrayInTable(Scope3_SourceData.Scope3_Livestock_Data(), Table_SourceData_Scope3_Animals154[[#Headers],[Category]], 0, 2)</f>
        <v>Cattle, for prime beef</v>
      </c>
      <c r="F457" s="10" t="str" cm="1">
        <f t="array" ref="F457">Common_InputFunctions.Utility_DisplayArrayInTable(Scope3_SourceData.Scope3_Livestock_Data(), Table_SourceData_Scope3_Animals154[[#Headers],[Category]], 0, 2)</f>
        <v>VIC</v>
      </c>
      <c r="G457" s="10" t="str" cm="1">
        <f t="array" ref="G457">Common_InputFunctions.Utility_DisplayArrayInTable(Scope3_SourceData.Scope3_Livestock_Data(), Table_SourceData_Scope3_Animals154[[#Headers],[Category]], 0, 2)</f>
        <v>kg liveweight</v>
      </c>
      <c r="H457" s="10" cm="1">
        <f t="array" ref="H457">Common_InputFunctions.Utility_DisplayArrayInTable(Scope3_SourceData.Scope3_Livestock_Data(), Table_SourceData_Scope3_Animals154[[#Headers],[Category]], 0, 2)</f>
        <v>11.5</v>
      </c>
      <c r="I457" s="10" t="str" cm="1">
        <f t="array" ref="I457">Common_InputFunctions.Utility_DisplayArrayInTable(Scope3_SourceData.Scope3_Livestock_Data(), Table_SourceData_Scope3_Animals154[[#Headers],[Category]], 0, 2)</f>
        <v>at market</v>
      </c>
    </row>
    <row r="458" spans="4:13" x14ac:dyDescent="0.25">
      <c r="D458" s="10" t="str" cm="1">
        <f t="array" ref="D458">Common_InputFunctions.Utility_DisplayArrayInTable(Scope3_SourceData.Scope3_Livestock_Data(), Table_SourceData_Scope3_Animals154[[#Headers],[Category]], 0, 2)</f>
        <v>Beef cattle</v>
      </c>
      <c r="E458" s="10" t="str" cm="1">
        <f t="array" ref="E458">Common_InputFunctions.Utility_DisplayArrayInTable(Scope3_SourceData.Scope3_Livestock_Data(), Table_SourceData_Scope3_Animals154[[#Headers],[Category]], 0, 2)</f>
        <v>Cattle, for prime beef</v>
      </c>
      <c r="F458" s="10" t="str" cm="1">
        <f t="array" ref="F458">Common_InputFunctions.Utility_DisplayArrayInTable(Scope3_SourceData.Scope3_Livestock_Data(), Table_SourceData_Scope3_Animals154[[#Headers],[Category]], 0, 2)</f>
        <v>WA</v>
      </c>
      <c r="G458" s="10" t="str" cm="1">
        <f t="array" ref="G458">Common_InputFunctions.Utility_DisplayArrayInTable(Scope3_SourceData.Scope3_Livestock_Data(), Table_SourceData_Scope3_Animals154[[#Headers],[Category]], 0, 2)</f>
        <v>kg liveweight</v>
      </c>
      <c r="H458" s="10" cm="1">
        <f t="array" ref="H458">Common_InputFunctions.Utility_DisplayArrayInTable(Scope3_SourceData.Scope3_Livestock_Data(), Table_SourceData_Scope3_Animals154[[#Headers],[Category]], 0, 2)</f>
        <v>20.8</v>
      </c>
      <c r="I458" s="10" t="str" cm="1">
        <f t="array" ref="I458">Common_InputFunctions.Utility_DisplayArrayInTable(Scope3_SourceData.Scope3_Livestock_Data(), Table_SourceData_Scope3_Animals154[[#Headers],[Category]], 0, 2)</f>
        <v>at market</v>
      </c>
    </row>
    <row r="459" spans="4:13" x14ac:dyDescent="0.25">
      <c r="D459" s="10" t="str" cm="1">
        <f t="array" ref="D459">Common_InputFunctions.Utility_DisplayArrayInTable(Scope3_SourceData.Scope3_Livestock_Data(), Table_SourceData_Scope3_Animals154[[#Headers],[Category]], 0, 2)</f>
        <v>Beef cattle</v>
      </c>
      <c r="E459" s="10" t="str" cm="1">
        <f t="array" ref="E459">Common_InputFunctions.Utility_DisplayArrayInTable(Scope3_SourceData.Scope3_Livestock_Data(), Table_SourceData_Scope3_Animals154[[#Headers],[Category]], 0, 2)</f>
        <v>Cattle, weaners</v>
      </c>
      <c r="F459" s="10" t="str" cm="1">
        <f t="array" ref="F459">Common_InputFunctions.Utility_DisplayArrayInTable(Scope3_SourceData.Scope3_Livestock_Data(), Table_SourceData_Scope3_Animals154[[#Headers],[Category]], 0, 2)</f>
        <v>Australia</v>
      </c>
      <c r="G459" s="10" t="str" cm="1">
        <f t="array" ref="G459">Common_InputFunctions.Utility_DisplayArrayInTable(Scope3_SourceData.Scope3_Livestock_Data(), Table_SourceData_Scope3_Animals154[[#Headers],[Category]], 0, 2)</f>
        <v>kg liveweight</v>
      </c>
      <c r="H459" s="10" cm="1">
        <f t="array" ref="H459">Common_InputFunctions.Utility_DisplayArrayInTable(Scope3_SourceData.Scope3_Livestock_Data(), Table_SourceData_Scope3_Animals154[[#Headers],[Category]], 0, 2)</f>
        <v>15.5</v>
      </c>
      <c r="I459" s="10" t="str" cm="1">
        <f t="array" ref="I459">Common_InputFunctions.Utility_DisplayArrayInTable(Scope3_SourceData.Scope3_Livestock_Data(), Table_SourceData_Scope3_Animals154[[#Headers],[Category]], 0, 2)</f>
        <v>at market</v>
      </c>
    </row>
    <row r="460" spans="4:13" x14ac:dyDescent="0.25">
      <c r="D460" s="10" t="str" cm="1">
        <f t="array" ref="D460">Common_InputFunctions.Utility_DisplayArrayInTable(Scope3_SourceData.Scope3_Livestock_Data(), Table_SourceData_Scope3_Animals154[[#Headers],[Category]], 0, 2)</f>
        <v>Beef cattle</v>
      </c>
      <c r="E460" s="10" t="str" cm="1">
        <f t="array" ref="E460">Common_InputFunctions.Utility_DisplayArrayInTable(Scope3_SourceData.Scope3_Livestock_Data(), Table_SourceData_Scope3_Animals154[[#Headers],[Category]], 0, 2)</f>
        <v>Cattle, weaners</v>
      </c>
      <c r="F460" s="10" t="str" cm="1">
        <f t="array" ref="F460">Common_InputFunctions.Utility_DisplayArrayInTable(Scope3_SourceData.Scope3_Livestock_Data(), Table_SourceData_Scope3_Animals154[[#Headers],[Category]], 0, 2)</f>
        <v>NSW</v>
      </c>
      <c r="G460" s="10" t="str" cm="1">
        <f t="array" ref="G460">Common_InputFunctions.Utility_DisplayArrayInTable(Scope3_SourceData.Scope3_Livestock_Data(), Table_SourceData_Scope3_Animals154[[#Headers],[Category]], 0, 2)</f>
        <v>kg liveweight</v>
      </c>
      <c r="H460" s="10" cm="1">
        <f t="array" ref="H460">Common_InputFunctions.Utility_DisplayArrayInTable(Scope3_SourceData.Scope3_Livestock_Data(), Table_SourceData_Scope3_Animals154[[#Headers],[Category]], 0, 2)</f>
        <v>12.7</v>
      </c>
      <c r="I460" s="10" t="str" cm="1">
        <f t="array" ref="I460">Common_InputFunctions.Utility_DisplayArrayInTable(Scope3_SourceData.Scope3_Livestock_Data(), Table_SourceData_Scope3_Animals154[[#Headers],[Category]], 0, 2)</f>
        <v>at market</v>
      </c>
    </row>
    <row r="461" spans="4:13" x14ac:dyDescent="0.25">
      <c r="D461" s="10" t="str" cm="1">
        <f t="array" ref="D461">Common_InputFunctions.Utility_DisplayArrayInTable(Scope3_SourceData.Scope3_Livestock_Data(), Table_SourceData_Scope3_Animals154[[#Headers],[Category]], 0, 2)</f>
        <v>Beef cattle</v>
      </c>
      <c r="E461" s="10" t="str" cm="1">
        <f t="array" ref="E461">Common_InputFunctions.Utility_DisplayArrayInTable(Scope3_SourceData.Scope3_Livestock_Data(), Table_SourceData_Scope3_Animals154[[#Headers],[Category]], 0, 2)</f>
        <v>Cattle, weaners</v>
      </c>
      <c r="F461" s="10" t="str" cm="1">
        <f t="array" ref="F461">Common_InputFunctions.Utility_DisplayArrayInTable(Scope3_SourceData.Scope3_Livestock_Data(), Table_SourceData_Scope3_Animals154[[#Headers],[Category]], 0, 2)</f>
        <v>NT</v>
      </c>
      <c r="G461" s="10" t="str" cm="1">
        <f t="array" ref="G461">Common_InputFunctions.Utility_DisplayArrayInTable(Scope3_SourceData.Scope3_Livestock_Data(), Table_SourceData_Scope3_Animals154[[#Headers],[Category]], 0, 2)</f>
        <v>kg liveweight</v>
      </c>
      <c r="H461" s="10" cm="1">
        <f t="array" ref="H461">Common_InputFunctions.Utility_DisplayArrayInTable(Scope3_SourceData.Scope3_Livestock_Data(), Table_SourceData_Scope3_Animals154[[#Headers],[Category]], 0, 2)</f>
        <v>19.100000000000001</v>
      </c>
      <c r="I461" s="10" t="str" cm="1">
        <f t="array" ref="I461">Common_InputFunctions.Utility_DisplayArrayInTable(Scope3_SourceData.Scope3_Livestock_Data(), Table_SourceData_Scope3_Animals154[[#Headers],[Category]], 0, 2)</f>
        <v>at market</v>
      </c>
    </row>
    <row r="462" spans="4:13" x14ac:dyDescent="0.25">
      <c r="D462" s="10" t="str" cm="1">
        <f t="array" ref="D462">Common_InputFunctions.Utility_DisplayArrayInTable(Scope3_SourceData.Scope3_Livestock_Data(), Table_SourceData_Scope3_Animals154[[#Headers],[Category]], 0, 2)</f>
        <v>Beef cattle</v>
      </c>
      <c r="E462" s="10" t="str" cm="1">
        <f t="array" ref="E462">Common_InputFunctions.Utility_DisplayArrayInTable(Scope3_SourceData.Scope3_Livestock_Data(), Table_SourceData_Scope3_Animals154[[#Headers],[Category]], 0, 2)</f>
        <v>Cattle, weaners</v>
      </c>
      <c r="F462" s="10" t="str" cm="1">
        <f t="array" ref="F462">Common_InputFunctions.Utility_DisplayArrayInTable(Scope3_SourceData.Scope3_Livestock_Data(), Table_SourceData_Scope3_Animals154[[#Headers],[Category]], 0, 2)</f>
        <v>QLD</v>
      </c>
      <c r="G462" s="10" t="str" cm="1">
        <f t="array" ref="G462">Common_InputFunctions.Utility_DisplayArrayInTable(Scope3_SourceData.Scope3_Livestock_Data(), Table_SourceData_Scope3_Animals154[[#Headers],[Category]], 0, 2)</f>
        <v>kg liveweight</v>
      </c>
      <c r="H462" s="10" cm="1">
        <f t="array" ref="H462">Common_InputFunctions.Utility_DisplayArrayInTable(Scope3_SourceData.Scope3_Livestock_Data(), Table_SourceData_Scope3_Animals154[[#Headers],[Category]], 0, 2)</f>
        <v>20.5</v>
      </c>
      <c r="I462" s="10" t="str" cm="1">
        <f t="array" ref="I462">Common_InputFunctions.Utility_DisplayArrayInTable(Scope3_SourceData.Scope3_Livestock_Data(), Table_SourceData_Scope3_Animals154[[#Headers],[Category]], 0, 2)</f>
        <v>at market</v>
      </c>
    </row>
    <row r="463" spans="4:13" x14ac:dyDescent="0.25">
      <c r="D463" s="10" t="str" cm="1">
        <f t="array" ref="D463">Common_InputFunctions.Utility_DisplayArrayInTable(Scope3_SourceData.Scope3_Livestock_Data(), Table_SourceData_Scope3_Animals154[[#Headers],[Category]], 0, 2)</f>
        <v>Beef cattle</v>
      </c>
      <c r="E463" s="10" t="str" cm="1">
        <f t="array" ref="E463">Common_InputFunctions.Utility_DisplayArrayInTable(Scope3_SourceData.Scope3_Livestock_Data(), Table_SourceData_Scope3_Animals154[[#Headers],[Category]], 0, 2)</f>
        <v>Cattle, weaners</v>
      </c>
      <c r="F463" s="10" t="str" cm="1">
        <f t="array" ref="F463">Common_InputFunctions.Utility_DisplayArrayInTable(Scope3_SourceData.Scope3_Livestock_Data(), Table_SourceData_Scope3_Animals154[[#Headers],[Category]], 0, 2)</f>
        <v>SA</v>
      </c>
      <c r="G463" s="10" t="str" cm="1">
        <f t="array" ref="G463">Common_InputFunctions.Utility_DisplayArrayInTable(Scope3_SourceData.Scope3_Livestock_Data(), Table_SourceData_Scope3_Animals154[[#Headers],[Category]], 0, 2)</f>
        <v>kg liveweight</v>
      </c>
      <c r="H463" s="10" cm="1">
        <f t="array" ref="H463">Common_InputFunctions.Utility_DisplayArrayInTable(Scope3_SourceData.Scope3_Livestock_Data(), Table_SourceData_Scope3_Animals154[[#Headers],[Category]], 0, 2)</f>
        <v>10.8</v>
      </c>
      <c r="I463" s="10" t="str" cm="1">
        <f t="array" ref="I463">Common_InputFunctions.Utility_DisplayArrayInTable(Scope3_SourceData.Scope3_Livestock_Data(), Table_SourceData_Scope3_Animals154[[#Headers],[Category]], 0, 2)</f>
        <v>at market</v>
      </c>
    </row>
    <row r="464" spans="4:13" x14ac:dyDescent="0.25">
      <c r="D464" s="10" t="str" cm="1">
        <f t="array" ref="D464">Common_InputFunctions.Utility_DisplayArrayInTable(Scope3_SourceData.Scope3_Livestock_Data(), Table_SourceData_Scope3_Animals154[[#Headers],[Category]], 0, 2)</f>
        <v>Beef cattle</v>
      </c>
      <c r="E464" s="10" t="str" cm="1">
        <f t="array" ref="E464">Common_InputFunctions.Utility_DisplayArrayInTable(Scope3_SourceData.Scope3_Livestock_Data(), Table_SourceData_Scope3_Animals154[[#Headers],[Category]], 0, 2)</f>
        <v>Cattle, weaners</v>
      </c>
      <c r="F464" s="10" t="str" cm="1">
        <f t="array" ref="F464">Common_InputFunctions.Utility_DisplayArrayInTable(Scope3_SourceData.Scope3_Livestock_Data(), Table_SourceData_Scope3_Animals154[[#Headers],[Category]], 0, 2)</f>
        <v>TAS</v>
      </c>
      <c r="G464" s="10" t="str" cm="1">
        <f t="array" ref="G464">Common_InputFunctions.Utility_DisplayArrayInTable(Scope3_SourceData.Scope3_Livestock_Data(), Table_SourceData_Scope3_Animals154[[#Headers],[Category]], 0, 2)</f>
        <v>kg liveweight</v>
      </c>
      <c r="H464" s="10" cm="1">
        <f t="array" ref="H464">Common_InputFunctions.Utility_DisplayArrayInTable(Scope3_SourceData.Scope3_Livestock_Data(), Table_SourceData_Scope3_Animals154[[#Headers],[Category]], 0, 2)</f>
        <v>13.4</v>
      </c>
      <c r="I464" s="10" t="str" cm="1">
        <f t="array" ref="I464">Common_InputFunctions.Utility_DisplayArrayInTable(Scope3_SourceData.Scope3_Livestock_Data(), Table_SourceData_Scope3_Animals154[[#Headers],[Category]], 0, 2)</f>
        <v>at market</v>
      </c>
    </row>
    <row r="465" spans="4:9" x14ac:dyDescent="0.25">
      <c r="D465" s="10" t="str" cm="1">
        <f t="array" ref="D465">Common_InputFunctions.Utility_DisplayArrayInTable(Scope3_SourceData.Scope3_Livestock_Data(), Table_SourceData_Scope3_Animals154[[#Headers],[Category]], 0, 2)</f>
        <v>Beef cattle</v>
      </c>
      <c r="E465" s="10" t="str" cm="1">
        <f t="array" ref="E465">Common_InputFunctions.Utility_DisplayArrayInTable(Scope3_SourceData.Scope3_Livestock_Data(), Table_SourceData_Scope3_Animals154[[#Headers],[Category]], 0, 2)</f>
        <v>Cattle, weaners</v>
      </c>
      <c r="F465" s="10" t="str" cm="1">
        <f t="array" ref="F465">Common_InputFunctions.Utility_DisplayArrayInTable(Scope3_SourceData.Scope3_Livestock_Data(), Table_SourceData_Scope3_Animals154[[#Headers],[Category]], 0, 2)</f>
        <v>VIC</v>
      </c>
      <c r="G465" s="10" t="str" cm="1">
        <f t="array" ref="G465">Common_InputFunctions.Utility_DisplayArrayInTable(Scope3_SourceData.Scope3_Livestock_Data(), Table_SourceData_Scope3_Animals154[[#Headers],[Category]], 0, 2)</f>
        <v>kg liveweight</v>
      </c>
      <c r="H465" s="10" cm="1">
        <f t="array" ref="H465">Common_InputFunctions.Utility_DisplayArrayInTable(Scope3_SourceData.Scope3_Livestock_Data(), Table_SourceData_Scope3_Animals154[[#Headers],[Category]], 0, 2)</f>
        <v>12</v>
      </c>
      <c r="I465" s="10" t="str" cm="1">
        <f t="array" ref="I465">Common_InputFunctions.Utility_DisplayArrayInTable(Scope3_SourceData.Scope3_Livestock_Data(), Table_SourceData_Scope3_Animals154[[#Headers],[Category]], 0, 2)</f>
        <v>at market</v>
      </c>
    </row>
    <row r="466" spans="4:9" x14ac:dyDescent="0.25">
      <c r="D466" s="10" t="str" cm="1">
        <f t="array" ref="D466">Common_InputFunctions.Utility_DisplayArrayInTable(Scope3_SourceData.Scope3_Livestock_Data(), Table_SourceData_Scope3_Animals154[[#Headers],[Category]], 0, 2)</f>
        <v>Beef cattle</v>
      </c>
      <c r="E466" s="10" t="str" cm="1">
        <f t="array" ref="E466">Common_InputFunctions.Utility_DisplayArrayInTable(Scope3_SourceData.Scope3_Livestock_Data(), Table_SourceData_Scope3_Animals154[[#Headers],[Category]], 0, 2)</f>
        <v>Cattle, weaners</v>
      </c>
      <c r="F466" s="10" t="str" cm="1">
        <f t="array" ref="F466">Common_InputFunctions.Utility_DisplayArrayInTable(Scope3_SourceData.Scope3_Livestock_Data(), Table_SourceData_Scope3_Animals154[[#Headers],[Category]], 0, 2)</f>
        <v>WA</v>
      </c>
      <c r="G466" s="10" t="str" cm="1">
        <f t="array" ref="G466">Common_InputFunctions.Utility_DisplayArrayInTable(Scope3_SourceData.Scope3_Livestock_Data(), Table_SourceData_Scope3_Animals154[[#Headers],[Category]], 0, 2)</f>
        <v>kg liveweight</v>
      </c>
      <c r="H466" s="10" cm="1">
        <f t="array" ref="H466">Common_InputFunctions.Utility_DisplayArrayInTable(Scope3_SourceData.Scope3_Livestock_Data(), Table_SourceData_Scope3_Animals154[[#Headers],[Category]], 0, 2)</f>
        <v>12.4</v>
      </c>
      <c r="I466" s="10" t="str" cm="1">
        <f t="array" ref="I466">Common_InputFunctions.Utility_DisplayArrayInTable(Scope3_SourceData.Scope3_Livestock_Data(), Table_SourceData_Scope3_Animals154[[#Headers],[Category]], 0, 2)</f>
        <v>at market</v>
      </c>
    </row>
    <row r="467" spans="4:9" x14ac:dyDescent="0.25">
      <c r="D467" s="10" t="str" cm="1">
        <f t="array" ref="D467">Common_InputFunctions.Utility_DisplayArrayInTable(Scope3_SourceData.Scope3_Livestock_Data(), Table_SourceData_Scope3_Animals154[[#Headers],[Category]], 0, 2)</f>
        <v>Chickens</v>
      </c>
      <c r="E467" s="10" t="str" cm="1">
        <f t="array" ref="E467">Common_InputFunctions.Utility_DisplayArrayInTable(Scope3_SourceData.Scope3_Livestock_Data(), Table_SourceData_Scope3_Animals154[[#Headers],[Category]], 0, 2)</f>
        <v>Chickens</v>
      </c>
      <c r="F467" s="10" t="str" cm="1">
        <f t="array" ref="F467">Common_InputFunctions.Utility_DisplayArrayInTable(Scope3_SourceData.Scope3_Livestock_Data(), Table_SourceData_Scope3_Animals154[[#Headers],[Category]], 0, 2)</f>
        <v>Australia</v>
      </c>
      <c r="G467" s="10" t="str" cm="1">
        <f t="array" ref="G467">Common_InputFunctions.Utility_DisplayArrayInTable(Scope3_SourceData.Scope3_Livestock_Data(), Table_SourceData_Scope3_Animals154[[#Headers],[Category]], 0, 2)</f>
        <v>kg liveweight</v>
      </c>
      <c r="H467" s="10" cm="1">
        <f t="array" ref="H467">Common_InputFunctions.Utility_DisplayArrayInTable(Scope3_SourceData.Scope3_Livestock_Data(), Table_SourceData_Scope3_Animals154[[#Headers],[Category]], 0, 2)</f>
        <v>1.36</v>
      </c>
      <c r="I467" s="10" t="str" cm="1">
        <f t="array" ref="I467">Common_InputFunctions.Utility_DisplayArrayInTable(Scope3_SourceData.Scope3_Livestock_Data(), Table_SourceData_Scope3_Animals154[[#Headers],[Category]], 0, 2)</f>
        <v>at market</v>
      </c>
    </row>
    <row r="468" spans="4:9" x14ac:dyDescent="0.25">
      <c r="D468" s="10" t="str" cm="1">
        <f t="array" ref="D468">Common_InputFunctions.Utility_DisplayArrayInTable(Scope3_SourceData.Scope3_Livestock_Data(), Table_SourceData_Scope3_Animals154[[#Headers],[Category]], 0, 2)</f>
        <v>Dairy cattle</v>
      </c>
      <c r="E468" s="10" t="str" cm="1">
        <f t="array" ref="E468">Common_InputFunctions.Utility_DisplayArrayInTable(Scope3_SourceData.Scope3_Livestock_Data(), Table_SourceData_Scope3_Animals154[[#Headers],[Category]], 0, 2)</f>
        <v>Dairy cows</v>
      </c>
      <c r="F468" s="10" t="str" cm="1">
        <f t="array" ref="F468">Common_InputFunctions.Utility_DisplayArrayInTable(Scope3_SourceData.Scope3_Livestock_Data(), Table_SourceData_Scope3_Animals154[[#Headers],[Category]], 0, 2)</f>
        <v>VIC</v>
      </c>
      <c r="G468" s="10" t="str" cm="1">
        <f t="array" ref="G468">Common_InputFunctions.Utility_DisplayArrayInTable(Scope3_SourceData.Scope3_Livestock_Data(), Table_SourceData_Scope3_Animals154[[#Headers],[Category]], 0, 2)</f>
        <v>kg liveweight</v>
      </c>
      <c r="H468" s="10" cm="1">
        <f t="array" ref="H468">Common_InputFunctions.Utility_DisplayArrayInTable(Scope3_SourceData.Scope3_Livestock_Data(), Table_SourceData_Scope3_Animals154[[#Headers],[Category]], 0, 2)</f>
        <v>4.41</v>
      </c>
      <c r="I468" s="10" t="str" cm="1">
        <f t="array" ref="I468">Common_InputFunctions.Utility_DisplayArrayInTable(Scope3_SourceData.Scope3_Livestock_Data(), Table_SourceData_Scope3_Animals154[[#Headers],[Category]], 0, 2)</f>
        <v>at market</v>
      </c>
    </row>
    <row r="469" spans="4:9" x14ac:dyDescent="0.25">
      <c r="D469" s="10" t="str" cm="1">
        <f t="array" ref="D469">Common_InputFunctions.Utility_DisplayArrayInTable(Scope3_SourceData.Scope3_Livestock_Data(), Table_SourceData_Scope3_Animals154[[#Headers],[Category]], 0, 2)</f>
        <v>Pigs</v>
      </c>
      <c r="E469" s="10" t="str" cm="1">
        <f t="array" ref="E469">Common_InputFunctions.Utility_DisplayArrayInTable(Scope3_SourceData.Scope3_Livestock_Data(), Table_SourceData_Scope3_Animals154[[#Headers],[Category]], 0, 2)</f>
        <v>Pigs</v>
      </c>
      <c r="F469" s="10" t="str" cm="1">
        <f t="array" ref="F469">Common_InputFunctions.Utility_DisplayArrayInTable(Scope3_SourceData.Scope3_Livestock_Data(), Table_SourceData_Scope3_Animals154[[#Headers],[Category]], 0, 2)</f>
        <v>Australia</v>
      </c>
      <c r="G469" s="10" t="str" cm="1">
        <f t="array" ref="G469">Common_InputFunctions.Utility_DisplayArrayInTable(Scope3_SourceData.Scope3_Livestock_Data(), Table_SourceData_Scope3_Animals154[[#Headers],[Category]], 0, 2)</f>
        <v>kg liveweight</v>
      </c>
      <c r="H469" s="10" cm="1">
        <f t="array" ref="H469">Common_InputFunctions.Utility_DisplayArrayInTable(Scope3_SourceData.Scope3_Livestock_Data(), Table_SourceData_Scope3_Animals154[[#Headers],[Category]], 0, 2)</f>
        <v>3.38</v>
      </c>
      <c r="I469" s="10" t="str" cm="1">
        <f t="array" ref="I469">Common_InputFunctions.Utility_DisplayArrayInTable(Scope3_SourceData.Scope3_Livestock_Data(), Table_SourceData_Scope3_Animals154[[#Headers],[Category]], 0, 2)</f>
        <v>at market</v>
      </c>
    </row>
    <row r="470" spans="4:9" x14ac:dyDescent="0.25">
      <c r="D470" s="10" t="str" cm="1">
        <f t="array" ref="D470">Common_InputFunctions.Utility_DisplayArrayInTable(Scope3_SourceData.Scope3_Livestock_Data(), Table_SourceData_Scope3_Animals154[[#Headers],[Category]], 0, 2)</f>
        <v>Sheep</v>
      </c>
      <c r="E470" s="10" t="str" cm="1">
        <f t="array" ref="E470">Common_InputFunctions.Utility_DisplayArrayInTable(Scope3_SourceData.Scope3_Livestock_Data(), Table_SourceData_Scope3_Animals154[[#Headers],[Category]], 0, 2)</f>
        <v>Sheep, for mutton</v>
      </c>
      <c r="F470" s="10" t="str" cm="1">
        <f t="array" ref="F470">Common_InputFunctions.Utility_DisplayArrayInTable(Scope3_SourceData.Scope3_Livestock_Data(), Table_SourceData_Scope3_Animals154[[#Headers],[Category]], 0, 2)</f>
        <v>Australia</v>
      </c>
      <c r="G470" s="10" t="str" cm="1">
        <f t="array" ref="G470">Common_InputFunctions.Utility_DisplayArrayInTable(Scope3_SourceData.Scope3_Livestock_Data(), Table_SourceData_Scope3_Animals154[[#Headers],[Category]], 0, 2)</f>
        <v>kg liveweight</v>
      </c>
      <c r="H470" s="10" cm="1">
        <f t="array" ref="H470">Common_InputFunctions.Utility_DisplayArrayInTable(Scope3_SourceData.Scope3_Livestock_Data(), Table_SourceData_Scope3_Animals154[[#Headers],[Category]], 0, 2)</f>
        <v>6.81</v>
      </c>
      <c r="I470" s="10" t="str" cm="1">
        <f t="array" ref="I470">Common_InputFunctions.Utility_DisplayArrayInTable(Scope3_SourceData.Scope3_Livestock_Data(), Table_SourceData_Scope3_Animals154[[#Headers],[Category]], 0, 2)</f>
        <v>at market</v>
      </c>
    </row>
    <row r="471" spans="4:9" x14ac:dyDescent="0.25">
      <c r="D471" s="10" t="str" cm="1">
        <f t="array" ref="D471">Common_InputFunctions.Utility_DisplayArrayInTable(Scope3_SourceData.Scope3_Livestock_Data(), Table_SourceData_Scope3_Animals154[[#Headers],[Category]], 0, 2)</f>
        <v>Sheep</v>
      </c>
      <c r="E471" s="10" t="str" cm="1">
        <f t="array" ref="E471">Common_InputFunctions.Utility_DisplayArrayInTable(Scope3_SourceData.Scope3_Livestock_Data(), Table_SourceData_Scope3_Animals154[[#Headers],[Category]], 0, 2)</f>
        <v>Sheep, for mutton</v>
      </c>
      <c r="F471" s="10" t="str" cm="1">
        <f t="array" ref="F471">Common_InputFunctions.Utility_DisplayArrayInTable(Scope3_SourceData.Scope3_Livestock_Data(), Table_SourceData_Scope3_Animals154[[#Headers],[Category]], 0, 2)</f>
        <v>NSW</v>
      </c>
      <c r="G471" s="10" t="str" cm="1">
        <f t="array" ref="G471">Common_InputFunctions.Utility_DisplayArrayInTable(Scope3_SourceData.Scope3_Livestock_Data(), Table_SourceData_Scope3_Animals154[[#Headers],[Category]], 0, 2)</f>
        <v>kg liveweight</v>
      </c>
      <c r="H471" s="10" cm="1">
        <f t="array" ref="H471">Common_InputFunctions.Utility_DisplayArrayInTable(Scope3_SourceData.Scope3_Livestock_Data(), Table_SourceData_Scope3_Animals154[[#Headers],[Category]], 0, 2)</f>
        <v>2.2599999999999998</v>
      </c>
      <c r="I471" s="10" t="str" cm="1">
        <f t="array" ref="I471">Common_InputFunctions.Utility_DisplayArrayInTable(Scope3_SourceData.Scope3_Livestock_Data(), Table_SourceData_Scope3_Animals154[[#Headers],[Category]], 0, 2)</f>
        <v>at market</v>
      </c>
    </row>
    <row r="472" spans="4:9" x14ac:dyDescent="0.25">
      <c r="D472" s="10" t="str" cm="1">
        <f t="array" ref="D472">Common_InputFunctions.Utility_DisplayArrayInTable(Scope3_SourceData.Scope3_Livestock_Data(), Table_SourceData_Scope3_Animals154[[#Headers],[Category]], 0, 2)</f>
        <v>Sheep</v>
      </c>
      <c r="E472" s="10" t="str" cm="1">
        <f t="array" ref="E472">Common_InputFunctions.Utility_DisplayArrayInTable(Scope3_SourceData.Scope3_Livestock_Data(), Table_SourceData_Scope3_Animals154[[#Headers],[Category]], 0, 2)</f>
        <v>Sheep, for mutton</v>
      </c>
      <c r="F472" s="10" t="str" cm="1">
        <f t="array" ref="F472">Common_InputFunctions.Utility_DisplayArrayInTable(Scope3_SourceData.Scope3_Livestock_Data(), Table_SourceData_Scope3_Animals154[[#Headers],[Category]], 0, 2)</f>
        <v>QLD</v>
      </c>
      <c r="G472" s="10" t="str" cm="1">
        <f t="array" ref="G472">Common_InputFunctions.Utility_DisplayArrayInTable(Scope3_SourceData.Scope3_Livestock_Data(), Table_SourceData_Scope3_Animals154[[#Headers],[Category]], 0, 2)</f>
        <v>kg liveweight</v>
      </c>
      <c r="H472" s="10" cm="1">
        <f t="array" ref="H472">Common_InputFunctions.Utility_DisplayArrayInTable(Scope3_SourceData.Scope3_Livestock_Data(), Table_SourceData_Scope3_Animals154[[#Headers],[Category]], 0, 2)</f>
        <v>6.33</v>
      </c>
      <c r="I472" s="10" t="str" cm="1">
        <f t="array" ref="I472">Common_InputFunctions.Utility_DisplayArrayInTable(Scope3_SourceData.Scope3_Livestock_Data(), Table_SourceData_Scope3_Animals154[[#Headers],[Category]], 0, 2)</f>
        <v>at market</v>
      </c>
    </row>
    <row r="473" spans="4:9" x14ac:dyDescent="0.25">
      <c r="D473" s="10" t="str" cm="1">
        <f t="array" ref="D473">Common_InputFunctions.Utility_DisplayArrayInTable(Scope3_SourceData.Scope3_Livestock_Data(), Table_SourceData_Scope3_Animals154[[#Headers],[Category]], 0, 2)</f>
        <v>Sheep</v>
      </c>
      <c r="E473" s="10" t="str" cm="1">
        <f t="array" ref="E473">Common_InputFunctions.Utility_DisplayArrayInTable(Scope3_SourceData.Scope3_Livestock_Data(), Table_SourceData_Scope3_Animals154[[#Headers],[Category]], 0, 2)</f>
        <v>Sheep, for mutton</v>
      </c>
      <c r="F473" s="10" t="str" cm="1">
        <f t="array" ref="F473">Common_InputFunctions.Utility_DisplayArrayInTable(Scope3_SourceData.Scope3_Livestock_Data(), Table_SourceData_Scope3_Animals154[[#Headers],[Category]], 0, 2)</f>
        <v>SA</v>
      </c>
      <c r="G473" s="10" t="str" cm="1">
        <f t="array" ref="G473">Common_InputFunctions.Utility_DisplayArrayInTable(Scope3_SourceData.Scope3_Livestock_Data(), Table_SourceData_Scope3_Animals154[[#Headers],[Category]], 0, 2)</f>
        <v>kg liveweight</v>
      </c>
      <c r="H473" s="10" cm="1">
        <f t="array" ref="H473">Common_InputFunctions.Utility_DisplayArrayInTable(Scope3_SourceData.Scope3_Livestock_Data(), Table_SourceData_Scope3_Animals154[[#Headers],[Category]], 0, 2)</f>
        <v>6.18</v>
      </c>
      <c r="I473" s="10" t="str" cm="1">
        <f t="array" ref="I473">Common_InputFunctions.Utility_DisplayArrayInTable(Scope3_SourceData.Scope3_Livestock_Data(), Table_SourceData_Scope3_Animals154[[#Headers],[Category]], 0, 2)</f>
        <v>at market</v>
      </c>
    </row>
    <row r="474" spans="4:9" x14ac:dyDescent="0.25">
      <c r="D474" s="10" t="str" cm="1">
        <f t="array" ref="D474">Common_InputFunctions.Utility_DisplayArrayInTable(Scope3_SourceData.Scope3_Livestock_Data(), Table_SourceData_Scope3_Animals154[[#Headers],[Category]], 0, 2)</f>
        <v>Sheep</v>
      </c>
      <c r="E474" s="10" t="str" cm="1">
        <f t="array" ref="E474">Common_InputFunctions.Utility_DisplayArrayInTable(Scope3_SourceData.Scope3_Livestock_Data(), Table_SourceData_Scope3_Animals154[[#Headers],[Category]], 0, 2)</f>
        <v>Sheep, for mutton</v>
      </c>
      <c r="F474" s="10" t="str" cm="1">
        <f t="array" ref="F474">Common_InputFunctions.Utility_DisplayArrayInTable(Scope3_SourceData.Scope3_Livestock_Data(), Table_SourceData_Scope3_Animals154[[#Headers],[Category]], 0, 2)</f>
        <v>TAS</v>
      </c>
      <c r="G474" s="10" t="str" cm="1">
        <f t="array" ref="G474">Common_InputFunctions.Utility_DisplayArrayInTable(Scope3_SourceData.Scope3_Livestock_Data(), Table_SourceData_Scope3_Animals154[[#Headers],[Category]], 0, 2)</f>
        <v>kg liveweight</v>
      </c>
      <c r="H474" s="10" cm="1">
        <f t="array" ref="H474">Common_InputFunctions.Utility_DisplayArrayInTable(Scope3_SourceData.Scope3_Livestock_Data(), Table_SourceData_Scope3_Animals154[[#Headers],[Category]], 0, 2)</f>
        <v>7.5</v>
      </c>
      <c r="I474" s="10" t="str" cm="1">
        <f t="array" ref="I474">Common_InputFunctions.Utility_DisplayArrayInTable(Scope3_SourceData.Scope3_Livestock_Data(), Table_SourceData_Scope3_Animals154[[#Headers],[Category]], 0, 2)</f>
        <v>at market</v>
      </c>
    </row>
    <row r="475" spans="4:9" x14ac:dyDescent="0.25">
      <c r="D475" s="10" t="str" cm="1">
        <f t="array" ref="D475">Common_InputFunctions.Utility_DisplayArrayInTable(Scope3_SourceData.Scope3_Livestock_Data(), Table_SourceData_Scope3_Animals154[[#Headers],[Category]], 0, 2)</f>
        <v>Sheep</v>
      </c>
      <c r="E475" s="10" t="str" cm="1">
        <f t="array" ref="E475">Common_InputFunctions.Utility_DisplayArrayInTable(Scope3_SourceData.Scope3_Livestock_Data(), Table_SourceData_Scope3_Animals154[[#Headers],[Category]], 0, 2)</f>
        <v>Sheep, for mutton</v>
      </c>
      <c r="F475" s="10" t="str" cm="1">
        <f t="array" ref="F475">Common_InputFunctions.Utility_DisplayArrayInTable(Scope3_SourceData.Scope3_Livestock_Data(), Table_SourceData_Scope3_Animals154[[#Headers],[Category]], 0, 2)</f>
        <v>VIC</v>
      </c>
      <c r="G475" s="10" t="str" cm="1">
        <f t="array" ref="G475">Common_InputFunctions.Utility_DisplayArrayInTable(Scope3_SourceData.Scope3_Livestock_Data(), Table_SourceData_Scope3_Animals154[[#Headers],[Category]], 0, 2)</f>
        <v>kg liveweight</v>
      </c>
      <c r="H475" s="10" cm="1">
        <f t="array" ref="H475">Common_InputFunctions.Utility_DisplayArrayInTable(Scope3_SourceData.Scope3_Livestock_Data(), Table_SourceData_Scope3_Animals154[[#Headers],[Category]], 0, 2)</f>
        <v>8.08</v>
      </c>
      <c r="I475" s="10" t="str" cm="1">
        <f t="array" ref="I475">Common_InputFunctions.Utility_DisplayArrayInTable(Scope3_SourceData.Scope3_Livestock_Data(), Table_SourceData_Scope3_Animals154[[#Headers],[Category]], 0, 2)</f>
        <v>at market</v>
      </c>
    </row>
    <row r="476" spans="4:9" x14ac:dyDescent="0.25">
      <c r="D476" s="10" t="str" cm="1">
        <f t="array" ref="D476">Common_InputFunctions.Utility_DisplayArrayInTable(Scope3_SourceData.Scope3_Livestock_Data(), Table_SourceData_Scope3_Animals154[[#Headers],[Category]], 0, 2)</f>
        <v>Sheep</v>
      </c>
      <c r="E476" s="10" t="str" cm="1">
        <f t="array" ref="E476">Common_InputFunctions.Utility_DisplayArrayInTable(Scope3_SourceData.Scope3_Livestock_Data(), Table_SourceData_Scope3_Animals154[[#Headers],[Category]], 0, 2)</f>
        <v>Sheep, for mutton</v>
      </c>
      <c r="F476" s="10" t="str" cm="1">
        <f t="array" ref="F476">Common_InputFunctions.Utility_DisplayArrayInTable(Scope3_SourceData.Scope3_Livestock_Data(), Table_SourceData_Scope3_Animals154[[#Headers],[Category]], 0, 2)</f>
        <v>WA</v>
      </c>
      <c r="G476" s="10" t="str" cm="1">
        <f t="array" ref="G476">Common_InputFunctions.Utility_DisplayArrayInTable(Scope3_SourceData.Scope3_Livestock_Data(), Table_SourceData_Scope3_Animals154[[#Headers],[Category]], 0, 2)</f>
        <v>kg liveweight</v>
      </c>
      <c r="H476" s="10" cm="1">
        <f t="array" ref="H476">Common_InputFunctions.Utility_DisplayArrayInTable(Scope3_SourceData.Scope3_Livestock_Data(), Table_SourceData_Scope3_Animals154[[#Headers],[Category]], 0, 2)</f>
        <v>5.45</v>
      </c>
      <c r="I476" s="10" t="str" cm="1">
        <f t="array" ref="I476">Common_InputFunctions.Utility_DisplayArrayInTable(Scope3_SourceData.Scope3_Livestock_Data(), Table_SourceData_Scope3_Animals154[[#Headers],[Category]], 0, 2)</f>
        <v>at market</v>
      </c>
    </row>
    <row r="477" spans="4:9" x14ac:dyDescent="0.25">
      <c r="D477" s="10" t="str" cm="1">
        <f t="array" ref="D477">Common_InputFunctions.Utility_DisplayArrayInTable(Scope3_SourceData.Scope3_Livestock_Data(), Table_SourceData_Scope3_Animals154[[#Headers],[Category]], 0, 2)</f>
        <v>Sheep</v>
      </c>
      <c r="E477" s="10" t="str" cm="1">
        <f t="array" ref="E477">Common_InputFunctions.Utility_DisplayArrayInTable(Scope3_SourceData.Scope3_Livestock_Data(), Table_SourceData_Scope3_Animals154[[#Headers],[Category]], 0, 2)</f>
        <v>Sheep, for prime lamb</v>
      </c>
      <c r="F477" s="10" t="str" cm="1">
        <f t="array" ref="F477">Common_InputFunctions.Utility_DisplayArrayInTable(Scope3_SourceData.Scope3_Livestock_Data(), Table_SourceData_Scope3_Animals154[[#Headers],[Category]], 0, 2)</f>
        <v>Australia</v>
      </c>
      <c r="G477" s="10" t="str" cm="1">
        <f t="array" ref="G477">Common_InputFunctions.Utility_DisplayArrayInTable(Scope3_SourceData.Scope3_Livestock_Data(), Table_SourceData_Scope3_Animals154[[#Headers],[Category]], 0, 2)</f>
        <v>kg liveweight</v>
      </c>
      <c r="H477" s="10" cm="1">
        <f t="array" ref="H477">Common_InputFunctions.Utility_DisplayArrayInTable(Scope3_SourceData.Scope3_Livestock_Data(), Table_SourceData_Scope3_Animals154[[#Headers],[Category]], 0, 2)</f>
        <v>7.15</v>
      </c>
      <c r="I477" s="10" t="str" cm="1">
        <f t="array" ref="I477">Common_InputFunctions.Utility_DisplayArrayInTable(Scope3_SourceData.Scope3_Livestock_Data(), Table_SourceData_Scope3_Animals154[[#Headers],[Category]], 0, 2)</f>
        <v>at market</v>
      </c>
    </row>
    <row r="478" spans="4:9" x14ac:dyDescent="0.25">
      <c r="D478" s="10" t="str" cm="1">
        <f t="array" ref="D478">Common_InputFunctions.Utility_DisplayArrayInTable(Scope3_SourceData.Scope3_Livestock_Data(), Table_SourceData_Scope3_Animals154[[#Headers],[Category]], 0, 2)</f>
        <v>Sheep</v>
      </c>
      <c r="E478" s="10" t="str" cm="1">
        <f t="array" ref="E478">Common_InputFunctions.Utility_DisplayArrayInTable(Scope3_SourceData.Scope3_Livestock_Data(), Table_SourceData_Scope3_Animals154[[#Headers],[Category]], 0, 2)</f>
        <v>Sheep, for prime lamb</v>
      </c>
      <c r="F478" s="10" t="str" cm="1">
        <f t="array" ref="F478">Common_InputFunctions.Utility_DisplayArrayInTable(Scope3_SourceData.Scope3_Livestock_Data(), Table_SourceData_Scope3_Animals154[[#Headers],[Category]], 0, 2)</f>
        <v>NSW</v>
      </c>
      <c r="G478" s="10" t="str" cm="1">
        <f t="array" ref="G478">Common_InputFunctions.Utility_DisplayArrayInTable(Scope3_SourceData.Scope3_Livestock_Data(), Table_SourceData_Scope3_Animals154[[#Headers],[Category]], 0, 2)</f>
        <v>kg liveweight</v>
      </c>
      <c r="H478" s="10" cm="1">
        <f t="array" ref="H478">Common_InputFunctions.Utility_DisplayArrayInTable(Scope3_SourceData.Scope3_Livestock_Data(), Table_SourceData_Scope3_Animals154[[#Headers],[Category]], 0, 2)</f>
        <v>8.2899999999999991</v>
      </c>
      <c r="I478" s="10" t="str" cm="1">
        <f t="array" ref="I478">Common_InputFunctions.Utility_DisplayArrayInTable(Scope3_SourceData.Scope3_Livestock_Data(), Table_SourceData_Scope3_Animals154[[#Headers],[Category]], 0, 2)</f>
        <v>at market</v>
      </c>
    </row>
    <row r="479" spans="4:9" x14ac:dyDescent="0.25">
      <c r="D479" s="10" t="str" cm="1">
        <f t="array" ref="D479">Common_InputFunctions.Utility_DisplayArrayInTable(Scope3_SourceData.Scope3_Livestock_Data(), Table_SourceData_Scope3_Animals154[[#Headers],[Category]], 0, 2)</f>
        <v>Sheep</v>
      </c>
      <c r="E479" s="10" t="str" cm="1">
        <f t="array" ref="E479">Common_InputFunctions.Utility_DisplayArrayInTable(Scope3_SourceData.Scope3_Livestock_Data(), Table_SourceData_Scope3_Animals154[[#Headers],[Category]], 0, 2)</f>
        <v>Sheep, for prime lamb</v>
      </c>
      <c r="F479" s="10" t="str" cm="1">
        <f t="array" ref="F479">Common_InputFunctions.Utility_DisplayArrayInTable(Scope3_SourceData.Scope3_Livestock_Data(), Table_SourceData_Scope3_Animals154[[#Headers],[Category]], 0, 2)</f>
        <v>QLD</v>
      </c>
      <c r="G479" s="10" t="str" cm="1">
        <f t="array" ref="G479">Common_InputFunctions.Utility_DisplayArrayInTable(Scope3_SourceData.Scope3_Livestock_Data(), Table_SourceData_Scope3_Animals154[[#Headers],[Category]], 0, 2)</f>
        <v>kg liveweight</v>
      </c>
      <c r="H479" s="10" cm="1">
        <f t="array" ref="H479">Common_InputFunctions.Utility_DisplayArrayInTable(Scope3_SourceData.Scope3_Livestock_Data(), Table_SourceData_Scope3_Animals154[[#Headers],[Category]], 0, 2)</f>
        <v>6.39</v>
      </c>
      <c r="I479" s="10" t="str" cm="1">
        <f t="array" ref="I479">Common_InputFunctions.Utility_DisplayArrayInTable(Scope3_SourceData.Scope3_Livestock_Data(), Table_SourceData_Scope3_Animals154[[#Headers],[Category]], 0, 2)</f>
        <v>at market</v>
      </c>
    </row>
    <row r="480" spans="4:9" x14ac:dyDescent="0.25">
      <c r="D480" s="10" t="str" cm="1">
        <f t="array" ref="D480">Common_InputFunctions.Utility_DisplayArrayInTable(Scope3_SourceData.Scope3_Livestock_Data(), Table_SourceData_Scope3_Animals154[[#Headers],[Category]], 0, 2)</f>
        <v>Sheep</v>
      </c>
      <c r="E480" s="10" t="str" cm="1">
        <f t="array" ref="E480">Common_InputFunctions.Utility_DisplayArrayInTable(Scope3_SourceData.Scope3_Livestock_Data(), Table_SourceData_Scope3_Animals154[[#Headers],[Category]], 0, 2)</f>
        <v>Sheep, for prime lamb</v>
      </c>
      <c r="F480" s="10" t="str" cm="1">
        <f t="array" ref="F480">Common_InputFunctions.Utility_DisplayArrayInTable(Scope3_SourceData.Scope3_Livestock_Data(), Table_SourceData_Scope3_Animals154[[#Headers],[Category]], 0, 2)</f>
        <v>SA</v>
      </c>
      <c r="G480" s="10" t="str" cm="1">
        <f t="array" ref="G480">Common_InputFunctions.Utility_DisplayArrayInTable(Scope3_SourceData.Scope3_Livestock_Data(), Table_SourceData_Scope3_Animals154[[#Headers],[Category]], 0, 2)</f>
        <v>kg liveweight</v>
      </c>
      <c r="H480" s="10" cm="1">
        <f t="array" ref="H480">Common_InputFunctions.Utility_DisplayArrayInTable(Scope3_SourceData.Scope3_Livestock_Data(), Table_SourceData_Scope3_Animals154[[#Headers],[Category]], 0, 2)</f>
        <v>6.87</v>
      </c>
      <c r="I480" s="10" t="str" cm="1">
        <f t="array" ref="I480">Common_InputFunctions.Utility_DisplayArrayInTable(Scope3_SourceData.Scope3_Livestock_Data(), Table_SourceData_Scope3_Animals154[[#Headers],[Category]], 0, 2)</f>
        <v>at market</v>
      </c>
    </row>
    <row r="481" spans="4:9" x14ac:dyDescent="0.25">
      <c r="D481" s="10" t="str" cm="1">
        <f t="array" ref="D481">Common_InputFunctions.Utility_DisplayArrayInTable(Scope3_SourceData.Scope3_Livestock_Data(), Table_SourceData_Scope3_Animals154[[#Headers],[Category]], 0, 2)</f>
        <v>Sheep</v>
      </c>
      <c r="E481" s="10" t="str" cm="1">
        <f t="array" ref="E481">Common_InputFunctions.Utility_DisplayArrayInTable(Scope3_SourceData.Scope3_Livestock_Data(), Table_SourceData_Scope3_Animals154[[#Headers],[Category]], 0, 2)</f>
        <v>Sheep, for prime lamb</v>
      </c>
      <c r="F481" s="10" t="str" cm="1">
        <f t="array" ref="F481">Common_InputFunctions.Utility_DisplayArrayInTable(Scope3_SourceData.Scope3_Livestock_Data(), Table_SourceData_Scope3_Animals154[[#Headers],[Category]], 0, 2)</f>
        <v>TAS</v>
      </c>
      <c r="G481" s="10" t="str" cm="1">
        <f t="array" ref="G481">Common_InputFunctions.Utility_DisplayArrayInTable(Scope3_SourceData.Scope3_Livestock_Data(), Table_SourceData_Scope3_Animals154[[#Headers],[Category]], 0, 2)</f>
        <v>kg liveweight</v>
      </c>
      <c r="H481" s="10" cm="1">
        <f t="array" ref="H481">Common_InputFunctions.Utility_DisplayArrayInTable(Scope3_SourceData.Scope3_Livestock_Data(), Table_SourceData_Scope3_Animals154[[#Headers],[Category]], 0, 2)</f>
        <v>8.66</v>
      </c>
      <c r="I481" s="10" t="str" cm="1">
        <f t="array" ref="I481">Common_InputFunctions.Utility_DisplayArrayInTable(Scope3_SourceData.Scope3_Livestock_Data(), Table_SourceData_Scope3_Animals154[[#Headers],[Category]], 0, 2)</f>
        <v>at market</v>
      </c>
    </row>
    <row r="482" spans="4:9" x14ac:dyDescent="0.25">
      <c r="D482" s="10" t="str" cm="1">
        <f t="array" ref="D482">Common_InputFunctions.Utility_DisplayArrayInTable(Scope3_SourceData.Scope3_Livestock_Data(), Table_SourceData_Scope3_Animals154[[#Headers],[Category]], 0, 2)</f>
        <v>Sheep</v>
      </c>
      <c r="E482" s="10" t="str" cm="1">
        <f t="array" ref="E482">Common_InputFunctions.Utility_DisplayArrayInTable(Scope3_SourceData.Scope3_Livestock_Data(), Table_SourceData_Scope3_Animals154[[#Headers],[Category]], 0, 2)</f>
        <v>Sheep, for prime lamb</v>
      </c>
      <c r="F482" s="10" t="str" cm="1">
        <f t="array" ref="F482">Common_InputFunctions.Utility_DisplayArrayInTable(Scope3_SourceData.Scope3_Livestock_Data(), Table_SourceData_Scope3_Animals154[[#Headers],[Category]], 0, 2)</f>
        <v>VIC</v>
      </c>
      <c r="G482" s="10" t="str" cm="1">
        <f t="array" ref="G482">Common_InputFunctions.Utility_DisplayArrayInTable(Scope3_SourceData.Scope3_Livestock_Data(), Table_SourceData_Scope3_Animals154[[#Headers],[Category]], 0, 2)</f>
        <v>kg liveweight</v>
      </c>
      <c r="H482" s="10" cm="1">
        <f t="array" ref="H482">Common_InputFunctions.Utility_DisplayArrayInTable(Scope3_SourceData.Scope3_Livestock_Data(), Table_SourceData_Scope3_Animals154[[#Headers],[Category]], 0, 2)</f>
        <v>10</v>
      </c>
      <c r="I482" s="10" t="str" cm="1">
        <f t="array" ref="I482">Common_InputFunctions.Utility_DisplayArrayInTable(Scope3_SourceData.Scope3_Livestock_Data(), Table_SourceData_Scope3_Animals154[[#Headers],[Category]], 0, 2)</f>
        <v>at market</v>
      </c>
    </row>
    <row r="483" spans="4:9" x14ac:dyDescent="0.25">
      <c r="D483" s="10" t="str" cm="1">
        <f t="array" ref="D483">Common_InputFunctions.Utility_DisplayArrayInTable(Scope3_SourceData.Scope3_Livestock_Data(), Table_SourceData_Scope3_Animals154[[#Headers],[Category]], 0, 2)</f>
        <v>Sheep</v>
      </c>
      <c r="E483" s="10" t="str" cm="1">
        <f t="array" ref="E483">Common_InputFunctions.Utility_DisplayArrayInTable(Scope3_SourceData.Scope3_Livestock_Data(), Table_SourceData_Scope3_Animals154[[#Headers],[Category]], 0, 2)</f>
        <v>Sheep, for prime lamb</v>
      </c>
      <c r="F483" s="10" t="str" cm="1">
        <f t="array" ref="F483">Common_InputFunctions.Utility_DisplayArrayInTable(Scope3_SourceData.Scope3_Livestock_Data(), Table_SourceData_Scope3_Animals154[[#Headers],[Category]], 0, 2)</f>
        <v>WA</v>
      </c>
      <c r="G483" s="10" t="str" cm="1">
        <f t="array" ref="G483">Common_InputFunctions.Utility_DisplayArrayInTable(Scope3_SourceData.Scope3_Livestock_Data(), Table_SourceData_Scope3_Animals154[[#Headers],[Category]], 0, 2)</f>
        <v>kg liveweight</v>
      </c>
      <c r="H483" s="10" cm="1">
        <f t="array" ref="H483">Common_InputFunctions.Utility_DisplayArrayInTable(Scope3_SourceData.Scope3_Livestock_Data(), Table_SourceData_Scope3_Animals154[[#Headers],[Category]], 0, 2)</f>
        <v>5.67</v>
      </c>
      <c r="I483" s="10" t="str" cm="1">
        <f t="array" ref="I483">Common_InputFunctions.Utility_DisplayArrayInTable(Scope3_SourceData.Scope3_Livestock_Data(), Table_SourceData_Scope3_Animals154[[#Headers],[Category]],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9DF79-5216-4765-8DC1-9DAB2220792A}">
  <dimension ref="A1:M160"/>
  <sheetViews>
    <sheetView showGridLines="0" tabSelected="1" topLeftCell="A12" zoomScaleNormal="100" workbookViewId="0">
      <selection activeCell="A40" sqref="A40"/>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908</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320</v>
      </c>
      <c r="E9" s="10" t="s">
        <v>321</v>
      </c>
      <c r="F9" s="10" t="s">
        <v>322</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Farm Inputs'!A1", "Farm Inputs")</f>
        <v>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Beef cattle purchases'!A1", "Beef cattle purchases")</f>
        <v>Beef cattle purchases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Dairy cattle purchases'!A1", "Dairy cattle purchases")</f>
        <v>Dairy cattle purchases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Pig purchases'!A1", "Pig purchases")</f>
        <v>Pig purchases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Poultry purchases'!A1", "Poultry purchases")</f>
        <v>Poultry purchases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Freight'!A1", "Freight")</f>
        <v>Freight</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Solid waste'!A1", "Solid waste")</f>
        <v>Solid waste</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Manure sent off-site'!A1", "Manure sent off-site")</f>
        <v>Manure sent off-site</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Electricity'!A1", "Electricity")</f>
        <v>Electricity</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21" t="s">
        <v>77</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HYPERLINK("#'15 Scope 3'!A1", "15 Scope 3")</f>
        <v>15 Scope 3</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HYPERLINK("#'10.1.1-2 Solid waste treatment'!A1", "10.1.1-2 Solid waste treatment")</f>
        <v>10.1.1-2 Solid waste treatment</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HYPERLINK("#'Calcs - Manure sent off-site'!A1", "Calcs - Manure sent off-site")</f>
        <v>Calcs - Manure sent off-site</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s="16" t="str">
        <f>HYPERLINK("#'8.1.1.1-2 Transport fuel'!A1", "8.1.1.1-2 Transport fuel")</f>
        <v>8.1.1.1-2 Transport fuel</v>
      </c>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16" t="str">
        <f>HYPERLINK("#'8.2.1.1-2 Stationary fuel'!A1", "8.2.1.1-2 Stationary fuel")</f>
        <v>8.2.1.1-2 Stationary fuel</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c r="G28" s="7"/>
      <c r="H28" s="7"/>
    </row>
    <row r="29" spans="1:8" ht="20.100000000000001" customHeight="1" x14ac:dyDescent="0.25">
      <c r="A29"/>
      <c r="D29" s="9" t="str" cm="1">
        <f t="array" ref="D29">CommonLivestock_SourceData.SourceData_Livestock_Product_BeefCattle_Title()</f>
        <v>Beef cattle products for scope 3</v>
      </c>
    </row>
    <row r="30" spans="1:8" ht="20.100000000000001" customHeight="1" x14ac:dyDescent="0.25">
      <c r="A30" s="221" t="s">
        <v>78</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HYPERLINK("#'Constants - Scope 3'!A1", "Constants - Scope 3")</f>
        <v>Constants - Scope 3</v>
      </c>
      <c r="D31" s="10" t="s">
        <v>212</v>
      </c>
      <c r="E31" s="10" t="s">
        <v>323</v>
      </c>
      <c r="F31" s="8" t="s">
        <v>324</v>
      </c>
    </row>
    <row r="32" spans="1:8" ht="20.100000000000001" customHeight="1" x14ac:dyDescent="0.25">
      <c r="A32" s="16" t="str">
        <f>HYPERLINK("#'Constants - Solid Waste'!A1", "Constants - Solid Waste")</f>
        <v>Constants - Solid Waste</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HYPERLINK("#'Constants - Fuel'!A1", "Constants - Fuel")</f>
        <v>Constants -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16" t="str">
        <f>HYPERLINK("#'Constants - Poultry'!A1", "Constants - Poultry")</f>
        <v>Constants - Poultry</v>
      </c>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16" t="str">
        <f>HYPERLINK("#'Constants - Swine'!A1", "Constants - Swine")</f>
        <v>Constants - Swine</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Dairy'!A1", "Constants - Dairy")</f>
        <v>Constants - Dairy</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Pasture Beef'!A1", "Constants - Pasture Beef")</f>
        <v>Constants - Pasture Beef</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23" t="str">
        <f>HYPERLINK("#'Constants - Common Livestock'!A1", "Constants - Common Livestock")</f>
        <v>Constants - Common Livestock</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Fertiliser'!A1", "Constants - Fertiliser")</f>
        <v>Constants - Fertiliser</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Electricity'!A1", "Constants - Electricity")</f>
        <v>Constants - Electricity</v>
      </c>
    </row>
    <row r="41" spans="1:6" ht="20.100000000000001" customHeight="1" x14ac:dyDescent="0.25">
      <c r="A41" s="16" t="str">
        <f>HYPERLINK("#'Constants - Common'!A1", "Constants - Common")</f>
        <v>Constants - Common</v>
      </c>
      <c r="D41" s="9" t="str" cm="1">
        <f t="array" ref="D41">CommonLivestock_SourceData.SourceData_Livestock_Product_Sheep_Title()</f>
        <v>Sheep products for scope 3</v>
      </c>
    </row>
    <row r="42" spans="1:6" ht="20.100000000000001" customHeight="1" x14ac:dyDescent="0.25">
      <c r="A42"/>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c r="D43" s="10" t="s">
        <v>212</v>
      </c>
      <c r="E43" s="10" t="s">
        <v>323</v>
      </c>
      <c r="F43" s="8" t="s">
        <v>325</v>
      </c>
    </row>
    <row r="44" spans="1:6" ht="20.100000000000001" customHeight="1" x14ac:dyDescent="0.25">
      <c r="A44"/>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212</v>
      </c>
      <c r="E54" s="10" t="s">
        <v>323</v>
      </c>
      <c r="F54" s="8" t="s">
        <v>331</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212</v>
      </c>
      <c r="E59" s="10" t="s">
        <v>323</v>
      </c>
      <c r="F59" s="8" t="s">
        <v>332</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212</v>
      </c>
      <c r="E64" s="10" t="s">
        <v>323</v>
      </c>
      <c r="F64" s="8" t="s">
        <v>333</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B746F-0974-4950-9A01-7CB11688D54E}">
  <dimension ref="A1:AI165"/>
  <sheetViews>
    <sheetView showGridLines="0" topLeftCell="A1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Beef cattle purchases'!A1", "Beef cattle purchases")</f>
        <v>Beef cattle purchases</v>
      </c>
      <c r="D12" s="12" t="str">
        <v>Combined data from Table A.2.2.3 and Table A.2.2.4 into one table to aid lookup.</v>
      </c>
    </row>
    <row r="13" spans="1:35" ht="20.100000000000001" customHeight="1" x14ac:dyDescent="0.25">
      <c r="A13" s="16" t="str">
        <f>HYPERLINK("#'Input - Dairy cattle purchases'!A1", "Dairy cattle purchases")</f>
        <v>Dairy cattle purchases</v>
      </c>
      <c r="D13" s="12" t="str">
        <v>Excluded 'References' column</v>
      </c>
    </row>
    <row r="14" spans="1:35" ht="20.100000000000001" customHeight="1" x14ac:dyDescent="0.25">
      <c r="A14" s="16" t="str">
        <f>HYPERLINK("#'Input - Pig purchases'!A1", "Pig purchases")</f>
        <v>Pig purchases</v>
      </c>
      <c r="D14" s="12" t="str">
        <v>Excluded 'Ammonium sulfate' as it is a duplicate of 'Sulphate of ammonia (SOA)'</v>
      </c>
    </row>
    <row r="15" spans="1:35" ht="20.100000000000001" customHeight="1" x14ac:dyDescent="0.25">
      <c r="A15" s="16" t="str">
        <f>HYPERLINK("#'Input - Poultry purchases'!A1", "Poultry purchases")</f>
        <v>Poultry purchases</v>
      </c>
      <c r="D15" s="12" t="str">
        <v>Excluded 'Calcium nitrate' as no scope 3 value available.</v>
      </c>
    </row>
    <row r="16" spans="1:35" ht="20.100000000000001" customHeight="1" x14ac:dyDescent="0.25">
      <c r="A16" s="16" t="str">
        <f>HYPERLINK("#'Input - Freight'!A1", "Freight")</f>
        <v>Freight</v>
      </c>
      <c r="D16" s="12" t="str">
        <v>Set 'Nitrogen - Generic' basis as 'Urea-based fertilisers, as urea is the most commonly used form of nitrogen in Australian fertilisers</v>
      </c>
    </row>
    <row r="17" spans="1:22" ht="20.100000000000001" customHeight="1" x14ac:dyDescent="0.25">
      <c r="A17" s="16" t="str">
        <f>HYPERLINK("#'Input - Solid waste'!A1", "Solid waste")</f>
        <v>Solid waste</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Manure sent off-site'!A1", "Manure sent off-site")</f>
        <v>Manure sent off-site</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Electricity'!A1", "Electricity")</f>
        <v>Electricity</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1" t="s">
        <v>77</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HYPERLINK("#'15 Scope 3'!A1", "15 Scope 3")</f>
        <v>15 Scope 3</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HYPERLINK("#'10.1.1-2 Solid waste treatment'!A1", "10.1.1-2 Solid waste treatment")</f>
        <v>10.1.1-2 Solid waste treatment</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HYPERLINK("#'Calcs - Manure sent off-site'!A1", "Calcs - Manure sent off-site")</f>
        <v>Calcs - Manure sent off-site</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s="16" t="str">
        <f>HYPERLINK("#'8.1.1.1-2 Transport fuel'!A1", "8.1.1.1-2 Transport fuel")</f>
        <v>8.1.1.1-2 Transport fuel</v>
      </c>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16" t="str">
        <f>HYPERLINK("#'8.2.1.1-2 Stationary fuel'!A1", "8.2.1.1-2 Stationary fuel")</f>
        <v>8.2.1.1-2 Stationary fuel</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221" t="s">
        <v>78</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Scope 3'!A1", "Constants - Scope 3")</f>
        <v>Constants - Scope 3</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Solid Waste'!A1", "Constants - Solid Waste")</f>
        <v>Constants - Solid Waste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Fuel'!A1", "Constants - Fuel")</f>
        <v>Constants -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Poultry'!A1", "Constants - Poultry")</f>
        <v>Constants - Poultry</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Swine'!A1", "Constants - Swine")</f>
        <v>Constants - Swine</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Dairy'!A1", "Constants - Dairy")</f>
        <v>Constants - Dairy</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Pasture Beef'!A1", "Constants - Pasture Beef")</f>
        <v>Constants - Pasture Beef</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 Livestock'!A1", "Constants - Common Livestock")</f>
        <v>Constants - Common Livestock</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23" t="str">
        <f>HYPERLINK("#'Constants - Fertiliser'!A1", "Constants - Fertiliser")</f>
        <v>Constants - Fertiliser</v>
      </c>
    </row>
    <row r="40" spans="1:10" ht="20.100000000000001" customHeight="1" x14ac:dyDescent="0.25">
      <c r="A40" s="16" t="str">
        <f>HYPERLINK("#'Constants - Electricity'!A1", "Constants - Electricity")</f>
        <v>Constants - Electricity</v>
      </c>
      <c r="D40" s="9" t="s">
        <v>140</v>
      </c>
      <c r="F40" s="9" t="s">
        <v>141</v>
      </c>
      <c r="H40" s="9" t="s">
        <v>142</v>
      </c>
      <c r="J40" s="9" t="s">
        <v>143</v>
      </c>
    </row>
    <row r="41" spans="1:10" ht="20.100000000000001" customHeight="1" x14ac:dyDescent="0.25">
      <c r="A41" s="16" t="str">
        <f>HYPERLINK("#'Constants - Common'!A1", "Constants - Common")</f>
        <v>Constants - Common</v>
      </c>
      <c r="D41" s="10" t="s">
        <v>144</v>
      </c>
      <c r="F41" s="10" t="s">
        <v>144</v>
      </c>
      <c r="H41" s="10" t="s">
        <v>43</v>
      </c>
      <c r="J41" s="10" t="s">
        <v>145</v>
      </c>
    </row>
    <row r="42" spans="1:10" ht="20.100000000000001" customHeight="1" x14ac:dyDescent="0.25">
      <c r="A42"/>
      <c r="D42" s="10" t="s">
        <v>146</v>
      </c>
      <c r="F42" s="10" t="s">
        <v>146</v>
      </c>
      <c r="H42" s="10" t="s">
        <v>147</v>
      </c>
      <c r="J42" s="10" t="s">
        <v>148</v>
      </c>
    </row>
    <row r="43" spans="1:10" ht="20.100000000000001" customHeight="1" x14ac:dyDescent="0.25">
      <c r="A43"/>
      <c r="D43" s="8" t="s">
        <v>149</v>
      </c>
      <c r="F43" s="8" t="s">
        <v>150</v>
      </c>
      <c r="H43" s="10" t="s">
        <v>151</v>
      </c>
      <c r="J43" s="8" t="s">
        <v>152</v>
      </c>
    </row>
    <row r="44" spans="1:10" ht="20.100000000000001" customHeight="1" x14ac:dyDescent="0.25">
      <c r="A44"/>
      <c r="F44" s="8" t="s">
        <v>153</v>
      </c>
      <c r="H44" s="8" t="s">
        <v>154</v>
      </c>
      <c r="J44" s="8" t="s">
        <v>155</v>
      </c>
    </row>
    <row r="45" spans="1:10" ht="20.100000000000001" customHeight="1" x14ac:dyDescent="0.25">
      <c r="A45"/>
      <c r="F45" s="8" t="s">
        <v>156</v>
      </c>
      <c r="H45" s="8" t="s">
        <v>157</v>
      </c>
      <c r="J45" s="8" t="s">
        <v>158</v>
      </c>
    </row>
    <row r="46" spans="1:10" ht="20.100000000000001" customHeight="1" x14ac:dyDescent="0.25">
      <c r="A46"/>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8" t="s">
        <v>906</v>
      </c>
    </row>
    <row r="87" spans="1:31" ht="20.100000000000001" customHeight="1" x14ac:dyDescent="0.25">
      <c r="A87"/>
      <c r="D87" s="9" t="s">
        <v>165</v>
      </c>
      <c r="E87" s="17"/>
      <c r="F87" s="17"/>
      <c r="G87" s="17"/>
      <c r="H87" s="17"/>
      <c r="I87" s="17"/>
      <c r="J87" s="17"/>
      <c r="K87" s="17"/>
      <c r="L87" s="17"/>
      <c r="N87" s="17" t="s">
        <v>906</v>
      </c>
      <c r="O87" s="17"/>
      <c r="P87" s="17"/>
      <c r="Q87" s="17"/>
      <c r="R87" s="17"/>
      <c r="S87" s="17"/>
      <c r="T87" s="17"/>
      <c r="U87" s="17"/>
    </row>
    <row r="88" spans="1:31" ht="20.100000000000001" customHeight="1" x14ac:dyDescent="0.25">
      <c r="A88"/>
      <c r="D88" s="17"/>
    </row>
    <row r="89" spans="1:31" ht="20.100000000000001" customHeight="1" x14ac:dyDescent="0.25">
      <c r="A89"/>
      <c r="D89" s="63" t="s">
        <v>166</v>
      </c>
      <c r="E89" s="10" t="s">
        <v>167</v>
      </c>
      <c r="F89" s="10" t="s">
        <v>168</v>
      </c>
      <c r="G89" s="64" t="s">
        <v>169</v>
      </c>
      <c r="H89" s="64" t="s">
        <v>96</v>
      </c>
      <c r="I89" s="64" t="s">
        <v>170</v>
      </c>
      <c r="J89" s="64" t="s">
        <v>171</v>
      </c>
      <c r="K89" s="64" t="s">
        <v>172</v>
      </c>
      <c r="L89" s="64" t="s">
        <v>173</v>
      </c>
      <c r="M89" s="64" t="s">
        <v>174</v>
      </c>
      <c r="N89" s="64" t="s">
        <v>175</v>
      </c>
      <c r="O89" s="10" t="s">
        <v>176</v>
      </c>
      <c r="P89" s="10" t="s">
        <v>177</v>
      </c>
      <c r="Q89" s="10" t="s">
        <v>178</v>
      </c>
      <c r="R89" s="64" t="s">
        <v>179</v>
      </c>
      <c r="S89" s="64" t="s">
        <v>180</v>
      </c>
      <c r="T89" s="10" t="s">
        <v>181</v>
      </c>
      <c r="U89" s="64" t="s">
        <v>182</v>
      </c>
      <c r="V89" s="64" t="s">
        <v>183</v>
      </c>
      <c r="W89" s="64" t="s">
        <v>184</v>
      </c>
      <c r="X89" s="64" t="s">
        <v>185</v>
      </c>
      <c r="Y89" s="64" t="s">
        <v>186</v>
      </c>
      <c r="Z89" s="10" t="s">
        <v>187</v>
      </c>
      <c r="AA89" s="10" t="s">
        <v>188</v>
      </c>
      <c r="AB89" s="10" t="s">
        <v>189</v>
      </c>
      <c r="AC89" s="10" t="s">
        <v>190</v>
      </c>
      <c r="AD89" s="10" t="s">
        <v>191</v>
      </c>
      <c r="AE89" s="10" t="s">
        <v>192</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0,4)</f>
        <v>L</v>
      </c>
      <c r="I90" s="62" cm="1">
        <f t="array" ref="I90">Common_InputFunctions.Utility_DisplayArrayInTable(Fertiliser_SourceData.Fertiliser_Products_Data1(),FertiliserProducts[[#Headers],[Include or Exclude]], 0,4)</f>
        <v>1.26</v>
      </c>
      <c r="J90" s="62" t="str" cm="1">
        <f t="array" ref="J90">Common_InputFunctions.Utility_DisplayArrayInTable(Fertiliser_SourceData.Fertiliser_Products_Data1(),FertiliserProducts[[#Headers],[Include or Exclude]], 0,4)</f>
        <v/>
      </c>
      <c r="K90" s="62" t="str" cm="1">
        <f t="array" ref="K90">Common_InputFunctions.Utility_DisplayArrayInTable(Fertiliser_SourceData.Fertiliser_Products_Data1(),FertiliserProducts[[#Headers],[Include or Exclude]], 0,4)</f>
        <v/>
      </c>
      <c r="L90" s="62" t="str" cm="1">
        <f t="array" ref="L90">Common_InputFunctions.Utility_DisplayArrayInTable(Fertiliser_SourceData.Fertiliser_Products_Data1(),FertiliserProducts[[#Headers],[Include or Exclude]], 0,4)</f>
        <v>Potassium - Generic</v>
      </c>
      <c r="M90" s="62" cm="1">
        <f t="array" ref="M90">Common_InputFunctions.Utility_DisplayArrayInTable(Fertiliser_SourceData.Fertiliser_Products_Data1(),FertiliserProducts[[#Headers],[Include or Exclude]], 0,4)</f>
        <v>0.22500000000000001</v>
      </c>
      <c r="N90" s="62" t="str" cm="1">
        <f t="array" ref="N90">Common_InputFunctions.Utility_DisplayArrayInTable(Fertiliser_SourceData.Fertiliser_Products_Data1(),FertiliserProducts[[#Headers],[Include or Exclude]], 0,4)</f>
        <v>Phosphorus - Generic</v>
      </c>
      <c r="O90" s="62" cm="1">
        <f t="array" ref="O90">Common_InputFunctions.Utility_DisplayArrayInTable(Fertiliser_SourceData.Fertiliser_Products_Data1(),FertiliserProducts[[#Headers],[Include or Exclude]], 0,4)</f>
        <v>0.04</v>
      </c>
      <c r="P90" s="62" t="str" cm="1">
        <f t="array" ref="P90">Common_InputFunctions.Utility_DisplayArrayInTable(Fertiliser_SourceData.Fertiliser_Products_Data1(),FertiliserProducts[[#Headers],[Include or Exclude]], 0,4)</f>
        <v>Nitrogen - Generic</v>
      </c>
      <c r="Q90" s="62" cm="1">
        <f t="array" ref="Q90">Common_InputFunctions.Utility_DisplayArrayInTable(Fertiliser_SourceData.Fertiliser_Products_Data1(),FertiliserProducts[[#Headers],[Include or Exclude]], 0,4)</f>
        <v>2.5999999999999999E-2</v>
      </c>
      <c r="R90" s="62" t="str" cm="1">
        <f t="array" ref="R90">Common_InputFunctions.Utility_DisplayArrayInTable(Fertiliser_SourceData.Fertiliser_Products_Data1(),FertiliserProducts[[#Headers],[Include or Exclude]], 0,4)</f>
        <v/>
      </c>
      <c r="S90" s="62" t="str" cm="1">
        <f t="array" ref="S90">Common_InputFunctions.Utility_DisplayArrayInTable(Fertiliser_SourceData.Fertiliser_Products_Data1(),FertiliserProducts[[#Headers],[Include or Exclude]], 0,4)</f>
        <v/>
      </c>
      <c r="T90" s="62" t="str" cm="1">
        <f t="array" ref="T90">Common_InputFunctions.Utility_DisplayArrayInTable(Fertiliser_SourceData.Fertiliser_Products_Data1(),FertiliserProducts[[#Headers],[Include or Exclude]], 0,4)</f>
        <v/>
      </c>
      <c r="U90" s="62" t="str" cm="1">
        <f t="array" ref="U90">Common_InputFunctions.Utility_DisplayArrayInTable(Fertiliser_SourceData.Fertiliser_Products_Data1(),FertiliserProducts[[#Headers],[Include or Exclude]], 0,4)</f>
        <v/>
      </c>
      <c r="V90" s="62" t="str" cm="1">
        <f t="array" ref="V90">Common_InputFunctions.Utility_DisplayArrayInTable(Fertiliser_SourceData.Fertiliser_Products_Data1(),FertiliserProducts[[#Headers],[Include or Exclude]], 0,4)</f>
        <v/>
      </c>
      <c r="W90" s="62" t="str" cm="1">
        <f t="array" ref="W90">Common_InputFunctions.Utility_DisplayArrayInTable(Fertiliser_SourceData.Fertiliser_Products_Data1(),FertiliserProducts[[#Headers],[Include or Exclude]], 0,4)</f>
        <v/>
      </c>
      <c r="X90" s="62" t="str" cm="1">
        <f t="array" ref="X90">Common_InputFunctions.Utility_DisplayArrayInTable(Fertiliser_SourceData.Fertiliser_Products_Data1(),FertiliserProducts[[#Headers],[Include or Exclude]], 0,4)</f>
        <v/>
      </c>
      <c r="Y90" s="62" t="str" cm="1">
        <f t="array" ref="Y90">Common_InputFunctions.Utility_DisplayArrayInTable(Fertiliser_SourceData.Fertiliser_Products_Data1(),FertiliserProducts[[#Headers],[Include or Exclude]], 0,4)</f>
        <v/>
      </c>
      <c r="Z90" s="62" t="str" cm="1">
        <f t="array" ref="Z90">Common_InputFunctions.Utility_DisplayArrayInTable(Fertiliser_SourceData.Fertiliser_Products_Data1(),FertiliserProducts[[#Headers],[Include or Exclude]], 0,4)</f>
        <v/>
      </c>
      <c r="AA90" s="62" t="str" cm="1">
        <f t="array" ref="AA90">Common_InputFunctions.Utility_DisplayArrayInTable(Fertiliser_SourceData.Fertiliser_Products_Data1(),FertiliserProducts[[#Headers],[Include or Exclude]], 0,4)</f>
        <v/>
      </c>
      <c r="AB90" s="62" t="str" cm="1">
        <f t="array" ref="AB90">Common_InputFunctions.Utility_DisplayArrayInTable(Fertiliser_SourceData.Fertiliser_Products_Data1(),FertiliserProducts[[#Headers],[Include or Exclude]], 0,4)</f>
        <v/>
      </c>
      <c r="AC90" s="62" t="str" cm="1">
        <f t="array" ref="AC90">Common_InputFunctions.Utility_DisplayArrayInTable(Fertiliser_SourceData.Fertiliser_Products_Data1(),FertiliserProducts[[#Headers],[Include or Exclude]], 0,4)</f>
        <v/>
      </c>
      <c r="AD90" s="62" t="str" cm="1">
        <f t="array" ref="AD90">Common_InputFunctions.Utility_DisplayArrayInTable(Fertiliser_SourceData.Fertiliser_Products_Data1(),FertiliserProducts[[#Headers],[Include or Exclude]], 0,4)</f>
        <v/>
      </c>
      <c r="AE90" s="62" t="str" cm="1">
        <f t="array" ref="AE90">Common_InputFunctions.Utility_DisplayArrayInTable(Fertiliser_SourceData.Fertiliser_Products_Data1(),FertiliserProducts[[#Headers],[Include or Exclude]], 0,4)</f>
        <v/>
      </c>
    </row>
    <row r="91" spans="1:31" ht="20.100000000000001" customHeight="1" x14ac:dyDescent="0.25">
      <c r="A91"/>
      <c r="D91" s="62" t="str" cm="1">
        <f t="array" ref="D91">Common_InputFunctions.Utility_DisplayArrayInTable(Fertiliser_SourceData.Fertiliser_Products_Data1(),FertiliserProducts[[#Headers],[Include or Exclude]], -1)</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0,4)</f>
        <v>L</v>
      </c>
      <c r="I91" s="62" cm="1">
        <f t="array" ref="I91">Common_InputFunctions.Utility_DisplayArrayInTable(Fertiliser_SourceData.Fertiliser_Products_Data1(),FertiliserProducts[[#Headers],[Include or Exclude]], 0,4)</f>
        <v>1.26</v>
      </c>
      <c r="J91" s="62" t="str" cm="1">
        <f t="array" ref="J91">Common_InputFunctions.Utility_DisplayArrayInTable(Fertiliser_SourceData.Fertiliser_Products_Data1(),FertiliserProducts[[#Headers],[Include or Exclude]], 0,4)</f>
        <v/>
      </c>
      <c r="K91" s="62" t="str" cm="1">
        <f t="array" ref="K91">Common_InputFunctions.Utility_DisplayArrayInTable(Fertiliser_SourceData.Fertiliser_Products_Data1(),FertiliserProducts[[#Headers],[Include or Exclude]], 0,4)</f>
        <v/>
      </c>
      <c r="L91" s="62" t="str" cm="1">
        <f t="array" ref="L91">Common_InputFunctions.Utility_DisplayArrayInTable(Fertiliser_SourceData.Fertiliser_Products_Data1(),FertiliserProducts[[#Headers],[Include or Exclude]], 0,4)</f>
        <v>Potassium - Generic</v>
      </c>
      <c r="M91" s="62" cm="1">
        <f t="array" ref="M91">Common_InputFunctions.Utility_DisplayArrayInTable(Fertiliser_SourceData.Fertiliser_Products_Data1(),FertiliserProducts[[#Headers],[Include or Exclude]], 0,4)</f>
        <v>0.105</v>
      </c>
      <c r="N91" s="62" t="str" cm="1">
        <f t="array" ref="N91">Common_InputFunctions.Utility_DisplayArrayInTable(Fertiliser_SourceData.Fertiliser_Products_Data1(),FertiliserProducts[[#Headers],[Include or Exclude]], 0,4)</f>
        <v>Nitrogen - Generic</v>
      </c>
      <c r="O91" s="62" cm="1">
        <f t="array" ref="O91">Common_InputFunctions.Utility_DisplayArrayInTable(Fertiliser_SourceData.Fertiliser_Products_Data1(),FertiliserProducts[[#Headers],[Include or Exclude]], 0,4)</f>
        <v>9.6000000000000002E-2</v>
      </c>
      <c r="P91" s="62" t="str" cm="1">
        <f t="array" ref="P91">Common_InputFunctions.Utility_DisplayArrayInTable(Fertiliser_SourceData.Fertiliser_Products_Data1(),FertiliserProducts[[#Headers],[Include or Exclude]], 0,4)</f>
        <v>Phosphorus - Generic</v>
      </c>
      <c r="Q91" s="62" cm="1">
        <f t="array" ref="Q91">Common_InputFunctions.Utility_DisplayArrayInTable(Fertiliser_SourceData.Fertiliser_Products_Data1(),FertiliserProducts[[#Headers],[Include or Exclude]], 0,4)</f>
        <v>0.05</v>
      </c>
      <c r="R91" s="62" t="str" cm="1">
        <f t="array" ref="R91">Common_InputFunctions.Utility_DisplayArrayInTable(Fertiliser_SourceData.Fertiliser_Products_Data1(),FertiliserProducts[[#Headers],[Include or Exclude]], 0,4)</f>
        <v/>
      </c>
      <c r="S91" s="62" t="str" cm="1">
        <f t="array" ref="S91">Common_InputFunctions.Utility_DisplayArrayInTable(Fertiliser_SourceData.Fertiliser_Products_Data1(),FertiliserProducts[[#Headers],[Include or Exclude]], 0,4)</f>
        <v/>
      </c>
      <c r="T91" s="62" t="str" cm="1">
        <f t="array" ref="T91">Common_InputFunctions.Utility_DisplayArrayInTable(Fertiliser_SourceData.Fertiliser_Products_Data1(),FertiliserProducts[[#Headers],[Include or Exclude]], 0,4)</f>
        <v/>
      </c>
      <c r="U91" s="62" t="str" cm="1">
        <f t="array" ref="U91">Common_InputFunctions.Utility_DisplayArrayInTable(Fertiliser_SourceData.Fertiliser_Products_Data1(),FertiliserProducts[[#Headers],[Include or Exclude]], 0,4)</f>
        <v/>
      </c>
      <c r="V91" s="62" t="str" cm="1">
        <f t="array" ref="V91">Common_InputFunctions.Utility_DisplayArrayInTable(Fertiliser_SourceData.Fertiliser_Products_Data1(),FertiliserProducts[[#Headers],[Include or Exclude]], 0,4)</f>
        <v/>
      </c>
      <c r="W91" s="62" t="str" cm="1">
        <f t="array" ref="W91">Common_InputFunctions.Utility_DisplayArrayInTable(Fertiliser_SourceData.Fertiliser_Products_Data1(),FertiliserProducts[[#Headers],[Include or Exclude]], 0,4)</f>
        <v/>
      </c>
      <c r="X91" s="62" t="str" cm="1">
        <f t="array" ref="X91">Common_InputFunctions.Utility_DisplayArrayInTable(Fertiliser_SourceData.Fertiliser_Products_Data1(),FertiliserProducts[[#Headers],[Include or Exclude]], 0,4)</f>
        <v/>
      </c>
      <c r="Y91" s="62" t="str" cm="1">
        <f t="array" ref="Y91">Common_InputFunctions.Utility_DisplayArrayInTable(Fertiliser_SourceData.Fertiliser_Products_Data1(),FertiliserProducts[[#Headers],[Include or Exclude]], 0,4)</f>
        <v/>
      </c>
      <c r="Z91" s="62" t="str" cm="1">
        <f t="array" ref="Z91">Common_InputFunctions.Utility_DisplayArrayInTable(Fertiliser_SourceData.Fertiliser_Products_Data1(),FertiliserProducts[[#Headers],[Include or Exclude]], 0,4)</f>
        <v/>
      </c>
      <c r="AA91" s="62" t="str" cm="1">
        <f t="array" ref="AA91">Common_InputFunctions.Utility_DisplayArrayInTable(Fertiliser_SourceData.Fertiliser_Products_Data1(),FertiliserProducts[[#Headers],[Include or Exclude]], 0,4)</f>
        <v/>
      </c>
      <c r="AB91" s="62" t="str" cm="1">
        <f t="array" ref="AB91">Common_InputFunctions.Utility_DisplayArrayInTable(Fertiliser_SourceData.Fertiliser_Products_Data1(),FertiliserProducts[[#Headers],[Include or Exclude]], 0,4)</f>
        <v/>
      </c>
      <c r="AC91" s="62" t="str" cm="1">
        <f t="array" ref="AC91">Common_InputFunctions.Utility_DisplayArrayInTable(Fertiliser_SourceData.Fertiliser_Products_Data1(),FertiliserProducts[[#Headers],[Include or Exclude]], 0,4)</f>
        <v/>
      </c>
      <c r="AD91" s="62" t="str" cm="1">
        <f t="array" ref="AD91">Common_InputFunctions.Utility_DisplayArrayInTable(Fertiliser_SourceData.Fertiliser_Products_Data1(),FertiliserProducts[[#Headers],[Include or Exclude]], 0,4)</f>
        <v/>
      </c>
      <c r="AE91" s="62" t="str" cm="1">
        <f t="array" ref="AE91">Common_InputFunctions.Utility_DisplayArrayInTable(Fertiliser_SourceData.Fertiliser_Products_Data1(),FertiliserProducts[[#Headers],[Include or Exclude]], 0,4)</f>
        <v/>
      </c>
    </row>
    <row r="92" spans="1:31" ht="20.100000000000001" customHeight="1" x14ac:dyDescent="0.25">
      <c r="A92"/>
      <c r="D92" s="62" t="str" cm="1">
        <f t="array" ref="D92">Common_InputFunctions.Utility_DisplayArrayInTable(Fertiliser_SourceData.Fertiliser_Products_Data1(),FertiliserProducts[[#Headers],[Include or Exclude]], -1)</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0,4)</f>
        <v>L</v>
      </c>
      <c r="I92" s="62" cm="1">
        <f t="array" ref="I92">Common_InputFunctions.Utility_DisplayArrayInTable(Fertiliser_SourceData.Fertiliser_Products_Data1(),FertiliserProducts[[#Headers],[Include or Exclude]], 0,4)</f>
        <v>1.24</v>
      </c>
      <c r="J92" s="62" t="str" cm="1">
        <f t="array" ref="J92">Common_InputFunctions.Utility_DisplayArrayInTable(Fertiliser_SourceData.Fertiliser_Products_Data1(),FertiliserProducts[[#Headers],[Include or Exclude]], 0,4)</f>
        <v/>
      </c>
      <c r="K92" s="62" t="str" cm="1">
        <f t="array" ref="K92">Common_InputFunctions.Utility_DisplayArrayInTable(Fertiliser_SourceData.Fertiliser_Products_Data1(),FertiliserProducts[[#Headers],[Include or Exclude]], 0,4)</f>
        <v/>
      </c>
      <c r="L92" s="62" t="str" cm="1">
        <f t="array" ref="L92">Common_InputFunctions.Utility_DisplayArrayInTable(Fertiliser_SourceData.Fertiliser_Products_Data1(),FertiliserProducts[[#Headers],[Include or Exclude]], 0,4)</f>
        <v>Nitrogen - Ammoniacal</v>
      </c>
      <c r="M92" s="62" cm="1">
        <f t="array" ref="M92">Common_InputFunctions.Utility_DisplayArrayInTable(Fertiliser_SourceData.Fertiliser_Products_Data1(),FertiliserProducts[[#Headers],[Include or Exclude]], 0,4)</f>
        <v>0.223</v>
      </c>
      <c r="N92" s="62" t="str" cm="1">
        <f t="array" ref="N92">Common_InputFunctions.Utility_DisplayArrayInTable(Fertiliser_SourceData.Fertiliser_Products_Data1(),FertiliserProducts[[#Headers],[Include or Exclude]], 0,4)</f>
        <v/>
      </c>
      <c r="O92" s="62" t="str" cm="1">
        <f t="array" ref="O92">Common_InputFunctions.Utility_DisplayArrayInTable(Fertiliser_SourceData.Fertiliser_Products_Data1(),FertiliserProducts[[#Headers],[Include or Exclude]], 0,4)</f>
        <v/>
      </c>
      <c r="P92" s="62" t="str" cm="1">
        <f t="array" ref="P92">Common_InputFunctions.Utility_DisplayArrayInTable(Fertiliser_SourceData.Fertiliser_Products_Data1(),FertiliserProducts[[#Headers],[Include or Exclude]], 0,4)</f>
        <v/>
      </c>
      <c r="Q92" s="62" t="str" cm="1">
        <f t="array" ref="Q92">Common_InputFunctions.Utility_DisplayArrayInTable(Fertiliser_SourceData.Fertiliser_Products_Data1(),FertiliserProducts[[#Headers],[Include or Exclude]], 0,4)</f>
        <v/>
      </c>
      <c r="R92" s="62" t="str" cm="1">
        <f t="array" ref="R92">Common_InputFunctions.Utility_DisplayArrayInTable(Fertiliser_SourceData.Fertiliser_Products_Data1(),FertiliserProducts[[#Headers],[Include or Exclude]], 0,4)</f>
        <v/>
      </c>
      <c r="S92" s="62" t="str" cm="1">
        <f t="array" ref="S92">Common_InputFunctions.Utility_DisplayArrayInTable(Fertiliser_SourceData.Fertiliser_Products_Data1(),FertiliserProducts[[#Headers],[Include or Exclude]], 0,4)</f>
        <v/>
      </c>
      <c r="T92" s="62" t="str" cm="1">
        <f t="array" ref="T92">Common_InputFunctions.Utility_DisplayArrayInTable(Fertiliser_SourceData.Fertiliser_Products_Data1(),FertiliserProducts[[#Headers],[Include or Exclude]], 0,4)</f>
        <v/>
      </c>
      <c r="U92" s="62" t="str" cm="1">
        <f t="array" ref="U92">Common_InputFunctions.Utility_DisplayArrayInTable(Fertiliser_SourceData.Fertiliser_Products_Data1(),FertiliserProducts[[#Headers],[Include or Exclude]], 0,4)</f>
        <v/>
      </c>
      <c r="V92" s="62" t="str" cm="1">
        <f t="array" ref="V92">Common_InputFunctions.Utility_DisplayArrayInTable(Fertiliser_SourceData.Fertiliser_Products_Data1(),FertiliserProducts[[#Headers],[Include or Exclude]], 0,4)</f>
        <v/>
      </c>
      <c r="W92" s="62" t="str" cm="1">
        <f t="array" ref="W92">Common_InputFunctions.Utility_DisplayArrayInTable(Fertiliser_SourceData.Fertiliser_Products_Data1(),FertiliserProducts[[#Headers],[Include or Exclude]], 0,4)</f>
        <v/>
      </c>
      <c r="X92" s="62" t="str" cm="1">
        <f t="array" ref="X92">Common_InputFunctions.Utility_DisplayArrayInTable(Fertiliser_SourceData.Fertiliser_Products_Data1(),FertiliserProducts[[#Headers],[Include or Exclude]], 0,4)</f>
        <v/>
      </c>
      <c r="Y92" s="62" t="str" cm="1">
        <f t="array" ref="Y92">Common_InputFunctions.Utility_DisplayArrayInTable(Fertiliser_SourceData.Fertiliser_Products_Data1(),FertiliserProducts[[#Headers],[Include or Exclude]], 0,4)</f>
        <v/>
      </c>
      <c r="Z92" s="62" t="str" cm="1">
        <f t="array" ref="Z92">Common_InputFunctions.Utility_DisplayArrayInTable(Fertiliser_SourceData.Fertiliser_Products_Data1(),FertiliserProducts[[#Headers],[Include or Exclude]], 0,4)</f>
        <v/>
      </c>
      <c r="AA92" s="62" t="str" cm="1">
        <f t="array" ref="AA92">Common_InputFunctions.Utility_DisplayArrayInTable(Fertiliser_SourceData.Fertiliser_Products_Data1(),FertiliserProducts[[#Headers],[Include or Exclude]], 0,4)</f>
        <v/>
      </c>
      <c r="AB92" s="62" t="str" cm="1">
        <f t="array" ref="AB92">Common_InputFunctions.Utility_DisplayArrayInTable(Fertiliser_SourceData.Fertiliser_Products_Data1(),FertiliserProducts[[#Headers],[Include or Exclude]], 0,4)</f>
        <v/>
      </c>
      <c r="AC92" s="62" t="str" cm="1">
        <f t="array" ref="AC92">Common_InputFunctions.Utility_DisplayArrayInTable(Fertiliser_SourceData.Fertiliser_Products_Data1(),FertiliserProducts[[#Headers],[Include or Exclude]], 0,4)</f>
        <v/>
      </c>
      <c r="AD92" s="62" t="str" cm="1">
        <f t="array" ref="AD92">Common_InputFunctions.Utility_DisplayArrayInTable(Fertiliser_SourceData.Fertiliser_Products_Data1(),FertiliserProducts[[#Headers],[Include or Exclude]], 0,4)</f>
        <v/>
      </c>
      <c r="AE92" s="62" t="str" cm="1">
        <f t="array" ref="AE92">Common_InputFunctions.Utility_DisplayArrayInTable(Fertiliser_SourceData.Fertiliser_Products_Data1(),FertiliserProducts[[#Headers],[Include or Exclude]], 0,4)</f>
        <v/>
      </c>
    </row>
    <row r="93" spans="1:31" ht="20.100000000000001" customHeight="1" x14ac:dyDescent="0.25">
      <c r="A93"/>
      <c r="D93" s="62" t="str" cm="1">
        <f t="array" ref="D93">Common_InputFunctions.Utility_DisplayArrayInTable(Fertiliser_SourceData.Fertiliser_Products_Data1(),FertiliserProducts[[#Headers],[Include or Exclude]], -1)</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0,4)</f>
        <v>L</v>
      </c>
      <c r="I93" s="62" cm="1">
        <f t="array" ref="I93">Common_InputFunctions.Utility_DisplayArrayInTable(Fertiliser_SourceData.Fertiliser_Products_Data1(),FertiliserProducts[[#Headers],[Include or Exclude]], 0,4)</f>
        <v>1.5</v>
      </c>
      <c r="J93" s="62" t="str" cm="1">
        <f t="array" ref="J93">Common_InputFunctions.Utility_DisplayArrayInTable(Fertiliser_SourceData.Fertiliser_Products_Data1(),FertiliserProducts[[#Headers],[Include or Exclude]], 0,4)</f>
        <v/>
      </c>
      <c r="K93" s="62" t="str" cm="1">
        <f t="array" ref="K93">Common_InputFunctions.Utility_DisplayArrayInTable(Fertiliser_SourceData.Fertiliser_Products_Data1(),FertiliserProducts[[#Headers],[Include or Exclude]], 0,4)</f>
        <v/>
      </c>
      <c r="L93" s="62" t="str" cm="1">
        <f t="array" ref="L93">Common_InputFunctions.Utility_DisplayArrayInTable(Fertiliser_SourceData.Fertiliser_Products_Data1(),FertiliserProducts[[#Headers],[Include or Exclude]], 0,4)</f>
        <v>Calcium - Generic</v>
      </c>
      <c r="M93" s="62" cm="1">
        <f t="array" ref="M93">Common_InputFunctions.Utility_DisplayArrayInTable(Fertiliser_SourceData.Fertiliser_Products_Data1(),FertiliserProducts[[#Headers],[Include or Exclude]], 0,4)</f>
        <v>0.16200000000000001</v>
      </c>
      <c r="N93" s="62" t="str" cm="1">
        <f t="array" ref="N93">Common_InputFunctions.Utility_DisplayArrayInTable(Fertiliser_SourceData.Fertiliser_Products_Data1(),FertiliserProducts[[#Headers],[Include or Exclude]], 0,4)</f>
        <v>Nitrogen - Nitrate</v>
      </c>
      <c r="O93" s="62" cm="1">
        <f t="array" ref="O93">Common_InputFunctions.Utility_DisplayArrayInTable(Fertiliser_SourceData.Fertiliser_Products_Data1(),FertiliserProducts[[#Headers],[Include or Exclude]], 0,4)</f>
        <v>0.13200000000000001</v>
      </c>
      <c r="P93" s="62" t="str" cm="1">
        <f t="array" ref="P93">Common_InputFunctions.Utility_DisplayArrayInTable(Fertiliser_SourceData.Fertiliser_Products_Data1(),FertiliserProducts[[#Headers],[Include or Exclude]], 0,4)</f>
        <v/>
      </c>
      <c r="Q93" s="62" t="str" cm="1">
        <f t="array" ref="Q93">Common_InputFunctions.Utility_DisplayArrayInTable(Fertiliser_SourceData.Fertiliser_Products_Data1(),FertiliserProducts[[#Headers],[Include or Exclude]], 0,4)</f>
        <v/>
      </c>
      <c r="R93" s="62" t="str" cm="1">
        <f t="array" ref="R93">Common_InputFunctions.Utility_DisplayArrayInTable(Fertiliser_SourceData.Fertiliser_Products_Data1(),FertiliserProducts[[#Headers],[Include or Exclude]], 0,4)</f>
        <v/>
      </c>
      <c r="S93" s="62" t="str" cm="1">
        <f t="array" ref="S93">Common_InputFunctions.Utility_DisplayArrayInTable(Fertiliser_SourceData.Fertiliser_Products_Data1(),FertiliserProducts[[#Headers],[Include or Exclude]], 0,4)</f>
        <v/>
      </c>
      <c r="T93" s="62" t="str" cm="1">
        <f t="array" ref="T93">Common_InputFunctions.Utility_DisplayArrayInTable(Fertiliser_SourceData.Fertiliser_Products_Data1(),FertiliserProducts[[#Headers],[Include or Exclude]], 0,4)</f>
        <v/>
      </c>
      <c r="U93" s="62" t="str" cm="1">
        <f t="array" ref="U93">Common_InputFunctions.Utility_DisplayArrayInTable(Fertiliser_SourceData.Fertiliser_Products_Data1(),FertiliserProducts[[#Headers],[Include or Exclude]], 0,4)</f>
        <v/>
      </c>
      <c r="V93" s="62" t="str" cm="1">
        <f t="array" ref="V93">Common_InputFunctions.Utility_DisplayArrayInTable(Fertiliser_SourceData.Fertiliser_Products_Data1(),FertiliserProducts[[#Headers],[Include or Exclude]], 0,4)</f>
        <v/>
      </c>
      <c r="W93" s="62" t="str" cm="1">
        <f t="array" ref="W93">Common_InputFunctions.Utility_DisplayArrayInTable(Fertiliser_SourceData.Fertiliser_Products_Data1(),FertiliserProducts[[#Headers],[Include or Exclude]], 0,4)</f>
        <v/>
      </c>
      <c r="X93" s="62" t="str" cm="1">
        <f t="array" ref="X93">Common_InputFunctions.Utility_DisplayArrayInTable(Fertiliser_SourceData.Fertiliser_Products_Data1(),FertiliserProducts[[#Headers],[Include or Exclude]], 0,4)</f>
        <v/>
      </c>
      <c r="Y93" s="62" t="str" cm="1">
        <f t="array" ref="Y93">Common_InputFunctions.Utility_DisplayArrayInTable(Fertiliser_SourceData.Fertiliser_Products_Data1(),FertiliserProducts[[#Headers],[Include or Exclude]], 0,4)</f>
        <v/>
      </c>
      <c r="Z93" s="62" t="str" cm="1">
        <f t="array" ref="Z93">Common_InputFunctions.Utility_DisplayArrayInTable(Fertiliser_SourceData.Fertiliser_Products_Data1(),FertiliserProducts[[#Headers],[Include or Exclude]], 0,4)</f>
        <v/>
      </c>
      <c r="AA93" s="62" t="str" cm="1">
        <f t="array" ref="AA93">Common_InputFunctions.Utility_DisplayArrayInTable(Fertiliser_SourceData.Fertiliser_Products_Data1(),FertiliserProducts[[#Headers],[Include or Exclude]], 0,4)</f>
        <v/>
      </c>
      <c r="AB93" s="62" t="str" cm="1">
        <f t="array" ref="AB93">Common_InputFunctions.Utility_DisplayArrayInTable(Fertiliser_SourceData.Fertiliser_Products_Data1(),FertiliserProducts[[#Headers],[Include or Exclude]], 0,4)</f>
        <v/>
      </c>
      <c r="AC93" s="62" t="str" cm="1">
        <f t="array" ref="AC93">Common_InputFunctions.Utility_DisplayArrayInTable(Fertiliser_SourceData.Fertiliser_Products_Data1(),FertiliserProducts[[#Headers],[Include or Exclude]], 0,4)</f>
        <v/>
      </c>
      <c r="AD93" s="62" t="str" cm="1">
        <f t="array" ref="AD93">Common_InputFunctions.Utility_DisplayArrayInTable(Fertiliser_SourceData.Fertiliser_Products_Data1(),FertiliserProducts[[#Headers],[Include or Exclude]], 0,4)</f>
        <v/>
      </c>
      <c r="AE93" s="62" t="str" cm="1">
        <f t="array" ref="AE93">Common_InputFunctions.Utility_DisplayArrayInTable(Fertiliser_SourceData.Fertiliser_Products_Data1(),FertiliserProducts[[#Headers],[Include or Exclude]], 0,4)</f>
        <v/>
      </c>
    </row>
    <row r="94" spans="1:31" ht="20.100000000000001" customHeight="1" x14ac:dyDescent="0.25">
      <c r="A94"/>
      <c r="D94" s="62" t="str" cm="1">
        <f t="array" ref="D94">Common_InputFunctions.Utility_DisplayArrayInTable(Fertiliser_SourceData.Fertiliser_Products_Data1(),FertiliserProducts[[#Headers],[Include or Exclude]], -1)</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0,4)</f>
        <v>L</v>
      </c>
      <c r="I94" s="62" cm="1">
        <f t="array" ref="I94">Common_InputFunctions.Utility_DisplayArrayInTable(Fertiliser_SourceData.Fertiliser_Products_Data1(),FertiliserProducts[[#Headers],[Include or Exclude]], 0,4)</f>
        <v>1.5</v>
      </c>
      <c r="J94" s="62" t="str" cm="1">
        <f t="array" ref="J94">Common_InputFunctions.Utility_DisplayArrayInTable(Fertiliser_SourceData.Fertiliser_Products_Data1(),FertiliserProducts[[#Headers],[Include or Exclude]], 0,4)</f>
        <v/>
      </c>
      <c r="K94" s="62" t="str" cm="1">
        <f t="array" ref="K94">Common_InputFunctions.Utility_DisplayArrayInTable(Fertiliser_SourceData.Fertiliser_Products_Data1(),FertiliserProducts[[#Headers],[Include or Exclude]], 0,4)</f>
        <v/>
      </c>
      <c r="L94" s="62" t="str" cm="1">
        <f t="array" ref="L94">Common_InputFunctions.Utility_DisplayArrayInTable(Fertiliser_SourceData.Fertiliser_Products_Data1(),FertiliserProducts[[#Headers],[Include or Exclude]], 0,4)</f>
        <v>Calcium - Generic</v>
      </c>
      <c r="M94" s="62" cm="1">
        <f t="array" ref="M94">Common_InputFunctions.Utility_DisplayArrayInTable(Fertiliser_SourceData.Fertiliser_Products_Data1(),FertiliserProducts[[#Headers],[Include or Exclude]], 0,4)</f>
        <v>0.187</v>
      </c>
      <c r="N94" s="62" t="str" cm="1">
        <f t="array" ref="N94">Common_InputFunctions.Utility_DisplayArrayInTable(Fertiliser_SourceData.Fertiliser_Products_Data1(),FertiliserProducts[[#Headers],[Include or Exclude]], 0,4)</f>
        <v>Nitrogen - Nitrate</v>
      </c>
      <c r="O94" s="62" cm="1">
        <f t="array" ref="O94">Common_InputFunctions.Utility_DisplayArrayInTable(Fertiliser_SourceData.Fertiliser_Products_Data1(),FertiliserProducts[[#Headers],[Include or Exclude]], 0,4)</f>
        <v>0.13200000000000001</v>
      </c>
      <c r="P94" s="62" t="str" cm="1">
        <f t="array" ref="P94">Common_InputFunctions.Utility_DisplayArrayInTable(Fertiliser_SourceData.Fertiliser_Products_Data1(),FertiliserProducts[[#Headers],[Include or Exclude]], 0,4)</f>
        <v/>
      </c>
      <c r="Q94" s="62" t="str" cm="1">
        <f t="array" ref="Q94">Common_InputFunctions.Utility_DisplayArrayInTable(Fertiliser_SourceData.Fertiliser_Products_Data1(),FertiliserProducts[[#Headers],[Include or Exclude]], 0,4)</f>
        <v/>
      </c>
      <c r="R94" s="62" t="str" cm="1">
        <f t="array" ref="R94">Common_InputFunctions.Utility_DisplayArrayInTable(Fertiliser_SourceData.Fertiliser_Products_Data1(),FertiliserProducts[[#Headers],[Include or Exclude]], 0,4)</f>
        <v/>
      </c>
      <c r="S94" s="62" t="str" cm="1">
        <f t="array" ref="S94">Common_InputFunctions.Utility_DisplayArrayInTable(Fertiliser_SourceData.Fertiliser_Products_Data1(),FertiliserProducts[[#Headers],[Include or Exclude]], 0,4)</f>
        <v/>
      </c>
      <c r="T94" s="62" t="str" cm="1">
        <f t="array" ref="T94">Common_InputFunctions.Utility_DisplayArrayInTable(Fertiliser_SourceData.Fertiliser_Products_Data1(),FertiliserProducts[[#Headers],[Include or Exclude]], 0,4)</f>
        <v/>
      </c>
      <c r="U94" s="62" t="str" cm="1">
        <f t="array" ref="U94">Common_InputFunctions.Utility_DisplayArrayInTable(Fertiliser_SourceData.Fertiliser_Products_Data1(),FertiliserProducts[[#Headers],[Include or Exclude]], 0,4)</f>
        <v/>
      </c>
      <c r="V94" s="62" t="str" cm="1">
        <f t="array" ref="V94">Common_InputFunctions.Utility_DisplayArrayInTable(Fertiliser_SourceData.Fertiliser_Products_Data1(),FertiliserProducts[[#Headers],[Include or Exclude]], 0,4)</f>
        <v/>
      </c>
      <c r="W94" s="62" t="str" cm="1">
        <f t="array" ref="W94">Common_InputFunctions.Utility_DisplayArrayInTable(Fertiliser_SourceData.Fertiliser_Products_Data1(),FertiliserProducts[[#Headers],[Include or Exclude]], 0,4)</f>
        <v/>
      </c>
      <c r="X94" s="62" t="str" cm="1">
        <f t="array" ref="X94">Common_InputFunctions.Utility_DisplayArrayInTable(Fertiliser_SourceData.Fertiliser_Products_Data1(),FertiliserProducts[[#Headers],[Include or Exclude]], 0,4)</f>
        <v/>
      </c>
      <c r="Y94" s="62" t="str" cm="1">
        <f t="array" ref="Y94">Common_InputFunctions.Utility_DisplayArrayInTable(Fertiliser_SourceData.Fertiliser_Products_Data1(),FertiliserProducts[[#Headers],[Include or Exclude]], 0,4)</f>
        <v/>
      </c>
      <c r="Z94" s="62" t="str" cm="1">
        <f t="array" ref="Z94">Common_InputFunctions.Utility_DisplayArrayInTable(Fertiliser_SourceData.Fertiliser_Products_Data1(),FertiliserProducts[[#Headers],[Include or Exclude]], 0,4)</f>
        <v/>
      </c>
      <c r="AA94" s="62" t="str" cm="1">
        <f t="array" ref="AA94">Common_InputFunctions.Utility_DisplayArrayInTable(Fertiliser_SourceData.Fertiliser_Products_Data1(),FertiliserProducts[[#Headers],[Include or Exclude]], 0,4)</f>
        <v/>
      </c>
      <c r="AB94" s="62" t="str" cm="1">
        <f t="array" ref="AB94">Common_InputFunctions.Utility_DisplayArrayInTable(Fertiliser_SourceData.Fertiliser_Products_Data1(),FertiliserProducts[[#Headers],[Include or Exclude]], 0,4)</f>
        <v/>
      </c>
      <c r="AC94" s="62" t="str" cm="1">
        <f t="array" ref="AC94">Common_InputFunctions.Utility_DisplayArrayInTable(Fertiliser_SourceData.Fertiliser_Products_Data1(),FertiliserProducts[[#Headers],[Include or Exclude]], 0,4)</f>
        <v/>
      </c>
      <c r="AD94" s="62" t="str" cm="1">
        <f t="array" ref="AD94">Common_InputFunctions.Utility_DisplayArrayInTable(Fertiliser_SourceData.Fertiliser_Products_Data1(),FertiliserProducts[[#Headers],[Include or Exclude]], 0,4)</f>
        <v/>
      </c>
      <c r="AE94" s="62" t="str" cm="1">
        <f t="array" ref="AE94">Common_InputFunctions.Utility_DisplayArrayInTable(Fertiliser_SourceData.Fertiliser_Products_Data1(),FertiliserProducts[[#Headers],[Include or Exclude]], 0,4)</f>
        <v/>
      </c>
    </row>
    <row r="95" spans="1:31" ht="20.100000000000001" customHeight="1" x14ac:dyDescent="0.25">
      <c r="A95"/>
      <c r="D95" s="62" t="str" cm="1">
        <f t="array" ref="D95">Common_InputFunctions.Utility_DisplayArrayInTable(Fertiliser_SourceData.Fertiliser_Products_Data1(),FertiliserProducts[[#Headers],[Include or Exclude]], -1)</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0,4)</f>
        <v>L</v>
      </c>
      <c r="I95" s="62" cm="1">
        <f t="array" ref="I95">Common_InputFunctions.Utility_DisplayArrayInTable(Fertiliser_SourceData.Fertiliser_Products_Data1(),FertiliserProducts[[#Headers],[Include or Exclude]], 0,4)</f>
        <v>1.5</v>
      </c>
      <c r="J95" s="62" t="str" cm="1">
        <f t="array" ref="J95">Common_InputFunctions.Utility_DisplayArrayInTable(Fertiliser_SourceData.Fertiliser_Products_Data1(),FertiliserProducts[[#Headers],[Include or Exclude]], 0,4)</f>
        <v/>
      </c>
      <c r="K95" s="62" t="str" cm="1">
        <f t="array" ref="K95">Common_InputFunctions.Utility_DisplayArrayInTable(Fertiliser_SourceData.Fertiliser_Products_Data1(),FertiliserProducts[[#Headers],[Include or Exclude]], 0,4)</f>
        <v/>
      </c>
      <c r="L95" s="62" t="str" cm="1">
        <f t="array" ref="L95">Common_InputFunctions.Utility_DisplayArrayInTable(Fertiliser_SourceData.Fertiliser_Products_Data1(),FertiliserProducts[[#Headers],[Include or Exclude]], 0,4)</f>
        <v>Calcium - Generic</v>
      </c>
      <c r="M95" s="62" cm="1">
        <f t="array" ref="M95">Common_InputFunctions.Utility_DisplayArrayInTable(Fertiliser_SourceData.Fertiliser_Products_Data1(),FertiliserProducts[[#Headers],[Include or Exclude]], 0,4)</f>
        <v>0.183</v>
      </c>
      <c r="N95" s="62" t="str" cm="1">
        <f t="array" ref="N95">Common_InputFunctions.Utility_DisplayArrayInTable(Fertiliser_SourceData.Fertiliser_Products_Data1(),FertiliserProducts[[#Headers],[Include or Exclude]], 0,4)</f>
        <v>Nitrogen  - Nitrate</v>
      </c>
      <c r="O95" s="62" cm="1">
        <f t="array" ref="O95">Common_InputFunctions.Utility_DisplayArrayInTable(Fertiliser_SourceData.Fertiliser_Products_Data1(),FertiliserProducts[[#Headers],[Include or Exclude]], 0,4)</f>
        <v>0.13200000000000001</v>
      </c>
      <c r="P95" s="62" t="str" cm="1">
        <f t="array" ref="P95">Common_InputFunctions.Utility_DisplayArrayInTable(Fertiliser_SourceData.Fertiliser_Products_Data1(),FertiliserProducts[[#Headers],[Include or Exclude]], 0,4)</f>
        <v/>
      </c>
      <c r="Q95" s="62" t="str" cm="1">
        <f t="array" ref="Q95">Common_InputFunctions.Utility_DisplayArrayInTable(Fertiliser_SourceData.Fertiliser_Products_Data1(),FertiliserProducts[[#Headers],[Include or Exclude]], 0,4)</f>
        <v/>
      </c>
      <c r="R95" s="62" t="str" cm="1">
        <f t="array" ref="R95">Common_InputFunctions.Utility_DisplayArrayInTable(Fertiliser_SourceData.Fertiliser_Products_Data1(),FertiliserProducts[[#Headers],[Include or Exclude]], 0,4)</f>
        <v/>
      </c>
      <c r="S95" s="62" t="str" cm="1">
        <f t="array" ref="S95">Common_InputFunctions.Utility_DisplayArrayInTable(Fertiliser_SourceData.Fertiliser_Products_Data1(),FertiliserProducts[[#Headers],[Include or Exclude]], 0,4)</f>
        <v/>
      </c>
      <c r="T95" s="62" t="str" cm="1">
        <f t="array" ref="T95">Common_InputFunctions.Utility_DisplayArrayInTable(Fertiliser_SourceData.Fertiliser_Products_Data1(),FertiliserProducts[[#Headers],[Include or Exclude]], 0,4)</f>
        <v/>
      </c>
      <c r="U95" s="62" t="str" cm="1">
        <f t="array" ref="U95">Common_InputFunctions.Utility_DisplayArrayInTable(Fertiliser_SourceData.Fertiliser_Products_Data1(),FertiliserProducts[[#Headers],[Include or Exclude]], 0,4)</f>
        <v/>
      </c>
      <c r="V95" s="62" t="str" cm="1">
        <f t="array" ref="V95">Common_InputFunctions.Utility_DisplayArrayInTable(Fertiliser_SourceData.Fertiliser_Products_Data1(),FertiliserProducts[[#Headers],[Include or Exclude]], 0,4)</f>
        <v/>
      </c>
      <c r="W95" s="62" t="str" cm="1">
        <f t="array" ref="W95">Common_InputFunctions.Utility_DisplayArrayInTable(Fertiliser_SourceData.Fertiliser_Products_Data1(),FertiliserProducts[[#Headers],[Include or Exclude]], 0,4)</f>
        <v/>
      </c>
      <c r="X95" s="62" t="str" cm="1">
        <f t="array" ref="X95">Common_InputFunctions.Utility_DisplayArrayInTable(Fertiliser_SourceData.Fertiliser_Products_Data1(),FertiliserProducts[[#Headers],[Include or Exclude]], 0,4)</f>
        <v/>
      </c>
      <c r="Y95" s="62" t="str" cm="1">
        <f t="array" ref="Y95">Common_InputFunctions.Utility_DisplayArrayInTable(Fertiliser_SourceData.Fertiliser_Products_Data1(),FertiliserProducts[[#Headers],[Include or Exclude]], 0,4)</f>
        <v/>
      </c>
      <c r="Z95" s="62" t="str" cm="1">
        <f t="array" ref="Z95">Common_InputFunctions.Utility_DisplayArrayInTable(Fertiliser_SourceData.Fertiliser_Products_Data1(),FertiliserProducts[[#Headers],[Include or Exclude]], 0,4)</f>
        <v/>
      </c>
      <c r="AA95" s="62" t="str" cm="1">
        <f t="array" ref="AA95">Common_InputFunctions.Utility_DisplayArrayInTable(Fertiliser_SourceData.Fertiliser_Products_Data1(),FertiliserProducts[[#Headers],[Include or Exclude]], 0,4)</f>
        <v/>
      </c>
      <c r="AB95" s="62" t="str" cm="1">
        <f t="array" ref="AB95">Common_InputFunctions.Utility_DisplayArrayInTable(Fertiliser_SourceData.Fertiliser_Products_Data1(),FertiliserProducts[[#Headers],[Include or Exclude]], 0,4)</f>
        <v/>
      </c>
      <c r="AC95" s="62" t="str" cm="1">
        <f t="array" ref="AC95">Common_InputFunctions.Utility_DisplayArrayInTable(Fertiliser_SourceData.Fertiliser_Products_Data1(),FertiliserProducts[[#Headers],[Include or Exclude]], 0,4)</f>
        <v/>
      </c>
      <c r="AD95" s="62" t="str" cm="1">
        <f t="array" ref="AD95">Common_InputFunctions.Utility_DisplayArrayInTable(Fertiliser_SourceData.Fertiliser_Products_Data1(),FertiliserProducts[[#Headers],[Include or Exclude]], 0,4)</f>
        <v/>
      </c>
      <c r="AE95" s="62" t="str" cm="1">
        <f t="array" ref="AE95">Common_InputFunctions.Utility_DisplayArrayInTable(Fertiliser_SourceData.Fertiliser_Products_Data1(),FertiliserProducts[[#Headers],[Include or Exclude]], 0,4)</f>
        <v/>
      </c>
    </row>
    <row r="96" spans="1:31" ht="20.100000000000001" customHeight="1" x14ac:dyDescent="0.25">
      <c r="A96"/>
      <c r="D96" s="62" t="str" cm="1">
        <f t="array" ref="D96">Common_InputFunctions.Utility_DisplayArrayInTable(Fertiliser_SourceData.Fertiliser_Products_Data1(),FertiliserProducts[[#Headers],[Include or Exclude]], -1)</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0,4)</f>
        <v>L</v>
      </c>
      <c r="I96" s="62" cm="1">
        <f t="array" ref="I96">Common_InputFunctions.Utility_DisplayArrayInTable(Fertiliser_SourceData.Fertiliser_Products_Data1(),FertiliserProducts[[#Headers],[Include or Exclude]], 0,4)</f>
        <v>1.25</v>
      </c>
      <c r="J96" s="62" t="str" cm="1">
        <f t="array" ref="J96">Common_InputFunctions.Utility_DisplayArrayInTable(Fertiliser_SourceData.Fertiliser_Products_Data1(),FertiliserProducts[[#Headers],[Include or Exclude]], 0,4)</f>
        <v/>
      </c>
      <c r="K96" s="62" t="str" cm="1">
        <f t="array" ref="K96">Common_InputFunctions.Utility_DisplayArrayInTable(Fertiliser_SourceData.Fertiliser_Products_Data1(),FertiliserProducts[[#Headers],[Include or Exclude]], 0,4)</f>
        <v/>
      </c>
      <c r="L96" s="62" t="str" cm="1">
        <f t="array" ref="L96">Common_InputFunctions.Utility_DisplayArrayInTable(Fertiliser_SourceData.Fertiliser_Products_Data1(),FertiliserProducts[[#Headers],[Include or Exclude]], 0,4)</f>
        <v>Nitrogen - Generic</v>
      </c>
      <c r="M96" s="62" cm="1">
        <f t="array" ref="M96">Common_InputFunctions.Utility_DisplayArrayInTable(Fertiliser_SourceData.Fertiliser_Products_Data1(),FertiliserProducts[[#Headers],[Include or Exclude]], 0,4)</f>
        <v>0.10299999999999999</v>
      </c>
      <c r="N96" s="62" t="str" cm="1">
        <f t="array" ref="N96">Common_InputFunctions.Utility_DisplayArrayInTable(Fertiliser_SourceData.Fertiliser_Products_Data1(),FertiliserProducts[[#Headers],[Include or Exclude]], 0,4)</f>
        <v>Phosphorus - Generic</v>
      </c>
      <c r="O96" s="62" cm="1">
        <f t="array" ref="O96">Common_InputFunctions.Utility_DisplayArrayInTable(Fertiliser_SourceData.Fertiliser_Products_Data1(),FertiliserProducts[[#Headers],[Include or Exclude]], 0,4)</f>
        <v>0.1</v>
      </c>
      <c r="P96" s="62" t="str" cm="1">
        <f t="array" ref="P96">Common_InputFunctions.Utility_DisplayArrayInTable(Fertiliser_SourceData.Fertiliser_Products_Data1(),FertiliserProducts[[#Headers],[Include or Exclude]], 0,4)</f>
        <v>Potassium - Generic</v>
      </c>
      <c r="Q96" s="62" cm="1">
        <f t="array" ref="Q96">Common_InputFunctions.Utility_DisplayArrayInTable(Fertiliser_SourceData.Fertiliser_Products_Data1(),FertiliserProducts[[#Headers],[Include or Exclude]], 0,4)</f>
        <v>3.4000000000000002E-2</v>
      </c>
      <c r="R96" s="62" t="str" cm="1">
        <f t="array" ref="R96">Common_InputFunctions.Utility_DisplayArrayInTable(Fertiliser_SourceData.Fertiliser_Products_Data1(),FertiliserProducts[[#Headers],[Include or Exclude]], 0,4)</f>
        <v/>
      </c>
      <c r="S96" s="62" t="str" cm="1">
        <f t="array" ref="S96">Common_InputFunctions.Utility_DisplayArrayInTable(Fertiliser_SourceData.Fertiliser_Products_Data1(),FertiliserProducts[[#Headers],[Include or Exclude]], 0,4)</f>
        <v/>
      </c>
      <c r="T96" s="62" t="str" cm="1">
        <f t="array" ref="T96">Common_InputFunctions.Utility_DisplayArrayInTable(Fertiliser_SourceData.Fertiliser_Products_Data1(),FertiliserProducts[[#Headers],[Include or Exclude]], 0,4)</f>
        <v/>
      </c>
      <c r="U96" s="62" t="str" cm="1">
        <f t="array" ref="U96">Common_InputFunctions.Utility_DisplayArrayInTable(Fertiliser_SourceData.Fertiliser_Products_Data1(),FertiliserProducts[[#Headers],[Include or Exclude]], 0,4)</f>
        <v/>
      </c>
      <c r="V96" s="62" t="str" cm="1">
        <f t="array" ref="V96">Common_InputFunctions.Utility_DisplayArrayInTable(Fertiliser_SourceData.Fertiliser_Products_Data1(),FertiliserProducts[[#Headers],[Include or Exclude]], 0,4)</f>
        <v/>
      </c>
      <c r="W96" s="62" t="str" cm="1">
        <f t="array" ref="W96">Common_InputFunctions.Utility_DisplayArrayInTable(Fertiliser_SourceData.Fertiliser_Products_Data1(),FertiliserProducts[[#Headers],[Include or Exclude]], 0,4)</f>
        <v/>
      </c>
      <c r="X96" s="62" t="str" cm="1">
        <f t="array" ref="X96">Common_InputFunctions.Utility_DisplayArrayInTable(Fertiliser_SourceData.Fertiliser_Products_Data1(),FertiliserProducts[[#Headers],[Include or Exclude]], 0,4)</f>
        <v/>
      </c>
      <c r="Y96" s="62" t="str" cm="1">
        <f t="array" ref="Y96">Common_InputFunctions.Utility_DisplayArrayInTable(Fertiliser_SourceData.Fertiliser_Products_Data1(),FertiliserProducts[[#Headers],[Include or Exclude]], 0,4)</f>
        <v/>
      </c>
      <c r="Z96" s="62" t="str" cm="1">
        <f t="array" ref="Z96">Common_InputFunctions.Utility_DisplayArrayInTable(Fertiliser_SourceData.Fertiliser_Products_Data1(),FertiliserProducts[[#Headers],[Include or Exclude]], 0,4)</f>
        <v/>
      </c>
      <c r="AA96" s="62" t="str" cm="1">
        <f t="array" ref="AA96">Common_InputFunctions.Utility_DisplayArrayInTable(Fertiliser_SourceData.Fertiliser_Products_Data1(),FertiliserProducts[[#Headers],[Include or Exclude]], 0,4)</f>
        <v/>
      </c>
      <c r="AB96" s="62" t="str" cm="1">
        <f t="array" ref="AB96">Common_InputFunctions.Utility_DisplayArrayInTable(Fertiliser_SourceData.Fertiliser_Products_Data1(),FertiliserProducts[[#Headers],[Include or Exclude]], 0,4)</f>
        <v/>
      </c>
      <c r="AC96" s="62" t="str" cm="1">
        <f t="array" ref="AC96">Common_InputFunctions.Utility_DisplayArrayInTable(Fertiliser_SourceData.Fertiliser_Products_Data1(),FertiliserProducts[[#Headers],[Include or Exclude]], 0,4)</f>
        <v/>
      </c>
      <c r="AD96" s="62" t="str" cm="1">
        <f t="array" ref="AD96">Common_InputFunctions.Utility_DisplayArrayInTable(Fertiliser_SourceData.Fertiliser_Products_Data1(),FertiliserProducts[[#Headers],[Include or Exclude]], 0,4)</f>
        <v/>
      </c>
      <c r="AE96" s="62" t="str" cm="1">
        <f t="array" ref="AE96">Common_InputFunctions.Utility_DisplayArrayInTable(Fertiliser_SourceData.Fertiliser_Products_Data1(),FertiliserProducts[[#Headers],[Include or Exclude]], 0,4)</f>
        <v/>
      </c>
    </row>
    <row r="97" spans="1:31" ht="20.100000000000001" customHeight="1" x14ac:dyDescent="0.25">
      <c r="A97"/>
      <c r="D97" s="62" t="str" cm="1">
        <f t="array" ref="D97">Common_InputFunctions.Utility_DisplayArrayInTable(Fertiliser_SourceData.Fertiliser_Products_Data1(),FertiliserProducts[[#Headers],[Include or Exclude]], -1)</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0,4)</f>
        <v>L</v>
      </c>
      <c r="I97" s="62" cm="1">
        <f t="array" ref="I97">Common_InputFunctions.Utility_DisplayArrayInTable(Fertiliser_SourceData.Fertiliser_Products_Data1(),FertiliserProducts[[#Headers],[Include or Exclude]], 0,4)</f>
        <v>1.43</v>
      </c>
      <c r="J97" s="62" t="str" cm="1">
        <f t="array" ref="J97">Common_InputFunctions.Utility_DisplayArrayInTable(Fertiliser_SourceData.Fertiliser_Products_Data1(),FertiliserProducts[[#Headers],[Include or Exclude]], 0,4)</f>
        <v/>
      </c>
      <c r="K97" s="62" t="str" cm="1">
        <f t="array" ref="K97">Common_InputFunctions.Utility_DisplayArrayInTable(Fertiliser_SourceData.Fertiliser_Products_Data1(),FertiliserProducts[[#Headers],[Include or Exclude]], 0,4)</f>
        <v/>
      </c>
      <c r="L97" s="62" t="str" cm="1">
        <f t="array" ref="L97">Common_InputFunctions.Utility_DisplayArrayInTable(Fertiliser_SourceData.Fertiliser_Products_Data1(),FertiliserProducts[[#Headers],[Include or Exclude]], 0,4)</f>
        <v>Potassium - Generic</v>
      </c>
      <c r="M97" s="62" cm="1">
        <f t="array" ref="M97">Common_InputFunctions.Utility_DisplayArrayInTable(Fertiliser_SourceData.Fertiliser_Products_Data1(),FertiliserProducts[[#Headers],[Include or Exclude]], 0,4)</f>
        <v>0.22500000000000001</v>
      </c>
      <c r="N97" s="62" t="str" cm="1">
        <f t="array" ref="N97">Common_InputFunctions.Utility_DisplayArrayInTable(Fertiliser_SourceData.Fertiliser_Products_Data1(),FertiliserProducts[[#Headers],[Include or Exclude]], 0,4)</f>
        <v>Phosphorus - Generic</v>
      </c>
      <c r="O97" s="62" cm="1">
        <f t="array" ref="O97">Common_InputFunctions.Utility_DisplayArrayInTable(Fertiliser_SourceData.Fertiliser_Products_Data1(),FertiliserProducts[[#Headers],[Include or Exclude]], 0,4)</f>
        <v>3.7999999999999999E-2</v>
      </c>
      <c r="P97" s="62" t="str" cm="1">
        <f t="array" ref="P97">Common_InputFunctions.Utility_DisplayArrayInTable(Fertiliser_SourceData.Fertiliser_Products_Data1(),FertiliserProducts[[#Headers],[Include or Exclude]], 0,4)</f>
        <v>Nitrogen - Generic</v>
      </c>
      <c r="Q97" s="62" cm="1">
        <f t="array" ref="Q97">Common_InputFunctions.Utility_DisplayArrayInTable(Fertiliser_SourceData.Fertiliser_Products_Data1(),FertiliserProducts[[#Headers],[Include or Exclude]], 0,4)</f>
        <v>2.5000000000000001E-2</v>
      </c>
      <c r="R97" s="62" t="str" cm="1">
        <f t="array" ref="R97">Common_InputFunctions.Utility_DisplayArrayInTable(Fertiliser_SourceData.Fertiliser_Products_Data1(),FertiliserProducts[[#Headers],[Include or Exclude]], 0,4)</f>
        <v/>
      </c>
      <c r="S97" s="62" t="str" cm="1">
        <f t="array" ref="S97">Common_InputFunctions.Utility_DisplayArrayInTable(Fertiliser_SourceData.Fertiliser_Products_Data1(),FertiliserProducts[[#Headers],[Include or Exclude]], 0,4)</f>
        <v/>
      </c>
      <c r="T97" s="62" t="str" cm="1">
        <f t="array" ref="T97">Common_InputFunctions.Utility_DisplayArrayInTable(Fertiliser_SourceData.Fertiliser_Products_Data1(),FertiliserProducts[[#Headers],[Include or Exclude]], 0,4)</f>
        <v/>
      </c>
      <c r="U97" s="62" t="str" cm="1">
        <f t="array" ref="U97">Common_InputFunctions.Utility_DisplayArrayInTable(Fertiliser_SourceData.Fertiliser_Products_Data1(),FertiliserProducts[[#Headers],[Include or Exclude]], 0,4)</f>
        <v/>
      </c>
      <c r="V97" s="62" t="str" cm="1">
        <f t="array" ref="V97">Common_InputFunctions.Utility_DisplayArrayInTable(Fertiliser_SourceData.Fertiliser_Products_Data1(),FertiliserProducts[[#Headers],[Include or Exclude]], 0,4)</f>
        <v/>
      </c>
      <c r="W97" s="62" t="str" cm="1">
        <f t="array" ref="W97">Common_InputFunctions.Utility_DisplayArrayInTable(Fertiliser_SourceData.Fertiliser_Products_Data1(),FertiliserProducts[[#Headers],[Include or Exclude]], 0,4)</f>
        <v/>
      </c>
      <c r="X97" s="62" t="str" cm="1">
        <f t="array" ref="X97">Common_InputFunctions.Utility_DisplayArrayInTable(Fertiliser_SourceData.Fertiliser_Products_Data1(),FertiliserProducts[[#Headers],[Include or Exclude]], 0,4)</f>
        <v/>
      </c>
      <c r="Y97" s="62" t="str" cm="1">
        <f t="array" ref="Y97">Common_InputFunctions.Utility_DisplayArrayInTable(Fertiliser_SourceData.Fertiliser_Products_Data1(),FertiliserProducts[[#Headers],[Include or Exclude]], 0,4)</f>
        <v/>
      </c>
      <c r="Z97" s="62" t="str" cm="1">
        <f t="array" ref="Z97">Common_InputFunctions.Utility_DisplayArrayInTable(Fertiliser_SourceData.Fertiliser_Products_Data1(),FertiliserProducts[[#Headers],[Include or Exclude]], 0,4)</f>
        <v/>
      </c>
      <c r="AA97" s="62" t="str" cm="1">
        <f t="array" ref="AA97">Common_InputFunctions.Utility_DisplayArrayInTable(Fertiliser_SourceData.Fertiliser_Products_Data1(),FertiliserProducts[[#Headers],[Include or Exclude]], 0,4)</f>
        <v/>
      </c>
      <c r="AB97" s="62" t="str" cm="1">
        <f t="array" ref="AB97">Common_InputFunctions.Utility_DisplayArrayInTable(Fertiliser_SourceData.Fertiliser_Products_Data1(),FertiliserProducts[[#Headers],[Include or Exclude]], 0,4)</f>
        <v/>
      </c>
      <c r="AC97" s="62" t="str" cm="1">
        <f t="array" ref="AC97">Common_InputFunctions.Utility_DisplayArrayInTable(Fertiliser_SourceData.Fertiliser_Products_Data1(),FertiliserProducts[[#Headers],[Include or Exclude]], 0,4)</f>
        <v/>
      </c>
      <c r="AD97" s="62" t="str" cm="1">
        <f t="array" ref="AD97">Common_InputFunctions.Utility_DisplayArrayInTable(Fertiliser_SourceData.Fertiliser_Products_Data1(),FertiliserProducts[[#Headers],[Include or Exclude]], 0,4)</f>
        <v/>
      </c>
      <c r="AE97" s="62" t="str" cm="1">
        <f t="array" ref="AE97">Common_InputFunctions.Utility_DisplayArrayInTable(Fertiliser_SourceData.Fertiliser_Products_Data1(),FertiliserProducts[[#Headers],[Include or Exclude]], 0,4)</f>
        <v/>
      </c>
    </row>
    <row r="98" spans="1:31" ht="20.100000000000001" customHeight="1" x14ac:dyDescent="0.25">
      <c r="A98"/>
      <c r="D98" s="62" t="str" cm="1">
        <f t="array" ref="D98">Common_InputFunctions.Utility_DisplayArrayInTable(Fertiliser_SourceData.Fertiliser_Products_Data1(),FertiliserProducts[[#Headers],[Include or Exclude]], -1)</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0,4)</f>
        <v>L</v>
      </c>
      <c r="I98" s="62" cm="1">
        <f t="array" ref="I98">Common_InputFunctions.Utility_DisplayArrayInTable(Fertiliser_SourceData.Fertiliser_Products_Data1(),FertiliserProducts[[#Headers],[Include or Exclude]], 0,4)</f>
        <v>1.29</v>
      </c>
      <c r="J98" s="62" t="str" cm="1">
        <f t="array" ref="J98">Common_InputFunctions.Utility_DisplayArrayInTable(Fertiliser_SourceData.Fertiliser_Products_Data1(),FertiliserProducts[[#Headers],[Include or Exclude]], 0,4)</f>
        <v/>
      </c>
      <c r="K98" s="62" t="str" cm="1">
        <f t="array" ref="K98">Common_InputFunctions.Utility_DisplayArrayInTable(Fertiliser_SourceData.Fertiliser_Products_Data1(),FertiliserProducts[[#Headers],[Include or Exclude]], 0,4)</f>
        <v/>
      </c>
      <c r="L98" s="62" t="str" cm="1">
        <f t="array" ref="L98">Common_InputFunctions.Utility_DisplayArrayInTable(Fertiliser_SourceData.Fertiliser_Products_Data1(),FertiliserProducts[[#Headers],[Include or Exclude]], 0,4)</f>
        <v>Nitrogen - Generic</v>
      </c>
      <c r="M98" s="62" cm="1">
        <f t="array" ref="M98">Common_InputFunctions.Utility_DisplayArrayInTable(Fertiliser_SourceData.Fertiliser_Products_Data1(),FertiliserProducts[[#Headers],[Include or Exclude]], 0,4)</f>
        <v>0.105</v>
      </c>
      <c r="N98" s="62" t="str" cm="1">
        <f t="array" ref="N98">Common_InputFunctions.Utility_DisplayArrayInTable(Fertiliser_SourceData.Fertiliser_Products_Data1(),FertiliserProducts[[#Headers],[Include or Exclude]], 0,4)</f>
        <v>Phosphorus - Generic</v>
      </c>
      <c r="O98" s="62" cm="1">
        <f t="array" ref="O98">Common_InputFunctions.Utility_DisplayArrayInTable(Fertiliser_SourceData.Fertiliser_Products_Data1(),FertiliserProducts[[#Headers],[Include or Exclude]], 0,4)</f>
        <v>9.4E-2</v>
      </c>
      <c r="P98" s="62" t="str" cm="1">
        <f t="array" ref="P98">Common_InputFunctions.Utility_DisplayArrayInTable(Fertiliser_SourceData.Fertiliser_Products_Data1(),FertiliserProducts[[#Headers],[Include or Exclude]], 0,4)</f>
        <v>Potassium - Generic</v>
      </c>
      <c r="Q98" s="62" cm="1">
        <f t="array" ref="Q98">Common_InputFunctions.Utility_DisplayArrayInTable(Fertiliser_SourceData.Fertiliser_Products_Data1(),FertiliserProducts[[#Headers],[Include or Exclude]], 0,4)</f>
        <v>0.04</v>
      </c>
      <c r="R98" s="62" t="str" cm="1">
        <f t="array" ref="R98">Common_InputFunctions.Utility_DisplayArrayInTable(Fertiliser_SourceData.Fertiliser_Products_Data1(),FertiliserProducts[[#Headers],[Include or Exclude]], 0,4)</f>
        <v>Sulfur - Generic</v>
      </c>
      <c r="S98" s="62" cm="1">
        <f t="array" ref="S98">Common_InputFunctions.Utility_DisplayArrayInTable(Fertiliser_SourceData.Fertiliser_Products_Data1(),FertiliserProducts[[#Headers],[Include or Exclude]], 0,4)</f>
        <v>0.03</v>
      </c>
      <c r="T98" s="62" t="str" cm="1">
        <f t="array" ref="T98">Common_InputFunctions.Utility_DisplayArrayInTable(Fertiliser_SourceData.Fertiliser_Products_Data1(),FertiliserProducts[[#Headers],[Include or Exclude]], 0,4)</f>
        <v/>
      </c>
      <c r="U98" s="62" t="str" cm="1">
        <f t="array" ref="U98">Common_InputFunctions.Utility_DisplayArrayInTable(Fertiliser_SourceData.Fertiliser_Products_Data1(),FertiliserProducts[[#Headers],[Include or Exclude]], 0,4)</f>
        <v/>
      </c>
      <c r="V98" s="62" t="str" cm="1">
        <f t="array" ref="V98">Common_InputFunctions.Utility_DisplayArrayInTable(Fertiliser_SourceData.Fertiliser_Products_Data1(),FertiliserProducts[[#Headers],[Include or Exclude]], 0,4)</f>
        <v/>
      </c>
      <c r="W98" s="62" t="str" cm="1">
        <f t="array" ref="W98">Common_InputFunctions.Utility_DisplayArrayInTable(Fertiliser_SourceData.Fertiliser_Products_Data1(),FertiliserProducts[[#Headers],[Include or Exclude]], 0,4)</f>
        <v/>
      </c>
      <c r="X98" s="62" t="str" cm="1">
        <f t="array" ref="X98">Common_InputFunctions.Utility_DisplayArrayInTable(Fertiliser_SourceData.Fertiliser_Products_Data1(),FertiliserProducts[[#Headers],[Include or Exclude]], 0,4)</f>
        <v/>
      </c>
      <c r="Y98" s="62" t="str" cm="1">
        <f t="array" ref="Y98">Common_InputFunctions.Utility_DisplayArrayInTable(Fertiliser_SourceData.Fertiliser_Products_Data1(),FertiliserProducts[[#Headers],[Include or Exclude]], 0,4)</f>
        <v/>
      </c>
      <c r="Z98" s="62" t="str" cm="1">
        <f t="array" ref="Z98">Common_InputFunctions.Utility_DisplayArrayInTable(Fertiliser_SourceData.Fertiliser_Products_Data1(),FertiliserProducts[[#Headers],[Include or Exclude]], 0,4)</f>
        <v/>
      </c>
      <c r="AA98" s="62" t="str" cm="1">
        <f t="array" ref="AA98">Common_InputFunctions.Utility_DisplayArrayInTable(Fertiliser_SourceData.Fertiliser_Products_Data1(),FertiliserProducts[[#Headers],[Include or Exclude]], 0,4)</f>
        <v/>
      </c>
      <c r="AB98" s="62" t="str" cm="1">
        <f t="array" ref="AB98">Common_InputFunctions.Utility_DisplayArrayInTable(Fertiliser_SourceData.Fertiliser_Products_Data1(),FertiliserProducts[[#Headers],[Include or Exclude]], 0,4)</f>
        <v/>
      </c>
      <c r="AC98" s="62" t="str" cm="1">
        <f t="array" ref="AC98">Common_InputFunctions.Utility_DisplayArrayInTable(Fertiliser_SourceData.Fertiliser_Products_Data1(),FertiliserProducts[[#Headers],[Include or Exclude]], 0,4)</f>
        <v/>
      </c>
      <c r="AD98" s="62" t="str" cm="1">
        <f t="array" ref="AD98">Common_InputFunctions.Utility_DisplayArrayInTable(Fertiliser_SourceData.Fertiliser_Products_Data1(),FertiliserProducts[[#Headers],[Include or Exclude]], 0,4)</f>
        <v/>
      </c>
      <c r="AE98" s="62" t="str" cm="1">
        <f t="array" ref="AE98">Common_InputFunctions.Utility_DisplayArrayInTable(Fertiliser_SourceData.Fertiliser_Products_Data1(),FertiliserProducts[[#Headers],[Include or Exclude]], 0,4)</f>
        <v/>
      </c>
    </row>
    <row r="99" spans="1:31" ht="20.100000000000001" customHeight="1" x14ac:dyDescent="0.25">
      <c r="A99"/>
      <c r="D99" s="62" t="str" cm="1">
        <f t="array" ref="D99">Common_InputFunctions.Utility_DisplayArrayInTable(Fertiliser_SourceData.Fertiliser_Products_Data1(),FertiliserProducts[[#Headers],[Include or Exclude]], -1)</f>
        <v>Exclude - Not relevant</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0,4)</f>
        <v>L</v>
      </c>
      <c r="I99" s="62" cm="1">
        <f t="array" ref="I99">Common_InputFunctions.Utility_DisplayArrayInTable(Fertiliser_SourceData.Fertiliser_Products_Data1(),FertiliserProducts[[#Headers],[Include or Exclude]], 0,4)</f>
        <v>1.32</v>
      </c>
      <c r="J99" s="62" t="str" cm="1">
        <f t="array" ref="J99">Common_InputFunctions.Utility_DisplayArrayInTable(Fertiliser_SourceData.Fertiliser_Products_Data1(),FertiliserProducts[[#Headers],[Include or Exclude]], 0,4)</f>
        <v/>
      </c>
      <c r="K99" s="62" t="str" cm="1">
        <f t="array" ref="K99">Common_InputFunctions.Utility_DisplayArrayInTable(Fertiliser_SourceData.Fertiliser_Products_Data1(),FertiliserProducts[[#Headers],[Include or Exclude]], 0,4)</f>
        <v/>
      </c>
      <c r="L99" s="62" t="str" cm="1">
        <f t="array" ref="L99">Common_InputFunctions.Utility_DisplayArrayInTable(Fertiliser_SourceData.Fertiliser_Products_Data1(),FertiliserProducts[[#Headers],[Include or Exclude]], 0,4)</f>
        <v>Potassium - Generic</v>
      </c>
      <c r="M99" s="62" cm="1">
        <f t="array" ref="M99">Common_InputFunctions.Utility_DisplayArrayInTable(Fertiliser_SourceData.Fertiliser_Products_Data1(),FertiliserProducts[[#Headers],[Include or Exclude]], 0,4)</f>
        <v>0.108</v>
      </c>
      <c r="N99" s="62" t="str" cm="1">
        <f t="array" ref="N99">Common_InputFunctions.Utility_DisplayArrayInTable(Fertiliser_SourceData.Fertiliser_Products_Data1(),FertiliserProducts[[#Headers],[Include or Exclude]], 0,4)</f>
        <v>Nitrogen - Generic</v>
      </c>
      <c r="O99" s="62" cm="1">
        <f t="array" ref="O99">Common_InputFunctions.Utility_DisplayArrayInTable(Fertiliser_SourceData.Fertiliser_Products_Data1(),FertiliserProducts[[#Headers],[Include or Exclude]], 0,4)</f>
        <v>9.5000000000000001E-2</v>
      </c>
      <c r="P99" s="62" t="str" cm="1">
        <f t="array" ref="P99">Common_InputFunctions.Utility_DisplayArrayInTable(Fertiliser_SourceData.Fertiliser_Products_Data1(),FertiliserProducts[[#Headers],[Include or Exclude]], 0,4)</f>
        <v>Sulfur - Generic</v>
      </c>
      <c r="Q99" s="62" cm="1">
        <f t="array" ref="Q99">Common_InputFunctions.Utility_DisplayArrayInTable(Fertiliser_SourceData.Fertiliser_Products_Data1(),FertiliserProducts[[#Headers],[Include or Exclude]], 0,4)</f>
        <v>8.1000000000000003E-2</v>
      </c>
      <c r="R99" s="62" t="str" cm="1">
        <f t="array" ref="R99">Common_InputFunctions.Utility_DisplayArrayInTable(Fertiliser_SourceData.Fertiliser_Products_Data1(),FertiliserProducts[[#Headers],[Include or Exclude]], 0,4)</f>
        <v>Phosphorus - Generic</v>
      </c>
      <c r="S99" s="62" cm="1">
        <f t="array" ref="S99">Common_InputFunctions.Utility_DisplayArrayInTable(Fertiliser_SourceData.Fertiliser_Products_Data1(),FertiliserProducts[[#Headers],[Include or Exclude]], 0,4)</f>
        <v>4.7E-2</v>
      </c>
      <c r="T99" s="62" t="str" cm="1">
        <f t="array" ref="T99">Common_InputFunctions.Utility_DisplayArrayInTable(Fertiliser_SourceData.Fertiliser_Products_Data1(),FertiliserProducts[[#Headers],[Include or Exclude]], 0,4)</f>
        <v/>
      </c>
      <c r="U99" s="62" t="str" cm="1">
        <f t="array" ref="U99">Common_InputFunctions.Utility_DisplayArrayInTable(Fertiliser_SourceData.Fertiliser_Products_Data1(),FertiliserProducts[[#Headers],[Include or Exclude]], 0,4)</f>
        <v/>
      </c>
      <c r="V99" s="62" t="str" cm="1">
        <f t="array" ref="V99">Common_InputFunctions.Utility_DisplayArrayInTable(Fertiliser_SourceData.Fertiliser_Products_Data1(),FertiliserProducts[[#Headers],[Include or Exclude]], 0,4)</f>
        <v/>
      </c>
      <c r="W99" s="62" t="str" cm="1">
        <f t="array" ref="W99">Common_InputFunctions.Utility_DisplayArrayInTable(Fertiliser_SourceData.Fertiliser_Products_Data1(),FertiliserProducts[[#Headers],[Include or Exclude]], 0,4)</f>
        <v/>
      </c>
      <c r="X99" s="62" t="str" cm="1">
        <f t="array" ref="X99">Common_InputFunctions.Utility_DisplayArrayInTable(Fertiliser_SourceData.Fertiliser_Products_Data1(),FertiliserProducts[[#Headers],[Include or Exclude]], 0,4)</f>
        <v/>
      </c>
      <c r="Y99" s="62" t="str" cm="1">
        <f t="array" ref="Y99">Common_InputFunctions.Utility_DisplayArrayInTable(Fertiliser_SourceData.Fertiliser_Products_Data1(),FertiliserProducts[[#Headers],[Include or Exclude]], 0,4)</f>
        <v/>
      </c>
      <c r="Z99" s="62" t="str" cm="1">
        <f t="array" ref="Z99">Common_InputFunctions.Utility_DisplayArrayInTable(Fertiliser_SourceData.Fertiliser_Products_Data1(),FertiliserProducts[[#Headers],[Include or Exclude]], 0,4)</f>
        <v/>
      </c>
      <c r="AA99" s="62" t="str" cm="1">
        <f t="array" ref="AA99">Common_InputFunctions.Utility_DisplayArrayInTable(Fertiliser_SourceData.Fertiliser_Products_Data1(),FertiliserProducts[[#Headers],[Include or Exclude]], 0,4)</f>
        <v/>
      </c>
      <c r="AB99" s="62" t="str" cm="1">
        <f t="array" ref="AB99">Common_InputFunctions.Utility_DisplayArrayInTable(Fertiliser_SourceData.Fertiliser_Products_Data1(),FertiliserProducts[[#Headers],[Include or Exclude]], 0,4)</f>
        <v/>
      </c>
      <c r="AC99" s="62" t="str" cm="1">
        <f t="array" ref="AC99">Common_InputFunctions.Utility_DisplayArrayInTable(Fertiliser_SourceData.Fertiliser_Products_Data1(),FertiliserProducts[[#Headers],[Include or Exclude]], 0,4)</f>
        <v/>
      </c>
      <c r="AD99" s="62" t="str" cm="1">
        <f t="array" ref="AD99">Common_InputFunctions.Utility_DisplayArrayInTable(Fertiliser_SourceData.Fertiliser_Products_Data1(),FertiliserProducts[[#Headers],[Include or Exclude]], 0,4)</f>
        <v/>
      </c>
      <c r="AE99" s="62" t="str" cm="1">
        <f t="array" ref="AE99">Common_InputFunctions.Utility_DisplayArrayInTable(Fertiliser_SourceData.Fertiliser_Products_Data1(),FertiliserProducts[[#Headers],[Include or Exclude]], 0,4)</f>
        <v/>
      </c>
    </row>
    <row r="100" spans="1:31" ht="20.100000000000001" customHeight="1" x14ac:dyDescent="0.25">
      <c r="A100"/>
      <c r="D100" s="62" t="str" cm="1">
        <f t="array" ref="D100">Common_InputFunctions.Utility_DisplayArrayInTable(Fertiliser_SourceData.Fertiliser_Products_Data1(),FertiliserProducts[[#Headers],[Include or Exclude]], -1)</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0,4)</f>
        <v/>
      </c>
      <c r="I100" s="62" t="str" cm="1">
        <f t="array" ref="I100">Common_InputFunctions.Utility_DisplayArrayInTable(Fertiliser_SourceData.Fertiliser_Products_Data1(),FertiliserProducts[[#Headers],[Include or Exclude]], 0,4)</f>
        <v/>
      </c>
      <c r="J100" s="62" t="str" cm="1">
        <f t="array" ref="J100">Common_InputFunctions.Utility_DisplayArrayInTable(Fertiliser_SourceData.Fertiliser_Products_Data1(),FertiliserProducts[[#Headers],[Include or Exclude]], 0,4)</f>
        <v/>
      </c>
      <c r="K100" s="62" t="str" cm="1">
        <f t="array" ref="K100">Common_InputFunctions.Utility_DisplayArrayInTable(Fertiliser_SourceData.Fertiliser_Products_Data1(),FertiliserProducts[[#Headers],[Include or Exclude]], 0,4)</f>
        <v/>
      </c>
      <c r="L100" s="62" t="str" cm="1">
        <f t="array" ref="L100">Common_InputFunctions.Utility_DisplayArrayInTable(Fertiliser_SourceData.Fertiliser_Products_Data1(),FertiliserProducts[[#Headers],[Include or Exclude]], 0,4)</f>
        <v/>
      </c>
      <c r="M100" s="62" t="str" cm="1">
        <f t="array" ref="M100">Common_InputFunctions.Utility_DisplayArrayInTable(Fertiliser_SourceData.Fertiliser_Products_Data1(),FertiliserProducts[[#Headers],[Include or Exclude]], 0,4)</f>
        <v/>
      </c>
      <c r="N100" s="62" t="str" cm="1">
        <f t="array" ref="N100">Common_InputFunctions.Utility_DisplayArrayInTable(Fertiliser_SourceData.Fertiliser_Products_Data1(),FertiliserProducts[[#Headers],[Include or Exclude]], 0,4)</f>
        <v/>
      </c>
      <c r="O100" s="62" t="str" cm="1">
        <f t="array" ref="O100">Common_InputFunctions.Utility_DisplayArrayInTable(Fertiliser_SourceData.Fertiliser_Products_Data1(),FertiliserProducts[[#Headers],[Include or Exclude]], 0,4)</f>
        <v/>
      </c>
      <c r="P100" s="62" t="str" cm="1">
        <f t="array" ref="P100">Common_InputFunctions.Utility_DisplayArrayInTable(Fertiliser_SourceData.Fertiliser_Products_Data1(),FertiliserProducts[[#Headers],[Include or Exclude]], 0,4)</f>
        <v/>
      </c>
      <c r="Q100" s="62" t="str" cm="1">
        <f t="array" ref="Q100">Common_InputFunctions.Utility_DisplayArrayInTable(Fertiliser_SourceData.Fertiliser_Products_Data1(),FertiliserProducts[[#Headers],[Include or Exclude]], 0,4)</f>
        <v/>
      </c>
      <c r="R100" s="62" t="str" cm="1">
        <f t="array" ref="R100">Common_InputFunctions.Utility_DisplayArrayInTable(Fertiliser_SourceData.Fertiliser_Products_Data1(),FertiliserProducts[[#Headers],[Include or Exclude]], 0,4)</f>
        <v/>
      </c>
      <c r="S100" s="62" t="str" cm="1">
        <f t="array" ref="S100">Common_InputFunctions.Utility_DisplayArrayInTable(Fertiliser_SourceData.Fertiliser_Products_Data1(),FertiliserProducts[[#Headers],[Include or Exclude]], 0,4)</f>
        <v/>
      </c>
      <c r="T100" s="62" t="str" cm="1">
        <f t="array" ref="T100">Common_InputFunctions.Utility_DisplayArrayInTable(Fertiliser_SourceData.Fertiliser_Products_Data1(),FertiliserProducts[[#Headers],[Include or Exclude]], 0,4)</f>
        <v/>
      </c>
      <c r="U100" s="62" t="str" cm="1">
        <f t="array" ref="U100">Common_InputFunctions.Utility_DisplayArrayInTable(Fertiliser_SourceData.Fertiliser_Products_Data1(),FertiliserProducts[[#Headers],[Include or Exclude]], 0,4)</f>
        <v/>
      </c>
      <c r="V100" s="62" t="str" cm="1">
        <f t="array" ref="V100">Common_InputFunctions.Utility_DisplayArrayInTable(Fertiliser_SourceData.Fertiliser_Products_Data1(),FertiliserProducts[[#Headers],[Include or Exclude]], 0,4)</f>
        <v/>
      </c>
      <c r="W100" s="62" t="str" cm="1">
        <f t="array" ref="W100">Common_InputFunctions.Utility_DisplayArrayInTable(Fertiliser_SourceData.Fertiliser_Products_Data1(),FertiliserProducts[[#Headers],[Include or Exclude]], 0,4)</f>
        <v/>
      </c>
      <c r="X100" s="62" t="str" cm="1">
        <f t="array" ref="X100">Common_InputFunctions.Utility_DisplayArrayInTable(Fertiliser_SourceData.Fertiliser_Products_Data1(),FertiliserProducts[[#Headers],[Include or Exclude]], 0,4)</f>
        <v/>
      </c>
      <c r="Y100" s="62" t="str" cm="1">
        <f t="array" ref="Y100">Common_InputFunctions.Utility_DisplayArrayInTable(Fertiliser_SourceData.Fertiliser_Products_Data1(),FertiliserProducts[[#Headers],[Include or Exclude]], 0,4)</f>
        <v/>
      </c>
      <c r="Z100" s="62" t="str" cm="1">
        <f t="array" ref="Z100">Common_InputFunctions.Utility_DisplayArrayInTable(Fertiliser_SourceData.Fertiliser_Products_Data1(),FertiliserProducts[[#Headers],[Include or Exclude]], 0,4)</f>
        <v/>
      </c>
      <c r="AA100" s="62" t="str" cm="1">
        <f t="array" ref="AA100">Common_InputFunctions.Utility_DisplayArrayInTable(Fertiliser_SourceData.Fertiliser_Products_Data1(),FertiliserProducts[[#Headers],[Include or Exclude]], 0,4)</f>
        <v/>
      </c>
      <c r="AB100" s="62" t="str" cm="1">
        <f t="array" ref="AB100">Common_InputFunctions.Utility_DisplayArrayInTable(Fertiliser_SourceData.Fertiliser_Products_Data1(),FertiliserProducts[[#Headers],[Include or Exclude]], 0,4)</f>
        <v/>
      </c>
      <c r="AC100" s="62" t="str" cm="1">
        <f t="array" ref="AC100">Common_InputFunctions.Utility_DisplayArrayInTable(Fertiliser_SourceData.Fertiliser_Products_Data1(),FertiliserProducts[[#Headers],[Include or Exclude]], 0,4)</f>
        <v/>
      </c>
      <c r="AD100" s="62" t="str" cm="1">
        <f t="array" ref="AD100">Common_InputFunctions.Utility_DisplayArrayInTable(Fertiliser_SourceData.Fertiliser_Products_Data1(),FertiliserProducts[[#Headers],[Include or Exclude]], 0,4)</f>
        <v/>
      </c>
      <c r="AE100" s="62" t="str" cm="1">
        <f t="array" ref="AE100">Common_InputFunctions.Utility_DisplayArrayInTable(Fertiliser_SourceData.Fertiliser_Products_Data1(),FertiliserProducts[[#Headers],[Include or Exclude]], 0,4)</f>
        <v/>
      </c>
    </row>
    <row r="101" spans="1:31" ht="20.100000000000001" customHeight="1" x14ac:dyDescent="0.25">
      <c r="A101"/>
      <c r="D101" s="62" t="str" cm="1">
        <f t="array" ref="D101">Common_InputFunctions.Utility_DisplayArrayInTable(Fertiliser_SourceData.Fertiliser_Products_Data1(),FertiliserProducts[[#Headers],[Include or Exclude]], -1)</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0,4)</f>
        <v/>
      </c>
      <c r="I101" s="62" t="str" cm="1">
        <f t="array" ref="I101">Common_InputFunctions.Utility_DisplayArrayInTable(Fertiliser_SourceData.Fertiliser_Products_Data1(),FertiliserProducts[[#Headers],[Include or Exclude]], 0,4)</f>
        <v/>
      </c>
      <c r="J101" s="62" t="str" cm="1">
        <f t="array" ref="J101">Common_InputFunctions.Utility_DisplayArrayInTable(Fertiliser_SourceData.Fertiliser_Products_Data1(),FertiliserProducts[[#Headers],[Include or Exclude]], 0,4)</f>
        <v/>
      </c>
      <c r="K101" s="62" t="str" cm="1">
        <f t="array" ref="K101">Common_InputFunctions.Utility_DisplayArrayInTable(Fertiliser_SourceData.Fertiliser_Products_Data1(),FertiliserProducts[[#Headers],[Include or Exclude]], 0,4)</f>
        <v/>
      </c>
      <c r="L101" s="62" t="str" cm="1">
        <f t="array" ref="L101">Common_InputFunctions.Utility_DisplayArrayInTable(Fertiliser_SourceData.Fertiliser_Products_Data1(),FertiliserProducts[[#Headers],[Include or Exclude]], 0,4)</f>
        <v/>
      </c>
      <c r="M101" s="62" t="str" cm="1">
        <f t="array" ref="M101">Common_InputFunctions.Utility_DisplayArrayInTable(Fertiliser_SourceData.Fertiliser_Products_Data1(),FertiliserProducts[[#Headers],[Include or Exclude]], 0,4)</f>
        <v/>
      </c>
      <c r="N101" s="62" t="str" cm="1">
        <f t="array" ref="N101">Common_InputFunctions.Utility_DisplayArrayInTable(Fertiliser_SourceData.Fertiliser_Products_Data1(),FertiliserProducts[[#Headers],[Include or Exclude]], 0,4)</f>
        <v/>
      </c>
      <c r="O101" s="62" t="str" cm="1">
        <f t="array" ref="O101">Common_InputFunctions.Utility_DisplayArrayInTable(Fertiliser_SourceData.Fertiliser_Products_Data1(),FertiliserProducts[[#Headers],[Include or Exclude]], 0,4)</f>
        <v/>
      </c>
      <c r="P101" s="62" t="str" cm="1">
        <f t="array" ref="P101">Common_InputFunctions.Utility_DisplayArrayInTable(Fertiliser_SourceData.Fertiliser_Products_Data1(),FertiliserProducts[[#Headers],[Include or Exclude]], 0,4)</f>
        <v/>
      </c>
      <c r="Q101" s="62" t="str" cm="1">
        <f t="array" ref="Q101">Common_InputFunctions.Utility_DisplayArrayInTable(Fertiliser_SourceData.Fertiliser_Products_Data1(),FertiliserProducts[[#Headers],[Include or Exclude]], 0,4)</f>
        <v/>
      </c>
      <c r="R101" s="62" t="str" cm="1">
        <f t="array" ref="R101">Common_InputFunctions.Utility_DisplayArrayInTable(Fertiliser_SourceData.Fertiliser_Products_Data1(),FertiliserProducts[[#Headers],[Include or Exclude]], 0,4)</f>
        <v/>
      </c>
      <c r="S101" s="62" t="str" cm="1">
        <f t="array" ref="S101">Common_InputFunctions.Utility_DisplayArrayInTable(Fertiliser_SourceData.Fertiliser_Products_Data1(),FertiliserProducts[[#Headers],[Include or Exclude]], 0,4)</f>
        <v/>
      </c>
      <c r="T101" s="62" t="str" cm="1">
        <f t="array" ref="T101">Common_InputFunctions.Utility_DisplayArrayInTable(Fertiliser_SourceData.Fertiliser_Products_Data1(),FertiliserProducts[[#Headers],[Include or Exclude]], 0,4)</f>
        <v/>
      </c>
      <c r="U101" s="62" t="str" cm="1">
        <f t="array" ref="U101">Common_InputFunctions.Utility_DisplayArrayInTable(Fertiliser_SourceData.Fertiliser_Products_Data1(),FertiliserProducts[[#Headers],[Include or Exclude]], 0,4)</f>
        <v/>
      </c>
      <c r="V101" s="62" t="str" cm="1">
        <f t="array" ref="V101">Common_InputFunctions.Utility_DisplayArrayInTable(Fertiliser_SourceData.Fertiliser_Products_Data1(),FertiliserProducts[[#Headers],[Include or Exclude]], 0,4)</f>
        <v/>
      </c>
      <c r="W101" s="62" t="str" cm="1">
        <f t="array" ref="W101">Common_InputFunctions.Utility_DisplayArrayInTable(Fertiliser_SourceData.Fertiliser_Products_Data1(),FertiliserProducts[[#Headers],[Include or Exclude]], 0,4)</f>
        <v/>
      </c>
      <c r="X101" s="62" t="str" cm="1">
        <f t="array" ref="X101">Common_InputFunctions.Utility_DisplayArrayInTable(Fertiliser_SourceData.Fertiliser_Products_Data1(),FertiliserProducts[[#Headers],[Include or Exclude]], 0,4)</f>
        <v/>
      </c>
      <c r="Y101" s="62" t="str" cm="1">
        <f t="array" ref="Y101">Common_InputFunctions.Utility_DisplayArrayInTable(Fertiliser_SourceData.Fertiliser_Products_Data1(),FertiliserProducts[[#Headers],[Include or Exclude]], 0,4)</f>
        <v/>
      </c>
      <c r="Z101" s="62" t="str" cm="1">
        <f t="array" ref="Z101">Common_InputFunctions.Utility_DisplayArrayInTable(Fertiliser_SourceData.Fertiliser_Products_Data1(),FertiliserProducts[[#Headers],[Include or Exclude]], 0,4)</f>
        <v/>
      </c>
      <c r="AA101" s="62" t="str" cm="1">
        <f t="array" ref="AA101">Common_InputFunctions.Utility_DisplayArrayInTable(Fertiliser_SourceData.Fertiliser_Products_Data1(),FertiliserProducts[[#Headers],[Include or Exclude]], 0,4)</f>
        <v/>
      </c>
      <c r="AB101" s="62" t="str" cm="1">
        <f t="array" ref="AB101">Common_InputFunctions.Utility_DisplayArrayInTable(Fertiliser_SourceData.Fertiliser_Products_Data1(),FertiliserProducts[[#Headers],[Include or Exclude]], 0,4)</f>
        <v/>
      </c>
      <c r="AC101" s="62" t="str" cm="1">
        <f t="array" ref="AC101">Common_InputFunctions.Utility_DisplayArrayInTable(Fertiliser_SourceData.Fertiliser_Products_Data1(),FertiliserProducts[[#Headers],[Include or Exclude]], 0,4)</f>
        <v/>
      </c>
      <c r="AD101" s="62" t="str" cm="1">
        <f t="array" ref="AD101">Common_InputFunctions.Utility_DisplayArrayInTable(Fertiliser_SourceData.Fertiliser_Products_Data1(),FertiliserProducts[[#Headers],[Include or Exclude]], 0,4)</f>
        <v/>
      </c>
      <c r="AE101" s="62" t="str" cm="1">
        <f t="array" ref="AE101">Common_InputFunctions.Utility_DisplayArrayInTable(Fertiliser_SourceData.Fertiliser_Products_Data1(),FertiliserProducts[[#Headers],[Include or Exclude]], 0,4)</f>
        <v/>
      </c>
    </row>
    <row r="102" spans="1:31" ht="20.100000000000001" customHeight="1" x14ac:dyDescent="0.25">
      <c r="A102"/>
      <c r="D102" s="62" t="str" cm="1">
        <f t="array" ref="D102">Common_InputFunctions.Utility_DisplayArrayInTable(Fertiliser_SourceData.Fertiliser_Products_Data1(),FertiliserProducts[[#Headers],[Include or Exclude]], -1)</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0,4)</f>
        <v/>
      </c>
      <c r="I102" s="62" t="str" cm="1">
        <f t="array" ref="I102">Common_InputFunctions.Utility_DisplayArrayInTable(Fertiliser_SourceData.Fertiliser_Products_Data1(),FertiliserProducts[[#Headers],[Include or Exclude]], 0,4)</f>
        <v/>
      </c>
      <c r="J102" s="62" t="str" cm="1">
        <f t="array" ref="J102">Common_InputFunctions.Utility_DisplayArrayInTable(Fertiliser_SourceData.Fertiliser_Products_Data1(),FertiliserProducts[[#Headers],[Include or Exclude]], 0,4)</f>
        <v/>
      </c>
      <c r="K102" s="62" t="str" cm="1">
        <f t="array" ref="K102">Common_InputFunctions.Utility_DisplayArrayInTable(Fertiliser_SourceData.Fertiliser_Products_Data1(),FertiliserProducts[[#Headers],[Include or Exclude]], 0,4)</f>
        <v/>
      </c>
      <c r="L102" s="62" t="str" cm="1">
        <f t="array" ref="L102">Common_InputFunctions.Utility_DisplayArrayInTable(Fertiliser_SourceData.Fertiliser_Products_Data1(),FertiliserProducts[[#Headers],[Include or Exclude]], 0,4)</f>
        <v/>
      </c>
      <c r="M102" s="62" t="str" cm="1">
        <f t="array" ref="M102">Common_InputFunctions.Utility_DisplayArrayInTable(Fertiliser_SourceData.Fertiliser_Products_Data1(),FertiliserProducts[[#Headers],[Include or Exclude]], 0,4)</f>
        <v/>
      </c>
      <c r="N102" s="62" t="str" cm="1">
        <f t="array" ref="N102">Common_InputFunctions.Utility_DisplayArrayInTable(Fertiliser_SourceData.Fertiliser_Products_Data1(),FertiliserProducts[[#Headers],[Include or Exclude]], 0,4)</f>
        <v/>
      </c>
      <c r="O102" s="62" t="str" cm="1">
        <f t="array" ref="O102">Common_InputFunctions.Utility_DisplayArrayInTable(Fertiliser_SourceData.Fertiliser_Products_Data1(),FertiliserProducts[[#Headers],[Include or Exclude]], 0,4)</f>
        <v/>
      </c>
      <c r="P102" s="62" t="str" cm="1">
        <f t="array" ref="P102">Common_InputFunctions.Utility_DisplayArrayInTable(Fertiliser_SourceData.Fertiliser_Products_Data1(),FertiliserProducts[[#Headers],[Include or Exclude]], 0,4)</f>
        <v/>
      </c>
      <c r="Q102" s="62" t="str" cm="1">
        <f t="array" ref="Q102">Common_InputFunctions.Utility_DisplayArrayInTable(Fertiliser_SourceData.Fertiliser_Products_Data1(),FertiliserProducts[[#Headers],[Include or Exclude]], 0,4)</f>
        <v/>
      </c>
      <c r="R102" s="62" t="str" cm="1">
        <f t="array" ref="R102">Common_InputFunctions.Utility_DisplayArrayInTable(Fertiliser_SourceData.Fertiliser_Products_Data1(),FertiliserProducts[[#Headers],[Include or Exclude]], 0,4)</f>
        <v/>
      </c>
      <c r="S102" s="62" t="str" cm="1">
        <f t="array" ref="S102">Common_InputFunctions.Utility_DisplayArrayInTable(Fertiliser_SourceData.Fertiliser_Products_Data1(),FertiliserProducts[[#Headers],[Include or Exclude]], 0,4)</f>
        <v/>
      </c>
      <c r="T102" s="62" t="str" cm="1">
        <f t="array" ref="T102">Common_InputFunctions.Utility_DisplayArrayInTable(Fertiliser_SourceData.Fertiliser_Products_Data1(),FertiliserProducts[[#Headers],[Include or Exclude]], 0,4)</f>
        <v/>
      </c>
      <c r="U102" s="62" t="str" cm="1">
        <f t="array" ref="U102">Common_InputFunctions.Utility_DisplayArrayInTable(Fertiliser_SourceData.Fertiliser_Products_Data1(),FertiliserProducts[[#Headers],[Include or Exclude]], 0,4)</f>
        <v/>
      </c>
      <c r="V102" s="62" t="str" cm="1">
        <f t="array" ref="V102">Common_InputFunctions.Utility_DisplayArrayInTable(Fertiliser_SourceData.Fertiliser_Products_Data1(),FertiliserProducts[[#Headers],[Include or Exclude]], 0,4)</f>
        <v/>
      </c>
      <c r="W102" s="62" t="str" cm="1">
        <f t="array" ref="W102">Common_InputFunctions.Utility_DisplayArrayInTable(Fertiliser_SourceData.Fertiliser_Products_Data1(),FertiliserProducts[[#Headers],[Include or Exclude]], 0,4)</f>
        <v/>
      </c>
      <c r="X102" s="62" t="str" cm="1">
        <f t="array" ref="X102">Common_InputFunctions.Utility_DisplayArrayInTable(Fertiliser_SourceData.Fertiliser_Products_Data1(),FertiliserProducts[[#Headers],[Include or Exclude]], 0,4)</f>
        <v/>
      </c>
      <c r="Y102" s="62" t="str" cm="1">
        <f t="array" ref="Y102">Common_InputFunctions.Utility_DisplayArrayInTable(Fertiliser_SourceData.Fertiliser_Products_Data1(),FertiliserProducts[[#Headers],[Include or Exclude]], 0,4)</f>
        <v/>
      </c>
      <c r="Z102" s="62" t="str" cm="1">
        <f t="array" ref="Z102">Common_InputFunctions.Utility_DisplayArrayInTable(Fertiliser_SourceData.Fertiliser_Products_Data1(),FertiliserProducts[[#Headers],[Include or Exclude]], 0,4)</f>
        <v/>
      </c>
      <c r="AA102" s="62" t="str" cm="1">
        <f t="array" ref="AA102">Common_InputFunctions.Utility_DisplayArrayInTable(Fertiliser_SourceData.Fertiliser_Products_Data1(),FertiliserProducts[[#Headers],[Include or Exclude]], 0,4)</f>
        <v/>
      </c>
      <c r="AB102" s="62" t="str" cm="1">
        <f t="array" ref="AB102">Common_InputFunctions.Utility_DisplayArrayInTable(Fertiliser_SourceData.Fertiliser_Products_Data1(),FertiliserProducts[[#Headers],[Include or Exclude]], 0,4)</f>
        <v/>
      </c>
      <c r="AC102" s="62" t="str" cm="1">
        <f t="array" ref="AC102">Common_InputFunctions.Utility_DisplayArrayInTable(Fertiliser_SourceData.Fertiliser_Products_Data1(),FertiliserProducts[[#Headers],[Include or Exclude]], 0,4)</f>
        <v/>
      </c>
      <c r="AD102" s="62" t="str" cm="1">
        <f t="array" ref="AD102">Common_InputFunctions.Utility_DisplayArrayInTable(Fertiliser_SourceData.Fertiliser_Products_Data1(),FertiliserProducts[[#Headers],[Include or Exclude]], 0,4)</f>
        <v/>
      </c>
      <c r="AE102" s="62" t="str" cm="1">
        <f t="array" ref="AE102">Common_InputFunctions.Utility_DisplayArrayInTable(Fertiliser_SourceData.Fertiliser_Products_Data1(),FertiliserProducts[[#Headers],[Include or Exclude]], 0,4)</f>
        <v/>
      </c>
    </row>
    <row r="103" spans="1:31" ht="20.100000000000001" customHeight="1" x14ac:dyDescent="0.25">
      <c r="A103"/>
      <c r="D103" s="62" t="str" cm="1">
        <f t="array" ref="D103">Common_InputFunctions.Utility_DisplayArrayInTable(Fertiliser_SourceData.Fertiliser_Products_Data1(),FertiliserProducts[[#Headers],[Include or Exclude]], -1)</f>
        <v>Include - Absent ingredients &lt; 2%</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0,4)</f>
        <v/>
      </c>
      <c r="I103" s="62" t="str" cm="1">
        <f t="array" ref="I103">Common_InputFunctions.Utility_DisplayArrayInTable(Fertiliser_SourceData.Fertiliser_Products_Data1(),FertiliserProducts[[#Headers],[Include or Exclude]], 0,4)</f>
        <v/>
      </c>
      <c r="J103" s="62" t="str" cm="1">
        <f t="array" ref="J103">Common_InputFunctions.Utility_DisplayArrayInTable(Fertiliser_SourceData.Fertiliser_Products_Data1(),FertiliserProducts[[#Headers],[Include or Exclude]], 0,4)</f>
        <v/>
      </c>
      <c r="K103" s="62" t="str" cm="1">
        <f t="array" ref="K103">Common_InputFunctions.Utility_DisplayArrayInTable(Fertiliser_SourceData.Fertiliser_Products_Data1(),FertiliserProducts[[#Headers],[Include or Exclude]], 0,4)</f>
        <v/>
      </c>
      <c r="L103" s="62" t="str" cm="1">
        <f t="array" ref="L103">Common_InputFunctions.Utility_DisplayArrayInTable(Fertiliser_SourceData.Fertiliser_Products_Data1(),FertiliserProducts[[#Headers],[Include or Exclude]], 0,4)</f>
        <v/>
      </c>
      <c r="M103" s="62" t="str" cm="1">
        <f t="array" ref="M103">Common_InputFunctions.Utility_DisplayArrayInTable(Fertiliser_SourceData.Fertiliser_Products_Data1(),FertiliserProducts[[#Headers],[Include or Exclude]], 0,4)</f>
        <v/>
      </c>
      <c r="N103" s="62" t="str" cm="1">
        <f t="array" ref="N103">Common_InputFunctions.Utility_DisplayArrayInTable(Fertiliser_SourceData.Fertiliser_Products_Data1(),FertiliserProducts[[#Headers],[Include or Exclude]], 0,4)</f>
        <v/>
      </c>
      <c r="O103" s="62" t="str" cm="1">
        <f t="array" ref="O103">Common_InputFunctions.Utility_DisplayArrayInTable(Fertiliser_SourceData.Fertiliser_Products_Data1(),FertiliserProducts[[#Headers],[Include or Exclude]], 0,4)</f>
        <v/>
      </c>
      <c r="P103" s="62" t="str" cm="1">
        <f t="array" ref="P103">Common_InputFunctions.Utility_DisplayArrayInTable(Fertiliser_SourceData.Fertiliser_Products_Data1(),FertiliserProducts[[#Headers],[Include or Exclude]], 0,4)</f>
        <v/>
      </c>
      <c r="Q103" s="62" t="str" cm="1">
        <f t="array" ref="Q103">Common_InputFunctions.Utility_DisplayArrayInTable(Fertiliser_SourceData.Fertiliser_Products_Data1(),FertiliserProducts[[#Headers],[Include or Exclude]], 0,4)</f>
        <v/>
      </c>
      <c r="R103" s="62" t="str" cm="1">
        <f t="array" ref="R103">Common_InputFunctions.Utility_DisplayArrayInTable(Fertiliser_SourceData.Fertiliser_Products_Data1(),FertiliserProducts[[#Headers],[Include or Exclude]], 0,4)</f>
        <v/>
      </c>
      <c r="S103" s="62" t="str" cm="1">
        <f t="array" ref="S103">Common_InputFunctions.Utility_DisplayArrayInTable(Fertiliser_SourceData.Fertiliser_Products_Data1(),FertiliserProducts[[#Headers],[Include or Exclude]], 0,4)</f>
        <v/>
      </c>
      <c r="T103" s="62" t="str" cm="1">
        <f t="array" ref="T103">Common_InputFunctions.Utility_DisplayArrayInTable(Fertiliser_SourceData.Fertiliser_Products_Data1(),FertiliserProducts[[#Headers],[Include or Exclude]], 0,4)</f>
        <v/>
      </c>
      <c r="U103" s="62" t="str" cm="1">
        <f t="array" ref="U103">Common_InputFunctions.Utility_DisplayArrayInTable(Fertiliser_SourceData.Fertiliser_Products_Data1(),FertiliserProducts[[#Headers],[Include or Exclude]], 0,4)</f>
        <v/>
      </c>
      <c r="V103" s="62" t="str" cm="1">
        <f t="array" ref="V103">Common_InputFunctions.Utility_DisplayArrayInTable(Fertiliser_SourceData.Fertiliser_Products_Data1(),FertiliserProducts[[#Headers],[Include or Exclude]], 0,4)</f>
        <v/>
      </c>
      <c r="W103" s="62" t="str" cm="1">
        <f t="array" ref="W103">Common_InputFunctions.Utility_DisplayArrayInTable(Fertiliser_SourceData.Fertiliser_Products_Data1(),FertiliserProducts[[#Headers],[Include or Exclude]], 0,4)</f>
        <v/>
      </c>
      <c r="X103" s="62" t="str" cm="1">
        <f t="array" ref="X103">Common_InputFunctions.Utility_DisplayArrayInTable(Fertiliser_SourceData.Fertiliser_Products_Data1(),FertiliserProducts[[#Headers],[Include or Exclude]], 0,4)</f>
        <v/>
      </c>
      <c r="Y103" s="62" t="str" cm="1">
        <f t="array" ref="Y103">Common_InputFunctions.Utility_DisplayArrayInTable(Fertiliser_SourceData.Fertiliser_Products_Data1(),FertiliserProducts[[#Headers],[Include or Exclude]], 0,4)</f>
        <v/>
      </c>
      <c r="Z103" s="62" t="str" cm="1">
        <f t="array" ref="Z103">Common_InputFunctions.Utility_DisplayArrayInTable(Fertiliser_SourceData.Fertiliser_Products_Data1(),FertiliserProducts[[#Headers],[Include or Exclude]], 0,4)</f>
        <v/>
      </c>
      <c r="AA103" s="62" t="str" cm="1">
        <f t="array" ref="AA103">Common_InputFunctions.Utility_DisplayArrayInTable(Fertiliser_SourceData.Fertiliser_Products_Data1(),FertiliserProducts[[#Headers],[Include or Exclude]], 0,4)</f>
        <v/>
      </c>
      <c r="AB103" s="62" t="str" cm="1">
        <f t="array" ref="AB103">Common_InputFunctions.Utility_DisplayArrayInTable(Fertiliser_SourceData.Fertiliser_Products_Data1(),FertiliserProducts[[#Headers],[Include or Exclude]], 0,4)</f>
        <v/>
      </c>
      <c r="AC103" s="62" t="str" cm="1">
        <f t="array" ref="AC103">Common_InputFunctions.Utility_DisplayArrayInTable(Fertiliser_SourceData.Fertiliser_Products_Data1(),FertiliserProducts[[#Headers],[Include or Exclude]], 0,4)</f>
        <v/>
      </c>
      <c r="AD103" s="62" t="str" cm="1">
        <f t="array" ref="AD103">Common_InputFunctions.Utility_DisplayArrayInTable(Fertiliser_SourceData.Fertiliser_Products_Data1(),FertiliserProducts[[#Headers],[Include or Exclude]], 0,4)</f>
        <v/>
      </c>
      <c r="AE103" s="62" t="str" cm="1">
        <f t="array" ref="AE103">Common_InputFunctions.Utility_DisplayArrayInTable(Fertiliser_SourceData.Fertiliser_Products_Data1(),FertiliserProducts[[#Headers],[Include or Exclude]], 0,4)</f>
        <v/>
      </c>
    </row>
    <row r="104" spans="1:31" ht="20.100000000000001" customHeight="1" x14ac:dyDescent="0.25">
      <c r="A104"/>
      <c r="D104" s="62" t="str" cm="1">
        <f t="array" ref="D104">Common_InputFunctions.Utility_DisplayArrayInTable(Fertiliser_SourceData.Fertiliser_Products_Data1(),FertiliserProducts[[#Headers],[Include or Exclude]], -1)</f>
        <v>Exclude - Not relevant</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0,4)</f>
        <v>kg</v>
      </c>
      <c r="I104" s="62" cm="1">
        <f t="array" ref="I104">Common_InputFunctions.Utility_DisplayArrayInTable(Fertiliser_SourceData.Fertiliser_Products_Data1(),FertiliserProducts[[#Headers],[Include or Exclude]], 0,4)</f>
        <v>1</v>
      </c>
      <c r="J104" s="62" t="str" cm="1">
        <f t="array" ref="J104">Common_InputFunctions.Utility_DisplayArrayInTable(Fertiliser_SourceData.Fertiliser_Products_Data1(),FertiliserProducts[[#Headers],[Include or Exclude]], 0,4)</f>
        <v/>
      </c>
      <c r="K104" s="62" t="str" cm="1">
        <f t="array" ref="K104">Common_InputFunctions.Utility_DisplayArrayInTable(Fertiliser_SourceData.Fertiliser_Products_Data1(),FertiliserProducts[[#Headers],[Include or Exclude]], 0,4)</f>
        <v/>
      </c>
      <c r="L104" s="62" t="str" cm="1">
        <f t="array" ref="L104">Common_InputFunctions.Utility_DisplayArrayInTable(Fertiliser_SourceData.Fertiliser_Products_Data1(),FertiliserProducts[[#Headers],[Include or Exclude]], 0,4)</f>
        <v>Urea</v>
      </c>
      <c r="M104" s="62" cm="1">
        <f t="array" ref="M104">Common_InputFunctions.Utility_DisplayArrayInTable(Fertiliser_SourceData.Fertiliser_Products_Data1(),FertiliserProducts[[#Headers],[Include or Exclude]], 0,4)</f>
        <v>0.52173913000000005</v>
      </c>
      <c r="N104" s="62" t="str" cm="1">
        <f t="array" ref="N104">Common_InputFunctions.Utility_DisplayArrayInTable(Fertiliser_SourceData.Fertiliser_Products_Data1(),FertiliserProducts[[#Headers],[Include or Exclude]], 0,4)</f>
        <v>Potassium - Generic</v>
      </c>
      <c r="O104" s="62" cm="1">
        <f t="array" ref="O104">Common_InputFunctions.Utility_DisplayArrayInTable(Fertiliser_SourceData.Fertiliser_Products_Data1(),FertiliserProducts[[#Headers],[Include or Exclude]], 0,4)</f>
        <v>0.08</v>
      </c>
      <c r="P104" s="62" t="str" cm="1">
        <f t="array" ref="P104">Common_InputFunctions.Utility_DisplayArrayInTable(Fertiliser_SourceData.Fertiliser_Products_Data1(),FertiliserProducts[[#Headers],[Include or Exclude]], 0,4)</f>
        <v>Sulfur - Generic</v>
      </c>
      <c r="Q104" s="62" cm="1">
        <f t="array" ref="Q104">Common_InputFunctions.Utility_DisplayArrayInTable(Fertiliser_SourceData.Fertiliser_Products_Data1(),FertiliserProducts[[#Headers],[Include or Exclude]], 0,4)</f>
        <v>5.2999999999999999E-2</v>
      </c>
      <c r="R104" s="62" t="str" cm="1">
        <f t="array" ref="R104">Common_InputFunctions.Utility_DisplayArrayInTable(Fertiliser_SourceData.Fertiliser_Products_Data1(),FertiliserProducts[[#Headers],[Include or Exclude]], 0,4)</f>
        <v>Phosphorus - Generic</v>
      </c>
      <c r="S104" s="62" cm="1">
        <f t="array" ref="S104">Common_InputFunctions.Utility_DisplayArrayInTable(Fertiliser_SourceData.Fertiliser_Products_Data1(),FertiliserProducts[[#Headers],[Include or Exclude]], 0,4)</f>
        <v>5.1999999999999998E-2</v>
      </c>
      <c r="T104" s="62" t="str" cm="1">
        <f t="array" ref="T104">Common_InputFunctions.Utility_DisplayArrayInTable(Fertiliser_SourceData.Fertiliser_Products_Data1(),FertiliserProducts[[#Headers],[Include or Exclude]], 0,4)</f>
        <v>Magnesium</v>
      </c>
      <c r="U104" s="62" cm="1">
        <f t="array" ref="U104">Common_InputFunctions.Utility_DisplayArrayInTable(Fertiliser_SourceData.Fertiliser_Products_Data1(),FertiliserProducts[[#Headers],[Include or Exclude]], 0,4)</f>
        <v>1.2999999999999999E-2</v>
      </c>
      <c r="V104" s="62" t="str" cm="1">
        <f t="array" ref="V104">Common_InputFunctions.Utility_DisplayArrayInTable(Fertiliser_SourceData.Fertiliser_Products_Data1(),FertiliserProducts[[#Headers],[Include or Exclude]], 0,4)</f>
        <v>Zinc</v>
      </c>
      <c r="W104" s="62" cm="1">
        <f t="array" ref="W104">Common_InputFunctions.Utility_DisplayArrayInTable(Fertiliser_SourceData.Fertiliser_Products_Data1(),FertiliserProducts[[#Headers],[Include or Exclude]], 0,4)</f>
        <v>2E-3</v>
      </c>
      <c r="X104" s="62" t="str" cm="1">
        <f t="array" ref="X104">Common_InputFunctions.Utility_DisplayArrayInTable(Fertiliser_SourceData.Fertiliser_Products_Data1(),FertiliserProducts[[#Headers],[Include or Exclude]], 0,4)</f>
        <v>Manganese</v>
      </c>
      <c r="Y104" s="62" cm="1">
        <f t="array" ref="Y104">Common_InputFunctions.Utility_DisplayArrayInTable(Fertiliser_SourceData.Fertiliser_Products_Data1(),FertiliserProducts[[#Headers],[Include or Exclude]], 0,4)</f>
        <v>3.5000000000000001E-3</v>
      </c>
      <c r="Z104" s="62" t="str" cm="1">
        <f t="array" ref="Z104">Common_InputFunctions.Utility_DisplayArrayInTable(Fertiliser_SourceData.Fertiliser_Products_Data1(),FertiliserProducts[[#Headers],[Include or Exclude]], 0,4)</f>
        <v>Iron</v>
      </c>
      <c r="AA104" s="62" cm="1">
        <f t="array" ref="AA104">Common_InputFunctions.Utility_DisplayArrayInTable(Fertiliser_SourceData.Fertiliser_Products_Data1(),FertiliserProducts[[#Headers],[Include or Exclude]], 0,4)</f>
        <v>1.2999999999999999E-3</v>
      </c>
      <c r="AB104" s="62" t="str" cm="1">
        <f t="array" ref="AB104">Common_InputFunctions.Utility_DisplayArrayInTable(Fertiliser_SourceData.Fertiliser_Products_Data1(),FertiliserProducts[[#Headers],[Include or Exclude]], 0,4)</f>
        <v>Copper</v>
      </c>
      <c r="AC104" s="62" cm="1">
        <f t="array" ref="AC104">Common_InputFunctions.Utility_DisplayArrayInTable(Fertiliser_SourceData.Fertiliser_Products_Data1(),FertiliserProducts[[#Headers],[Include or Exclude]], 0,4)</f>
        <v>6.9999999999999999E-4</v>
      </c>
      <c r="AD104" s="62" t="str" cm="1">
        <f t="array" ref="AD104">Common_InputFunctions.Utility_DisplayArrayInTable(Fertiliser_SourceData.Fertiliser_Products_Data1(),FertiliserProducts[[#Headers],[Include or Exclude]], 0,4)</f>
        <v>Boron</v>
      </c>
      <c r="AE104" s="62" cm="1">
        <f t="array" ref="AE104">Common_InputFunctions.Utility_DisplayArrayInTable(Fertiliser_SourceData.Fertiliser_Products_Data1(),FertiliserProducts[[#Headers],[Include or Exclude]], 0,4)</f>
        <v>6.9999999999999999E-4</v>
      </c>
    </row>
    <row r="105" spans="1:31" ht="20.100000000000001" customHeight="1" x14ac:dyDescent="0.25">
      <c r="A105"/>
      <c r="D105" s="62" t="str" cm="1">
        <f t="array" ref="D105">Common_InputFunctions.Utility_DisplayArrayInTable(Fertiliser_SourceData.Fertiliser_Products_Data1(),FertiliserProducts[[#Headers],[Include or Exclude]], -1)</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0,4)</f>
        <v/>
      </c>
      <c r="I105" s="62" t="str" cm="1">
        <f t="array" ref="I105">Common_InputFunctions.Utility_DisplayArrayInTable(Fertiliser_SourceData.Fertiliser_Products_Data1(),FertiliserProducts[[#Headers],[Include or Exclude]], 0,4)</f>
        <v/>
      </c>
      <c r="J105" s="62" t="str" cm="1">
        <f t="array" ref="J105">Common_InputFunctions.Utility_DisplayArrayInTable(Fertiliser_SourceData.Fertiliser_Products_Data1(),FertiliserProducts[[#Headers],[Include or Exclude]], 0,4)</f>
        <v/>
      </c>
      <c r="K105" s="62" t="str" cm="1">
        <f t="array" ref="K105">Common_InputFunctions.Utility_DisplayArrayInTable(Fertiliser_SourceData.Fertiliser_Products_Data1(),FertiliserProducts[[#Headers],[Include or Exclude]], 0,4)</f>
        <v/>
      </c>
      <c r="L105" s="62" t="str" cm="1">
        <f t="array" ref="L105">Common_InputFunctions.Utility_DisplayArrayInTable(Fertiliser_SourceData.Fertiliser_Products_Data1(),FertiliserProducts[[#Headers],[Include or Exclude]], 0,4)</f>
        <v/>
      </c>
      <c r="M105" s="62" t="str" cm="1">
        <f t="array" ref="M105">Common_InputFunctions.Utility_DisplayArrayInTable(Fertiliser_SourceData.Fertiliser_Products_Data1(),FertiliserProducts[[#Headers],[Include or Exclude]], 0,4)</f>
        <v/>
      </c>
      <c r="N105" s="62" t="str" cm="1">
        <f t="array" ref="N105">Common_InputFunctions.Utility_DisplayArrayInTable(Fertiliser_SourceData.Fertiliser_Products_Data1(),FertiliserProducts[[#Headers],[Include or Exclude]], 0,4)</f>
        <v/>
      </c>
      <c r="O105" s="62" t="str" cm="1">
        <f t="array" ref="O105">Common_InputFunctions.Utility_DisplayArrayInTable(Fertiliser_SourceData.Fertiliser_Products_Data1(),FertiliserProducts[[#Headers],[Include or Exclude]], 0,4)</f>
        <v/>
      </c>
      <c r="P105" s="62" t="str" cm="1">
        <f t="array" ref="P105">Common_InputFunctions.Utility_DisplayArrayInTable(Fertiliser_SourceData.Fertiliser_Products_Data1(),FertiliserProducts[[#Headers],[Include or Exclude]], 0,4)</f>
        <v/>
      </c>
      <c r="Q105" s="62" t="str" cm="1">
        <f t="array" ref="Q105">Common_InputFunctions.Utility_DisplayArrayInTable(Fertiliser_SourceData.Fertiliser_Products_Data1(),FertiliserProducts[[#Headers],[Include or Exclude]], 0,4)</f>
        <v/>
      </c>
      <c r="R105" s="62" t="str" cm="1">
        <f t="array" ref="R105">Common_InputFunctions.Utility_DisplayArrayInTable(Fertiliser_SourceData.Fertiliser_Products_Data1(),FertiliserProducts[[#Headers],[Include or Exclude]], 0,4)</f>
        <v/>
      </c>
      <c r="S105" s="62" t="str" cm="1">
        <f t="array" ref="S105">Common_InputFunctions.Utility_DisplayArrayInTable(Fertiliser_SourceData.Fertiliser_Products_Data1(),FertiliserProducts[[#Headers],[Include or Exclude]], 0,4)</f>
        <v/>
      </c>
      <c r="T105" s="62" t="str" cm="1">
        <f t="array" ref="T105">Common_InputFunctions.Utility_DisplayArrayInTable(Fertiliser_SourceData.Fertiliser_Products_Data1(),FertiliserProducts[[#Headers],[Include or Exclude]], 0,4)</f>
        <v/>
      </c>
      <c r="U105" s="62" t="str" cm="1">
        <f t="array" ref="U105">Common_InputFunctions.Utility_DisplayArrayInTable(Fertiliser_SourceData.Fertiliser_Products_Data1(),FertiliserProducts[[#Headers],[Include or Exclude]], 0,4)</f>
        <v/>
      </c>
      <c r="V105" s="62" t="str" cm="1">
        <f t="array" ref="V105">Common_InputFunctions.Utility_DisplayArrayInTable(Fertiliser_SourceData.Fertiliser_Products_Data1(),FertiliserProducts[[#Headers],[Include or Exclude]], 0,4)</f>
        <v/>
      </c>
      <c r="W105" s="62" t="str" cm="1">
        <f t="array" ref="W105">Common_InputFunctions.Utility_DisplayArrayInTable(Fertiliser_SourceData.Fertiliser_Products_Data1(),FertiliserProducts[[#Headers],[Include or Exclude]], 0,4)</f>
        <v/>
      </c>
      <c r="X105" s="62" t="str" cm="1">
        <f t="array" ref="X105">Common_InputFunctions.Utility_DisplayArrayInTable(Fertiliser_SourceData.Fertiliser_Products_Data1(),FertiliserProducts[[#Headers],[Include or Exclude]], 0,4)</f>
        <v/>
      </c>
      <c r="Y105" s="62" t="str" cm="1">
        <f t="array" ref="Y105">Common_InputFunctions.Utility_DisplayArrayInTable(Fertiliser_SourceData.Fertiliser_Products_Data1(),FertiliserProducts[[#Headers],[Include or Exclude]], 0,4)</f>
        <v/>
      </c>
      <c r="Z105" s="62" t="str" cm="1">
        <f t="array" ref="Z105">Common_InputFunctions.Utility_DisplayArrayInTable(Fertiliser_SourceData.Fertiliser_Products_Data1(),FertiliserProducts[[#Headers],[Include or Exclude]], 0,4)</f>
        <v/>
      </c>
      <c r="AA105" s="62" t="str" cm="1">
        <f t="array" ref="AA105">Common_InputFunctions.Utility_DisplayArrayInTable(Fertiliser_SourceData.Fertiliser_Products_Data1(),FertiliserProducts[[#Headers],[Include or Exclude]], 0,4)</f>
        <v/>
      </c>
      <c r="AB105" s="62" t="str" cm="1">
        <f t="array" ref="AB105">Common_InputFunctions.Utility_DisplayArrayInTable(Fertiliser_SourceData.Fertiliser_Products_Data1(),FertiliserProducts[[#Headers],[Include or Exclude]], 0,4)</f>
        <v/>
      </c>
      <c r="AC105" s="62" t="str" cm="1">
        <f t="array" ref="AC105">Common_InputFunctions.Utility_DisplayArrayInTable(Fertiliser_SourceData.Fertiliser_Products_Data1(),FertiliserProducts[[#Headers],[Include or Exclude]], 0,4)</f>
        <v/>
      </c>
      <c r="AD105" s="62" t="str" cm="1">
        <f t="array" ref="AD105">Common_InputFunctions.Utility_DisplayArrayInTable(Fertiliser_SourceData.Fertiliser_Products_Data1(),FertiliserProducts[[#Headers],[Include or Exclude]], 0,4)</f>
        <v/>
      </c>
      <c r="AE105" s="62" t="str" cm="1">
        <f t="array" ref="AE105">Common_InputFunctions.Utility_DisplayArrayInTable(Fertiliser_SourceData.Fertiliser_Products_Data1(),FertiliserProducts[[#Headers],[Include or Exclude]], 0,4)</f>
        <v/>
      </c>
    </row>
    <row r="106" spans="1:31" ht="20.100000000000001" customHeight="1" x14ac:dyDescent="0.25">
      <c r="A106"/>
      <c r="D106" s="62" t="str" cm="1">
        <f t="array" ref="D106">Common_InputFunctions.Utility_DisplayArrayInTable(Fertiliser_SourceData.Fertiliser_Products_Data1(),FertiliserProducts[[#Headers],[Include or Exclude]], -1)</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0,4)</f>
        <v/>
      </c>
      <c r="I106" s="62" t="str" cm="1">
        <f t="array" ref="I106">Common_InputFunctions.Utility_DisplayArrayInTable(Fertiliser_SourceData.Fertiliser_Products_Data1(),FertiliserProducts[[#Headers],[Include or Exclude]], 0,4)</f>
        <v/>
      </c>
      <c r="J106" s="62" t="str" cm="1">
        <f t="array" ref="J106">Common_InputFunctions.Utility_DisplayArrayInTable(Fertiliser_SourceData.Fertiliser_Products_Data1(),FertiliserProducts[[#Headers],[Include or Exclude]], 0,4)</f>
        <v/>
      </c>
      <c r="K106" s="62" t="str" cm="1">
        <f t="array" ref="K106">Common_InputFunctions.Utility_DisplayArrayInTable(Fertiliser_SourceData.Fertiliser_Products_Data1(),FertiliserProducts[[#Headers],[Include or Exclude]], 0,4)</f>
        <v/>
      </c>
      <c r="L106" s="62" t="str" cm="1">
        <f t="array" ref="L106">Common_InputFunctions.Utility_DisplayArrayInTable(Fertiliser_SourceData.Fertiliser_Products_Data1(),FertiliserProducts[[#Headers],[Include or Exclude]], 0,4)</f>
        <v/>
      </c>
      <c r="M106" s="62" t="str" cm="1">
        <f t="array" ref="M106">Common_InputFunctions.Utility_DisplayArrayInTable(Fertiliser_SourceData.Fertiliser_Products_Data1(),FertiliserProducts[[#Headers],[Include or Exclude]], 0,4)</f>
        <v/>
      </c>
      <c r="N106" s="62" t="str" cm="1">
        <f t="array" ref="N106">Common_InputFunctions.Utility_DisplayArrayInTable(Fertiliser_SourceData.Fertiliser_Products_Data1(),FertiliserProducts[[#Headers],[Include or Exclude]], 0,4)</f>
        <v/>
      </c>
      <c r="O106" s="62" t="str" cm="1">
        <f t="array" ref="O106">Common_InputFunctions.Utility_DisplayArrayInTable(Fertiliser_SourceData.Fertiliser_Products_Data1(),FertiliserProducts[[#Headers],[Include or Exclude]], 0,4)</f>
        <v/>
      </c>
      <c r="P106" s="62" t="str" cm="1">
        <f t="array" ref="P106">Common_InputFunctions.Utility_DisplayArrayInTable(Fertiliser_SourceData.Fertiliser_Products_Data1(),FertiliserProducts[[#Headers],[Include or Exclude]], 0,4)</f>
        <v/>
      </c>
      <c r="Q106" s="62" t="str" cm="1">
        <f t="array" ref="Q106">Common_InputFunctions.Utility_DisplayArrayInTable(Fertiliser_SourceData.Fertiliser_Products_Data1(),FertiliserProducts[[#Headers],[Include or Exclude]], 0,4)</f>
        <v/>
      </c>
      <c r="R106" s="62" t="str" cm="1">
        <f t="array" ref="R106">Common_InputFunctions.Utility_DisplayArrayInTable(Fertiliser_SourceData.Fertiliser_Products_Data1(),FertiliserProducts[[#Headers],[Include or Exclude]], 0,4)</f>
        <v/>
      </c>
      <c r="S106" s="62" t="str" cm="1">
        <f t="array" ref="S106">Common_InputFunctions.Utility_DisplayArrayInTable(Fertiliser_SourceData.Fertiliser_Products_Data1(),FertiliserProducts[[#Headers],[Include or Exclude]], 0,4)</f>
        <v/>
      </c>
      <c r="T106" s="62" t="str" cm="1">
        <f t="array" ref="T106">Common_InputFunctions.Utility_DisplayArrayInTable(Fertiliser_SourceData.Fertiliser_Products_Data1(),FertiliserProducts[[#Headers],[Include or Exclude]], 0,4)</f>
        <v/>
      </c>
      <c r="U106" s="62" t="str" cm="1">
        <f t="array" ref="U106">Common_InputFunctions.Utility_DisplayArrayInTable(Fertiliser_SourceData.Fertiliser_Products_Data1(),FertiliserProducts[[#Headers],[Include or Exclude]], 0,4)</f>
        <v/>
      </c>
      <c r="V106" s="62" t="str" cm="1">
        <f t="array" ref="V106">Common_InputFunctions.Utility_DisplayArrayInTable(Fertiliser_SourceData.Fertiliser_Products_Data1(),FertiliserProducts[[#Headers],[Include or Exclude]], 0,4)</f>
        <v/>
      </c>
      <c r="W106" s="62" t="str" cm="1">
        <f t="array" ref="W106">Common_InputFunctions.Utility_DisplayArrayInTable(Fertiliser_SourceData.Fertiliser_Products_Data1(),FertiliserProducts[[#Headers],[Include or Exclude]], 0,4)</f>
        <v/>
      </c>
      <c r="X106" s="62" t="str" cm="1">
        <f t="array" ref="X106">Common_InputFunctions.Utility_DisplayArrayInTable(Fertiliser_SourceData.Fertiliser_Products_Data1(),FertiliserProducts[[#Headers],[Include or Exclude]], 0,4)</f>
        <v/>
      </c>
      <c r="Y106" s="62" t="str" cm="1">
        <f t="array" ref="Y106">Common_InputFunctions.Utility_DisplayArrayInTable(Fertiliser_SourceData.Fertiliser_Products_Data1(),FertiliserProducts[[#Headers],[Include or Exclude]], 0,4)</f>
        <v/>
      </c>
      <c r="Z106" s="62" t="str" cm="1">
        <f t="array" ref="Z106">Common_InputFunctions.Utility_DisplayArrayInTable(Fertiliser_SourceData.Fertiliser_Products_Data1(),FertiliserProducts[[#Headers],[Include or Exclude]], 0,4)</f>
        <v/>
      </c>
      <c r="AA106" s="62" t="str" cm="1">
        <f t="array" ref="AA106">Common_InputFunctions.Utility_DisplayArrayInTable(Fertiliser_SourceData.Fertiliser_Products_Data1(),FertiliserProducts[[#Headers],[Include or Exclude]], 0,4)</f>
        <v/>
      </c>
      <c r="AB106" s="62" t="str" cm="1">
        <f t="array" ref="AB106">Common_InputFunctions.Utility_DisplayArrayInTable(Fertiliser_SourceData.Fertiliser_Products_Data1(),FertiliserProducts[[#Headers],[Include or Exclude]], 0,4)</f>
        <v/>
      </c>
      <c r="AC106" s="62" t="str" cm="1">
        <f t="array" ref="AC106">Common_InputFunctions.Utility_DisplayArrayInTable(Fertiliser_SourceData.Fertiliser_Products_Data1(),FertiliserProducts[[#Headers],[Include or Exclude]], 0,4)</f>
        <v/>
      </c>
      <c r="AD106" s="62" t="str" cm="1">
        <f t="array" ref="AD106">Common_InputFunctions.Utility_DisplayArrayInTable(Fertiliser_SourceData.Fertiliser_Products_Data1(),FertiliserProducts[[#Headers],[Include or Exclude]], 0,4)</f>
        <v/>
      </c>
      <c r="AE106" s="62" t="str" cm="1">
        <f t="array" ref="AE106">Common_InputFunctions.Utility_DisplayArrayInTable(Fertiliser_SourceData.Fertiliser_Products_Data1(),FertiliserProducts[[#Headers],[Include or Exclude]], 0,4)</f>
        <v/>
      </c>
    </row>
    <row r="107" spans="1:31" ht="20.100000000000001" customHeight="1" x14ac:dyDescent="0.25">
      <c r="A107"/>
      <c r="D107" s="62" t="str" cm="1">
        <f t="array" ref="D107">Common_InputFunctions.Utility_DisplayArrayInTable(Fertiliser_SourceData.Fertiliser_Products_Data1(),FertiliserProducts[[#Headers],[Include or Exclude]], -1)</f>
        <v>Include</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0,4)</f>
        <v/>
      </c>
      <c r="I107" s="62" t="str" cm="1">
        <f t="array" ref="I107">Common_InputFunctions.Utility_DisplayArrayInTable(Fertiliser_SourceData.Fertiliser_Products_Data1(),FertiliserProducts[[#Headers],[Include or Exclude]], 0,4)</f>
        <v/>
      </c>
      <c r="J107" s="62" t="str" cm="1">
        <f t="array" ref="J107">Common_InputFunctions.Utility_DisplayArrayInTable(Fertiliser_SourceData.Fertiliser_Products_Data1(),FertiliserProducts[[#Headers],[Include or Exclude]], 0,4)</f>
        <v/>
      </c>
      <c r="K107" s="62" t="str" cm="1">
        <f t="array" ref="K107">Common_InputFunctions.Utility_DisplayArrayInTable(Fertiliser_SourceData.Fertiliser_Products_Data1(),FertiliserProducts[[#Headers],[Include or Exclude]], 0,4)</f>
        <v/>
      </c>
      <c r="L107" s="62" t="str" cm="1">
        <f t="array" ref="L107">Common_InputFunctions.Utility_DisplayArrayInTable(Fertiliser_SourceData.Fertiliser_Products_Data1(),FertiliserProducts[[#Headers],[Include or Exclude]], 0,4)</f>
        <v/>
      </c>
      <c r="M107" s="62" t="str" cm="1">
        <f t="array" ref="M107">Common_InputFunctions.Utility_DisplayArrayInTable(Fertiliser_SourceData.Fertiliser_Products_Data1(),FertiliserProducts[[#Headers],[Include or Exclude]], 0,4)</f>
        <v/>
      </c>
      <c r="N107" s="62" t="str" cm="1">
        <f t="array" ref="N107">Common_InputFunctions.Utility_DisplayArrayInTable(Fertiliser_SourceData.Fertiliser_Products_Data1(),FertiliserProducts[[#Headers],[Include or Exclude]], 0,4)</f>
        <v/>
      </c>
      <c r="O107" s="62" t="str" cm="1">
        <f t="array" ref="O107">Common_InputFunctions.Utility_DisplayArrayInTable(Fertiliser_SourceData.Fertiliser_Products_Data1(),FertiliserProducts[[#Headers],[Include or Exclude]], 0,4)</f>
        <v/>
      </c>
      <c r="P107" s="62" t="str" cm="1">
        <f t="array" ref="P107">Common_InputFunctions.Utility_DisplayArrayInTable(Fertiliser_SourceData.Fertiliser_Products_Data1(),FertiliserProducts[[#Headers],[Include or Exclude]], 0,4)</f>
        <v/>
      </c>
      <c r="Q107" s="62" t="str" cm="1">
        <f t="array" ref="Q107">Common_InputFunctions.Utility_DisplayArrayInTable(Fertiliser_SourceData.Fertiliser_Products_Data1(),FertiliserProducts[[#Headers],[Include or Exclude]], 0,4)</f>
        <v/>
      </c>
      <c r="R107" s="62" t="str" cm="1">
        <f t="array" ref="R107">Common_InputFunctions.Utility_DisplayArrayInTable(Fertiliser_SourceData.Fertiliser_Products_Data1(),FertiliserProducts[[#Headers],[Include or Exclude]], 0,4)</f>
        <v/>
      </c>
      <c r="S107" s="62" t="str" cm="1">
        <f t="array" ref="S107">Common_InputFunctions.Utility_DisplayArrayInTable(Fertiliser_SourceData.Fertiliser_Products_Data1(),FertiliserProducts[[#Headers],[Include or Exclude]], 0,4)</f>
        <v/>
      </c>
      <c r="T107" s="62" t="str" cm="1">
        <f t="array" ref="T107">Common_InputFunctions.Utility_DisplayArrayInTable(Fertiliser_SourceData.Fertiliser_Products_Data1(),FertiliserProducts[[#Headers],[Include or Exclude]], 0,4)</f>
        <v/>
      </c>
      <c r="U107" s="62" t="str" cm="1">
        <f t="array" ref="U107">Common_InputFunctions.Utility_DisplayArrayInTable(Fertiliser_SourceData.Fertiliser_Products_Data1(),FertiliserProducts[[#Headers],[Include or Exclude]], 0,4)</f>
        <v/>
      </c>
      <c r="V107" s="62" t="str" cm="1">
        <f t="array" ref="V107">Common_InputFunctions.Utility_DisplayArrayInTable(Fertiliser_SourceData.Fertiliser_Products_Data1(),FertiliserProducts[[#Headers],[Include or Exclude]], 0,4)</f>
        <v/>
      </c>
      <c r="W107" s="62" t="str" cm="1">
        <f t="array" ref="W107">Common_InputFunctions.Utility_DisplayArrayInTable(Fertiliser_SourceData.Fertiliser_Products_Data1(),FertiliserProducts[[#Headers],[Include or Exclude]], 0,4)</f>
        <v/>
      </c>
      <c r="X107" s="62" t="str" cm="1">
        <f t="array" ref="X107">Common_InputFunctions.Utility_DisplayArrayInTable(Fertiliser_SourceData.Fertiliser_Products_Data1(),FertiliserProducts[[#Headers],[Include or Exclude]], 0,4)</f>
        <v/>
      </c>
      <c r="Y107" s="62" t="str" cm="1">
        <f t="array" ref="Y107">Common_InputFunctions.Utility_DisplayArrayInTable(Fertiliser_SourceData.Fertiliser_Products_Data1(),FertiliserProducts[[#Headers],[Include or Exclude]], 0,4)</f>
        <v/>
      </c>
      <c r="Z107" s="62" t="str" cm="1">
        <f t="array" ref="Z107">Common_InputFunctions.Utility_DisplayArrayInTable(Fertiliser_SourceData.Fertiliser_Products_Data1(),FertiliserProducts[[#Headers],[Include or Exclude]], 0,4)</f>
        <v/>
      </c>
      <c r="AA107" s="62" t="str" cm="1">
        <f t="array" ref="AA107">Common_InputFunctions.Utility_DisplayArrayInTable(Fertiliser_SourceData.Fertiliser_Products_Data1(),FertiliserProducts[[#Headers],[Include or Exclude]], 0,4)</f>
        <v/>
      </c>
      <c r="AB107" s="62" t="str" cm="1">
        <f t="array" ref="AB107">Common_InputFunctions.Utility_DisplayArrayInTable(Fertiliser_SourceData.Fertiliser_Products_Data1(),FertiliserProducts[[#Headers],[Include or Exclude]], 0,4)</f>
        <v/>
      </c>
      <c r="AC107" s="62" t="str" cm="1">
        <f t="array" ref="AC107">Common_InputFunctions.Utility_DisplayArrayInTable(Fertiliser_SourceData.Fertiliser_Products_Data1(),FertiliserProducts[[#Headers],[Include or Exclude]], 0,4)</f>
        <v/>
      </c>
      <c r="AD107" s="62" t="str" cm="1">
        <f t="array" ref="AD107">Common_InputFunctions.Utility_DisplayArrayInTable(Fertiliser_SourceData.Fertiliser_Products_Data1(),FertiliserProducts[[#Headers],[Include or Exclude]], 0,4)</f>
        <v/>
      </c>
      <c r="AE107" s="62" t="str" cm="1">
        <f t="array" ref="AE107">Common_InputFunctions.Utility_DisplayArrayInTable(Fertiliser_SourceData.Fertiliser_Products_Data1(),FertiliserProducts[[#Headers],[Include or Exclude]], 0,4)</f>
        <v/>
      </c>
    </row>
    <row r="108" spans="1:31" ht="20.100000000000001" customHeight="1" x14ac:dyDescent="0.25">
      <c r="A108"/>
      <c r="D108" s="62" t="str" cm="1">
        <f t="array" ref="D108">Common_InputFunctions.Utility_DisplayArrayInTable(Fertiliser_SourceData.Fertiliser_Products_Data1(),FertiliserProducts[[#Headers],[Include or Exclude]], -1)</f>
        <v>Exclude - Absent ingredients &gt; 2%</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0,4)</f>
        <v>kg</v>
      </c>
      <c r="I108" s="62" t="str" cm="1">
        <f t="array" ref="I108">Common_InputFunctions.Utility_DisplayArrayInTable(Fertiliser_SourceData.Fertiliser_Products_Data1(),FertiliserProducts[[#Headers],[Include or Exclude]], 0,4)</f>
        <v/>
      </c>
      <c r="J108" s="62" t="str" cm="1">
        <f t="array" ref="J108">Common_InputFunctions.Utility_DisplayArrayInTable(Fertiliser_SourceData.Fertiliser_Products_Data1(),FertiliserProducts[[#Headers],[Include or Exclude]], 0,4)</f>
        <v/>
      </c>
      <c r="K108" s="62" t="str" cm="1">
        <f t="array" ref="K108">Common_InputFunctions.Utility_DisplayArrayInTable(Fertiliser_SourceData.Fertiliser_Products_Data1(),FertiliserProducts[[#Headers],[Include or Exclude]], 0,4)</f>
        <v/>
      </c>
      <c r="L108" s="62" t="str" cm="1">
        <f t="array" ref="L108">Common_InputFunctions.Utility_DisplayArrayInTable(Fertiliser_SourceData.Fertiliser_Products_Data1(),FertiliserProducts[[#Headers],[Include or Exclude]], 0,4)</f>
        <v>Muriate of Potash (MOP)</v>
      </c>
      <c r="M108" s="62" cm="1">
        <f t="array" ref="M108">Common_InputFunctions.Utility_DisplayArrayInTable(Fertiliser_SourceData.Fertiliser_Products_Data1(),FertiliserProducts[[#Headers],[Include or Exclude]], 0,4)</f>
        <v>0.23200000000000001</v>
      </c>
      <c r="N108" s="62" t="str" cm="1">
        <f t="array" ref="N108">Common_InputFunctions.Utility_DisplayArrayInTable(Fertiliser_SourceData.Fertiliser_Products_Data1(),FertiliserProducts[[#Headers],[Include or Exclude]], 0,4)</f>
        <v>Nitrogen - Generic</v>
      </c>
      <c r="O108" s="62" cm="1">
        <f t="array" ref="O108">Common_InputFunctions.Utility_DisplayArrayInTable(Fertiliser_SourceData.Fertiliser_Products_Data1(),FertiliserProducts[[#Headers],[Include or Exclude]], 0,4)</f>
        <v>0.17</v>
      </c>
      <c r="P108" s="62" t="str" cm="1">
        <f t="array" ref="P108">Common_InputFunctions.Utility_DisplayArrayInTable(Fertiliser_SourceData.Fertiliser_Products_Data1(),FertiliserProducts[[#Headers],[Include or Exclude]], 0,4)</f>
        <v>Sulfur - Generic</v>
      </c>
      <c r="Q108" s="62" cm="1">
        <f t="array" ref="Q108">Common_InputFunctions.Utility_DisplayArrayInTable(Fertiliser_SourceData.Fertiliser_Products_Data1(),FertiliserProducts[[#Headers],[Include or Exclude]], 0,4)</f>
        <v>5.0000000000000001E-3</v>
      </c>
      <c r="R108" s="62" t="str" cm="1">
        <f t="array" ref="R108">Common_InputFunctions.Utility_DisplayArrayInTable(Fertiliser_SourceData.Fertiliser_Products_Data1(),FertiliserProducts[[#Headers],[Include or Exclude]], 0,4)</f>
        <v>Magnesium</v>
      </c>
      <c r="S108" s="62" cm="1">
        <f t="array" ref="S108">Common_InputFunctions.Utility_DisplayArrayInTable(Fertiliser_SourceData.Fertiliser_Products_Data1(),FertiliserProducts[[#Headers],[Include or Exclude]], 0,4)</f>
        <v>2.3999999999999998E-3</v>
      </c>
      <c r="T108" s="62" t="str" cm="1">
        <f t="array" ref="T108">Common_InputFunctions.Utility_DisplayArrayInTable(Fertiliser_SourceData.Fertiliser_Products_Data1(),FertiliserProducts[[#Headers],[Include or Exclude]], 0,4)</f>
        <v>Phosphorus - Generic</v>
      </c>
      <c r="U108" s="62" cm="1">
        <f t="array" ref="U108">Common_InputFunctions.Utility_DisplayArrayInTable(Fertiliser_SourceData.Fertiliser_Products_Data1(),FertiliserProducts[[#Headers],[Include or Exclude]], 0,4)</f>
        <v>4.0000000000000002E-4</v>
      </c>
      <c r="V108" s="62" t="str" cm="1">
        <f t="array" ref="V108">Common_InputFunctions.Utility_DisplayArrayInTable(Fertiliser_SourceData.Fertiliser_Products_Data1(),FertiliserProducts[[#Headers],[Include or Exclude]], 0,4)</f>
        <v/>
      </c>
      <c r="W108" s="62" t="str" cm="1">
        <f t="array" ref="W108">Common_InputFunctions.Utility_DisplayArrayInTable(Fertiliser_SourceData.Fertiliser_Products_Data1(),FertiliserProducts[[#Headers],[Include or Exclude]], 0,4)</f>
        <v/>
      </c>
      <c r="X108" s="62" t="str" cm="1">
        <f t="array" ref="X108">Common_InputFunctions.Utility_DisplayArrayInTable(Fertiliser_SourceData.Fertiliser_Products_Data1(),FertiliserProducts[[#Headers],[Include or Exclude]], 0,4)</f>
        <v/>
      </c>
      <c r="Y108" s="62" t="str" cm="1">
        <f t="array" ref="Y108">Common_InputFunctions.Utility_DisplayArrayInTable(Fertiliser_SourceData.Fertiliser_Products_Data1(),FertiliserProducts[[#Headers],[Include or Exclude]], 0,4)</f>
        <v/>
      </c>
      <c r="Z108" s="62" t="str" cm="1">
        <f t="array" ref="Z108">Common_InputFunctions.Utility_DisplayArrayInTable(Fertiliser_SourceData.Fertiliser_Products_Data1(),FertiliserProducts[[#Headers],[Include or Exclude]], 0,4)</f>
        <v/>
      </c>
      <c r="AA108" s="62" t="str" cm="1">
        <f t="array" ref="AA108">Common_InputFunctions.Utility_DisplayArrayInTable(Fertiliser_SourceData.Fertiliser_Products_Data1(),FertiliserProducts[[#Headers],[Include or Exclude]], 0,4)</f>
        <v/>
      </c>
      <c r="AB108" s="62" t="str" cm="1">
        <f t="array" ref="AB108">Common_InputFunctions.Utility_DisplayArrayInTable(Fertiliser_SourceData.Fertiliser_Products_Data1(),FertiliserProducts[[#Headers],[Include or Exclude]], 0,4)</f>
        <v/>
      </c>
      <c r="AC108" s="62" t="str" cm="1">
        <f t="array" ref="AC108">Common_InputFunctions.Utility_DisplayArrayInTable(Fertiliser_SourceData.Fertiliser_Products_Data1(),FertiliserProducts[[#Headers],[Include or Exclude]], 0,4)</f>
        <v/>
      </c>
      <c r="AD108" s="62" t="str" cm="1">
        <f t="array" ref="AD108">Common_InputFunctions.Utility_DisplayArrayInTable(Fertiliser_SourceData.Fertiliser_Products_Data1(),FertiliserProducts[[#Headers],[Include or Exclude]], 0,4)</f>
        <v/>
      </c>
      <c r="AE108" s="62" t="str" cm="1">
        <f t="array" ref="AE108">Common_InputFunctions.Utility_DisplayArrayInTable(Fertiliser_SourceData.Fertiliser_Products_Data1(),FertiliserProducts[[#Headers],[Include or Exclude]], 0,4)</f>
        <v/>
      </c>
    </row>
    <row r="109" spans="1:31" ht="20.100000000000001" customHeight="1" x14ac:dyDescent="0.25">
      <c r="A109"/>
      <c r="D109" s="62" t="str" cm="1">
        <f t="array" ref="D109">Common_InputFunctions.Utility_DisplayArrayInTable(Fertiliser_SourceData.Fertiliser_Products_Data1(),FertiliserProducts[[#Headers],[Include or Exclude]], -1)</f>
        <v>Exclude - Not relevant</v>
      </c>
      <c r="E109" s="62" t="str" cm="1">
        <f t="array" ref="E109">Common_InputFunctions.Utility_DisplayArrayInTable(Fertiliser_SourceData.Fertiliser_Products_Data1(),FertiliserProducts[[#Headers],[Include or Exclude]], 0)</f>
        <v/>
      </c>
      <c r="F109" s="62" t="str" cm="1">
        <f t="array" ref="F109">Common_InputFunctions.Utility_DisplayArrayInTable(Fertiliser_SourceData.Fertiliser_Products_Data1(),FertiliserProducts[[#Headers],[Include or Exclude]], 0)</f>
        <v>Campbells fertilisers Australia</v>
      </c>
      <c r="G109" s="62" t="str" cm="1">
        <f t="array" ref="G109">Common_InputFunctions.Utility_DisplayArrayInTable(Fertiliser_SourceData.Fertiliser_Products_Data1(),FertiliserProducts[[#Headers],[Include or Exclude]], 0)</f>
        <v>Bud-Wiser Dry</v>
      </c>
      <c r="H109" s="62" t="str" cm="1">
        <f t="array" ref="H109">Common_InputFunctions.Utility_DisplayArrayInTable(Fertiliser_SourceData.Fertiliser_Products_Data1(),FertiliserProducts[[#Headers],[Include or Exclude]], 0,4)</f>
        <v>kg</v>
      </c>
      <c r="I109" s="62" t="str" cm="1">
        <f t="array" ref="I109">Common_InputFunctions.Utility_DisplayArrayInTable(Fertiliser_SourceData.Fertiliser_Products_Data1(),FertiliserProducts[[#Headers],[Include or Exclude]], 0,4)</f>
        <v/>
      </c>
      <c r="J109" s="62" t="str" cm="1">
        <f t="array" ref="J109">Common_InputFunctions.Utility_DisplayArrayInTable(Fertiliser_SourceData.Fertiliser_Products_Data1(),FertiliserProducts[[#Headers],[Include or Exclude]], 0,4)</f>
        <v/>
      </c>
      <c r="K109" s="62" t="str" cm="1">
        <f t="array" ref="K109">Common_InputFunctions.Utility_DisplayArrayInTable(Fertiliser_SourceData.Fertiliser_Products_Data1(),FertiliserProducts[[#Headers],[Include or Exclude]], 0,4)</f>
        <v/>
      </c>
      <c r="L109" s="62" t="str" cm="1">
        <f t="array" ref="L109">Common_InputFunctions.Utility_DisplayArrayInTable(Fertiliser_SourceData.Fertiliser_Products_Data1(),FertiliserProducts[[#Headers],[Include or Exclude]], 0,4)</f>
        <v>Sulfur - Generic</v>
      </c>
      <c r="M109" s="62" cm="1">
        <f t="array" ref="M109">Common_InputFunctions.Utility_DisplayArrayInTable(Fertiliser_SourceData.Fertiliser_Products_Data1(),FertiliserProducts[[#Headers],[Include or Exclude]], 0,4)</f>
        <v>9.4E-2</v>
      </c>
      <c r="N109" s="62" t="str" cm="1">
        <f t="array" ref="N109">Common_InputFunctions.Utility_DisplayArrayInTable(Fertiliser_SourceData.Fertiliser_Products_Data1(),FertiliserProducts[[#Headers],[Include or Exclude]], 0,4)</f>
        <v>Magnesium</v>
      </c>
      <c r="O109" s="62" cm="1">
        <f t="array" ref="O109">Common_InputFunctions.Utility_DisplayArrayInTable(Fertiliser_SourceData.Fertiliser_Products_Data1(),FertiliserProducts[[#Headers],[Include or Exclude]], 0,4)</f>
        <v>0.06</v>
      </c>
      <c r="P109" s="62" t="str" cm="1">
        <f t="array" ref="P109">Common_InputFunctions.Utility_DisplayArrayInTable(Fertiliser_SourceData.Fertiliser_Products_Data1(),FertiliserProducts[[#Headers],[Include or Exclude]], 0,4)</f>
        <v>Boron</v>
      </c>
      <c r="Q109" s="62" cm="1">
        <f t="array" ref="Q109">Common_InputFunctions.Utility_DisplayArrayInTable(Fertiliser_SourceData.Fertiliser_Products_Data1(),FertiliserProducts[[#Headers],[Include or Exclude]], 0,4)</f>
        <v>4.4999999999999998E-2</v>
      </c>
      <c r="R109" s="62" t="str" cm="1">
        <f t="array" ref="R109">Common_InputFunctions.Utility_DisplayArrayInTable(Fertiliser_SourceData.Fertiliser_Products_Data1(),FertiliserProducts[[#Headers],[Include or Exclude]], 0,4)</f>
        <v>Zinc</v>
      </c>
      <c r="S109" s="62" cm="1">
        <f t="array" ref="S109">Common_InputFunctions.Utility_DisplayArrayInTable(Fertiliser_SourceData.Fertiliser_Products_Data1(),FertiliserProducts[[#Headers],[Include or Exclude]], 0,4)</f>
        <v>2.7E-2</v>
      </c>
      <c r="T109" s="62" t="str" cm="1">
        <f t="array" ref="T109">Common_InputFunctions.Utility_DisplayArrayInTable(Fertiliser_SourceData.Fertiliser_Products_Data1(),FertiliserProducts[[#Headers],[Include or Exclude]], 0,4)</f>
        <v/>
      </c>
      <c r="U109" s="62" t="str" cm="1">
        <f t="array" ref="U109">Common_InputFunctions.Utility_DisplayArrayInTable(Fertiliser_SourceData.Fertiliser_Products_Data1(),FertiliserProducts[[#Headers],[Include or Exclude]], 0,4)</f>
        <v/>
      </c>
      <c r="V109" s="62" t="str" cm="1">
        <f t="array" ref="V109">Common_InputFunctions.Utility_DisplayArrayInTable(Fertiliser_SourceData.Fertiliser_Products_Data1(),FertiliserProducts[[#Headers],[Include or Exclude]], 0,4)</f>
        <v/>
      </c>
      <c r="W109" s="62" t="str" cm="1">
        <f t="array" ref="W109">Common_InputFunctions.Utility_DisplayArrayInTable(Fertiliser_SourceData.Fertiliser_Products_Data1(),FertiliserProducts[[#Headers],[Include or Exclude]], 0,4)</f>
        <v/>
      </c>
      <c r="X109" s="62" t="str" cm="1">
        <f t="array" ref="X109">Common_InputFunctions.Utility_DisplayArrayInTable(Fertiliser_SourceData.Fertiliser_Products_Data1(),FertiliserProducts[[#Headers],[Include or Exclude]], 0,4)</f>
        <v/>
      </c>
      <c r="Y109" s="62" t="str" cm="1">
        <f t="array" ref="Y109">Common_InputFunctions.Utility_DisplayArrayInTable(Fertiliser_SourceData.Fertiliser_Products_Data1(),FertiliserProducts[[#Headers],[Include or Exclude]], 0,4)</f>
        <v/>
      </c>
      <c r="Z109" s="62" t="str" cm="1">
        <f t="array" ref="Z109">Common_InputFunctions.Utility_DisplayArrayInTable(Fertiliser_SourceData.Fertiliser_Products_Data1(),FertiliserProducts[[#Headers],[Include or Exclude]], 0,4)</f>
        <v/>
      </c>
      <c r="AA109" s="62" t="str" cm="1">
        <f t="array" ref="AA109">Common_InputFunctions.Utility_DisplayArrayInTable(Fertiliser_SourceData.Fertiliser_Products_Data1(),FertiliserProducts[[#Headers],[Include or Exclude]], 0,4)</f>
        <v/>
      </c>
      <c r="AB109" s="62" t="str" cm="1">
        <f t="array" ref="AB109">Common_InputFunctions.Utility_DisplayArrayInTable(Fertiliser_SourceData.Fertiliser_Products_Data1(),FertiliserProducts[[#Headers],[Include or Exclude]], 0,4)</f>
        <v/>
      </c>
      <c r="AC109" s="62" t="str" cm="1">
        <f t="array" ref="AC109">Common_InputFunctions.Utility_DisplayArrayInTable(Fertiliser_SourceData.Fertiliser_Products_Data1(),FertiliserProducts[[#Headers],[Include or Exclude]], 0,4)</f>
        <v/>
      </c>
      <c r="AD109" s="62" t="str" cm="1">
        <f t="array" ref="AD109">Common_InputFunctions.Utility_DisplayArrayInTable(Fertiliser_SourceData.Fertiliser_Products_Data1(),FertiliserProducts[[#Headers],[Include or Exclude]], 0,4)</f>
        <v/>
      </c>
      <c r="AE109" s="62" t="str" cm="1">
        <f t="array" ref="AE109">Common_InputFunctions.Utility_DisplayArrayInTable(Fertiliser_SourceData.Fertiliser_Products_Data1(),FertiliserProducts[[#Headers],[Include or Exclude]], 0,4)</f>
        <v/>
      </c>
    </row>
    <row r="110" spans="1:31" ht="20.100000000000001" customHeight="1" x14ac:dyDescent="0.25">
      <c r="A110"/>
      <c r="D110" s="62" t="str" cm="1">
        <f t="array" ref="D110">Common_InputFunctions.Utility_DisplayArrayInTable(Fertiliser_SourceData.Fertiliser_Products_Data1(),FertiliserProducts[[#Headers],[Include or Exclude]], -1)</f>
        <v>Exclude - Not relevant</v>
      </c>
      <c r="E110" s="62" t="str" cm="1">
        <f t="array" ref="E110">Common_InputFunctions.Utility_DisplayArrayInTable(Fertiliser_SourceData.Fertiliser_Products_Data1(),FertiliserProducts[[#Headers],[Include or Exclude]], 0)</f>
        <v/>
      </c>
      <c r="F110" s="62" t="str" cm="1">
        <f t="array" ref="F110">Common_InputFunctions.Utility_DisplayArrayInTable(Fertiliser_SourceData.Fertiliser_Products_Data1(),FertiliserProducts[[#Headers],[Include or Exclude]], 0)</f>
        <v>Campbells fertilisers Australia</v>
      </c>
      <c r="G110" s="62" t="str" cm="1">
        <f t="array" ref="G110">Common_InputFunctions.Utility_DisplayArrayInTable(Fertiliser_SourceData.Fertiliser_Products_Data1(),FertiliserProducts[[#Headers],[Include or Exclude]], 0)</f>
        <v>Calbit C</v>
      </c>
      <c r="H110" s="62" t="str" cm="1">
        <f t="array" ref="H110">Common_InputFunctions.Utility_DisplayArrayInTable(Fertiliser_SourceData.Fertiliser_Products_Data1(),FertiliserProducts[[#Headers],[Include or Exclude]], 0,4)</f>
        <v>L</v>
      </c>
      <c r="I110" s="62" t="str" cm="1">
        <f t="array" ref="I110">Common_InputFunctions.Utility_DisplayArrayInTable(Fertiliser_SourceData.Fertiliser_Products_Data1(),FertiliserProducts[[#Headers],[Include or Exclude]], 0,4)</f>
        <v/>
      </c>
      <c r="J110" s="62" t="str" cm="1">
        <f t="array" ref="J110">Common_InputFunctions.Utility_DisplayArrayInTable(Fertiliser_SourceData.Fertiliser_Products_Data1(),FertiliserProducts[[#Headers],[Include or Exclude]], 0,4)</f>
        <v/>
      </c>
      <c r="K110" s="62" t="str" cm="1">
        <f t="array" ref="K110">Common_InputFunctions.Utility_DisplayArrayInTable(Fertiliser_SourceData.Fertiliser_Products_Data1(),FertiliserProducts[[#Headers],[Include or Exclude]], 0,4)</f>
        <v/>
      </c>
      <c r="L110" s="62" t="str" cm="1">
        <f t="array" ref="L110">Common_InputFunctions.Utility_DisplayArrayInTable(Fertiliser_SourceData.Fertiliser_Products_Data1(),FertiliserProducts[[#Headers],[Include or Exclude]], 0,4)</f>
        <v/>
      </c>
      <c r="M110" s="62" t="str" cm="1">
        <f t="array" ref="M110">Common_InputFunctions.Utility_DisplayArrayInTable(Fertiliser_SourceData.Fertiliser_Products_Data1(),FertiliserProducts[[#Headers],[Include or Exclude]], 0,4)</f>
        <v/>
      </c>
      <c r="N110" s="62" t="str" cm="1">
        <f t="array" ref="N110">Common_InputFunctions.Utility_DisplayArrayInTable(Fertiliser_SourceData.Fertiliser_Products_Data1(),FertiliserProducts[[#Headers],[Include or Exclude]], 0,4)</f>
        <v/>
      </c>
      <c r="O110" s="62" t="str" cm="1">
        <f t="array" ref="O110">Common_InputFunctions.Utility_DisplayArrayInTable(Fertiliser_SourceData.Fertiliser_Products_Data1(),FertiliserProducts[[#Headers],[Include or Exclude]], 0,4)</f>
        <v/>
      </c>
      <c r="P110" s="62" t="str" cm="1">
        <f t="array" ref="P110">Common_InputFunctions.Utility_DisplayArrayInTable(Fertiliser_SourceData.Fertiliser_Products_Data1(),FertiliserProducts[[#Headers],[Include or Exclude]], 0,4)</f>
        <v/>
      </c>
      <c r="Q110" s="62" t="str" cm="1">
        <f t="array" ref="Q110">Common_InputFunctions.Utility_DisplayArrayInTable(Fertiliser_SourceData.Fertiliser_Products_Data1(),FertiliserProducts[[#Headers],[Include or Exclude]], 0,4)</f>
        <v/>
      </c>
      <c r="R110" s="62" t="str" cm="1">
        <f t="array" ref="R110">Common_InputFunctions.Utility_DisplayArrayInTable(Fertiliser_SourceData.Fertiliser_Products_Data1(),FertiliserProducts[[#Headers],[Include or Exclude]], 0,4)</f>
        <v/>
      </c>
      <c r="S110" s="62" t="str" cm="1">
        <f t="array" ref="S110">Common_InputFunctions.Utility_DisplayArrayInTable(Fertiliser_SourceData.Fertiliser_Products_Data1(),FertiliserProducts[[#Headers],[Include or Exclude]], 0,4)</f>
        <v/>
      </c>
      <c r="T110" s="62" t="str" cm="1">
        <f t="array" ref="T110">Common_InputFunctions.Utility_DisplayArrayInTable(Fertiliser_SourceData.Fertiliser_Products_Data1(),FertiliserProducts[[#Headers],[Include or Exclude]], 0,4)</f>
        <v/>
      </c>
      <c r="U110" s="62" t="str" cm="1">
        <f t="array" ref="U110">Common_InputFunctions.Utility_DisplayArrayInTable(Fertiliser_SourceData.Fertiliser_Products_Data1(),FertiliserProducts[[#Headers],[Include or Exclude]], 0,4)</f>
        <v/>
      </c>
      <c r="V110" s="62" t="str" cm="1">
        <f t="array" ref="V110">Common_InputFunctions.Utility_DisplayArrayInTable(Fertiliser_SourceData.Fertiliser_Products_Data1(),FertiliserProducts[[#Headers],[Include or Exclude]], 0,4)</f>
        <v/>
      </c>
      <c r="W110" s="62" t="str" cm="1">
        <f t="array" ref="W110">Common_InputFunctions.Utility_DisplayArrayInTable(Fertiliser_SourceData.Fertiliser_Products_Data1(),FertiliserProducts[[#Headers],[Include or Exclude]], 0,4)</f>
        <v/>
      </c>
      <c r="X110" s="62" t="str" cm="1">
        <f t="array" ref="X110">Common_InputFunctions.Utility_DisplayArrayInTable(Fertiliser_SourceData.Fertiliser_Products_Data1(),FertiliserProducts[[#Headers],[Include or Exclude]], 0,4)</f>
        <v/>
      </c>
      <c r="Y110" s="62" t="str" cm="1">
        <f t="array" ref="Y110">Common_InputFunctions.Utility_DisplayArrayInTable(Fertiliser_SourceData.Fertiliser_Products_Data1(),FertiliserProducts[[#Headers],[Include or Exclude]], 0,4)</f>
        <v/>
      </c>
      <c r="Z110" s="62" t="str" cm="1">
        <f t="array" ref="Z110">Common_InputFunctions.Utility_DisplayArrayInTable(Fertiliser_SourceData.Fertiliser_Products_Data1(),FertiliserProducts[[#Headers],[Include or Exclude]], 0,4)</f>
        <v/>
      </c>
      <c r="AA110" s="62" t="str" cm="1">
        <f t="array" ref="AA110">Common_InputFunctions.Utility_DisplayArrayInTable(Fertiliser_SourceData.Fertiliser_Products_Data1(),FertiliserProducts[[#Headers],[Include or Exclude]], 0,4)</f>
        <v/>
      </c>
      <c r="AB110" s="62" t="str" cm="1">
        <f t="array" ref="AB110">Common_InputFunctions.Utility_DisplayArrayInTable(Fertiliser_SourceData.Fertiliser_Products_Data1(),FertiliserProducts[[#Headers],[Include or Exclude]], 0,4)</f>
        <v/>
      </c>
      <c r="AC110" s="62" t="str" cm="1">
        <f t="array" ref="AC110">Common_InputFunctions.Utility_DisplayArrayInTable(Fertiliser_SourceData.Fertiliser_Products_Data1(),FertiliserProducts[[#Headers],[Include or Exclude]], 0,4)</f>
        <v/>
      </c>
      <c r="AD110" s="62" t="str" cm="1">
        <f t="array" ref="AD110">Common_InputFunctions.Utility_DisplayArrayInTable(Fertiliser_SourceData.Fertiliser_Products_Data1(),FertiliserProducts[[#Headers],[Include or Exclude]], 0,4)</f>
        <v/>
      </c>
      <c r="AE110" s="62" t="str" cm="1">
        <f t="array" ref="AE110">Common_InputFunctions.Utility_DisplayArrayInTable(Fertiliser_SourceData.Fertiliser_Products_Data1(),FertiliserProducts[[#Headers],[Include or Exclude]], 0,4)</f>
        <v/>
      </c>
    </row>
    <row r="111" spans="1:31" ht="20.100000000000001" customHeight="1" x14ac:dyDescent="0.25">
      <c r="A111"/>
      <c r="D111" s="62" t="str" cm="1">
        <f t="array" ref="D111">Common_InputFunctions.Utility_DisplayArrayInTable(Fertiliser_SourceData.Fertiliser_Products_Data1(),FertiliserProducts[[#Headers],[Include or Exclude]], -1)</f>
        <v>Include</v>
      </c>
      <c r="E111" s="62" t="str" cm="1">
        <f t="array" ref="E111">Common_InputFunctions.Utility_DisplayArrayInTable(Fertiliser_SourceData.Fertiliser_Products_Data1(),FertiliserProducts[[#Headers],[Include or Exclude]], 0)</f>
        <v/>
      </c>
      <c r="F111" s="62" t="str" cm="1">
        <f t="array" ref="F111">Common_InputFunctions.Utility_DisplayArrayInTable(Fertiliser_SourceData.Fertiliser_Products_Data1(),FertiliserProducts[[#Headers],[Include or Exclude]], 0)</f>
        <v>Campbells fertilisers Australia</v>
      </c>
      <c r="G111" s="62" t="str" cm="1">
        <f t="array" ref="G111">Common_InputFunctions.Utility_DisplayArrayInTable(Fertiliser_SourceData.Fertiliser_Products_Data1(),FertiliserProducts[[#Headers],[Include or Exclude]], 0)</f>
        <v>Calcium 175</v>
      </c>
      <c r="H111" s="62" t="str" cm="1">
        <f t="array" ref="H111">Common_InputFunctions.Utility_DisplayArrayInTable(Fertiliser_SourceData.Fertiliser_Products_Data1(),FertiliserProducts[[#Headers],[Include or Exclude]], 0,4)</f>
        <v>L</v>
      </c>
      <c r="I111" s="62" t="str" cm="1">
        <f t="array" ref="I111">Common_InputFunctions.Utility_DisplayArrayInTable(Fertiliser_SourceData.Fertiliser_Products_Data1(),FertiliserProducts[[#Headers],[Include or Exclude]], 0,4)</f>
        <v/>
      </c>
      <c r="J111" s="62" t="str" cm="1">
        <f t="array" ref="J111">Common_InputFunctions.Utility_DisplayArrayInTable(Fertiliser_SourceData.Fertiliser_Products_Data1(),FertiliserProducts[[#Headers],[Include or Exclude]], 0,4)</f>
        <v/>
      </c>
      <c r="K111" s="62" t="str" cm="1">
        <f t="array" ref="K111">Common_InputFunctions.Utility_DisplayArrayInTable(Fertiliser_SourceData.Fertiliser_Products_Data1(),FertiliserProducts[[#Headers],[Include or Exclude]], 0,4)</f>
        <v/>
      </c>
      <c r="L111" s="62" t="str" cm="1">
        <f t="array" ref="L111">Common_InputFunctions.Utility_DisplayArrayInTable(Fertiliser_SourceData.Fertiliser_Products_Data1(),FertiliserProducts[[#Headers],[Include or Exclude]], 0,4)</f>
        <v/>
      </c>
      <c r="M111" s="62" t="str" cm="1">
        <f t="array" ref="M111">Common_InputFunctions.Utility_DisplayArrayInTable(Fertiliser_SourceData.Fertiliser_Products_Data1(),FertiliserProducts[[#Headers],[Include or Exclude]], 0,4)</f>
        <v/>
      </c>
      <c r="N111" s="62" t="str" cm="1">
        <f t="array" ref="N111">Common_InputFunctions.Utility_DisplayArrayInTable(Fertiliser_SourceData.Fertiliser_Products_Data1(),FertiliserProducts[[#Headers],[Include or Exclude]], 0,4)</f>
        <v/>
      </c>
      <c r="O111" s="62" t="str" cm="1">
        <f t="array" ref="O111">Common_InputFunctions.Utility_DisplayArrayInTable(Fertiliser_SourceData.Fertiliser_Products_Data1(),FertiliserProducts[[#Headers],[Include or Exclude]], 0,4)</f>
        <v/>
      </c>
      <c r="P111" s="62" t="str" cm="1">
        <f t="array" ref="P111">Common_InputFunctions.Utility_DisplayArrayInTable(Fertiliser_SourceData.Fertiliser_Products_Data1(),FertiliserProducts[[#Headers],[Include or Exclude]], 0,4)</f>
        <v/>
      </c>
      <c r="Q111" s="62" t="str" cm="1">
        <f t="array" ref="Q111">Common_InputFunctions.Utility_DisplayArrayInTable(Fertiliser_SourceData.Fertiliser_Products_Data1(),FertiliserProducts[[#Headers],[Include or Exclude]], 0,4)</f>
        <v/>
      </c>
      <c r="R111" s="62" t="str" cm="1">
        <f t="array" ref="R111">Common_InputFunctions.Utility_DisplayArrayInTable(Fertiliser_SourceData.Fertiliser_Products_Data1(),FertiliserProducts[[#Headers],[Include or Exclude]], 0,4)</f>
        <v/>
      </c>
      <c r="S111" s="62" t="str" cm="1">
        <f t="array" ref="S111">Common_InputFunctions.Utility_DisplayArrayInTable(Fertiliser_SourceData.Fertiliser_Products_Data1(),FertiliserProducts[[#Headers],[Include or Exclude]], 0,4)</f>
        <v/>
      </c>
      <c r="T111" s="62" t="str" cm="1">
        <f t="array" ref="T111">Common_InputFunctions.Utility_DisplayArrayInTable(Fertiliser_SourceData.Fertiliser_Products_Data1(),FertiliserProducts[[#Headers],[Include or Exclude]], 0,4)</f>
        <v/>
      </c>
      <c r="U111" s="62" t="str" cm="1">
        <f t="array" ref="U111">Common_InputFunctions.Utility_DisplayArrayInTable(Fertiliser_SourceData.Fertiliser_Products_Data1(),FertiliserProducts[[#Headers],[Include or Exclude]], 0,4)</f>
        <v/>
      </c>
      <c r="V111" s="62" t="str" cm="1">
        <f t="array" ref="V111">Common_InputFunctions.Utility_DisplayArrayInTable(Fertiliser_SourceData.Fertiliser_Products_Data1(),FertiliserProducts[[#Headers],[Include or Exclude]], 0,4)</f>
        <v/>
      </c>
      <c r="W111" s="62" t="str" cm="1">
        <f t="array" ref="W111">Common_InputFunctions.Utility_DisplayArrayInTable(Fertiliser_SourceData.Fertiliser_Products_Data1(),FertiliserProducts[[#Headers],[Include or Exclude]], 0,4)</f>
        <v/>
      </c>
      <c r="X111" s="62" t="str" cm="1">
        <f t="array" ref="X111">Common_InputFunctions.Utility_DisplayArrayInTable(Fertiliser_SourceData.Fertiliser_Products_Data1(),FertiliserProducts[[#Headers],[Include or Exclude]], 0,4)</f>
        <v/>
      </c>
      <c r="Y111" s="62" t="str" cm="1">
        <f t="array" ref="Y111">Common_InputFunctions.Utility_DisplayArrayInTable(Fertiliser_SourceData.Fertiliser_Products_Data1(),FertiliserProducts[[#Headers],[Include or Exclude]], 0,4)</f>
        <v/>
      </c>
      <c r="Z111" s="62" t="str" cm="1">
        <f t="array" ref="Z111">Common_InputFunctions.Utility_DisplayArrayInTable(Fertiliser_SourceData.Fertiliser_Products_Data1(),FertiliserProducts[[#Headers],[Include or Exclude]], 0,4)</f>
        <v/>
      </c>
      <c r="AA111" s="62" t="str" cm="1">
        <f t="array" ref="AA111">Common_InputFunctions.Utility_DisplayArrayInTable(Fertiliser_SourceData.Fertiliser_Products_Data1(),FertiliserProducts[[#Headers],[Include or Exclude]], 0,4)</f>
        <v/>
      </c>
      <c r="AB111" s="62" t="str" cm="1">
        <f t="array" ref="AB111">Common_InputFunctions.Utility_DisplayArrayInTable(Fertiliser_SourceData.Fertiliser_Products_Data1(),FertiliserProducts[[#Headers],[Include or Exclude]], 0,4)</f>
        <v/>
      </c>
      <c r="AC111" s="62" t="str" cm="1">
        <f t="array" ref="AC111">Common_InputFunctions.Utility_DisplayArrayInTable(Fertiliser_SourceData.Fertiliser_Products_Data1(),FertiliserProducts[[#Headers],[Include or Exclude]], 0,4)</f>
        <v/>
      </c>
      <c r="AD111" s="62" t="str" cm="1">
        <f t="array" ref="AD111">Common_InputFunctions.Utility_DisplayArrayInTable(Fertiliser_SourceData.Fertiliser_Products_Data1(),FertiliserProducts[[#Headers],[Include or Exclude]], 0,4)</f>
        <v/>
      </c>
      <c r="AE111" s="62" t="str" cm="1">
        <f t="array" ref="AE111">Common_InputFunctions.Utility_DisplayArrayInTable(Fertiliser_SourceData.Fertiliser_Products_Data1(),FertiliserProducts[[#Headers],[Include or Exclude]], 0,4)</f>
        <v/>
      </c>
    </row>
    <row r="112" spans="1:31" ht="20.100000000000001" customHeight="1" x14ac:dyDescent="0.25">
      <c r="A112"/>
      <c r="D112" s="62" t="str" cm="1">
        <f t="array" ref="D112">Common_InputFunctions.Utility_DisplayArrayInTable(Fertiliser_SourceData.Fertiliser_Products_Data1(),FertiliserProducts[[#Headers],[Include or Exclude]], -1)</f>
        <v/>
      </c>
      <c r="E112" s="62" t="str" cm="1">
        <f t="array" ref="E112">Common_InputFunctions.Utility_DisplayArrayInTable(Fertiliser_SourceData.Fertiliser_Products_Data1(),FertiliserProducts[[#Headers],[Include or Exclude]], 0)</f>
        <v>Use Lime EF for calcium</v>
      </c>
      <c r="F112" s="62" t="str" cm="1">
        <f t="array" ref="F112">Common_InputFunctions.Utility_DisplayArrayInTable(Fertiliser_SourceData.Fertiliser_Products_Data1(),FertiliserProducts[[#Headers],[Include or Exclude]], 0)</f>
        <v>Campbells fertilisers Australia</v>
      </c>
      <c r="G112" s="62" t="str" cm="1">
        <f t="array" ref="G112">Common_InputFunctions.Utility_DisplayArrayInTable(Fertiliser_SourceData.Fertiliser_Products_Data1(),FertiliserProducts[[#Headers],[Include or Exclude]], 0)</f>
        <v>CalPhos</v>
      </c>
      <c r="H112" s="62" t="str" cm="1">
        <f t="array" ref="H112">Common_InputFunctions.Utility_DisplayArrayInTable(Fertiliser_SourceData.Fertiliser_Products_Data1(),FertiliserProducts[[#Headers],[Include or Exclude]], 0,4)</f>
        <v>L</v>
      </c>
      <c r="I112" s="62" cm="1">
        <f t="array" ref="I112">Common_InputFunctions.Utility_DisplayArrayInTable(Fertiliser_SourceData.Fertiliser_Products_Data1(),FertiliserProducts[[#Headers],[Include or Exclude]], 0,4)</f>
        <v>1.2849999999999999</v>
      </c>
      <c r="J112" s="62" t="str" cm="1">
        <f t="array" ref="J112">Common_InputFunctions.Utility_DisplayArrayInTable(Fertiliser_SourceData.Fertiliser_Products_Data1(),FertiliserProducts[[#Headers],[Include or Exclude]], 0,4)</f>
        <v/>
      </c>
      <c r="K112" s="62" t="str" cm="1">
        <f t="array" ref="K112">Common_InputFunctions.Utility_DisplayArrayInTable(Fertiliser_SourceData.Fertiliser_Products_Data1(),FertiliserProducts[[#Headers],[Include or Exclude]], 0,4)</f>
        <v/>
      </c>
      <c r="L112" s="62" t="str" cm="1">
        <f t="array" ref="L112">Common_InputFunctions.Utility_DisplayArrayInTable(Fertiliser_SourceData.Fertiliser_Products_Data1(),FertiliserProducts[[#Headers],[Include or Exclude]], 0,4)</f>
        <v>Phosphorus - Generic</v>
      </c>
      <c r="M112" s="62" cm="1">
        <f t="array" ref="M112">Common_InputFunctions.Utility_DisplayArrayInTable(Fertiliser_SourceData.Fertiliser_Products_Data1(),FertiliserProducts[[#Headers],[Include or Exclude]], 0,4)</f>
        <v>0.13500000000000001</v>
      </c>
      <c r="N112" s="62" t="str" cm="1">
        <f t="array" ref="N112">Common_InputFunctions.Utility_DisplayArrayInTable(Fertiliser_SourceData.Fertiliser_Products_Data1(),FertiliserProducts[[#Headers],[Include or Exclude]], 0,4)</f>
        <v>Calcium - Generic</v>
      </c>
      <c r="O112" s="62" cm="1">
        <f t="array" ref="O112">Common_InputFunctions.Utility_DisplayArrayInTable(Fertiliser_SourceData.Fertiliser_Products_Data1(),FertiliserProducts[[#Headers],[Include or Exclude]], 0,4)</f>
        <v>0.04</v>
      </c>
      <c r="P112" s="62" t="str" cm="1">
        <f t="array" ref="P112">Common_InputFunctions.Utility_DisplayArrayInTable(Fertiliser_SourceData.Fertiliser_Products_Data1(),FertiliserProducts[[#Headers],[Include or Exclude]], 0,4)</f>
        <v/>
      </c>
      <c r="Q112" s="62" t="str" cm="1">
        <f t="array" ref="Q112">Common_InputFunctions.Utility_DisplayArrayInTable(Fertiliser_SourceData.Fertiliser_Products_Data1(),FertiliserProducts[[#Headers],[Include or Exclude]], 0,4)</f>
        <v/>
      </c>
      <c r="R112" s="62" t="str" cm="1">
        <f t="array" ref="R112">Common_InputFunctions.Utility_DisplayArrayInTable(Fertiliser_SourceData.Fertiliser_Products_Data1(),FertiliserProducts[[#Headers],[Include or Exclude]], 0,4)</f>
        <v/>
      </c>
      <c r="S112" s="62" t="str" cm="1">
        <f t="array" ref="S112">Common_InputFunctions.Utility_DisplayArrayInTable(Fertiliser_SourceData.Fertiliser_Products_Data1(),FertiliserProducts[[#Headers],[Include or Exclude]], 0,4)</f>
        <v/>
      </c>
      <c r="T112" s="62" t="str" cm="1">
        <f t="array" ref="T112">Common_InputFunctions.Utility_DisplayArrayInTable(Fertiliser_SourceData.Fertiliser_Products_Data1(),FertiliserProducts[[#Headers],[Include or Exclude]], 0,4)</f>
        <v/>
      </c>
      <c r="U112" s="62" t="str" cm="1">
        <f t="array" ref="U112">Common_InputFunctions.Utility_DisplayArrayInTable(Fertiliser_SourceData.Fertiliser_Products_Data1(),FertiliserProducts[[#Headers],[Include or Exclude]], 0,4)</f>
        <v/>
      </c>
      <c r="V112" s="62" t="str" cm="1">
        <f t="array" ref="V112">Common_InputFunctions.Utility_DisplayArrayInTable(Fertiliser_SourceData.Fertiliser_Products_Data1(),FertiliserProducts[[#Headers],[Include or Exclude]], 0,4)</f>
        <v/>
      </c>
      <c r="W112" s="62" t="str" cm="1">
        <f t="array" ref="W112">Common_InputFunctions.Utility_DisplayArrayInTable(Fertiliser_SourceData.Fertiliser_Products_Data1(),FertiliserProducts[[#Headers],[Include or Exclude]], 0,4)</f>
        <v/>
      </c>
      <c r="X112" s="62" t="str" cm="1">
        <f t="array" ref="X112">Common_InputFunctions.Utility_DisplayArrayInTable(Fertiliser_SourceData.Fertiliser_Products_Data1(),FertiliserProducts[[#Headers],[Include or Exclude]], 0,4)</f>
        <v/>
      </c>
      <c r="Y112" s="62" t="str" cm="1">
        <f t="array" ref="Y112">Common_InputFunctions.Utility_DisplayArrayInTable(Fertiliser_SourceData.Fertiliser_Products_Data1(),FertiliserProducts[[#Headers],[Include or Exclude]], 0,4)</f>
        <v/>
      </c>
      <c r="Z112" s="62" t="str" cm="1">
        <f t="array" ref="Z112">Common_InputFunctions.Utility_DisplayArrayInTable(Fertiliser_SourceData.Fertiliser_Products_Data1(),FertiliserProducts[[#Headers],[Include or Exclude]], 0,4)</f>
        <v/>
      </c>
      <c r="AA112" s="62" t="str" cm="1">
        <f t="array" ref="AA112">Common_InputFunctions.Utility_DisplayArrayInTable(Fertiliser_SourceData.Fertiliser_Products_Data1(),FertiliserProducts[[#Headers],[Include or Exclude]], 0,4)</f>
        <v/>
      </c>
      <c r="AB112" s="62" t="str" cm="1">
        <f t="array" ref="AB112">Common_InputFunctions.Utility_DisplayArrayInTable(Fertiliser_SourceData.Fertiliser_Products_Data1(),FertiliserProducts[[#Headers],[Include or Exclude]], 0,4)</f>
        <v/>
      </c>
      <c r="AC112" s="62" t="str" cm="1">
        <f t="array" ref="AC112">Common_InputFunctions.Utility_DisplayArrayInTable(Fertiliser_SourceData.Fertiliser_Products_Data1(),FertiliserProducts[[#Headers],[Include or Exclude]], 0,4)</f>
        <v/>
      </c>
      <c r="AD112" s="62" t="str" cm="1">
        <f t="array" ref="AD112">Common_InputFunctions.Utility_DisplayArrayInTable(Fertiliser_SourceData.Fertiliser_Products_Data1(),FertiliserProducts[[#Headers],[Include or Exclude]], 0,4)</f>
        <v/>
      </c>
      <c r="AE112" s="62" t="str" cm="1">
        <f t="array" ref="AE112">Common_InputFunctions.Utility_DisplayArrayInTable(Fertiliser_SourceData.Fertiliser_Products_Data1(),FertiliserProducts[[#Headers],[Include or Exclude]], 0,4)</f>
        <v/>
      </c>
    </row>
    <row r="113" spans="1:31" ht="20.100000000000001" customHeight="1" x14ac:dyDescent="0.25">
      <c r="A113"/>
      <c r="D113" s="62" t="str" cm="1">
        <f t="array" ref="D113">Common_InputFunctions.Utility_DisplayArrayInTable(Fertiliser_SourceData.Fertiliser_Products_Data1(),FertiliserProducts[[#Headers],[Include or Exclude]], -1)</f>
        <v/>
      </c>
      <c r="E113" s="62" t="str" cm="1">
        <f t="array" ref="E113">Common_InputFunctions.Utility_DisplayArrayInTable(Fertiliser_SourceData.Fertiliser_Products_Data1(),FertiliserProducts[[#Headers],[Include or Exclude]], 0)</f>
        <v/>
      </c>
      <c r="F113" s="62" t="str" cm="1">
        <f t="array" ref="F113">Common_InputFunctions.Utility_DisplayArrayInTable(Fertiliser_SourceData.Fertiliser_Products_Data1(),FertiliserProducts[[#Headers],[Include or Exclude]], 0)</f>
        <v/>
      </c>
      <c r="G113" s="62" t="str" cm="1">
        <f t="array" ref="G113">Common_InputFunctions.Utility_DisplayArrayInTable(Fertiliser_SourceData.Fertiliser_Products_Data1(),FertiliserProducts[[#Headers],[Include or Exclude]], 0)</f>
        <v/>
      </c>
      <c r="H113" s="62" t="str" cm="1">
        <f t="array" ref="H113">Common_InputFunctions.Utility_DisplayArrayInTable(Fertiliser_SourceData.Fertiliser_Products_Data1(),FertiliserProducts[[#Headers],[Include or Exclude]], 0,4)</f>
        <v/>
      </c>
      <c r="I113" s="62" t="str" cm="1">
        <f t="array" ref="I113">Common_InputFunctions.Utility_DisplayArrayInTable(Fertiliser_SourceData.Fertiliser_Products_Data1(),FertiliserProducts[[#Headers],[Include or Exclude]], 0,4)</f>
        <v/>
      </c>
      <c r="J113" s="62" t="str" cm="1">
        <f t="array" ref="J113">Common_InputFunctions.Utility_DisplayArrayInTable(Fertiliser_SourceData.Fertiliser_Products_Data1(),FertiliserProducts[[#Headers],[Include or Exclude]], 0,4)</f>
        <v/>
      </c>
      <c r="K113" s="62" t="str" cm="1">
        <f t="array" ref="K113">Common_InputFunctions.Utility_DisplayArrayInTable(Fertiliser_SourceData.Fertiliser_Products_Data1(),FertiliserProducts[[#Headers],[Include or Exclude]], 0,4)</f>
        <v/>
      </c>
      <c r="L113" s="62" t="str" cm="1">
        <f t="array" ref="L113">Common_InputFunctions.Utility_DisplayArrayInTable(Fertiliser_SourceData.Fertiliser_Products_Data1(),FertiliserProducts[[#Headers],[Include or Exclude]], 0,4)</f>
        <v/>
      </c>
      <c r="M113" s="62" t="str" cm="1">
        <f t="array" ref="M113">Common_InputFunctions.Utility_DisplayArrayInTable(Fertiliser_SourceData.Fertiliser_Products_Data1(),FertiliserProducts[[#Headers],[Include or Exclude]], 0,4)</f>
        <v/>
      </c>
      <c r="N113" s="62" t="str" cm="1">
        <f t="array" ref="N113">Common_InputFunctions.Utility_DisplayArrayInTable(Fertiliser_SourceData.Fertiliser_Products_Data1(),FertiliserProducts[[#Headers],[Include or Exclude]], 0,4)</f>
        <v/>
      </c>
      <c r="O113" s="62" t="str" cm="1">
        <f t="array" ref="O113">Common_InputFunctions.Utility_DisplayArrayInTable(Fertiliser_SourceData.Fertiliser_Products_Data1(),FertiliserProducts[[#Headers],[Include or Exclude]], 0,4)</f>
        <v/>
      </c>
      <c r="P113" s="62" t="str" cm="1">
        <f t="array" ref="P113">Common_InputFunctions.Utility_DisplayArrayInTable(Fertiliser_SourceData.Fertiliser_Products_Data1(),FertiliserProducts[[#Headers],[Include or Exclude]], 0,4)</f>
        <v/>
      </c>
      <c r="Q113" s="62" t="str" cm="1">
        <f t="array" ref="Q113">Common_InputFunctions.Utility_DisplayArrayInTable(Fertiliser_SourceData.Fertiliser_Products_Data1(),FertiliserProducts[[#Headers],[Include or Exclude]], 0,4)</f>
        <v/>
      </c>
      <c r="R113" s="62" t="str" cm="1">
        <f t="array" ref="R113">Common_InputFunctions.Utility_DisplayArrayInTable(Fertiliser_SourceData.Fertiliser_Products_Data1(),FertiliserProducts[[#Headers],[Include or Exclude]], 0,4)</f>
        <v/>
      </c>
      <c r="S113" s="62" t="str" cm="1">
        <f t="array" ref="S113">Common_InputFunctions.Utility_DisplayArrayInTable(Fertiliser_SourceData.Fertiliser_Products_Data1(),FertiliserProducts[[#Headers],[Include or Exclude]], 0,4)</f>
        <v/>
      </c>
      <c r="T113" s="62" t="str" cm="1">
        <f t="array" ref="T113">Common_InputFunctions.Utility_DisplayArrayInTable(Fertiliser_SourceData.Fertiliser_Products_Data1(),FertiliserProducts[[#Headers],[Include or Exclude]], 0,4)</f>
        <v/>
      </c>
      <c r="U113" s="62" t="str" cm="1">
        <f t="array" ref="U113">Common_InputFunctions.Utility_DisplayArrayInTable(Fertiliser_SourceData.Fertiliser_Products_Data1(),FertiliserProducts[[#Headers],[Include or Exclude]], 0,4)</f>
        <v/>
      </c>
      <c r="V113" s="62" t="str" cm="1">
        <f t="array" ref="V113">Common_InputFunctions.Utility_DisplayArrayInTable(Fertiliser_SourceData.Fertiliser_Products_Data1(),FertiliserProducts[[#Headers],[Include or Exclude]], 0,4)</f>
        <v/>
      </c>
      <c r="W113" s="62" t="str" cm="1">
        <f t="array" ref="W113">Common_InputFunctions.Utility_DisplayArrayInTable(Fertiliser_SourceData.Fertiliser_Products_Data1(),FertiliserProducts[[#Headers],[Include or Exclude]], 0,4)</f>
        <v/>
      </c>
      <c r="X113" s="62" t="str" cm="1">
        <f t="array" ref="X113">Common_InputFunctions.Utility_DisplayArrayInTable(Fertiliser_SourceData.Fertiliser_Products_Data1(),FertiliserProducts[[#Headers],[Include or Exclude]], 0,4)</f>
        <v/>
      </c>
      <c r="Y113" s="62" t="str" cm="1">
        <f t="array" ref="Y113">Common_InputFunctions.Utility_DisplayArrayInTable(Fertiliser_SourceData.Fertiliser_Products_Data1(),FertiliserProducts[[#Headers],[Include or Exclude]], 0,4)</f>
        <v/>
      </c>
      <c r="Z113" s="62" t="str" cm="1">
        <f t="array" ref="Z113">Common_InputFunctions.Utility_DisplayArrayInTable(Fertiliser_SourceData.Fertiliser_Products_Data1(),FertiliserProducts[[#Headers],[Include or Exclude]], 0,4)</f>
        <v/>
      </c>
      <c r="AA113" s="62" t="str" cm="1">
        <f t="array" ref="AA113">Common_InputFunctions.Utility_DisplayArrayInTable(Fertiliser_SourceData.Fertiliser_Products_Data1(),FertiliserProducts[[#Headers],[Include or Exclude]], 0,4)</f>
        <v/>
      </c>
      <c r="AB113" s="62" t="str" cm="1">
        <f t="array" ref="AB113">Common_InputFunctions.Utility_DisplayArrayInTable(Fertiliser_SourceData.Fertiliser_Products_Data1(),FertiliserProducts[[#Headers],[Include or Exclude]], 0,4)</f>
        <v/>
      </c>
      <c r="AC113" s="62" t="str" cm="1">
        <f t="array" ref="AC113">Common_InputFunctions.Utility_DisplayArrayInTable(Fertiliser_SourceData.Fertiliser_Products_Data1(),FertiliserProducts[[#Headers],[Include or Exclude]], 0,4)</f>
        <v/>
      </c>
      <c r="AD113" s="62" t="str" cm="1">
        <f t="array" ref="AD113">Common_InputFunctions.Utility_DisplayArrayInTable(Fertiliser_SourceData.Fertiliser_Products_Data1(),FertiliserProducts[[#Headers],[Include or Exclude]], 0,4)</f>
        <v/>
      </c>
      <c r="AE113" s="62" t="str" cm="1">
        <f t="array" ref="AE113">Common_InputFunctions.Utility_DisplayArrayInTable(Fertiliser_SourceData.Fertiliser_Products_Data1(),FertiliserProducts[[#Headers],[Include or Exclude]], 0,4)</f>
        <v/>
      </c>
    </row>
    <row r="114" spans="1:31" ht="20.100000000000001" customHeight="1" x14ac:dyDescent="0.25">
      <c r="A114"/>
      <c r="D114" s="62" t="str" cm="1">
        <f t="array" ref="D114">Common_InputFunctions.Utility_DisplayArrayInTable(Fertiliser_SourceData.Fertiliser_Products_Data1(),FertiliserProducts[[#Headers],[Include or Exclude]], -1)</f>
        <v/>
      </c>
      <c r="E114" s="62" t="str" cm="1">
        <f t="array" ref="E114">Common_InputFunctions.Utility_DisplayArrayInTable(Fertiliser_SourceData.Fertiliser_Products_Data1(),FertiliserProducts[[#Headers],[Include or Exclude]], 0)</f>
        <v/>
      </c>
      <c r="F114" s="62" t="str" cm="1">
        <f t="array" ref="F114">Common_InputFunctions.Utility_DisplayArrayInTable(Fertiliser_SourceData.Fertiliser_Products_Data1(),FertiliserProducts[[#Headers],[Include or Exclude]], 0)</f>
        <v/>
      </c>
      <c r="G114" s="62" t="str" cm="1">
        <f t="array" ref="G114">Common_InputFunctions.Utility_DisplayArrayInTable(Fertiliser_SourceData.Fertiliser_Products_Data1(),FertiliserProducts[[#Headers],[Include or Exclude]], 0)</f>
        <v/>
      </c>
      <c r="H114" s="62" t="str" cm="1">
        <f t="array" ref="H114">Common_InputFunctions.Utility_DisplayArrayInTable(Fertiliser_SourceData.Fertiliser_Products_Data1(),FertiliserProducts[[#Headers],[Include or Exclude]], 0,4)</f>
        <v/>
      </c>
      <c r="I114" s="62" t="str" cm="1">
        <f t="array" ref="I114">Common_InputFunctions.Utility_DisplayArrayInTable(Fertiliser_SourceData.Fertiliser_Products_Data1(),FertiliserProducts[[#Headers],[Include or Exclude]], 0,4)</f>
        <v/>
      </c>
      <c r="J114" s="62" t="str" cm="1">
        <f t="array" ref="J114">Common_InputFunctions.Utility_DisplayArrayInTable(Fertiliser_SourceData.Fertiliser_Products_Data1(),FertiliserProducts[[#Headers],[Include or Exclude]], 0,4)</f>
        <v/>
      </c>
      <c r="K114" s="62" t="str" cm="1">
        <f t="array" ref="K114">Common_InputFunctions.Utility_DisplayArrayInTable(Fertiliser_SourceData.Fertiliser_Products_Data1(),FertiliserProducts[[#Headers],[Include or Exclude]], 0,4)</f>
        <v/>
      </c>
      <c r="L114" s="62" t="str" cm="1">
        <f t="array" ref="L114">Common_InputFunctions.Utility_DisplayArrayInTable(Fertiliser_SourceData.Fertiliser_Products_Data1(),FertiliserProducts[[#Headers],[Include or Exclude]], 0,4)</f>
        <v/>
      </c>
      <c r="M114" s="62" t="str" cm="1">
        <f t="array" ref="M114">Common_InputFunctions.Utility_DisplayArrayInTable(Fertiliser_SourceData.Fertiliser_Products_Data1(),FertiliserProducts[[#Headers],[Include or Exclude]], 0,4)</f>
        <v/>
      </c>
      <c r="N114" s="62" t="str" cm="1">
        <f t="array" ref="N114">Common_InputFunctions.Utility_DisplayArrayInTable(Fertiliser_SourceData.Fertiliser_Products_Data1(),FertiliserProducts[[#Headers],[Include or Exclude]], 0,4)</f>
        <v/>
      </c>
      <c r="O114" s="62" t="str" cm="1">
        <f t="array" ref="O114">Common_InputFunctions.Utility_DisplayArrayInTable(Fertiliser_SourceData.Fertiliser_Products_Data1(),FertiliserProducts[[#Headers],[Include or Exclude]], 0,4)</f>
        <v/>
      </c>
      <c r="P114" s="62" t="str" cm="1">
        <f t="array" ref="P114">Common_InputFunctions.Utility_DisplayArrayInTable(Fertiliser_SourceData.Fertiliser_Products_Data1(),FertiliserProducts[[#Headers],[Include or Exclude]], 0,4)</f>
        <v/>
      </c>
      <c r="Q114" s="62" t="str" cm="1">
        <f t="array" ref="Q114">Common_InputFunctions.Utility_DisplayArrayInTable(Fertiliser_SourceData.Fertiliser_Products_Data1(),FertiliserProducts[[#Headers],[Include or Exclude]], 0,4)</f>
        <v/>
      </c>
      <c r="R114" s="62" t="str" cm="1">
        <f t="array" ref="R114">Common_InputFunctions.Utility_DisplayArrayInTable(Fertiliser_SourceData.Fertiliser_Products_Data1(),FertiliserProducts[[#Headers],[Include or Exclude]], 0,4)</f>
        <v/>
      </c>
      <c r="S114" s="62" t="str" cm="1">
        <f t="array" ref="S114">Common_InputFunctions.Utility_DisplayArrayInTable(Fertiliser_SourceData.Fertiliser_Products_Data1(),FertiliserProducts[[#Headers],[Include or Exclude]], 0,4)</f>
        <v/>
      </c>
      <c r="T114" s="62" t="str" cm="1">
        <f t="array" ref="T114">Common_InputFunctions.Utility_DisplayArrayInTable(Fertiliser_SourceData.Fertiliser_Products_Data1(),FertiliserProducts[[#Headers],[Include or Exclude]], 0,4)</f>
        <v/>
      </c>
      <c r="U114" s="62" t="str" cm="1">
        <f t="array" ref="U114">Common_InputFunctions.Utility_DisplayArrayInTable(Fertiliser_SourceData.Fertiliser_Products_Data1(),FertiliserProducts[[#Headers],[Include or Exclude]], 0,4)</f>
        <v/>
      </c>
      <c r="V114" s="62" t="str" cm="1">
        <f t="array" ref="V114">Common_InputFunctions.Utility_DisplayArrayInTable(Fertiliser_SourceData.Fertiliser_Products_Data1(),FertiliserProducts[[#Headers],[Include or Exclude]], 0,4)</f>
        <v/>
      </c>
      <c r="W114" s="62" t="str" cm="1">
        <f t="array" ref="W114">Common_InputFunctions.Utility_DisplayArrayInTable(Fertiliser_SourceData.Fertiliser_Products_Data1(),FertiliserProducts[[#Headers],[Include or Exclude]], 0,4)</f>
        <v/>
      </c>
      <c r="X114" s="62" t="str" cm="1">
        <f t="array" ref="X114">Common_InputFunctions.Utility_DisplayArrayInTable(Fertiliser_SourceData.Fertiliser_Products_Data1(),FertiliserProducts[[#Headers],[Include or Exclude]], 0,4)</f>
        <v/>
      </c>
      <c r="Y114" s="62" t="str" cm="1">
        <f t="array" ref="Y114">Common_InputFunctions.Utility_DisplayArrayInTable(Fertiliser_SourceData.Fertiliser_Products_Data1(),FertiliserProducts[[#Headers],[Include or Exclude]], 0,4)</f>
        <v/>
      </c>
      <c r="Z114" s="62" t="str" cm="1">
        <f t="array" ref="Z114">Common_InputFunctions.Utility_DisplayArrayInTable(Fertiliser_SourceData.Fertiliser_Products_Data1(),FertiliserProducts[[#Headers],[Include or Exclude]], 0,4)</f>
        <v/>
      </c>
      <c r="AA114" s="62" t="str" cm="1">
        <f t="array" ref="AA114">Common_InputFunctions.Utility_DisplayArrayInTable(Fertiliser_SourceData.Fertiliser_Products_Data1(),FertiliserProducts[[#Headers],[Include or Exclude]], 0,4)</f>
        <v/>
      </c>
      <c r="AB114" s="62" t="str" cm="1">
        <f t="array" ref="AB114">Common_InputFunctions.Utility_DisplayArrayInTable(Fertiliser_SourceData.Fertiliser_Products_Data1(),FertiliserProducts[[#Headers],[Include or Exclude]], 0,4)</f>
        <v/>
      </c>
      <c r="AC114" s="62" t="str" cm="1">
        <f t="array" ref="AC114">Common_InputFunctions.Utility_DisplayArrayInTable(Fertiliser_SourceData.Fertiliser_Products_Data1(),FertiliserProducts[[#Headers],[Include or Exclude]], 0,4)</f>
        <v/>
      </c>
      <c r="AD114" s="62" t="str" cm="1">
        <f t="array" ref="AD114">Common_InputFunctions.Utility_DisplayArrayInTable(Fertiliser_SourceData.Fertiliser_Products_Data1(),FertiliserProducts[[#Headers],[Include or Exclude]], 0,4)</f>
        <v/>
      </c>
      <c r="AE114" s="62" t="str" cm="1">
        <f t="array" ref="AE114">Common_InputFunctions.Utility_DisplayArrayInTable(Fertiliser_SourceData.Fertiliser_Products_Data1(),FertiliserProducts[[#Headers],[Include or Exclude]], 0,4)</f>
        <v/>
      </c>
    </row>
    <row r="115" spans="1:31" ht="20.100000000000001" customHeight="1" x14ac:dyDescent="0.25">
      <c r="A115"/>
      <c r="D115" s="62" t="str" cm="1">
        <f t="array" ref="D115">Common_InputFunctions.Utility_DisplayArrayInTable(Fertiliser_SourceData.Fertiliser_Products_Data1(),FertiliserProducts[[#Headers],[Include or Exclude]], -1)</f>
        <v/>
      </c>
      <c r="E115" s="62" t="str" cm="1">
        <f t="array" ref="E115">Common_InputFunctions.Utility_DisplayArrayInTable(Fertiliser_SourceData.Fertiliser_Products_Data1(),FertiliserProducts[[#Headers],[Include or Exclude]], 0)</f>
        <v/>
      </c>
      <c r="F115" s="62" t="str" cm="1">
        <f t="array" ref="F115">Common_InputFunctions.Utility_DisplayArrayInTable(Fertiliser_SourceData.Fertiliser_Products_Data1(),FertiliserProducts[[#Headers],[Include or Exclude]], 0)</f>
        <v/>
      </c>
      <c r="G115" s="62" t="str" cm="1">
        <f t="array" ref="G115">Common_InputFunctions.Utility_DisplayArrayInTable(Fertiliser_SourceData.Fertiliser_Products_Data1(),FertiliserProducts[[#Headers],[Include or Exclude]], 0)</f>
        <v/>
      </c>
      <c r="H115" s="62" t="str" cm="1">
        <f t="array" ref="H115">Common_InputFunctions.Utility_DisplayArrayInTable(Fertiliser_SourceData.Fertiliser_Products_Data1(),FertiliserProducts[[#Headers],[Include or Exclude]], 0,4)</f>
        <v/>
      </c>
      <c r="I115" s="62" t="str" cm="1">
        <f t="array" ref="I115">Common_InputFunctions.Utility_DisplayArrayInTable(Fertiliser_SourceData.Fertiliser_Products_Data1(),FertiliserProducts[[#Headers],[Include or Exclude]], 0,4)</f>
        <v/>
      </c>
      <c r="J115" s="62" t="str" cm="1">
        <f t="array" ref="J115">Common_InputFunctions.Utility_DisplayArrayInTable(Fertiliser_SourceData.Fertiliser_Products_Data1(),FertiliserProducts[[#Headers],[Include or Exclude]], 0,4)</f>
        <v/>
      </c>
      <c r="K115" s="62" t="str" cm="1">
        <f t="array" ref="K115">Common_InputFunctions.Utility_DisplayArrayInTable(Fertiliser_SourceData.Fertiliser_Products_Data1(),FertiliserProducts[[#Headers],[Include or Exclude]], 0,4)</f>
        <v/>
      </c>
      <c r="L115" s="62" t="str" cm="1">
        <f t="array" ref="L115">Common_InputFunctions.Utility_DisplayArrayInTable(Fertiliser_SourceData.Fertiliser_Products_Data1(),FertiliserProducts[[#Headers],[Include or Exclude]], 0,4)</f>
        <v/>
      </c>
      <c r="M115" s="62" t="str" cm="1">
        <f t="array" ref="M115">Common_InputFunctions.Utility_DisplayArrayInTable(Fertiliser_SourceData.Fertiliser_Products_Data1(),FertiliserProducts[[#Headers],[Include or Exclude]], 0,4)</f>
        <v/>
      </c>
      <c r="N115" s="62" t="str" cm="1">
        <f t="array" ref="N115">Common_InputFunctions.Utility_DisplayArrayInTable(Fertiliser_SourceData.Fertiliser_Products_Data1(),FertiliserProducts[[#Headers],[Include or Exclude]], 0,4)</f>
        <v/>
      </c>
      <c r="O115" s="62" t="str" cm="1">
        <f t="array" ref="O115">Common_InputFunctions.Utility_DisplayArrayInTable(Fertiliser_SourceData.Fertiliser_Products_Data1(),FertiliserProducts[[#Headers],[Include or Exclude]], 0,4)</f>
        <v/>
      </c>
      <c r="P115" s="62" t="str" cm="1">
        <f t="array" ref="P115">Common_InputFunctions.Utility_DisplayArrayInTable(Fertiliser_SourceData.Fertiliser_Products_Data1(),FertiliserProducts[[#Headers],[Include or Exclude]], 0,4)</f>
        <v/>
      </c>
      <c r="Q115" s="62" t="str" cm="1">
        <f t="array" ref="Q115">Common_InputFunctions.Utility_DisplayArrayInTable(Fertiliser_SourceData.Fertiliser_Products_Data1(),FertiliserProducts[[#Headers],[Include or Exclude]], 0,4)</f>
        <v/>
      </c>
      <c r="R115" s="62" t="str" cm="1">
        <f t="array" ref="R115">Common_InputFunctions.Utility_DisplayArrayInTable(Fertiliser_SourceData.Fertiliser_Products_Data1(),FertiliserProducts[[#Headers],[Include or Exclude]], 0,4)</f>
        <v/>
      </c>
      <c r="S115" s="62" t="str" cm="1">
        <f t="array" ref="S115">Common_InputFunctions.Utility_DisplayArrayInTable(Fertiliser_SourceData.Fertiliser_Products_Data1(),FertiliserProducts[[#Headers],[Include or Exclude]], 0,4)</f>
        <v/>
      </c>
      <c r="T115" s="62" t="str" cm="1">
        <f t="array" ref="T115">Common_InputFunctions.Utility_DisplayArrayInTable(Fertiliser_SourceData.Fertiliser_Products_Data1(),FertiliserProducts[[#Headers],[Include or Exclude]], 0,4)</f>
        <v/>
      </c>
      <c r="U115" s="62" t="str" cm="1">
        <f t="array" ref="U115">Common_InputFunctions.Utility_DisplayArrayInTable(Fertiliser_SourceData.Fertiliser_Products_Data1(),FertiliserProducts[[#Headers],[Include or Exclude]], 0,4)</f>
        <v/>
      </c>
      <c r="V115" s="62" t="str" cm="1">
        <f t="array" ref="V115">Common_InputFunctions.Utility_DisplayArrayInTable(Fertiliser_SourceData.Fertiliser_Products_Data1(),FertiliserProducts[[#Headers],[Include or Exclude]], 0,4)</f>
        <v/>
      </c>
      <c r="W115" s="62" t="str" cm="1">
        <f t="array" ref="W115">Common_InputFunctions.Utility_DisplayArrayInTable(Fertiliser_SourceData.Fertiliser_Products_Data1(),FertiliserProducts[[#Headers],[Include or Exclude]], 0,4)</f>
        <v/>
      </c>
      <c r="X115" s="62" t="str" cm="1">
        <f t="array" ref="X115">Common_InputFunctions.Utility_DisplayArrayInTable(Fertiliser_SourceData.Fertiliser_Products_Data1(),FertiliserProducts[[#Headers],[Include or Exclude]], 0,4)</f>
        <v/>
      </c>
      <c r="Y115" s="62" t="str" cm="1">
        <f t="array" ref="Y115">Common_InputFunctions.Utility_DisplayArrayInTable(Fertiliser_SourceData.Fertiliser_Products_Data1(),FertiliserProducts[[#Headers],[Include or Exclude]], 0,4)</f>
        <v/>
      </c>
      <c r="Z115" s="62" t="str" cm="1">
        <f t="array" ref="Z115">Common_InputFunctions.Utility_DisplayArrayInTable(Fertiliser_SourceData.Fertiliser_Products_Data1(),FertiliserProducts[[#Headers],[Include or Exclude]], 0,4)</f>
        <v/>
      </c>
      <c r="AA115" s="62" t="str" cm="1">
        <f t="array" ref="AA115">Common_InputFunctions.Utility_DisplayArrayInTable(Fertiliser_SourceData.Fertiliser_Products_Data1(),FertiliserProducts[[#Headers],[Include or Exclude]], 0,4)</f>
        <v/>
      </c>
      <c r="AB115" s="62" t="str" cm="1">
        <f t="array" ref="AB115">Common_InputFunctions.Utility_DisplayArrayInTable(Fertiliser_SourceData.Fertiliser_Products_Data1(),FertiliserProducts[[#Headers],[Include or Exclude]], 0,4)</f>
        <v/>
      </c>
      <c r="AC115" s="62" t="str" cm="1">
        <f t="array" ref="AC115">Common_InputFunctions.Utility_DisplayArrayInTable(Fertiliser_SourceData.Fertiliser_Products_Data1(),FertiliserProducts[[#Headers],[Include or Exclude]], 0,4)</f>
        <v/>
      </c>
      <c r="AD115" s="62" t="str" cm="1">
        <f t="array" ref="AD115">Common_InputFunctions.Utility_DisplayArrayInTable(Fertiliser_SourceData.Fertiliser_Products_Data1(),FertiliserProducts[[#Headers],[Include or Exclude]], 0,4)</f>
        <v/>
      </c>
      <c r="AE115" s="62" t="str" cm="1">
        <f t="array" ref="AE115">Common_InputFunctions.Utility_DisplayArrayInTable(Fertiliser_SourceData.Fertiliser_Products_Data1(),FertiliserProducts[[#Headers],[Include or Exclude]], 0,4)</f>
        <v/>
      </c>
    </row>
    <row r="116" spans="1:31" ht="20.100000000000001" customHeight="1" x14ac:dyDescent="0.25">
      <c r="A116"/>
      <c r="D116" s="62" t="str" cm="1">
        <f t="array" ref="D116">Common_InputFunctions.Utility_DisplayArrayInTable(Fertiliser_SourceData.Fertiliser_Products_Data1(),FertiliserProducts[[#Headers],[Include or Exclude]], -1)</f>
        <v/>
      </c>
      <c r="E116" s="62" t="str" cm="1">
        <f t="array" ref="E116">Common_InputFunctions.Utility_DisplayArrayInTable(Fertiliser_SourceData.Fertiliser_Products_Data1(),FertiliserProducts[[#Headers],[Include or Exclude]], 0)</f>
        <v/>
      </c>
      <c r="F116" s="62" t="str" cm="1">
        <f t="array" ref="F116">Common_InputFunctions.Utility_DisplayArrayInTable(Fertiliser_SourceData.Fertiliser_Products_Data1(),FertiliserProducts[[#Headers],[Include or Exclude]], 0)</f>
        <v/>
      </c>
      <c r="G116" s="62" t="str" cm="1">
        <f t="array" ref="G116">Common_InputFunctions.Utility_DisplayArrayInTable(Fertiliser_SourceData.Fertiliser_Products_Data1(),FertiliserProducts[[#Headers],[Include or Exclude]], 0)</f>
        <v/>
      </c>
      <c r="H116" s="62" t="str" cm="1">
        <f t="array" ref="H116">Common_InputFunctions.Utility_DisplayArrayInTable(Fertiliser_SourceData.Fertiliser_Products_Data1(),FertiliserProducts[[#Headers],[Include or Exclude]], 0,4)</f>
        <v/>
      </c>
      <c r="I116" s="62" t="str" cm="1">
        <f t="array" ref="I116">Common_InputFunctions.Utility_DisplayArrayInTable(Fertiliser_SourceData.Fertiliser_Products_Data1(),FertiliserProducts[[#Headers],[Include or Exclude]], 0,4)</f>
        <v/>
      </c>
      <c r="J116" s="62" t="str" cm="1">
        <f t="array" ref="J116">Common_InputFunctions.Utility_DisplayArrayInTable(Fertiliser_SourceData.Fertiliser_Products_Data1(),FertiliserProducts[[#Headers],[Include or Exclude]], 0,4)</f>
        <v/>
      </c>
      <c r="K116" s="62" t="str" cm="1">
        <f t="array" ref="K116">Common_InputFunctions.Utility_DisplayArrayInTable(Fertiliser_SourceData.Fertiliser_Products_Data1(),FertiliserProducts[[#Headers],[Include or Exclude]], 0,4)</f>
        <v/>
      </c>
      <c r="L116" s="62" t="str" cm="1">
        <f t="array" ref="L116">Common_InputFunctions.Utility_DisplayArrayInTable(Fertiliser_SourceData.Fertiliser_Products_Data1(),FertiliserProducts[[#Headers],[Include or Exclude]], 0,4)</f>
        <v/>
      </c>
      <c r="M116" s="62" t="str" cm="1">
        <f t="array" ref="M116">Common_InputFunctions.Utility_DisplayArrayInTable(Fertiliser_SourceData.Fertiliser_Products_Data1(),FertiliserProducts[[#Headers],[Include or Exclude]], 0,4)</f>
        <v/>
      </c>
      <c r="N116" s="62" t="str" cm="1">
        <f t="array" ref="N116">Common_InputFunctions.Utility_DisplayArrayInTable(Fertiliser_SourceData.Fertiliser_Products_Data1(),FertiliserProducts[[#Headers],[Include or Exclude]], 0,4)</f>
        <v/>
      </c>
      <c r="O116" s="62" t="str" cm="1">
        <f t="array" ref="O116">Common_InputFunctions.Utility_DisplayArrayInTable(Fertiliser_SourceData.Fertiliser_Products_Data1(),FertiliserProducts[[#Headers],[Include or Exclude]], 0,4)</f>
        <v/>
      </c>
      <c r="P116" s="62" t="str" cm="1">
        <f t="array" ref="P116">Common_InputFunctions.Utility_DisplayArrayInTable(Fertiliser_SourceData.Fertiliser_Products_Data1(),FertiliserProducts[[#Headers],[Include or Exclude]], 0,4)</f>
        <v/>
      </c>
      <c r="Q116" s="62" t="str" cm="1">
        <f t="array" ref="Q116">Common_InputFunctions.Utility_DisplayArrayInTable(Fertiliser_SourceData.Fertiliser_Products_Data1(),FertiliserProducts[[#Headers],[Include or Exclude]], 0,4)</f>
        <v/>
      </c>
      <c r="R116" s="62" t="str" cm="1">
        <f t="array" ref="R116">Common_InputFunctions.Utility_DisplayArrayInTable(Fertiliser_SourceData.Fertiliser_Products_Data1(),FertiliserProducts[[#Headers],[Include or Exclude]], 0,4)</f>
        <v/>
      </c>
      <c r="S116" s="62" t="str" cm="1">
        <f t="array" ref="S116">Common_InputFunctions.Utility_DisplayArrayInTable(Fertiliser_SourceData.Fertiliser_Products_Data1(),FertiliserProducts[[#Headers],[Include or Exclude]], 0,4)</f>
        <v/>
      </c>
      <c r="T116" s="62" t="str" cm="1">
        <f t="array" ref="T116">Common_InputFunctions.Utility_DisplayArrayInTable(Fertiliser_SourceData.Fertiliser_Products_Data1(),FertiliserProducts[[#Headers],[Include or Exclude]], 0,4)</f>
        <v/>
      </c>
      <c r="U116" s="62" t="str" cm="1">
        <f t="array" ref="U116">Common_InputFunctions.Utility_DisplayArrayInTable(Fertiliser_SourceData.Fertiliser_Products_Data1(),FertiliserProducts[[#Headers],[Include or Exclude]], 0,4)</f>
        <v/>
      </c>
      <c r="V116" s="62" t="str" cm="1">
        <f t="array" ref="V116">Common_InputFunctions.Utility_DisplayArrayInTable(Fertiliser_SourceData.Fertiliser_Products_Data1(),FertiliserProducts[[#Headers],[Include or Exclude]], 0,4)</f>
        <v/>
      </c>
      <c r="W116" s="62" t="str" cm="1">
        <f t="array" ref="W116">Common_InputFunctions.Utility_DisplayArrayInTable(Fertiliser_SourceData.Fertiliser_Products_Data1(),FertiliserProducts[[#Headers],[Include or Exclude]], 0,4)</f>
        <v/>
      </c>
      <c r="X116" s="62" t="str" cm="1">
        <f t="array" ref="X116">Common_InputFunctions.Utility_DisplayArrayInTable(Fertiliser_SourceData.Fertiliser_Products_Data1(),FertiliserProducts[[#Headers],[Include or Exclude]], 0,4)</f>
        <v/>
      </c>
      <c r="Y116" s="62" t="str" cm="1">
        <f t="array" ref="Y116">Common_InputFunctions.Utility_DisplayArrayInTable(Fertiliser_SourceData.Fertiliser_Products_Data1(),FertiliserProducts[[#Headers],[Include or Exclude]], 0,4)</f>
        <v/>
      </c>
      <c r="Z116" s="62" t="str" cm="1">
        <f t="array" ref="Z116">Common_InputFunctions.Utility_DisplayArrayInTable(Fertiliser_SourceData.Fertiliser_Products_Data1(),FertiliserProducts[[#Headers],[Include or Exclude]], 0,4)</f>
        <v/>
      </c>
      <c r="AA116" s="62" t="str" cm="1">
        <f t="array" ref="AA116">Common_InputFunctions.Utility_DisplayArrayInTable(Fertiliser_SourceData.Fertiliser_Products_Data1(),FertiliserProducts[[#Headers],[Include or Exclude]], 0,4)</f>
        <v/>
      </c>
      <c r="AB116" s="62" t="str" cm="1">
        <f t="array" ref="AB116">Common_InputFunctions.Utility_DisplayArrayInTable(Fertiliser_SourceData.Fertiliser_Products_Data1(),FertiliserProducts[[#Headers],[Include or Exclude]], 0,4)</f>
        <v/>
      </c>
      <c r="AC116" s="62" t="str" cm="1">
        <f t="array" ref="AC116">Common_InputFunctions.Utility_DisplayArrayInTable(Fertiliser_SourceData.Fertiliser_Products_Data1(),FertiliserProducts[[#Headers],[Include or Exclude]], 0,4)</f>
        <v/>
      </c>
      <c r="AD116" s="62" t="str" cm="1">
        <f t="array" ref="AD116">Common_InputFunctions.Utility_DisplayArrayInTable(Fertiliser_SourceData.Fertiliser_Products_Data1(),FertiliserProducts[[#Headers],[Include or Exclude]], 0,4)</f>
        <v/>
      </c>
      <c r="AE116" s="62" t="str" cm="1">
        <f t="array" ref="AE116">Common_InputFunctions.Utility_DisplayArrayInTable(Fertiliser_SourceData.Fertiliser_Products_Data1(),FertiliserProducts[[#Headers],[Include or Exclude]], 0,4)</f>
        <v/>
      </c>
    </row>
    <row r="117" spans="1:31" ht="20.100000000000001" customHeight="1" x14ac:dyDescent="0.25">
      <c r="A117"/>
      <c r="D117" s="62" t="str" cm="1">
        <f t="array" ref="D117">Common_InputFunctions.Utility_DisplayArrayInTable(Fertiliser_SourceData.Fertiliser_Products_Data1(),FertiliserProducts[[#Headers],[Include or Exclude]], -1)</f>
        <v/>
      </c>
      <c r="E117" s="62" t="str" cm="1">
        <f t="array" ref="E117">Common_InputFunctions.Utility_DisplayArrayInTable(Fertiliser_SourceData.Fertiliser_Products_Data1(),FertiliserProducts[[#Headers],[Include or Exclude]], 0)</f>
        <v/>
      </c>
      <c r="F117" s="62" t="str" cm="1">
        <f t="array" ref="F117">Common_InputFunctions.Utility_DisplayArrayInTable(Fertiliser_SourceData.Fertiliser_Products_Data1(),FertiliserProducts[[#Headers],[Include or Exclude]], 0)</f>
        <v/>
      </c>
      <c r="G117" s="62" t="str" cm="1">
        <f t="array" ref="G117">Common_InputFunctions.Utility_DisplayArrayInTable(Fertiliser_SourceData.Fertiliser_Products_Data1(),FertiliserProducts[[#Headers],[Include or Exclude]], 0)</f>
        <v/>
      </c>
      <c r="H117" s="62" t="str" cm="1">
        <f t="array" ref="H117">Common_InputFunctions.Utility_DisplayArrayInTable(Fertiliser_SourceData.Fertiliser_Products_Data1(),FertiliserProducts[[#Headers],[Include or Exclude]], 0,4)</f>
        <v/>
      </c>
      <c r="I117" s="62" t="str" cm="1">
        <f t="array" ref="I117">Common_InputFunctions.Utility_DisplayArrayInTable(Fertiliser_SourceData.Fertiliser_Products_Data1(),FertiliserProducts[[#Headers],[Include or Exclude]], 0,4)</f>
        <v/>
      </c>
      <c r="J117" s="62" t="str" cm="1">
        <f t="array" ref="J117">Common_InputFunctions.Utility_DisplayArrayInTable(Fertiliser_SourceData.Fertiliser_Products_Data1(),FertiliserProducts[[#Headers],[Include or Exclude]], 0,4)</f>
        <v/>
      </c>
      <c r="K117" s="62" t="str" cm="1">
        <f t="array" ref="K117">Common_InputFunctions.Utility_DisplayArrayInTable(Fertiliser_SourceData.Fertiliser_Products_Data1(),FertiliserProducts[[#Headers],[Include or Exclude]], 0,4)</f>
        <v/>
      </c>
      <c r="L117" s="62" t="str" cm="1">
        <f t="array" ref="L117">Common_InputFunctions.Utility_DisplayArrayInTable(Fertiliser_SourceData.Fertiliser_Products_Data1(),FertiliserProducts[[#Headers],[Include or Exclude]], 0,4)</f>
        <v/>
      </c>
      <c r="M117" s="62" t="str" cm="1">
        <f t="array" ref="M117">Common_InputFunctions.Utility_DisplayArrayInTable(Fertiliser_SourceData.Fertiliser_Products_Data1(),FertiliserProducts[[#Headers],[Include or Exclude]], 0,4)</f>
        <v/>
      </c>
      <c r="N117" s="62" t="str" cm="1">
        <f t="array" ref="N117">Common_InputFunctions.Utility_DisplayArrayInTable(Fertiliser_SourceData.Fertiliser_Products_Data1(),FertiliserProducts[[#Headers],[Include or Exclude]], 0,4)</f>
        <v/>
      </c>
      <c r="O117" s="62" t="str" cm="1">
        <f t="array" ref="O117">Common_InputFunctions.Utility_DisplayArrayInTable(Fertiliser_SourceData.Fertiliser_Products_Data1(),FertiliserProducts[[#Headers],[Include or Exclude]], 0,4)</f>
        <v/>
      </c>
      <c r="P117" s="62" t="str" cm="1">
        <f t="array" ref="P117">Common_InputFunctions.Utility_DisplayArrayInTable(Fertiliser_SourceData.Fertiliser_Products_Data1(),FertiliserProducts[[#Headers],[Include or Exclude]], 0,4)</f>
        <v/>
      </c>
      <c r="Q117" s="62" t="str" cm="1">
        <f t="array" ref="Q117">Common_InputFunctions.Utility_DisplayArrayInTable(Fertiliser_SourceData.Fertiliser_Products_Data1(),FertiliserProducts[[#Headers],[Include or Exclude]], 0,4)</f>
        <v/>
      </c>
      <c r="R117" s="62" t="str" cm="1">
        <f t="array" ref="R117">Common_InputFunctions.Utility_DisplayArrayInTable(Fertiliser_SourceData.Fertiliser_Products_Data1(),FertiliserProducts[[#Headers],[Include or Exclude]], 0,4)</f>
        <v/>
      </c>
      <c r="S117" s="62" t="str" cm="1">
        <f t="array" ref="S117">Common_InputFunctions.Utility_DisplayArrayInTable(Fertiliser_SourceData.Fertiliser_Products_Data1(),FertiliserProducts[[#Headers],[Include or Exclude]], 0,4)</f>
        <v/>
      </c>
      <c r="T117" s="62" t="str" cm="1">
        <f t="array" ref="T117">Common_InputFunctions.Utility_DisplayArrayInTable(Fertiliser_SourceData.Fertiliser_Products_Data1(),FertiliserProducts[[#Headers],[Include or Exclude]], 0,4)</f>
        <v/>
      </c>
      <c r="U117" s="62" t="str" cm="1">
        <f t="array" ref="U117">Common_InputFunctions.Utility_DisplayArrayInTable(Fertiliser_SourceData.Fertiliser_Products_Data1(),FertiliserProducts[[#Headers],[Include or Exclude]], 0,4)</f>
        <v/>
      </c>
      <c r="V117" s="62" t="str" cm="1">
        <f t="array" ref="V117">Common_InputFunctions.Utility_DisplayArrayInTable(Fertiliser_SourceData.Fertiliser_Products_Data1(),FertiliserProducts[[#Headers],[Include or Exclude]], 0,4)</f>
        <v/>
      </c>
      <c r="W117" s="62" t="str" cm="1">
        <f t="array" ref="W117">Common_InputFunctions.Utility_DisplayArrayInTable(Fertiliser_SourceData.Fertiliser_Products_Data1(),FertiliserProducts[[#Headers],[Include or Exclude]], 0,4)</f>
        <v/>
      </c>
      <c r="X117" s="62" t="str" cm="1">
        <f t="array" ref="X117">Common_InputFunctions.Utility_DisplayArrayInTable(Fertiliser_SourceData.Fertiliser_Products_Data1(),FertiliserProducts[[#Headers],[Include or Exclude]], 0,4)</f>
        <v/>
      </c>
      <c r="Y117" s="62" t="str" cm="1">
        <f t="array" ref="Y117">Common_InputFunctions.Utility_DisplayArrayInTable(Fertiliser_SourceData.Fertiliser_Products_Data1(),FertiliserProducts[[#Headers],[Include or Exclude]], 0,4)</f>
        <v/>
      </c>
      <c r="Z117" s="62" t="str" cm="1">
        <f t="array" ref="Z117">Common_InputFunctions.Utility_DisplayArrayInTable(Fertiliser_SourceData.Fertiliser_Products_Data1(),FertiliserProducts[[#Headers],[Include or Exclude]], 0,4)</f>
        <v/>
      </c>
      <c r="AA117" s="62" t="str" cm="1">
        <f t="array" ref="AA117">Common_InputFunctions.Utility_DisplayArrayInTable(Fertiliser_SourceData.Fertiliser_Products_Data1(),FertiliserProducts[[#Headers],[Include or Exclude]], 0,4)</f>
        <v/>
      </c>
      <c r="AB117" s="62" t="str" cm="1">
        <f t="array" ref="AB117">Common_InputFunctions.Utility_DisplayArrayInTable(Fertiliser_SourceData.Fertiliser_Products_Data1(),FertiliserProducts[[#Headers],[Include or Exclude]], 0,4)</f>
        <v/>
      </c>
      <c r="AC117" s="62" t="str" cm="1">
        <f t="array" ref="AC117">Common_InputFunctions.Utility_DisplayArrayInTable(Fertiliser_SourceData.Fertiliser_Products_Data1(),FertiliserProducts[[#Headers],[Include or Exclude]], 0,4)</f>
        <v/>
      </c>
      <c r="AD117" s="62" t="str" cm="1">
        <f t="array" ref="AD117">Common_InputFunctions.Utility_DisplayArrayInTable(Fertiliser_SourceData.Fertiliser_Products_Data1(),FertiliserProducts[[#Headers],[Include or Exclude]], 0,4)</f>
        <v/>
      </c>
      <c r="AE117" s="62" t="str" cm="1">
        <f t="array" ref="AE117">Common_InputFunctions.Utility_DisplayArrayInTable(Fertiliser_SourceData.Fertiliser_Products_Data1(),FertiliserProducts[[#Headers],[Include or Exclude]], 0,4)</f>
        <v/>
      </c>
    </row>
    <row r="118" spans="1:31" ht="20.100000000000001" customHeight="1" x14ac:dyDescent="0.25">
      <c r="A118"/>
      <c r="D118" s="62" t="str" cm="1">
        <f t="array" ref="D118">Common_InputFunctions.Utility_DisplayArrayInTable(Fertiliser_SourceData.Fertiliser_Products_Data1(),FertiliserProducts[[#Headers],[Include or Exclude]], -1)</f>
        <v/>
      </c>
      <c r="E118" s="62" t="str" cm="1">
        <f t="array" ref="E118">Common_InputFunctions.Utility_DisplayArrayInTable(Fertiliser_SourceData.Fertiliser_Products_Data1(),FertiliserProducts[[#Headers],[Include or Exclude]], 0)</f>
        <v/>
      </c>
      <c r="F118" s="62" t="str" cm="1">
        <f t="array" ref="F118">Common_InputFunctions.Utility_DisplayArrayInTable(Fertiliser_SourceData.Fertiliser_Products_Data1(),FertiliserProducts[[#Headers],[Include or Exclude]], 0)</f>
        <v/>
      </c>
      <c r="G118" s="62" t="str" cm="1">
        <f t="array" ref="G118">Common_InputFunctions.Utility_DisplayArrayInTable(Fertiliser_SourceData.Fertiliser_Products_Data1(),FertiliserProducts[[#Headers],[Include or Exclude]], 0)</f>
        <v/>
      </c>
      <c r="H118" s="62" t="str" cm="1">
        <f t="array" ref="H118">Common_InputFunctions.Utility_DisplayArrayInTable(Fertiliser_SourceData.Fertiliser_Products_Data1(),FertiliserProducts[[#Headers],[Include or Exclude]], 0,4)</f>
        <v/>
      </c>
      <c r="I118" s="62" t="str" cm="1">
        <f t="array" ref="I118">Common_InputFunctions.Utility_DisplayArrayInTable(Fertiliser_SourceData.Fertiliser_Products_Data1(),FertiliserProducts[[#Headers],[Include or Exclude]], 0,4)</f>
        <v/>
      </c>
      <c r="J118" s="62" t="str" cm="1">
        <f t="array" ref="J118">Common_InputFunctions.Utility_DisplayArrayInTable(Fertiliser_SourceData.Fertiliser_Products_Data1(),FertiliserProducts[[#Headers],[Include or Exclude]], 0,4)</f>
        <v/>
      </c>
      <c r="K118" s="62" t="str" cm="1">
        <f t="array" ref="K118">Common_InputFunctions.Utility_DisplayArrayInTable(Fertiliser_SourceData.Fertiliser_Products_Data1(),FertiliserProducts[[#Headers],[Include or Exclude]], 0,4)</f>
        <v/>
      </c>
      <c r="L118" s="62" t="str" cm="1">
        <f t="array" ref="L118">Common_InputFunctions.Utility_DisplayArrayInTable(Fertiliser_SourceData.Fertiliser_Products_Data1(),FertiliserProducts[[#Headers],[Include or Exclude]], 0,4)</f>
        <v/>
      </c>
      <c r="M118" s="62" t="str" cm="1">
        <f t="array" ref="M118">Common_InputFunctions.Utility_DisplayArrayInTable(Fertiliser_SourceData.Fertiliser_Products_Data1(),FertiliserProducts[[#Headers],[Include or Exclude]], 0,4)</f>
        <v/>
      </c>
      <c r="N118" s="62" t="str" cm="1">
        <f t="array" ref="N118">Common_InputFunctions.Utility_DisplayArrayInTable(Fertiliser_SourceData.Fertiliser_Products_Data1(),FertiliserProducts[[#Headers],[Include or Exclude]], 0,4)</f>
        <v/>
      </c>
      <c r="O118" s="62" t="str" cm="1">
        <f t="array" ref="O118">Common_InputFunctions.Utility_DisplayArrayInTable(Fertiliser_SourceData.Fertiliser_Products_Data1(),FertiliserProducts[[#Headers],[Include or Exclude]], 0,4)</f>
        <v/>
      </c>
      <c r="P118" s="62" t="str" cm="1">
        <f t="array" ref="P118">Common_InputFunctions.Utility_DisplayArrayInTable(Fertiliser_SourceData.Fertiliser_Products_Data1(),FertiliserProducts[[#Headers],[Include or Exclude]], 0,4)</f>
        <v/>
      </c>
      <c r="Q118" s="62" t="str" cm="1">
        <f t="array" ref="Q118">Common_InputFunctions.Utility_DisplayArrayInTable(Fertiliser_SourceData.Fertiliser_Products_Data1(),FertiliserProducts[[#Headers],[Include or Exclude]], 0,4)</f>
        <v/>
      </c>
      <c r="R118" s="62" t="str" cm="1">
        <f t="array" ref="R118">Common_InputFunctions.Utility_DisplayArrayInTable(Fertiliser_SourceData.Fertiliser_Products_Data1(),FertiliserProducts[[#Headers],[Include or Exclude]], 0,4)</f>
        <v/>
      </c>
      <c r="S118" s="62" t="str" cm="1">
        <f t="array" ref="S118">Common_InputFunctions.Utility_DisplayArrayInTable(Fertiliser_SourceData.Fertiliser_Products_Data1(),FertiliserProducts[[#Headers],[Include or Exclude]], 0,4)</f>
        <v/>
      </c>
      <c r="T118" s="62" t="str" cm="1">
        <f t="array" ref="T118">Common_InputFunctions.Utility_DisplayArrayInTable(Fertiliser_SourceData.Fertiliser_Products_Data1(),FertiliserProducts[[#Headers],[Include or Exclude]], 0,4)</f>
        <v/>
      </c>
      <c r="U118" s="62" t="str" cm="1">
        <f t="array" ref="U118">Common_InputFunctions.Utility_DisplayArrayInTable(Fertiliser_SourceData.Fertiliser_Products_Data1(),FertiliserProducts[[#Headers],[Include or Exclude]], 0,4)</f>
        <v/>
      </c>
      <c r="V118" s="62" t="str" cm="1">
        <f t="array" ref="V118">Common_InputFunctions.Utility_DisplayArrayInTable(Fertiliser_SourceData.Fertiliser_Products_Data1(),FertiliserProducts[[#Headers],[Include or Exclude]], 0,4)</f>
        <v/>
      </c>
      <c r="W118" s="62" t="str" cm="1">
        <f t="array" ref="W118">Common_InputFunctions.Utility_DisplayArrayInTable(Fertiliser_SourceData.Fertiliser_Products_Data1(),FertiliserProducts[[#Headers],[Include or Exclude]], 0,4)</f>
        <v/>
      </c>
      <c r="X118" s="62" t="str" cm="1">
        <f t="array" ref="X118">Common_InputFunctions.Utility_DisplayArrayInTable(Fertiliser_SourceData.Fertiliser_Products_Data1(),FertiliserProducts[[#Headers],[Include or Exclude]], 0,4)</f>
        <v/>
      </c>
      <c r="Y118" s="62" t="str" cm="1">
        <f t="array" ref="Y118">Common_InputFunctions.Utility_DisplayArrayInTable(Fertiliser_SourceData.Fertiliser_Products_Data1(),FertiliserProducts[[#Headers],[Include or Exclude]], 0,4)</f>
        <v/>
      </c>
      <c r="Z118" s="62" t="str" cm="1">
        <f t="array" ref="Z118">Common_InputFunctions.Utility_DisplayArrayInTable(Fertiliser_SourceData.Fertiliser_Products_Data1(),FertiliserProducts[[#Headers],[Include or Exclude]], 0,4)</f>
        <v/>
      </c>
      <c r="AA118" s="62" t="str" cm="1">
        <f t="array" ref="AA118">Common_InputFunctions.Utility_DisplayArrayInTable(Fertiliser_SourceData.Fertiliser_Products_Data1(),FertiliserProducts[[#Headers],[Include or Exclude]], 0,4)</f>
        <v/>
      </c>
      <c r="AB118" s="62" t="str" cm="1">
        <f t="array" ref="AB118">Common_InputFunctions.Utility_DisplayArrayInTable(Fertiliser_SourceData.Fertiliser_Products_Data1(),FertiliserProducts[[#Headers],[Include or Exclude]], 0,4)</f>
        <v/>
      </c>
      <c r="AC118" s="62" t="str" cm="1">
        <f t="array" ref="AC118">Common_InputFunctions.Utility_DisplayArrayInTable(Fertiliser_SourceData.Fertiliser_Products_Data1(),FertiliserProducts[[#Headers],[Include or Exclude]], 0,4)</f>
        <v/>
      </c>
      <c r="AD118" s="62" t="str" cm="1">
        <f t="array" ref="AD118">Common_InputFunctions.Utility_DisplayArrayInTable(Fertiliser_SourceData.Fertiliser_Products_Data1(),FertiliserProducts[[#Headers],[Include or Exclude]], 0,4)</f>
        <v/>
      </c>
      <c r="AE118" s="62" t="str" cm="1">
        <f t="array" ref="AE118">Common_InputFunctions.Utility_DisplayArrayInTable(Fertiliser_SourceData.Fertiliser_Products_Data1(),FertiliserProducts[[#Headers],[Include or Exclude]], 0,4)</f>
        <v/>
      </c>
    </row>
    <row r="119" spans="1:31" ht="20.100000000000001" customHeight="1" x14ac:dyDescent="0.25">
      <c r="A119"/>
      <c r="D119" s="62" t="str" cm="1">
        <f t="array" ref="D119">Common_InputFunctions.Utility_DisplayArrayInTable(Fertiliser_SourceData.Fertiliser_Products_Data1(),FertiliserProducts[[#Headers],[Include or Exclude]], -1)</f>
        <v/>
      </c>
      <c r="E119" s="62" t="str" cm="1">
        <f t="array" ref="E119">Common_InputFunctions.Utility_DisplayArrayInTable(Fertiliser_SourceData.Fertiliser_Products_Data1(),FertiliserProducts[[#Headers],[Include or Exclude]], 0)</f>
        <v/>
      </c>
      <c r="F119" s="62" t="str" cm="1">
        <f t="array" ref="F119">Common_InputFunctions.Utility_DisplayArrayInTable(Fertiliser_SourceData.Fertiliser_Products_Data1(),FertiliserProducts[[#Headers],[Include or Exclude]], 0)</f>
        <v/>
      </c>
      <c r="G119" s="62" t="str" cm="1">
        <f t="array" ref="G119">Common_InputFunctions.Utility_DisplayArrayInTable(Fertiliser_SourceData.Fertiliser_Products_Data1(),FertiliserProducts[[#Headers],[Include or Exclude]], 0)</f>
        <v/>
      </c>
      <c r="H119" s="62" t="str" cm="1">
        <f t="array" ref="H119">Common_InputFunctions.Utility_DisplayArrayInTable(Fertiliser_SourceData.Fertiliser_Products_Data1(),FertiliserProducts[[#Headers],[Include or Exclude]], 0,4)</f>
        <v/>
      </c>
      <c r="I119" s="62" t="str" cm="1">
        <f t="array" ref="I119">Common_InputFunctions.Utility_DisplayArrayInTable(Fertiliser_SourceData.Fertiliser_Products_Data1(),FertiliserProducts[[#Headers],[Include or Exclude]], 0,4)</f>
        <v/>
      </c>
      <c r="J119" s="62" t="str" cm="1">
        <f t="array" ref="J119">Common_InputFunctions.Utility_DisplayArrayInTable(Fertiliser_SourceData.Fertiliser_Products_Data1(),FertiliserProducts[[#Headers],[Include or Exclude]], 0,4)</f>
        <v/>
      </c>
      <c r="K119" s="62" t="str" cm="1">
        <f t="array" ref="K119">Common_InputFunctions.Utility_DisplayArrayInTable(Fertiliser_SourceData.Fertiliser_Products_Data1(),FertiliserProducts[[#Headers],[Include or Exclude]], 0,4)</f>
        <v/>
      </c>
      <c r="L119" s="62" t="str" cm="1">
        <f t="array" ref="L119">Common_InputFunctions.Utility_DisplayArrayInTable(Fertiliser_SourceData.Fertiliser_Products_Data1(),FertiliserProducts[[#Headers],[Include or Exclude]], 0,4)</f>
        <v/>
      </c>
      <c r="M119" s="62" t="str" cm="1">
        <f t="array" ref="M119">Common_InputFunctions.Utility_DisplayArrayInTable(Fertiliser_SourceData.Fertiliser_Products_Data1(),FertiliserProducts[[#Headers],[Include or Exclude]], 0,4)</f>
        <v/>
      </c>
      <c r="N119" s="62" t="str" cm="1">
        <f t="array" ref="N119">Common_InputFunctions.Utility_DisplayArrayInTable(Fertiliser_SourceData.Fertiliser_Products_Data1(),FertiliserProducts[[#Headers],[Include or Exclude]], 0,4)</f>
        <v/>
      </c>
      <c r="O119" s="62" t="str" cm="1">
        <f t="array" ref="O119">Common_InputFunctions.Utility_DisplayArrayInTable(Fertiliser_SourceData.Fertiliser_Products_Data1(),FertiliserProducts[[#Headers],[Include or Exclude]], 0,4)</f>
        <v/>
      </c>
      <c r="P119" s="62" t="str" cm="1">
        <f t="array" ref="P119">Common_InputFunctions.Utility_DisplayArrayInTable(Fertiliser_SourceData.Fertiliser_Products_Data1(),FertiliserProducts[[#Headers],[Include or Exclude]], 0,4)</f>
        <v/>
      </c>
      <c r="Q119" s="62" t="str" cm="1">
        <f t="array" ref="Q119">Common_InputFunctions.Utility_DisplayArrayInTable(Fertiliser_SourceData.Fertiliser_Products_Data1(),FertiliserProducts[[#Headers],[Include or Exclude]], 0,4)</f>
        <v/>
      </c>
      <c r="R119" s="62" t="str" cm="1">
        <f t="array" ref="R119">Common_InputFunctions.Utility_DisplayArrayInTable(Fertiliser_SourceData.Fertiliser_Products_Data1(),FertiliserProducts[[#Headers],[Include or Exclude]], 0,4)</f>
        <v/>
      </c>
      <c r="S119" s="62" t="str" cm="1">
        <f t="array" ref="S119">Common_InputFunctions.Utility_DisplayArrayInTable(Fertiliser_SourceData.Fertiliser_Products_Data1(),FertiliserProducts[[#Headers],[Include or Exclude]], 0,4)</f>
        <v/>
      </c>
      <c r="T119" s="62" t="str" cm="1">
        <f t="array" ref="T119">Common_InputFunctions.Utility_DisplayArrayInTable(Fertiliser_SourceData.Fertiliser_Products_Data1(),FertiliserProducts[[#Headers],[Include or Exclude]], 0,4)</f>
        <v/>
      </c>
      <c r="U119" s="62" t="str" cm="1">
        <f t="array" ref="U119">Common_InputFunctions.Utility_DisplayArrayInTable(Fertiliser_SourceData.Fertiliser_Products_Data1(),FertiliserProducts[[#Headers],[Include or Exclude]], 0,4)</f>
        <v/>
      </c>
      <c r="V119" s="62" t="str" cm="1">
        <f t="array" ref="V119">Common_InputFunctions.Utility_DisplayArrayInTable(Fertiliser_SourceData.Fertiliser_Products_Data1(),FertiliserProducts[[#Headers],[Include or Exclude]], 0,4)</f>
        <v/>
      </c>
      <c r="W119" s="62" t="str" cm="1">
        <f t="array" ref="W119">Common_InputFunctions.Utility_DisplayArrayInTable(Fertiliser_SourceData.Fertiliser_Products_Data1(),FertiliserProducts[[#Headers],[Include or Exclude]], 0,4)</f>
        <v/>
      </c>
      <c r="X119" s="62" t="str" cm="1">
        <f t="array" ref="X119">Common_InputFunctions.Utility_DisplayArrayInTable(Fertiliser_SourceData.Fertiliser_Products_Data1(),FertiliserProducts[[#Headers],[Include or Exclude]], 0,4)</f>
        <v/>
      </c>
      <c r="Y119" s="62" t="str" cm="1">
        <f t="array" ref="Y119">Common_InputFunctions.Utility_DisplayArrayInTable(Fertiliser_SourceData.Fertiliser_Products_Data1(),FertiliserProducts[[#Headers],[Include or Exclude]], 0,4)</f>
        <v/>
      </c>
      <c r="Z119" s="62" t="str" cm="1">
        <f t="array" ref="Z119">Common_InputFunctions.Utility_DisplayArrayInTable(Fertiliser_SourceData.Fertiliser_Products_Data1(),FertiliserProducts[[#Headers],[Include or Exclude]], 0,4)</f>
        <v/>
      </c>
      <c r="AA119" s="62" t="str" cm="1">
        <f t="array" ref="AA119">Common_InputFunctions.Utility_DisplayArrayInTable(Fertiliser_SourceData.Fertiliser_Products_Data1(),FertiliserProducts[[#Headers],[Include or Exclude]], 0,4)</f>
        <v/>
      </c>
      <c r="AB119" s="62" t="str" cm="1">
        <f t="array" ref="AB119">Common_InputFunctions.Utility_DisplayArrayInTable(Fertiliser_SourceData.Fertiliser_Products_Data1(),FertiliserProducts[[#Headers],[Include or Exclude]], 0,4)</f>
        <v/>
      </c>
      <c r="AC119" s="62" t="str" cm="1">
        <f t="array" ref="AC119">Common_InputFunctions.Utility_DisplayArrayInTable(Fertiliser_SourceData.Fertiliser_Products_Data1(),FertiliserProducts[[#Headers],[Include or Exclude]], 0,4)</f>
        <v/>
      </c>
      <c r="AD119" s="62" t="str" cm="1">
        <f t="array" ref="AD119">Common_InputFunctions.Utility_DisplayArrayInTable(Fertiliser_SourceData.Fertiliser_Products_Data1(),FertiliserProducts[[#Headers],[Include or Exclude]], 0,4)</f>
        <v/>
      </c>
      <c r="AE119" s="62" t="str" cm="1">
        <f t="array" ref="AE119">Common_InputFunctions.Utility_DisplayArrayInTable(Fertiliser_SourceData.Fertiliser_Products_Data1(),FertiliserProducts[[#Headers],[Include or Exclude]], 0,4)</f>
        <v/>
      </c>
    </row>
    <row r="120" spans="1:31" ht="20.100000000000001" customHeight="1" x14ac:dyDescent="0.25">
      <c r="A120"/>
      <c r="D120" s="62" t="str" cm="1">
        <f t="array" ref="D120">Common_InputFunctions.Utility_DisplayArrayInTable(Fertiliser_SourceData.Fertiliser_Products_Data1(),FertiliserProducts[[#Headers],[Include or Exclude]], -1)</f>
        <v/>
      </c>
      <c r="E120" s="62" t="str" cm="1">
        <f t="array" ref="E120">Common_InputFunctions.Utility_DisplayArrayInTable(Fertiliser_SourceData.Fertiliser_Products_Data1(),FertiliserProducts[[#Headers],[Include or Exclude]], 0)</f>
        <v/>
      </c>
      <c r="F120" s="62" t="str" cm="1">
        <f t="array" ref="F120">Common_InputFunctions.Utility_DisplayArrayInTable(Fertiliser_SourceData.Fertiliser_Products_Data1(),FertiliserProducts[[#Headers],[Include or Exclude]], 0)</f>
        <v/>
      </c>
      <c r="G120" s="62" t="str" cm="1">
        <f t="array" ref="G120">Common_InputFunctions.Utility_DisplayArrayInTable(Fertiliser_SourceData.Fertiliser_Products_Data1(),FertiliserProducts[[#Headers],[Include or Exclude]], 0)</f>
        <v/>
      </c>
      <c r="H120" s="62" t="str" cm="1">
        <f t="array" ref="H120">Common_InputFunctions.Utility_DisplayArrayInTable(Fertiliser_SourceData.Fertiliser_Products_Data1(),FertiliserProducts[[#Headers],[Include or Exclude]], 0,4)</f>
        <v/>
      </c>
      <c r="I120" s="62" t="str" cm="1">
        <f t="array" ref="I120">Common_InputFunctions.Utility_DisplayArrayInTable(Fertiliser_SourceData.Fertiliser_Products_Data1(),FertiliserProducts[[#Headers],[Include or Exclude]], 0,4)</f>
        <v/>
      </c>
      <c r="J120" s="62" t="str" cm="1">
        <f t="array" ref="J120">Common_InputFunctions.Utility_DisplayArrayInTable(Fertiliser_SourceData.Fertiliser_Products_Data1(),FertiliserProducts[[#Headers],[Include or Exclude]], 0,4)</f>
        <v/>
      </c>
      <c r="K120" s="62" t="str" cm="1">
        <f t="array" ref="K120">Common_InputFunctions.Utility_DisplayArrayInTable(Fertiliser_SourceData.Fertiliser_Products_Data1(),FertiliserProducts[[#Headers],[Include or Exclude]], 0,4)</f>
        <v/>
      </c>
      <c r="L120" s="62" t="str" cm="1">
        <f t="array" ref="L120">Common_InputFunctions.Utility_DisplayArrayInTable(Fertiliser_SourceData.Fertiliser_Products_Data1(),FertiliserProducts[[#Headers],[Include or Exclude]], 0,4)</f>
        <v/>
      </c>
      <c r="M120" s="62" t="str" cm="1">
        <f t="array" ref="M120">Common_InputFunctions.Utility_DisplayArrayInTable(Fertiliser_SourceData.Fertiliser_Products_Data1(),FertiliserProducts[[#Headers],[Include or Exclude]], 0,4)</f>
        <v/>
      </c>
      <c r="N120" s="62" t="str" cm="1">
        <f t="array" ref="N120">Common_InputFunctions.Utility_DisplayArrayInTable(Fertiliser_SourceData.Fertiliser_Products_Data1(),FertiliserProducts[[#Headers],[Include or Exclude]], 0,4)</f>
        <v/>
      </c>
      <c r="O120" s="62" t="str" cm="1">
        <f t="array" ref="O120">Common_InputFunctions.Utility_DisplayArrayInTable(Fertiliser_SourceData.Fertiliser_Products_Data1(),FertiliserProducts[[#Headers],[Include or Exclude]], 0,4)</f>
        <v/>
      </c>
      <c r="P120" s="62" t="str" cm="1">
        <f t="array" ref="P120">Common_InputFunctions.Utility_DisplayArrayInTable(Fertiliser_SourceData.Fertiliser_Products_Data1(),FertiliserProducts[[#Headers],[Include or Exclude]], 0,4)</f>
        <v/>
      </c>
      <c r="Q120" s="62" t="str" cm="1">
        <f t="array" ref="Q120">Common_InputFunctions.Utility_DisplayArrayInTable(Fertiliser_SourceData.Fertiliser_Products_Data1(),FertiliserProducts[[#Headers],[Include or Exclude]], 0,4)</f>
        <v/>
      </c>
      <c r="R120" s="62" t="str" cm="1">
        <f t="array" ref="R120">Common_InputFunctions.Utility_DisplayArrayInTable(Fertiliser_SourceData.Fertiliser_Products_Data1(),FertiliserProducts[[#Headers],[Include or Exclude]], 0,4)</f>
        <v/>
      </c>
      <c r="S120" s="62" t="str" cm="1">
        <f t="array" ref="S120">Common_InputFunctions.Utility_DisplayArrayInTable(Fertiliser_SourceData.Fertiliser_Products_Data1(),FertiliserProducts[[#Headers],[Include or Exclude]], 0,4)</f>
        <v/>
      </c>
      <c r="T120" s="62" t="str" cm="1">
        <f t="array" ref="T120">Common_InputFunctions.Utility_DisplayArrayInTable(Fertiliser_SourceData.Fertiliser_Products_Data1(),FertiliserProducts[[#Headers],[Include or Exclude]], 0,4)</f>
        <v/>
      </c>
      <c r="U120" s="62" t="str" cm="1">
        <f t="array" ref="U120">Common_InputFunctions.Utility_DisplayArrayInTable(Fertiliser_SourceData.Fertiliser_Products_Data1(),FertiliserProducts[[#Headers],[Include or Exclude]], 0,4)</f>
        <v/>
      </c>
      <c r="V120" s="62" t="str" cm="1">
        <f t="array" ref="V120">Common_InputFunctions.Utility_DisplayArrayInTable(Fertiliser_SourceData.Fertiliser_Products_Data1(),FertiliserProducts[[#Headers],[Include or Exclude]], 0,4)</f>
        <v/>
      </c>
      <c r="W120" s="62" t="str" cm="1">
        <f t="array" ref="W120">Common_InputFunctions.Utility_DisplayArrayInTable(Fertiliser_SourceData.Fertiliser_Products_Data1(),FertiliserProducts[[#Headers],[Include or Exclude]], 0,4)</f>
        <v/>
      </c>
      <c r="X120" s="62" t="str" cm="1">
        <f t="array" ref="X120">Common_InputFunctions.Utility_DisplayArrayInTable(Fertiliser_SourceData.Fertiliser_Products_Data1(),FertiliserProducts[[#Headers],[Include or Exclude]], 0,4)</f>
        <v/>
      </c>
      <c r="Y120" s="62" t="str" cm="1">
        <f t="array" ref="Y120">Common_InputFunctions.Utility_DisplayArrayInTable(Fertiliser_SourceData.Fertiliser_Products_Data1(),FertiliserProducts[[#Headers],[Include or Exclude]], 0,4)</f>
        <v/>
      </c>
      <c r="Z120" s="62" t="str" cm="1">
        <f t="array" ref="Z120">Common_InputFunctions.Utility_DisplayArrayInTable(Fertiliser_SourceData.Fertiliser_Products_Data1(),FertiliserProducts[[#Headers],[Include or Exclude]], 0,4)</f>
        <v/>
      </c>
      <c r="AA120" s="62" t="str" cm="1">
        <f t="array" ref="AA120">Common_InputFunctions.Utility_DisplayArrayInTable(Fertiliser_SourceData.Fertiliser_Products_Data1(),FertiliserProducts[[#Headers],[Include or Exclude]], 0,4)</f>
        <v/>
      </c>
      <c r="AB120" s="62" t="str" cm="1">
        <f t="array" ref="AB120">Common_InputFunctions.Utility_DisplayArrayInTable(Fertiliser_SourceData.Fertiliser_Products_Data1(),FertiliserProducts[[#Headers],[Include or Exclude]], 0,4)</f>
        <v/>
      </c>
      <c r="AC120" s="62" t="str" cm="1">
        <f t="array" ref="AC120">Common_InputFunctions.Utility_DisplayArrayInTable(Fertiliser_SourceData.Fertiliser_Products_Data1(),FertiliserProducts[[#Headers],[Include or Exclude]], 0,4)</f>
        <v/>
      </c>
      <c r="AD120" s="62" t="str" cm="1">
        <f t="array" ref="AD120">Common_InputFunctions.Utility_DisplayArrayInTable(Fertiliser_SourceData.Fertiliser_Products_Data1(),FertiliserProducts[[#Headers],[Include or Exclude]], 0,4)</f>
        <v/>
      </c>
      <c r="AE120" s="62" t="str" cm="1">
        <f t="array" ref="AE120">Common_InputFunctions.Utility_DisplayArrayInTable(Fertiliser_SourceData.Fertiliser_Products_Data1(),FertiliserProducts[[#Headers],[Include or Exclude]], 0,4)</f>
        <v/>
      </c>
    </row>
    <row r="121" spans="1:31" ht="20.100000000000001" customHeight="1" x14ac:dyDescent="0.25">
      <c r="A121"/>
      <c r="D121" s="62" t="str" cm="1">
        <f t="array" ref="D121">Common_InputFunctions.Utility_DisplayArrayInTable(Fertiliser_SourceData.Fertiliser_Products_Data1(),FertiliserProducts[[#Headers],[Include or Exclude]], -1)</f>
        <v/>
      </c>
      <c r="E121" s="62" t="str" cm="1">
        <f t="array" ref="E121">Common_InputFunctions.Utility_DisplayArrayInTable(Fertiliser_SourceData.Fertiliser_Products_Data1(),FertiliserProducts[[#Headers],[Include or Exclude]], 0)</f>
        <v/>
      </c>
      <c r="F121" s="62" t="str" cm="1">
        <f t="array" ref="F121">Common_InputFunctions.Utility_DisplayArrayInTable(Fertiliser_SourceData.Fertiliser_Products_Data1(),FertiliserProducts[[#Headers],[Include or Exclude]], 0)</f>
        <v/>
      </c>
      <c r="G121" s="62" t="str" cm="1">
        <f t="array" ref="G121">Common_InputFunctions.Utility_DisplayArrayInTable(Fertiliser_SourceData.Fertiliser_Products_Data1(),FertiliserProducts[[#Headers],[Include or Exclude]], 0)</f>
        <v/>
      </c>
      <c r="H121" s="62" t="str" cm="1">
        <f t="array" ref="H121">Common_InputFunctions.Utility_DisplayArrayInTable(Fertiliser_SourceData.Fertiliser_Products_Data1(),FertiliserProducts[[#Headers],[Include or Exclude]], 0,4)</f>
        <v/>
      </c>
      <c r="I121" s="62" t="str" cm="1">
        <f t="array" ref="I121">Common_InputFunctions.Utility_DisplayArrayInTable(Fertiliser_SourceData.Fertiliser_Products_Data1(),FertiliserProducts[[#Headers],[Include or Exclude]], 0,4)</f>
        <v/>
      </c>
      <c r="J121" s="62" t="str" cm="1">
        <f t="array" ref="J121">Common_InputFunctions.Utility_DisplayArrayInTable(Fertiliser_SourceData.Fertiliser_Products_Data1(),FertiliserProducts[[#Headers],[Include or Exclude]], 0,4)</f>
        <v/>
      </c>
      <c r="K121" s="62" t="str" cm="1">
        <f t="array" ref="K121">Common_InputFunctions.Utility_DisplayArrayInTable(Fertiliser_SourceData.Fertiliser_Products_Data1(),FertiliserProducts[[#Headers],[Include or Exclude]], 0,4)</f>
        <v/>
      </c>
      <c r="L121" s="62" t="str" cm="1">
        <f t="array" ref="L121">Common_InputFunctions.Utility_DisplayArrayInTable(Fertiliser_SourceData.Fertiliser_Products_Data1(),FertiliserProducts[[#Headers],[Include or Exclude]], 0,4)</f>
        <v/>
      </c>
      <c r="M121" s="62" t="str" cm="1">
        <f t="array" ref="M121">Common_InputFunctions.Utility_DisplayArrayInTable(Fertiliser_SourceData.Fertiliser_Products_Data1(),FertiliserProducts[[#Headers],[Include or Exclude]], 0,4)</f>
        <v/>
      </c>
      <c r="N121" s="62" t="str" cm="1">
        <f t="array" ref="N121">Common_InputFunctions.Utility_DisplayArrayInTable(Fertiliser_SourceData.Fertiliser_Products_Data1(),FertiliserProducts[[#Headers],[Include or Exclude]], 0,4)</f>
        <v/>
      </c>
      <c r="O121" s="62" t="str" cm="1">
        <f t="array" ref="O121">Common_InputFunctions.Utility_DisplayArrayInTable(Fertiliser_SourceData.Fertiliser_Products_Data1(),FertiliserProducts[[#Headers],[Include or Exclude]], 0,4)</f>
        <v/>
      </c>
      <c r="P121" s="62" t="str" cm="1">
        <f t="array" ref="P121">Common_InputFunctions.Utility_DisplayArrayInTable(Fertiliser_SourceData.Fertiliser_Products_Data1(),FertiliserProducts[[#Headers],[Include or Exclude]], 0,4)</f>
        <v/>
      </c>
      <c r="Q121" s="62" t="str" cm="1">
        <f t="array" ref="Q121">Common_InputFunctions.Utility_DisplayArrayInTable(Fertiliser_SourceData.Fertiliser_Products_Data1(),FertiliserProducts[[#Headers],[Include or Exclude]], 0,4)</f>
        <v/>
      </c>
      <c r="R121" s="62" t="str" cm="1">
        <f t="array" ref="R121">Common_InputFunctions.Utility_DisplayArrayInTable(Fertiliser_SourceData.Fertiliser_Products_Data1(),FertiliserProducts[[#Headers],[Include or Exclude]], 0,4)</f>
        <v/>
      </c>
      <c r="S121" s="62" t="str" cm="1">
        <f t="array" ref="S121">Common_InputFunctions.Utility_DisplayArrayInTable(Fertiliser_SourceData.Fertiliser_Products_Data1(),FertiliserProducts[[#Headers],[Include or Exclude]], 0,4)</f>
        <v/>
      </c>
      <c r="T121" s="62" t="str" cm="1">
        <f t="array" ref="T121">Common_InputFunctions.Utility_DisplayArrayInTable(Fertiliser_SourceData.Fertiliser_Products_Data1(),FertiliserProducts[[#Headers],[Include or Exclude]], 0,4)</f>
        <v/>
      </c>
      <c r="U121" s="62" t="str" cm="1">
        <f t="array" ref="U121">Common_InputFunctions.Utility_DisplayArrayInTable(Fertiliser_SourceData.Fertiliser_Products_Data1(),FertiliserProducts[[#Headers],[Include or Exclude]], 0,4)</f>
        <v/>
      </c>
      <c r="V121" s="62" t="str" cm="1">
        <f t="array" ref="V121">Common_InputFunctions.Utility_DisplayArrayInTable(Fertiliser_SourceData.Fertiliser_Products_Data1(),FertiliserProducts[[#Headers],[Include or Exclude]], 0,4)</f>
        <v/>
      </c>
      <c r="W121" s="62" t="str" cm="1">
        <f t="array" ref="W121">Common_InputFunctions.Utility_DisplayArrayInTable(Fertiliser_SourceData.Fertiliser_Products_Data1(),FertiliserProducts[[#Headers],[Include or Exclude]], 0,4)</f>
        <v/>
      </c>
      <c r="X121" s="62" t="str" cm="1">
        <f t="array" ref="X121">Common_InputFunctions.Utility_DisplayArrayInTable(Fertiliser_SourceData.Fertiliser_Products_Data1(),FertiliserProducts[[#Headers],[Include or Exclude]], 0,4)</f>
        <v/>
      </c>
      <c r="Y121" s="62" t="str" cm="1">
        <f t="array" ref="Y121">Common_InputFunctions.Utility_DisplayArrayInTable(Fertiliser_SourceData.Fertiliser_Products_Data1(),FertiliserProducts[[#Headers],[Include or Exclude]], 0,4)</f>
        <v/>
      </c>
      <c r="Z121" s="62" t="str" cm="1">
        <f t="array" ref="Z121">Common_InputFunctions.Utility_DisplayArrayInTable(Fertiliser_SourceData.Fertiliser_Products_Data1(),FertiliserProducts[[#Headers],[Include or Exclude]], 0,4)</f>
        <v/>
      </c>
      <c r="AA121" s="62" t="str" cm="1">
        <f t="array" ref="AA121">Common_InputFunctions.Utility_DisplayArrayInTable(Fertiliser_SourceData.Fertiliser_Products_Data1(),FertiliserProducts[[#Headers],[Include or Exclude]], 0,4)</f>
        <v/>
      </c>
      <c r="AB121" s="62" t="str" cm="1">
        <f t="array" ref="AB121">Common_InputFunctions.Utility_DisplayArrayInTable(Fertiliser_SourceData.Fertiliser_Products_Data1(),FertiliserProducts[[#Headers],[Include or Exclude]], 0,4)</f>
        <v/>
      </c>
      <c r="AC121" s="62" t="str" cm="1">
        <f t="array" ref="AC121">Common_InputFunctions.Utility_DisplayArrayInTable(Fertiliser_SourceData.Fertiliser_Products_Data1(),FertiliserProducts[[#Headers],[Include or Exclude]], 0,4)</f>
        <v/>
      </c>
      <c r="AD121" s="62" t="str" cm="1">
        <f t="array" ref="AD121">Common_InputFunctions.Utility_DisplayArrayInTable(Fertiliser_SourceData.Fertiliser_Products_Data1(),FertiliserProducts[[#Headers],[Include or Exclude]], 0,4)</f>
        <v/>
      </c>
      <c r="AE121" s="62" t="str" cm="1">
        <f t="array" ref="AE121">Common_InputFunctions.Utility_DisplayArrayInTable(Fertiliser_SourceData.Fertiliser_Products_Data1(),FertiliserProducts[[#Headers],[Include or Exclude]], 0,4)</f>
        <v/>
      </c>
    </row>
    <row r="122" spans="1:31" ht="20.100000000000001" customHeight="1" x14ac:dyDescent="0.25">
      <c r="A122"/>
      <c r="D122" s="62" t="str" cm="1">
        <f t="array" ref="D122">Common_InputFunctions.Utility_DisplayArrayInTable(Fertiliser_SourceData.Fertiliser_Products_Data1(),FertiliserProducts[[#Headers],[Include or Exclude]], -1)</f>
        <v/>
      </c>
      <c r="E122" s="62" t="str" cm="1">
        <f t="array" ref="E122">Common_InputFunctions.Utility_DisplayArrayInTable(Fertiliser_SourceData.Fertiliser_Products_Data1(),FertiliserProducts[[#Headers],[Include or Exclude]], 0)</f>
        <v/>
      </c>
      <c r="F122" s="62" t="str" cm="1">
        <f t="array" ref="F122">Common_InputFunctions.Utility_DisplayArrayInTable(Fertiliser_SourceData.Fertiliser_Products_Data1(),FertiliserProducts[[#Headers],[Include or Exclude]], 0)</f>
        <v/>
      </c>
      <c r="G122" s="62" t="str" cm="1">
        <f t="array" ref="G122">Common_InputFunctions.Utility_DisplayArrayInTable(Fertiliser_SourceData.Fertiliser_Products_Data1(),FertiliserProducts[[#Headers],[Include or Exclude]], 0)</f>
        <v/>
      </c>
      <c r="H122" s="62" t="str" cm="1">
        <f t="array" ref="H122">Common_InputFunctions.Utility_DisplayArrayInTable(Fertiliser_SourceData.Fertiliser_Products_Data1(),FertiliserProducts[[#Headers],[Include or Exclude]], 0,4)</f>
        <v/>
      </c>
      <c r="I122" s="62" t="str" cm="1">
        <f t="array" ref="I122">Common_InputFunctions.Utility_DisplayArrayInTable(Fertiliser_SourceData.Fertiliser_Products_Data1(),FertiliserProducts[[#Headers],[Include or Exclude]], 0,4)</f>
        <v/>
      </c>
      <c r="J122" s="62" t="str" cm="1">
        <f t="array" ref="J122">Common_InputFunctions.Utility_DisplayArrayInTable(Fertiliser_SourceData.Fertiliser_Products_Data1(),FertiliserProducts[[#Headers],[Include or Exclude]], 0,4)</f>
        <v/>
      </c>
      <c r="K122" s="62" t="str" cm="1">
        <f t="array" ref="K122">Common_InputFunctions.Utility_DisplayArrayInTable(Fertiliser_SourceData.Fertiliser_Products_Data1(),FertiliserProducts[[#Headers],[Include or Exclude]], 0,4)</f>
        <v/>
      </c>
      <c r="L122" s="62" t="str" cm="1">
        <f t="array" ref="L122">Common_InputFunctions.Utility_DisplayArrayInTable(Fertiliser_SourceData.Fertiliser_Products_Data1(),FertiliserProducts[[#Headers],[Include or Exclude]], 0,4)</f>
        <v/>
      </c>
      <c r="M122" s="62" t="str" cm="1">
        <f t="array" ref="M122">Common_InputFunctions.Utility_DisplayArrayInTable(Fertiliser_SourceData.Fertiliser_Products_Data1(),FertiliserProducts[[#Headers],[Include or Exclude]], 0,4)</f>
        <v/>
      </c>
      <c r="N122" s="62" t="str" cm="1">
        <f t="array" ref="N122">Common_InputFunctions.Utility_DisplayArrayInTable(Fertiliser_SourceData.Fertiliser_Products_Data1(),FertiliserProducts[[#Headers],[Include or Exclude]], 0,4)</f>
        <v/>
      </c>
      <c r="O122" s="62" t="str" cm="1">
        <f t="array" ref="O122">Common_InputFunctions.Utility_DisplayArrayInTable(Fertiliser_SourceData.Fertiliser_Products_Data1(),FertiliserProducts[[#Headers],[Include or Exclude]], 0,4)</f>
        <v/>
      </c>
      <c r="P122" s="62" t="str" cm="1">
        <f t="array" ref="P122">Common_InputFunctions.Utility_DisplayArrayInTable(Fertiliser_SourceData.Fertiliser_Products_Data1(),FertiliserProducts[[#Headers],[Include or Exclude]], 0,4)</f>
        <v/>
      </c>
      <c r="Q122" s="62" t="str" cm="1">
        <f t="array" ref="Q122">Common_InputFunctions.Utility_DisplayArrayInTable(Fertiliser_SourceData.Fertiliser_Products_Data1(),FertiliserProducts[[#Headers],[Include or Exclude]], 0,4)</f>
        <v/>
      </c>
      <c r="R122" s="62" t="str" cm="1">
        <f t="array" ref="R122">Common_InputFunctions.Utility_DisplayArrayInTable(Fertiliser_SourceData.Fertiliser_Products_Data1(),FertiliserProducts[[#Headers],[Include or Exclude]], 0,4)</f>
        <v/>
      </c>
      <c r="S122" s="62" t="str" cm="1">
        <f t="array" ref="S122">Common_InputFunctions.Utility_DisplayArrayInTable(Fertiliser_SourceData.Fertiliser_Products_Data1(),FertiliserProducts[[#Headers],[Include or Exclude]], 0,4)</f>
        <v/>
      </c>
      <c r="T122" s="62" t="str" cm="1">
        <f t="array" ref="T122">Common_InputFunctions.Utility_DisplayArrayInTable(Fertiliser_SourceData.Fertiliser_Products_Data1(),FertiliserProducts[[#Headers],[Include or Exclude]], 0,4)</f>
        <v/>
      </c>
      <c r="U122" s="62" t="str" cm="1">
        <f t="array" ref="U122">Common_InputFunctions.Utility_DisplayArrayInTable(Fertiliser_SourceData.Fertiliser_Products_Data1(),FertiliserProducts[[#Headers],[Include or Exclude]], 0,4)</f>
        <v/>
      </c>
      <c r="V122" s="62" t="str" cm="1">
        <f t="array" ref="V122">Common_InputFunctions.Utility_DisplayArrayInTable(Fertiliser_SourceData.Fertiliser_Products_Data1(),FertiliserProducts[[#Headers],[Include or Exclude]], 0,4)</f>
        <v/>
      </c>
      <c r="W122" s="62" t="str" cm="1">
        <f t="array" ref="W122">Common_InputFunctions.Utility_DisplayArrayInTable(Fertiliser_SourceData.Fertiliser_Products_Data1(),FertiliserProducts[[#Headers],[Include or Exclude]], 0,4)</f>
        <v/>
      </c>
      <c r="X122" s="62" t="str" cm="1">
        <f t="array" ref="X122">Common_InputFunctions.Utility_DisplayArrayInTable(Fertiliser_SourceData.Fertiliser_Products_Data1(),FertiliserProducts[[#Headers],[Include or Exclude]], 0,4)</f>
        <v/>
      </c>
      <c r="Y122" s="62" t="str" cm="1">
        <f t="array" ref="Y122">Common_InputFunctions.Utility_DisplayArrayInTable(Fertiliser_SourceData.Fertiliser_Products_Data1(),FertiliserProducts[[#Headers],[Include or Exclude]], 0,4)</f>
        <v/>
      </c>
      <c r="Z122" s="62" t="str" cm="1">
        <f t="array" ref="Z122">Common_InputFunctions.Utility_DisplayArrayInTable(Fertiliser_SourceData.Fertiliser_Products_Data1(),FertiliserProducts[[#Headers],[Include or Exclude]], 0,4)</f>
        <v/>
      </c>
      <c r="AA122" s="62" t="str" cm="1">
        <f t="array" ref="AA122">Common_InputFunctions.Utility_DisplayArrayInTable(Fertiliser_SourceData.Fertiliser_Products_Data1(),FertiliserProducts[[#Headers],[Include or Exclude]], 0,4)</f>
        <v/>
      </c>
      <c r="AB122" s="62" t="str" cm="1">
        <f t="array" ref="AB122">Common_InputFunctions.Utility_DisplayArrayInTable(Fertiliser_SourceData.Fertiliser_Products_Data1(),FertiliserProducts[[#Headers],[Include or Exclude]], 0,4)</f>
        <v/>
      </c>
      <c r="AC122" s="62" t="str" cm="1">
        <f t="array" ref="AC122">Common_InputFunctions.Utility_DisplayArrayInTable(Fertiliser_SourceData.Fertiliser_Products_Data1(),FertiliserProducts[[#Headers],[Include or Exclude]], 0,4)</f>
        <v/>
      </c>
      <c r="AD122" s="62" t="str" cm="1">
        <f t="array" ref="AD122">Common_InputFunctions.Utility_DisplayArrayInTable(Fertiliser_SourceData.Fertiliser_Products_Data1(),FertiliserProducts[[#Headers],[Include or Exclude]], 0,4)</f>
        <v/>
      </c>
      <c r="AE122" s="62" t="str" cm="1">
        <f t="array" ref="AE122">Common_InputFunctions.Utility_DisplayArrayInTable(Fertiliser_SourceData.Fertiliser_Products_Data1(),FertiliserProducts[[#Headers],[Include or Exclude]], 0,4)</f>
        <v/>
      </c>
    </row>
    <row r="123" spans="1:31" ht="20.100000000000001" customHeight="1" x14ac:dyDescent="0.25">
      <c r="A123"/>
      <c r="D123" s="62" t="str" cm="1">
        <f t="array" ref="D123">Common_InputFunctions.Utility_DisplayArrayInTable(Fertiliser_SourceData.Fertiliser_Products_Data1(),FertiliserProducts[[#Headers],[Include or Exclude]], -1)</f>
        <v/>
      </c>
      <c r="E123" s="62" t="str" cm="1">
        <f t="array" ref="E123">Common_InputFunctions.Utility_DisplayArrayInTable(Fertiliser_SourceData.Fertiliser_Products_Data1(),FertiliserProducts[[#Headers],[Include or Exclude]], 0)</f>
        <v/>
      </c>
      <c r="F123" s="62" t="str" cm="1">
        <f t="array" ref="F123">Common_InputFunctions.Utility_DisplayArrayInTable(Fertiliser_SourceData.Fertiliser_Products_Data1(),FertiliserProducts[[#Headers],[Include or Exclude]], 0)</f>
        <v/>
      </c>
      <c r="G123" s="62" t="str" cm="1">
        <f t="array" ref="G123">Common_InputFunctions.Utility_DisplayArrayInTable(Fertiliser_SourceData.Fertiliser_Products_Data1(),FertiliserProducts[[#Headers],[Include or Exclude]], 0)</f>
        <v/>
      </c>
      <c r="H123" s="62" t="str" cm="1">
        <f t="array" ref="H123">Common_InputFunctions.Utility_DisplayArrayInTable(Fertiliser_SourceData.Fertiliser_Products_Data1(),FertiliserProducts[[#Headers],[Include or Exclude]], 0,4)</f>
        <v/>
      </c>
      <c r="I123" s="62" t="str" cm="1">
        <f t="array" ref="I123">Common_InputFunctions.Utility_DisplayArrayInTable(Fertiliser_SourceData.Fertiliser_Products_Data1(),FertiliserProducts[[#Headers],[Include or Exclude]], 0,4)</f>
        <v/>
      </c>
      <c r="J123" s="62" t="str" cm="1">
        <f t="array" ref="J123">Common_InputFunctions.Utility_DisplayArrayInTable(Fertiliser_SourceData.Fertiliser_Products_Data1(),FertiliserProducts[[#Headers],[Include or Exclude]], 0,4)</f>
        <v/>
      </c>
      <c r="K123" s="62" t="str" cm="1">
        <f t="array" ref="K123">Common_InputFunctions.Utility_DisplayArrayInTable(Fertiliser_SourceData.Fertiliser_Products_Data1(),FertiliserProducts[[#Headers],[Include or Exclude]], 0,4)</f>
        <v/>
      </c>
      <c r="L123" s="62" t="str" cm="1">
        <f t="array" ref="L123">Common_InputFunctions.Utility_DisplayArrayInTable(Fertiliser_SourceData.Fertiliser_Products_Data1(),FertiliserProducts[[#Headers],[Include or Exclude]], 0,4)</f>
        <v/>
      </c>
      <c r="M123" s="62" t="str" cm="1">
        <f t="array" ref="M123">Common_InputFunctions.Utility_DisplayArrayInTable(Fertiliser_SourceData.Fertiliser_Products_Data1(),FertiliserProducts[[#Headers],[Include or Exclude]], 0,4)</f>
        <v/>
      </c>
      <c r="N123" s="62" t="str" cm="1">
        <f t="array" ref="N123">Common_InputFunctions.Utility_DisplayArrayInTable(Fertiliser_SourceData.Fertiliser_Products_Data1(),FertiliserProducts[[#Headers],[Include or Exclude]], 0,4)</f>
        <v/>
      </c>
      <c r="O123" s="62" t="str" cm="1">
        <f t="array" ref="O123">Common_InputFunctions.Utility_DisplayArrayInTable(Fertiliser_SourceData.Fertiliser_Products_Data1(),FertiliserProducts[[#Headers],[Include or Exclude]], 0,4)</f>
        <v/>
      </c>
      <c r="P123" s="62" t="str" cm="1">
        <f t="array" ref="P123">Common_InputFunctions.Utility_DisplayArrayInTable(Fertiliser_SourceData.Fertiliser_Products_Data1(),FertiliserProducts[[#Headers],[Include or Exclude]], 0,4)</f>
        <v/>
      </c>
      <c r="Q123" s="62" t="str" cm="1">
        <f t="array" ref="Q123">Common_InputFunctions.Utility_DisplayArrayInTable(Fertiliser_SourceData.Fertiliser_Products_Data1(),FertiliserProducts[[#Headers],[Include or Exclude]], 0,4)</f>
        <v/>
      </c>
      <c r="R123" s="62" t="str" cm="1">
        <f t="array" ref="R123">Common_InputFunctions.Utility_DisplayArrayInTable(Fertiliser_SourceData.Fertiliser_Products_Data1(),FertiliserProducts[[#Headers],[Include or Exclude]], 0,4)</f>
        <v/>
      </c>
      <c r="S123" s="62" t="str" cm="1">
        <f t="array" ref="S123">Common_InputFunctions.Utility_DisplayArrayInTable(Fertiliser_SourceData.Fertiliser_Products_Data1(),FertiliserProducts[[#Headers],[Include or Exclude]], 0,4)</f>
        <v/>
      </c>
      <c r="T123" s="62" t="str" cm="1">
        <f t="array" ref="T123">Common_InputFunctions.Utility_DisplayArrayInTable(Fertiliser_SourceData.Fertiliser_Products_Data1(),FertiliserProducts[[#Headers],[Include or Exclude]], 0,4)</f>
        <v/>
      </c>
      <c r="U123" s="62" t="str" cm="1">
        <f t="array" ref="U123">Common_InputFunctions.Utility_DisplayArrayInTable(Fertiliser_SourceData.Fertiliser_Products_Data1(),FertiliserProducts[[#Headers],[Include or Exclude]], 0,4)</f>
        <v/>
      </c>
      <c r="V123" s="62" t="str" cm="1">
        <f t="array" ref="V123">Common_InputFunctions.Utility_DisplayArrayInTable(Fertiliser_SourceData.Fertiliser_Products_Data1(),FertiliserProducts[[#Headers],[Include or Exclude]], 0,4)</f>
        <v/>
      </c>
      <c r="W123" s="62" t="str" cm="1">
        <f t="array" ref="W123">Common_InputFunctions.Utility_DisplayArrayInTable(Fertiliser_SourceData.Fertiliser_Products_Data1(),FertiliserProducts[[#Headers],[Include or Exclude]], 0,4)</f>
        <v/>
      </c>
      <c r="X123" s="62" t="str" cm="1">
        <f t="array" ref="X123">Common_InputFunctions.Utility_DisplayArrayInTable(Fertiliser_SourceData.Fertiliser_Products_Data1(),FertiliserProducts[[#Headers],[Include or Exclude]], 0,4)</f>
        <v/>
      </c>
      <c r="Y123" s="62" t="str" cm="1">
        <f t="array" ref="Y123">Common_InputFunctions.Utility_DisplayArrayInTable(Fertiliser_SourceData.Fertiliser_Products_Data1(),FertiliserProducts[[#Headers],[Include or Exclude]], 0,4)</f>
        <v/>
      </c>
      <c r="Z123" s="62" t="str" cm="1">
        <f t="array" ref="Z123">Common_InputFunctions.Utility_DisplayArrayInTable(Fertiliser_SourceData.Fertiliser_Products_Data1(),FertiliserProducts[[#Headers],[Include or Exclude]], 0,4)</f>
        <v/>
      </c>
      <c r="AA123" s="62" t="str" cm="1">
        <f t="array" ref="AA123">Common_InputFunctions.Utility_DisplayArrayInTable(Fertiliser_SourceData.Fertiliser_Products_Data1(),FertiliserProducts[[#Headers],[Include or Exclude]], 0,4)</f>
        <v/>
      </c>
      <c r="AB123" s="62" t="str" cm="1">
        <f t="array" ref="AB123">Common_InputFunctions.Utility_DisplayArrayInTable(Fertiliser_SourceData.Fertiliser_Products_Data1(),FertiliserProducts[[#Headers],[Include or Exclude]], 0,4)</f>
        <v/>
      </c>
      <c r="AC123" s="62" t="str" cm="1">
        <f t="array" ref="AC123">Common_InputFunctions.Utility_DisplayArrayInTable(Fertiliser_SourceData.Fertiliser_Products_Data1(),FertiliserProducts[[#Headers],[Include or Exclude]], 0,4)</f>
        <v/>
      </c>
      <c r="AD123" s="62" t="str" cm="1">
        <f t="array" ref="AD123">Common_InputFunctions.Utility_DisplayArrayInTable(Fertiliser_SourceData.Fertiliser_Products_Data1(),FertiliserProducts[[#Headers],[Include or Exclude]], 0,4)</f>
        <v/>
      </c>
      <c r="AE123" s="62" t="str" cm="1">
        <f t="array" ref="AE123">Common_InputFunctions.Utility_DisplayArrayInTable(Fertiliser_SourceData.Fertiliser_Products_Data1(),FertiliserProducts[[#Headers],[Include or Exclude]], 0,4)</f>
        <v/>
      </c>
    </row>
    <row r="124" spans="1:31" ht="20.100000000000001" customHeight="1" x14ac:dyDescent="0.25">
      <c r="A124"/>
      <c r="D124" s="62" t="str" cm="1">
        <f t="array" ref="D124">Common_InputFunctions.Utility_DisplayArrayInTable(Fertiliser_SourceData.Fertiliser_Products_Data1(),FertiliserProducts[[#Headers],[Include or Exclude]], -1)</f>
        <v/>
      </c>
      <c r="E124" s="62" t="str" cm="1">
        <f t="array" ref="E124">Common_InputFunctions.Utility_DisplayArrayInTable(Fertiliser_SourceData.Fertiliser_Products_Data1(),FertiliserProducts[[#Headers],[Include or Exclude]], 0)</f>
        <v/>
      </c>
      <c r="F124" s="62" t="str" cm="1">
        <f t="array" ref="F124">Common_InputFunctions.Utility_DisplayArrayInTable(Fertiliser_SourceData.Fertiliser_Products_Data1(),FertiliserProducts[[#Headers],[Include or Exclude]], 0)</f>
        <v/>
      </c>
      <c r="G124" s="62" t="str" cm="1">
        <f t="array" ref="G124">Common_InputFunctions.Utility_DisplayArrayInTable(Fertiliser_SourceData.Fertiliser_Products_Data1(),FertiliserProducts[[#Headers],[Include or Exclude]], 0)</f>
        <v/>
      </c>
      <c r="H124" s="62" t="str" cm="1">
        <f t="array" ref="H124">Common_InputFunctions.Utility_DisplayArrayInTable(Fertiliser_SourceData.Fertiliser_Products_Data1(),FertiliserProducts[[#Headers],[Include or Exclude]], 0,4)</f>
        <v/>
      </c>
      <c r="I124" s="62" t="str" cm="1">
        <f t="array" ref="I124">Common_InputFunctions.Utility_DisplayArrayInTable(Fertiliser_SourceData.Fertiliser_Products_Data1(),FertiliserProducts[[#Headers],[Include or Exclude]], 0,4)</f>
        <v/>
      </c>
      <c r="J124" s="62" t="str" cm="1">
        <f t="array" ref="J124">Common_InputFunctions.Utility_DisplayArrayInTable(Fertiliser_SourceData.Fertiliser_Products_Data1(),FertiliserProducts[[#Headers],[Include or Exclude]], 0,4)</f>
        <v/>
      </c>
      <c r="K124" s="62" t="str" cm="1">
        <f t="array" ref="K124">Common_InputFunctions.Utility_DisplayArrayInTable(Fertiliser_SourceData.Fertiliser_Products_Data1(),FertiliserProducts[[#Headers],[Include or Exclude]], 0,4)</f>
        <v/>
      </c>
      <c r="L124" s="62" t="str" cm="1">
        <f t="array" ref="L124">Common_InputFunctions.Utility_DisplayArrayInTable(Fertiliser_SourceData.Fertiliser_Products_Data1(),FertiliserProducts[[#Headers],[Include or Exclude]], 0,4)</f>
        <v/>
      </c>
      <c r="M124" s="62" t="str" cm="1">
        <f t="array" ref="M124">Common_InputFunctions.Utility_DisplayArrayInTable(Fertiliser_SourceData.Fertiliser_Products_Data1(),FertiliserProducts[[#Headers],[Include or Exclude]], 0,4)</f>
        <v/>
      </c>
      <c r="N124" s="62" t="str" cm="1">
        <f t="array" ref="N124">Common_InputFunctions.Utility_DisplayArrayInTable(Fertiliser_SourceData.Fertiliser_Products_Data1(),FertiliserProducts[[#Headers],[Include or Exclude]], 0,4)</f>
        <v/>
      </c>
      <c r="O124" s="62" t="str" cm="1">
        <f t="array" ref="O124">Common_InputFunctions.Utility_DisplayArrayInTable(Fertiliser_SourceData.Fertiliser_Products_Data1(),FertiliserProducts[[#Headers],[Include or Exclude]], 0,4)</f>
        <v/>
      </c>
      <c r="P124" s="62" t="str" cm="1">
        <f t="array" ref="P124">Common_InputFunctions.Utility_DisplayArrayInTable(Fertiliser_SourceData.Fertiliser_Products_Data1(),FertiliserProducts[[#Headers],[Include or Exclude]], 0,4)</f>
        <v/>
      </c>
      <c r="Q124" s="62" t="str" cm="1">
        <f t="array" ref="Q124">Common_InputFunctions.Utility_DisplayArrayInTable(Fertiliser_SourceData.Fertiliser_Products_Data1(),FertiliserProducts[[#Headers],[Include or Exclude]], 0,4)</f>
        <v/>
      </c>
      <c r="R124" s="62" t="str" cm="1">
        <f t="array" ref="R124">Common_InputFunctions.Utility_DisplayArrayInTable(Fertiliser_SourceData.Fertiliser_Products_Data1(),FertiliserProducts[[#Headers],[Include or Exclude]], 0,4)</f>
        <v/>
      </c>
      <c r="S124" s="62" t="str" cm="1">
        <f t="array" ref="S124">Common_InputFunctions.Utility_DisplayArrayInTable(Fertiliser_SourceData.Fertiliser_Products_Data1(),FertiliserProducts[[#Headers],[Include or Exclude]], 0,4)</f>
        <v/>
      </c>
      <c r="T124" s="62" t="str" cm="1">
        <f t="array" ref="T124">Common_InputFunctions.Utility_DisplayArrayInTable(Fertiliser_SourceData.Fertiliser_Products_Data1(),FertiliserProducts[[#Headers],[Include or Exclude]], 0,4)</f>
        <v/>
      </c>
      <c r="U124" s="62" t="str" cm="1">
        <f t="array" ref="U124">Common_InputFunctions.Utility_DisplayArrayInTable(Fertiliser_SourceData.Fertiliser_Products_Data1(),FertiliserProducts[[#Headers],[Include or Exclude]], 0,4)</f>
        <v/>
      </c>
      <c r="V124" s="62" t="str" cm="1">
        <f t="array" ref="V124">Common_InputFunctions.Utility_DisplayArrayInTable(Fertiliser_SourceData.Fertiliser_Products_Data1(),FertiliserProducts[[#Headers],[Include or Exclude]], 0,4)</f>
        <v/>
      </c>
      <c r="W124" s="62" t="str" cm="1">
        <f t="array" ref="W124">Common_InputFunctions.Utility_DisplayArrayInTable(Fertiliser_SourceData.Fertiliser_Products_Data1(),FertiliserProducts[[#Headers],[Include or Exclude]], 0,4)</f>
        <v/>
      </c>
      <c r="X124" s="62" t="str" cm="1">
        <f t="array" ref="X124">Common_InputFunctions.Utility_DisplayArrayInTable(Fertiliser_SourceData.Fertiliser_Products_Data1(),FertiliserProducts[[#Headers],[Include or Exclude]], 0,4)</f>
        <v/>
      </c>
      <c r="Y124" s="62" t="str" cm="1">
        <f t="array" ref="Y124">Common_InputFunctions.Utility_DisplayArrayInTable(Fertiliser_SourceData.Fertiliser_Products_Data1(),FertiliserProducts[[#Headers],[Include or Exclude]], 0,4)</f>
        <v/>
      </c>
      <c r="Z124" s="62" t="str" cm="1">
        <f t="array" ref="Z124">Common_InputFunctions.Utility_DisplayArrayInTable(Fertiliser_SourceData.Fertiliser_Products_Data1(),FertiliserProducts[[#Headers],[Include or Exclude]], 0,4)</f>
        <v/>
      </c>
      <c r="AA124" s="62" t="str" cm="1">
        <f t="array" ref="AA124">Common_InputFunctions.Utility_DisplayArrayInTable(Fertiliser_SourceData.Fertiliser_Products_Data1(),FertiliserProducts[[#Headers],[Include or Exclude]], 0,4)</f>
        <v/>
      </c>
      <c r="AB124" s="62" t="str" cm="1">
        <f t="array" ref="AB124">Common_InputFunctions.Utility_DisplayArrayInTable(Fertiliser_SourceData.Fertiliser_Products_Data1(),FertiliserProducts[[#Headers],[Include or Exclude]], 0,4)</f>
        <v/>
      </c>
      <c r="AC124" s="62" t="str" cm="1">
        <f t="array" ref="AC124">Common_InputFunctions.Utility_DisplayArrayInTable(Fertiliser_SourceData.Fertiliser_Products_Data1(),FertiliserProducts[[#Headers],[Include or Exclude]], 0,4)</f>
        <v/>
      </c>
      <c r="AD124" s="62" t="str" cm="1">
        <f t="array" ref="AD124">Common_InputFunctions.Utility_DisplayArrayInTable(Fertiliser_SourceData.Fertiliser_Products_Data1(),FertiliserProducts[[#Headers],[Include or Exclude]], 0,4)</f>
        <v/>
      </c>
      <c r="AE124" s="62" t="str" cm="1">
        <f t="array" ref="AE124">Common_InputFunctions.Utility_DisplayArrayInTable(Fertiliser_SourceData.Fertiliser_Products_Data1(),FertiliserProducts[[#Headers],[Include or Exclude]], 0,4)</f>
        <v/>
      </c>
    </row>
    <row r="125" spans="1:31" ht="20.100000000000001" customHeight="1" x14ac:dyDescent="0.25">
      <c r="A125"/>
      <c r="D125" s="62" t="str" cm="1">
        <f t="array" ref="D125">Common_InputFunctions.Utility_DisplayArrayInTable(Fertiliser_SourceData.Fertiliser_Products_Data1(),FertiliserProducts[[#Headers],[Include or Exclude]], -1)</f>
        <v/>
      </c>
      <c r="E125" s="62" t="str" cm="1">
        <f t="array" ref="E125">Common_InputFunctions.Utility_DisplayArrayInTable(Fertiliser_SourceData.Fertiliser_Products_Data1(),FertiliserProducts[[#Headers],[Include or Exclude]], 0)</f>
        <v/>
      </c>
      <c r="F125" s="62" t="str" cm="1">
        <f t="array" ref="F125">Common_InputFunctions.Utility_DisplayArrayInTable(Fertiliser_SourceData.Fertiliser_Products_Data1(),FertiliserProducts[[#Headers],[Include or Exclude]], 0)</f>
        <v/>
      </c>
      <c r="G125" s="62" t="str" cm="1">
        <f t="array" ref="G125">Common_InputFunctions.Utility_DisplayArrayInTable(Fertiliser_SourceData.Fertiliser_Products_Data1(),FertiliserProducts[[#Headers],[Include or Exclude]], 0)</f>
        <v/>
      </c>
      <c r="H125" s="62" t="str" cm="1">
        <f t="array" ref="H125">Common_InputFunctions.Utility_DisplayArrayInTable(Fertiliser_SourceData.Fertiliser_Products_Data1(),FertiliserProducts[[#Headers],[Include or Exclude]], 0,4)</f>
        <v/>
      </c>
      <c r="I125" s="62" t="str" cm="1">
        <f t="array" ref="I125">Common_InputFunctions.Utility_DisplayArrayInTable(Fertiliser_SourceData.Fertiliser_Products_Data1(),FertiliserProducts[[#Headers],[Include or Exclude]], 0,4)</f>
        <v/>
      </c>
      <c r="J125" s="62" t="str" cm="1">
        <f t="array" ref="J125">Common_InputFunctions.Utility_DisplayArrayInTable(Fertiliser_SourceData.Fertiliser_Products_Data1(),FertiliserProducts[[#Headers],[Include or Exclude]], 0,4)</f>
        <v/>
      </c>
      <c r="K125" s="62" t="str" cm="1">
        <f t="array" ref="K125">Common_InputFunctions.Utility_DisplayArrayInTable(Fertiliser_SourceData.Fertiliser_Products_Data1(),FertiliserProducts[[#Headers],[Include or Exclude]], 0,4)</f>
        <v/>
      </c>
      <c r="L125" s="62" t="str" cm="1">
        <f t="array" ref="L125">Common_InputFunctions.Utility_DisplayArrayInTable(Fertiliser_SourceData.Fertiliser_Products_Data1(),FertiliserProducts[[#Headers],[Include or Exclude]], 0,4)</f>
        <v/>
      </c>
      <c r="M125" s="62" t="str" cm="1">
        <f t="array" ref="M125">Common_InputFunctions.Utility_DisplayArrayInTable(Fertiliser_SourceData.Fertiliser_Products_Data1(),FertiliserProducts[[#Headers],[Include or Exclude]], 0,4)</f>
        <v/>
      </c>
      <c r="N125" s="62" t="str" cm="1">
        <f t="array" ref="N125">Common_InputFunctions.Utility_DisplayArrayInTable(Fertiliser_SourceData.Fertiliser_Products_Data1(),FertiliserProducts[[#Headers],[Include or Exclude]], 0,4)</f>
        <v/>
      </c>
      <c r="O125" s="62" t="str" cm="1">
        <f t="array" ref="O125">Common_InputFunctions.Utility_DisplayArrayInTable(Fertiliser_SourceData.Fertiliser_Products_Data1(),FertiliserProducts[[#Headers],[Include or Exclude]], 0,4)</f>
        <v/>
      </c>
      <c r="P125" s="62" t="str" cm="1">
        <f t="array" ref="P125">Common_InputFunctions.Utility_DisplayArrayInTable(Fertiliser_SourceData.Fertiliser_Products_Data1(),FertiliserProducts[[#Headers],[Include or Exclude]], 0,4)</f>
        <v/>
      </c>
      <c r="Q125" s="62" t="str" cm="1">
        <f t="array" ref="Q125">Common_InputFunctions.Utility_DisplayArrayInTable(Fertiliser_SourceData.Fertiliser_Products_Data1(),FertiliserProducts[[#Headers],[Include or Exclude]], 0,4)</f>
        <v/>
      </c>
      <c r="R125" s="62" t="str" cm="1">
        <f t="array" ref="R125">Common_InputFunctions.Utility_DisplayArrayInTable(Fertiliser_SourceData.Fertiliser_Products_Data1(),FertiliserProducts[[#Headers],[Include or Exclude]], 0,4)</f>
        <v/>
      </c>
      <c r="S125" s="62" t="str" cm="1">
        <f t="array" ref="S125">Common_InputFunctions.Utility_DisplayArrayInTable(Fertiliser_SourceData.Fertiliser_Products_Data1(),FertiliserProducts[[#Headers],[Include or Exclude]], 0,4)</f>
        <v/>
      </c>
      <c r="T125" s="62" t="str" cm="1">
        <f t="array" ref="T125">Common_InputFunctions.Utility_DisplayArrayInTable(Fertiliser_SourceData.Fertiliser_Products_Data1(),FertiliserProducts[[#Headers],[Include or Exclude]], 0,4)</f>
        <v/>
      </c>
      <c r="U125" s="62" t="str" cm="1">
        <f t="array" ref="U125">Common_InputFunctions.Utility_DisplayArrayInTable(Fertiliser_SourceData.Fertiliser_Products_Data1(),FertiliserProducts[[#Headers],[Include or Exclude]], 0,4)</f>
        <v/>
      </c>
      <c r="V125" s="62" t="str" cm="1">
        <f t="array" ref="V125">Common_InputFunctions.Utility_DisplayArrayInTable(Fertiliser_SourceData.Fertiliser_Products_Data1(),FertiliserProducts[[#Headers],[Include or Exclude]], 0,4)</f>
        <v/>
      </c>
      <c r="W125" s="62" t="str" cm="1">
        <f t="array" ref="W125">Common_InputFunctions.Utility_DisplayArrayInTable(Fertiliser_SourceData.Fertiliser_Products_Data1(),FertiliserProducts[[#Headers],[Include or Exclude]], 0,4)</f>
        <v/>
      </c>
      <c r="X125" s="62" t="str" cm="1">
        <f t="array" ref="X125">Common_InputFunctions.Utility_DisplayArrayInTable(Fertiliser_SourceData.Fertiliser_Products_Data1(),FertiliserProducts[[#Headers],[Include or Exclude]], 0,4)</f>
        <v/>
      </c>
      <c r="Y125" s="62" t="str" cm="1">
        <f t="array" ref="Y125">Common_InputFunctions.Utility_DisplayArrayInTable(Fertiliser_SourceData.Fertiliser_Products_Data1(),FertiliserProducts[[#Headers],[Include or Exclude]], 0,4)</f>
        <v/>
      </c>
      <c r="Z125" s="62" t="str" cm="1">
        <f t="array" ref="Z125">Common_InputFunctions.Utility_DisplayArrayInTable(Fertiliser_SourceData.Fertiliser_Products_Data1(),FertiliserProducts[[#Headers],[Include or Exclude]], 0,4)</f>
        <v/>
      </c>
      <c r="AA125" s="62" t="str" cm="1">
        <f t="array" ref="AA125">Common_InputFunctions.Utility_DisplayArrayInTable(Fertiliser_SourceData.Fertiliser_Products_Data1(),FertiliserProducts[[#Headers],[Include or Exclude]], 0,4)</f>
        <v/>
      </c>
      <c r="AB125" s="62" t="str" cm="1">
        <f t="array" ref="AB125">Common_InputFunctions.Utility_DisplayArrayInTable(Fertiliser_SourceData.Fertiliser_Products_Data1(),FertiliserProducts[[#Headers],[Include or Exclude]], 0,4)</f>
        <v/>
      </c>
      <c r="AC125" s="62" t="str" cm="1">
        <f t="array" ref="AC125">Common_InputFunctions.Utility_DisplayArrayInTable(Fertiliser_SourceData.Fertiliser_Products_Data1(),FertiliserProducts[[#Headers],[Include or Exclude]], 0,4)</f>
        <v/>
      </c>
      <c r="AD125" s="62" t="str" cm="1">
        <f t="array" ref="AD125">Common_InputFunctions.Utility_DisplayArrayInTable(Fertiliser_SourceData.Fertiliser_Products_Data1(),FertiliserProducts[[#Headers],[Include or Exclude]], 0,4)</f>
        <v/>
      </c>
      <c r="AE125" s="62" t="str" cm="1">
        <f t="array" ref="AE125">Common_InputFunctions.Utility_DisplayArrayInTable(Fertiliser_SourceData.Fertiliser_Products_Data1(),FertiliserProducts[[#Headers],[Include or Exclude]], 0,4)</f>
        <v/>
      </c>
    </row>
    <row r="126" spans="1:31" ht="20.100000000000001" customHeight="1" x14ac:dyDescent="0.25">
      <c r="A126"/>
      <c r="D126" s="62" t="str" cm="1">
        <f t="array" ref="D126">Common_InputFunctions.Utility_DisplayArrayInTable(Fertiliser_SourceData.Fertiliser_Products_Data1(),FertiliserProducts[[#Headers],[Include or Exclude]], -1)</f>
        <v/>
      </c>
      <c r="E126" s="62" t="str" cm="1">
        <f t="array" ref="E126">Common_InputFunctions.Utility_DisplayArrayInTable(Fertiliser_SourceData.Fertiliser_Products_Data1(),FertiliserProducts[[#Headers],[Include or Exclude]], 0)</f>
        <v/>
      </c>
      <c r="F126" s="62" t="str" cm="1">
        <f t="array" ref="F126">Common_InputFunctions.Utility_DisplayArrayInTable(Fertiliser_SourceData.Fertiliser_Products_Data1(),FertiliserProducts[[#Headers],[Include or Exclude]], 0)</f>
        <v/>
      </c>
      <c r="G126" s="62" t="str" cm="1">
        <f t="array" ref="G126">Common_InputFunctions.Utility_DisplayArrayInTable(Fertiliser_SourceData.Fertiliser_Products_Data1(),FertiliserProducts[[#Headers],[Include or Exclude]], 0)</f>
        <v/>
      </c>
      <c r="H126" s="62" t="str" cm="1">
        <f t="array" ref="H126">Common_InputFunctions.Utility_DisplayArrayInTable(Fertiliser_SourceData.Fertiliser_Products_Data1(),FertiliserProducts[[#Headers],[Include or Exclude]], 0,4)</f>
        <v/>
      </c>
      <c r="I126" s="62" t="str" cm="1">
        <f t="array" ref="I126">Common_InputFunctions.Utility_DisplayArrayInTable(Fertiliser_SourceData.Fertiliser_Products_Data1(),FertiliserProducts[[#Headers],[Include or Exclude]], 0,4)</f>
        <v/>
      </c>
      <c r="J126" s="62" t="str" cm="1">
        <f t="array" ref="J126">Common_InputFunctions.Utility_DisplayArrayInTable(Fertiliser_SourceData.Fertiliser_Products_Data1(),FertiliserProducts[[#Headers],[Include or Exclude]], 0,4)</f>
        <v/>
      </c>
      <c r="K126" s="62" t="str" cm="1">
        <f t="array" ref="K126">Common_InputFunctions.Utility_DisplayArrayInTable(Fertiliser_SourceData.Fertiliser_Products_Data1(),FertiliserProducts[[#Headers],[Include or Exclude]], 0,4)</f>
        <v/>
      </c>
      <c r="L126" s="62" t="str" cm="1">
        <f t="array" ref="L126">Common_InputFunctions.Utility_DisplayArrayInTable(Fertiliser_SourceData.Fertiliser_Products_Data1(),FertiliserProducts[[#Headers],[Include or Exclude]], 0,4)</f>
        <v/>
      </c>
      <c r="M126" s="62" t="str" cm="1">
        <f t="array" ref="M126">Common_InputFunctions.Utility_DisplayArrayInTable(Fertiliser_SourceData.Fertiliser_Products_Data1(),FertiliserProducts[[#Headers],[Include or Exclude]], 0,4)</f>
        <v/>
      </c>
      <c r="N126" s="62" t="str" cm="1">
        <f t="array" ref="N126">Common_InputFunctions.Utility_DisplayArrayInTable(Fertiliser_SourceData.Fertiliser_Products_Data1(),FertiliserProducts[[#Headers],[Include or Exclude]], 0,4)</f>
        <v/>
      </c>
      <c r="O126" s="62" t="str" cm="1">
        <f t="array" ref="O126">Common_InputFunctions.Utility_DisplayArrayInTable(Fertiliser_SourceData.Fertiliser_Products_Data1(),FertiliserProducts[[#Headers],[Include or Exclude]], 0,4)</f>
        <v/>
      </c>
      <c r="P126" s="62" t="str" cm="1">
        <f t="array" ref="P126">Common_InputFunctions.Utility_DisplayArrayInTable(Fertiliser_SourceData.Fertiliser_Products_Data1(),FertiliserProducts[[#Headers],[Include or Exclude]], 0,4)</f>
        <v/>
      </c>
      <c r="Q126" s="62" t="str" cm="1">
        <f t="array" ref="Q126">Common_InputFunctions.Utility_DisplayArrayInTable(Fertiliser_SourceData.Fertiliser_Products_Data1(),FertiliserProducts[[#Headers],[Include or Exclude]], 0,4)</f>
        <v/>
      </c>
      <c r="R126" s="62" t="str" cm="1">
        <f t="array" ref="R126">Common_InputFunctions.Utility_DisplayArrayInTable(Fertiliser_SourceData.Fertiliser_Products_Data1(),FertiliserProducts[[#Headers],[Include or Exclude]], 0,4)</f>
        <v/>
      </c>
      <c r="S126" s="62" t="str" cm="1">
        <f t="array" ref="S126">Common_InputFunctions.Utility_DisplayArrayInTable(Fertiliser_SourceData.Fertiliser_Products_Data1(),FertiliserProducts[[#Headers],[Include or Exclude]], 0,4)</f>
        <v/>
      </c>
      <c r="T126" s="62" t="str" cm="1">
        <f t="array" ref="T126">Common_InputFunctions.Utility_DisplayArrayInTable(Fertiliser_SourceData.Fertiliser_Products_Data1(),FertiliserProducts[[#Headers],[Include or Exclude]], 0,4)</f>
        <v/>
      </c>
      <c r="U126" s="62" t="str" cm="1">
        <f t="array" ref="U126">Common_InputFunctions.Utility_DisplayArrayInTable(Fertiliser_SourceData.Fertiliser_Products_Data1(),FertiliserProducts[[#Headers],[Include or Exclude]], 0,4)</f>
        <v/>
      </c>
      <c r="V126" s="62" t="str" cm="1">
        <f t="array" ref="V126">Common_InputFunctions.Utility_DisplayArrayInTable(Fertiliser_SourceData.Fertiliser_Products_Data1(),FertiliserProducts[[#Headers],[Include or Exclude]], 0,4)</f>
        <v/>
      </c>
      <c r="W126" s="62" t="str" cm="1">
        <f t="array" ref="W126">Common_InputFunctions.Utility_DisplayArrayInTable(Fertiliser_SourceData.Fertiliser_Products_Data1(),FertiliserProducts[[#Headers],[Include or Exclude]], 0,4)</f>
        <v/>
      </c>
      <c r="X126" s="62" t="str" cm="1">
        <f t="array" ref="X126">Common_InputFunctions.Utility_DisplayArrayInTable(Fertiliser_SourceData.Fertiliser_Products_Data1(),FertiliserProducts[[#Headers],[Include or Exclude]], 0,4)</f>
        <v/>
      </c>
      <c r="Y126" s="62" t="str" cm="1">
        <f t="array" ref="Y126">Common_InputFunctions.Utility_DisplayArrayInTable(Fertiliser_SourceData.Fertiliser_Products_Data1(),FertiliserProducts[[#Headers],[Include or Exclude]], 0,4)</f>
        <v/>
      </c>
      <c r="Z126" s="62" t="str" cm="1">
        <f t="array" ref="Z126">Common_InputFunctions.Utility_DisplayArrayInTable(Fertiliser_SourceData.Fertiliser_Products_Data1(),FertiliserProducts[[#Headers],[Include or Exclude]], 0,4)</f>
        <v/>
      </c>
      <c r="AA126" s="62" t="str" cm="1">
        <f t="array" ref="AA126">Common_InputFunctions.Utility_DisplayArrayInTable(Fertiliser_SourceData.Fertiliser_Products_Data1(),FertiliserProducts[[#Headers],[Include or Exclude]], 0,4)</f>
        <v/>
      </c>
      <c r="AB126" s="62" t="str" cm="1">
        <f t="array" ref="AB126">Common_InputFunctions.Utility_DisplayArrayInTable(Fertiliser_SourceData.Fertiliser_Products_Data1(),FertiliserProducts[[#Headers],[Include or Exclude]], 0,4)</f>
        <v/>
      </c>
      <c r="AC126" s="62" t="str" cm="1">
        <f t="array" ref="AC126">Common_InputFunctions.Utility_DisplayArrayInTable(Fertiliser_SourceData.Fertiliser_Products_Data1(),FertiliserProducts[[#Headers],[Include or Exclude]], 0,4)</f>
        <v/>
      </c>
      <c r="AD126" s="62" t="str" cm="1">
        <f t="array" ref="AD126">Common_InputFunctions.Utility_DisplayArrayInTable(Fertiliser_SourceData.Fertiliser_Products_Data1(),FertiliserProducts[[#Headers],[Include or Exclude]], 0,4)</f>
        <v/>
      </c>
      <c r="AE126" s="62" t="str" cm="1">
        <f t="array" ref="AE126">Common_InputFunctions.Utility_DisplayArrayInTable(Fertiliser_SourceData.Fertiliser_Products_Data1(),FertiliserProducts[[#Headers],[Include or Exclude]], 0,4)</f>
        <v/>
      </c>
    </row>
    <row r="127" spans="1:31" ht="20.100000000000001" customHeight="1" x14ac:dyDescent="0.25">
      <c r="A127"/>
      <c r="D127" s="62" t="str" cm="1">
        <f t="array" ref="D127">Common_InputFunctions.Utility_DisplayArrayInTable(Fertiliser_SourceData.Fertiliser_Products_Data1(),FertiliserProducts[[#Headers],[Include or Exclude]], -1)</f>
        <v/>
      </c>
      <c r="E127" s="62" t="str" cm="1">
        <f t="array" ref="E127">Common_InputFunctions.Utility_DisplayArrayInTable(Fertiliser_SourceData.Fertiliser_Products_Data1(),FertiliserProducts[[#Headers],[Include or Exclude]], 0)</f>
        <v/>
      </c>
      <c r="F127" s="62" t="str" cm="1">
        <f t="array" ref="F127">Common_InputFunctions.Utility_DisplayArrayInTable(Fertiliser_SourceData.Fertiliser_Products_Data1(),FertiliserProducts[[#Headers],[Include or Exclude]], 0)</f>
        <v/>
      </c>
      <c r="G127" s="62" t="str" cm="1">
        <f t="array" ref="G127">Common_InputFunctions.Utility_DisplayArrayInTable(Fertiliser_SourceData.Fertiliser_Products_Data1(),FertiliserProducts[[#Headers],[Include or Exclude]], 0)</f>
        <v/>
      </c>
      <c r="H127" s="62" t="str" cm="1">
        <f t="array" ref="H127">Common_InputFunctions.Utility_DisplayArrayInTable(Fertiliser_SourceData.Fertiliser_Products_Data1(),FertiliserProducts[[#Headers],[Include or Exclude]], 0,4)</f>
        <v/>
      </c>
      <c r="I127" s="62" t="str" cm="1">
        <f t="array" ref="I127">Common_InputFunctions.Utility_DisplayArrayInTable(Fertiliser_SourceData.Fertiliser_Products_Data1(),FertiliserProducts[[#Headers],[Include or Exclude]], 0,4)</f>
        <v/>
      </c>
      <c r="J127" s="62" t="str" cm="1">
        <f t="array" ref="J127">Common_InputFunctions.Utility_DisplayArrayInTable(Fertiliser_SourceData.Fertiliser_Products_Data1(),FertiliserProducts[[#Headers],[Include or Exclude]], 0,4)</f>
        <v/>
      </c>
      <c r="K127" s="62" t="str" cm="1">
        <f t="array" ref="K127">Common_InputFunctions.Utility_DisplayArrayInTable(Fertiliser_SourceData.Fertiliser_Products_Data1(),FertiliserProducts[[#Headers],[Include or Exclude]], 0,4)</f>
        <v/>
      </c>
      <c r="L127" s="62" t="str" cm="1">
        <f t="array" ref="L127">Common_InputFunctions.Utility_DisplayArrayInTable(Fertiliser_SourceData.Fertiliser_Products_Data1(),FertiliserProducts[[#Headers],[Include or Exclude]], 0,4)</f>
        <v/>
      </c>
      <c r="M127" s="62" t="str" cm="1">
        <f t="array" ref="M127">Common_InputFunctions.Utility_DisplayArrayInTable(Fertiliser_SourceData.Fertiliser_Products_Data1(),FertiliserProducts[[#Headers],[Include or Exclude]], 0,4)</f>
        <v/>
      </c>
      <c r="N127" s="62" t="str" cm="1">
        <f t="array" ref="N127">Common_InputFunctions.Utility_DisplayArrayInTable(Fertiliser_SourceData.Fertiliser_Products_Data1(),FertiliserProducts[[#Headers],[Include or Exclude]], 0,4)</f>
        <v/>
      </c>
      <c r="O127" s="62" t="str" cm="1">
        <f t="array" ref="O127">Common_InputFunctions.Utility_DisplayArrayInTable(Fertiliser_SourceData.Fertiliser_Products_Data1(),FertiliserProducts[[#Headers],[Include or Exclude]], 0,4)</f>
        <v/>
      </c>
      <c r="P127" s="62" t="str" cm="1">
        <f t="array" ref="P127">Common_InputFunctions.Utility_DisplayArrayInTable(Fertiliser_SourceData.Fertiliser_Products_Data1(),FertiliserProducts[[#Headers],[Include or Exclude]], 0,4)</f>
        <v/>
      </c>
      <c r="Q127" s="62" t="str" cm="1">
        <f t="array" ref="Q127">Common_InputFunctions.Utility_DisplayArrayInTable(Fertiliser_SourceData.Fertiliser_Products_Data1(),FertiliserProducts[[#Headers],[Include or Exclude]], 0,4)</f>
        <v/>
      </c>
      <c r="R127" s="62" t="str" cm="1">
        <f t="array" ref="R127">Common_InputFunctions.Utility_DisplayArrayInTable(Fertiliser_SourceData.Fertiliser_Products_Data1(),FertiliserProducts[[#Headers],[Include or Exclude]], 0,4)</f>
        <v/>
      </c>
      <c r="S127" s="62" t="str" cm="1">
        <f t="array" ref="S127">Common_InputFunctions.Utility_DisplayArrayInTable(Fertiliser_SourceData.Fertiliser_Products_Data1(),FertiliserProducts[[#Headers],[Include or Exclude]], 0,4)</f>
        <v/>
      </c>
      <c r="T127" s="62" t="str" cm="1">
        <f t="array" ref="T127">Common_InputFunctions.Utility_DisplayArrayInTable(Fertiliser_SourceData.Fertiliser_Products_Data1(),FertiliserProducts[[#Headers],[Include or Exclude]], 0,4)</f>
        <v/>
      </c>
      <c r="U127" s="62" t="str" cm="1">
        <f t="array" ref="U127">Common_InputFunctions.Utility_DisplayArrayInTable(Fertiliser_SourceData.Fertiliser_Products_Data1(),FertiliserProducts[[#Headers],[Include or Exclude]], 0,4)</f>
        <v/>
      </c>
      <c r="V127" s="62" t="str" cm="1">
        <f t="array" ref="V127">Common_InputFunctions.Utility_DisplayArrayInTable(Fertiliser_SourceData.Fertiliser_Products_Data1(),FertiliserProducts[[#Headers],[Include or Exclude]], 0,4)</f>
        <v/>
      </c>
      <c r="W127" s="62" t="str" cm="1">
        <f t="array" ref="W127">Common_InputFunctions.Utility_DisplayArrayInTable(Fertiliser_SourceData.Fertiliser_Products_Data1(),FertiliserProducts[[#Headers],[Include or Exclude]], 0,4)</f>
        <v/>
      </c>
      <c r="X127" s="62" t="str" cm="1">
        <f t="array" ref="X127">Common_InputFunctions.Utility_DisplayArrayInTable(Fertiliser_SourceData.Fertiliser_Products_Data1(),FertiliserProducts[[#Headers],[Include or Exclude]], 0,4)</f>
        <v/>
      </c>
      <c r="Y127" s="62" t="str" cm="1">
        <f t="array" ref="Y127">Common_InputFunctions.Utility_DisplayArrayInTable(Fertiliser_SourceData.Fertiliser_Products_Data1(),FertiliserProducts[[#Headers],[Include or Exclude]], 0,4)</f>
        <v/>
      </c>
      <c r="Z127" s="62" t="str" cm="1">
        <f t="array" ref="Z127">Common_InputFunctions.Utility_DisplayArrayInTable(Fertiliser_SourceData.Fertiliser_Products_Data1(),FertiliserProducts[[#Headers],[Include or Exclude]], 0,4)</f>
        <v/>
      </c>
      <c r="AA127" s="62" t="str" cm="1">
        <f t="array" ref="AA127">Common_InputFunctions.Utility_DisplayArrayInTable(Fertiliser_SourceData.Fertiliser_Products_Data1(),FertiliserProducts[[#Headers],[Include or Exclude]], 0,4)</f>
        <v/>
      </c>
      <c r="AB127" s="62" t="str" cm="1">
        <f t="array" ref="AB127">Common_InputFunctions.Utility_DisplayArrayInTable(Fertiliser_SourceData.Fertiliser_Products_Data1(),FertiliserProducts[[#Headers],[Include or Exclude]], 0,4)</f>
        <v/>
      </c>
      <c r="AC127" s="62" t="str" cm="1">
        <f t="array" ref="AC127">Common_InputFunctions.Utility_DisplayArrayInTable(Fertiliser_SourceData.Fertiliser_Products_Data1(),FertiliserProducts[[#Headers],[Include or Exclude]], 0,4)</f>
        <v/>
      </c>
      <c r="AD127" s="62" t="str" cm="1">
        <f t="array" ref="AD127">Common_InputFunctions.Utility_DisplayArrayInTable(Fertiliser_SourceData.Fertiliser_Products_Data1(),FertiliserProducts[[#Headers],[Include or Exclude]], 0,4)</f>
        <v/>
      </c>
      <c r="AE127" s="62" t="str" cm="1">
        <f t="array" ref="AE127">Common_InputFunctions.Utility_DisplayArrayInTable(Fertiliser_SourceData.Fertiliser_Products_Data1(),FertiliserProducts[[#Headers],[Include or Exclude]], 0,4)</f>
        <v/>
      </c>
    </row>
    <row r="128" spans="1:31" ht="20.100000000000001" customHeight="1" x14ac:dyDescent="0.25">
      <c r="A128"/>
      <c r="D128" s="62" t="str" cm="1">
        <f t="array" ref="D128">Common_InputFunctions.Utility_DisplayArrayInTable(Fertiliser_SourceData.Fertiliser_Products_Data1(),FertiliserProducts[[#Headers],[Include or Exclude]], -1)</f>
        <v/>
      </c>
      <c r="E128" s="62" t="str" cm="1">
        <f t="array" ref="E128">Common_InputFunctions.Utility_DisplayArrayInTable(Fertiliser_SourceData.Fertiliser_Products_Data1(),FertiliserProducts[[#Headers],[Include or Exclude]], 0)</f>
        <v/>
      </c>
      <c r="F128" s="62" t="str" cm="1">
        <f t="array" ref="F128">Common_InputFunctions.Utility_DisplayArrayInTable(Fertiliser_SourceData.Fertiliser_Products_Data1(),FertiliserProducts[[#Headers],[Include or Exclude]], 0)</f>
        <v/>
      </c>
      <c r="G128" s="62" t="str" cm="1">
        <f t="array" ref="G128">Common_InputFunctions.Utility_DisplayArrayInTable(Fertiliser_SourceData.Fertiliser_Products_Data1(),FertiliserProducts[[#Headers],[Include or Exclude]], 0)</f>
        <v/>
      </c>
      <c r="H128" s="62" t="str" cm="1">
        <f t="array" ref="H128">Common_InputFunctions.Utility_DisplayArrayInTable(Fertiliser_SourceData.Fertiliser_Products_Data1(),FertiliserProducts[[#Headers],[Include or Exclude]], 0,4)</f>
        <v/>
      </c>
      <c r="I128" s="62" t="str" cm="1">
        <f t="array" ref="I128">Common_InputFunctions.Utility_DisplayArrayInTable(Fertiliser_SourceData.Fertiliser_Products_Data1(),FertiliserProducts[[#Headers],[Include or Exclude]], 0,4)</f>
        <v/>
      </c>
      <c r="J128" s="62" t="str" cm="1">
        <f t="array" ref="J128">Common_InputFunctions.Utility_DisplayArrayInTable(Fertiliser_SourceData.Fertiliser_Products_Data1(),FertiliserProducts[[#Headers],[Include or Exclude]], 0,4)</f>
        <v/>
      </c>
      <c r="K128" s="62" t="str" cm="1">
        <f t="array" ref="K128">Common_InputFunctions.Utility_DisplayArrayInTable(Fertiliser_SourceData.Fertiliser_Products_Data1(),FertiliserProducts[[#Headers],[Include or Exclude]], 0,4)</f>
        <v/>
      </c>
      <c r="L128" s="62" t="str" cm="1">
        <f t="array" ref="L128">Common_InputFunctions.Utility_DisplayArrayInTable(Fertiliser_SourceData.Fertiliser_Products_Data1(),FertiliserProducts[[#Headers],[Include or Exclude]], 0,4)</f>
        <v/>
      </c>
      <c r="M128" s="62" t="str" cm="1">
        <f t="array" ref="M128">Common_InputFunctions.Utility_DisplayArrayInTable(Fertiliser_SourceData.Fertiliser_Products_Data1(),FertiliserProducts[[#Headers],[Include or Exclude]], 0,4)</f>
        <v/>
      </c>
      <c r="N128" s="62" t="str" cm="1">
        <f t="array" ref="N128">Common_InputFunctions.Utility_DisplayArrayInTable(Fertiliser_SourceData.Fertiliser_Products_Data1(),FertiliserProducts[[#Headers],[Include or Exclude]], 0,4)</f>
        <v/>
      </c>
      <c r="O128" s="62" t="str" cm="1">
        <f t="array" ref="O128">Common_InputFunctions.Utility_DisplayArrayInTable(Fertiliser_SourceData.Fertiliser_Products_Data1(),FertiliserProducts[[#Headers],[Include or Exclude]], 0,4)</f>
        <v/>
      </c>
      <c r="P128" s="62" t="str" cm="1">
        <f t="array" ref="P128">Common_InputFunctions.Utility_DisplayArrayInTable(Fertiliser_SourceData.Fertiliser_Products_Data1(),FertiliserProducts[[#Headers],[Include or Exclude]], 0,4)</f>
        <v/>
      </c>
      <c r="Q128" s="62" t="str" cm="1">
        <f t="array" ref="Q128">Common_InputFunctions.Utility_DisplayArrayInTable(Fertiliser_SourceData.Fertiliser_Products_Data1(),FertiliserProducts[[#Headers],[Include or Exclude]], 0,4)</f>
        <v/>
      </c>
      <c r="R128" s="62" t="str" cm="1">
        <f t="array" ref="R128">Common_InputFunctions.Utility_DisplayArrayInTable(Fertiliser_SourceData.Fertiliser_Products_Data1(),FertiliserProducts[[#Headers],[Include or Exclude]], 0,4)</f>
        <v/>
      </c>
      <c r="S128" s="62" t="str" cm="1">
        <f t="array" ref="S128">Common_InputFunctions.Utility_DisplayArrayInTable(Fertiliser_SourceData.Fertiliser_Products_Data1(),FertiliserProducts[[#Headers],[Include or Exclude]], 0,4)</f>
        <v/>
      </c>
      <c r="T128" s="62" t="str" cm="1">
        <f t="array" ref="T128">Common_InputFunctions.Utility_DisplayArrayInTable(Fertiliser_SourceData.Fertiliser_Products_Data1(),FertiliserProducts[[#Headers],[Include or Exclude]], 0,4)</f>
        <v/>
      </c>
      <c r="U128" s="62" t="str" cm="1">
        <f t="array" ref="U128">Common_InputFunctions.Utility_DisplayArrayInTable(Fertiliser_SourceData.Fertiliser_Products_Data1(),FertiliserProducts[[#Headers],[Include or Exclude]], 0,4)</f>
        <v/>
      </c>
      <c r="V128" s="62" t="str" cm="1">
        <f t="array" ref="V128">Common_InputFunctions.Utility_DisplayArrayInTable(Fertiliser_SourceData.Fertiliser_Products_Data1(),FertiliserProducts[[#Headers],[Include or Exclude]], 0,4)</f>
        <v/>
      </c>
      <c r="W128" s="62" t="str" cm="1">
        <f t="array" ref="W128">Common_InputFunctions.Utility_DisplayArrayInTable(Fertiliser_SourceData.Fertiliser_Products_Data1(),FertiliserProducts[[#Headers],[Include or Exclude]], 0,4)</f>
        <v/>
      </c>
      <c r="X128" s="62" t="str" cm="1">
        <f t="array" ref="X128">Common_InputFunctions.Utility_DisplayArrayInTable(Fertiliser_SourceData.Fertiliser_Products_Data1(),FertiliserProducts[[#Headers],[Include or Exclude]], 0,4)</f>
        <v/>
      </c>
      <c r="Y128" s="62" t="str" cm="1">
        <f t="array" ref="Y128">Common_InputFunctions.Utility_DisplayArrayInTable(Fertiliser_SourceData.Fertiliser_Products_Data1(),FertiliserProducts[[#Headers],[Include or Exclude]], 0,4)</f>
        <v/>
      </c>
      <c r="Z128" s="62" t="str" cm="1">
        <f t="array" ref="Z128">Common_InputFunctions.Utility_DisplayArrayInTable(Fertiliser_SourceData.Fertiliser_Products_Data1(),FertiliserProducts[[#Headers],[Include or Exclude]], 0,4)</f>
        <v/>
      </c>
      <c r="AA128" s="62" t="str" cm="1">
        <f t="array" ref="AA128">Common_InputFunctions.Utility_DisplayArrayInTable(Fertiliser_SourceData.Fertiliser_Products_Data1(),FertiliserProducts[[#Headers],[Include or Exclude]], 0,4)</f>
        <v/>
      </c>
      <c r="AB128" s="62" t="str" cm="1">
        <f t="array" ref="AB128">Common_InputFunctions.Utility_DisplayArrayInTable(Fertiliser_SourceData.Fertiliser_Products_Data1(),FertiliserProducts[[#Headers],[Include or Exclude]], 0,4)</f>
        <v/>
      </c>
      <c r="AC128" s="62" t="str" cm="1">
        <f t="array" ref="AC128">Common_InputFunctions.Utility_DisplayArrayInTable(Fertiliser_SourceData.Fertiliser_Products_Data1(),FertiliserProducts[[#Headers],[Include or Exclude]], 0,4)</f>
        <v/>
      </c>
      <c r="AD128" s="62" t="str" cm="1">
        <f t="array" ref="AD128">Common_InputFunctions.Utility_DisplayArrayInTable(Fertiliser_SourceData.Fertiliser_Products_Data1(),FertiliserProducts[[#Headers],[Include or Exclude]], 0,4)</f>
        <v/>
      </c>
      <c r="AE128" s="62" t="str" cm="1">
        <f t="array" ref="AE128">Common_InputFunctions.Utility_DisplayArrayInTable(Fertiliser_SourceData.Fertiliser_Products_Data1(),FertiliserProducts[[#Headers],[Include or Exclude]], 0,4)</f>
        <v/>
      </c>
    </row>
    <row r="129" spans="1:31" ht="20.100000000000001" customHeight="1" x14ac:dyDescent="0.25">
      <c r="A129"/>
      <c r="D129" s="62" t="str" cm="1">
        <f t="array" ref="D129">Common_InputFunctions.Utility_DisplayArrayInTable(Fertiliser_SourceData.Fertiliser_Products_Data1(),FertiliserProducts[[#Headers],[Include or Exclude]], -1)</f>
        <v/>
      </c>
      <c r="E129" s="62" t="str" cm="1">
        <f t="array" ref="E129">Common_InputFunctions.Utility_DisplayArrayInTable(Fertiliser_SourceData.Fertiliser_Products_Data1(),FertiliserProducts[[#Headers],[Include or Exclude]], 0)</f>
        <v/>
      </c>
      <c r="F129" s="62" t="str" cm="1">
        <f t="array" ref="F129">Common_InputFunctions.Utility_DisplayArrayInTable(Fertiliser_SourceData.Fertiliser_Products_Data1(),FertiliserProducts[[#Headers],[Include or Exclude]], 0)</f>
        <v/>
      </c>
      <c r="G129" s="62" t="str" cm="1">
        <f t="array" ref="G129">Common_InputFunctions.Utility_DisplayArrayInTable(Fertiliser_SourceData.Fertiliser_Products_Data1(),FertiliserProducts[[#Headers],[Include or Exclude]], 0)</f>
        <v/>
      </c>
      <c r="H129" s="62" t="str" cm="1">
        <f t="array" ref="H129">Common_InputFunctions.Utility_DisplayArrayInTable(Fertiliser_SourceData.Fertiliser_Products_Data1(),FertiliserProducts[[#Headers],[Include or Exclude]], 0,4)</f>
        <v/>
      </c>
      <c r="I129" s="62" t="str" cm="1">
        <f t="array" ref="I129">Common_InputFunctions.Utility_DisplayArrayInTable(Fertiliser_SourceData.Fertiliser_Products_Data1(),FertiliserProducts[[#Headers],[Include or Exclude]], 0,4)</f>
        <v/>
      </c>
      <c r="J129" s="62" t="str" cm="1">
        <f t="array" ref="J129">Common_InputFunctions.Utility_DisplayArrayInTable(Fertiliser_SourceData.Fertiliser_Products_Data1(),FertiliserProducts[[#Headers],[Include or Exclude]], 0,4)</f>
        <v/>
      </c>
      <c r="K129" s="62" t="str" cm="1">
        <f t="array" ref="K129">Common_InputFunctions.Utility_DisplayArrayInTable(Fertiliser_SourceData.Fertiliser_Products_Data1(),FertiliserProducts[[#Headers],[Include or Exclude]], 0,4)</f>
        <v/>
      </c>
      <c r="L129" s="62" t="str" cm="1">
        <f t="array" ref="L129">Common_InputFunctions.Utility_DisplayArrayInTable(Fertiliser_SourceData.Fertiliser_Products_Data1(),FertiliserProducts[[#Headers],[Include or Exclude]], 0,4)</f>
        <v/>
      </c>
      <c r="M129" s="62" t="str" cm="1">
        <f t="array" ref="M129">Common_InputFunctions.Utility_DisplayArrayInTable(Fertiliser_SourceData.Fertiliser_Products_Data1(),FertiliserProducts[[#Headers],[Include or Exclude]], 0,4)</f>
        <v/>
      </c>
      <c r="N129" s="62" t="str" cm="1">
        <f t="array" ref="N129">Common_InputFunctions.Utility_DisplayArrayInTable(Fertiliser_SourceData.Fertiliser_Products_Data1(),FertiliserProducts[[#Headers],[Include or Exclude]], 0,4)</f>
        <v/>
      </c>
      <c r="O129" s="62" t="str" cm="1">
        <f t="array" ref="O129">Common_InputFunctions.Utility_DisplayArrayInTable(Fertiliser_SourceData.Fertiliser_Products_Data1(),FertiliserProducts[[#Headers],[Include or Exclude]], 0,4)</f>
        <v/>
      </c>
      <c r="P129" s="62" t="str" cm="1">
        <f t="array" ref="P129">Common_InputFunctions.Utility_DisplayArrayInTable(Fertiliser_SourceData.Fertiliser_Products_Data1(),FertiliserProducts[[#Headers],[Include or Exclude]], 0,4)</f>
        <v/>
      </c>
      <c r="Q129" s="62" t="str" cm="1">
        <f t="array" ref="Q129">Common_InputFunctions.Utility_DisplayArrayInTable(Fertiliser_SourceData.Fertiliser_Products_Data1(),FertiliserProducts[[#Headers],[Include or Exclude]], 0,4)</f>
        <v/>
      </c>
      <c r="R129" s="62" t="str" cm="1">
        <f t="array" ref="R129">Common_InputFunctions.Utility_DisplayArrayInTable(Fertiliser_SourceData.Fertiliser_Products_Data1(),FertiliserProducts[[#Headers],[Include or Exclude]], 0,4)</f>
        <v/>
      </c>
      <c r="S129" s="62" t="str" cm="1">
        <f t="array" ref="S129">Common_InputFunctions.Utility_DisplayArrayInTable(Fertiliser_SourceData.Fertiliser_Products_Data1(),FertiliserProducts[[#Headers],[Include or Exclude]], 0,4)</f>
        <v/>
      </c>
      <c r="T129" s="62" t="str" cm="1">
        <f t="array" ref="T129">Common_InputFunctions.Utility_DisplayArrayInTable(Fertiliser_SourceData.Fertiliser_Products_Data1(),FertiliserProducts[[#Headers],[Include or Exclude]], 0,4)</f>
        <v/>
      </c>
      <c r="U129" s="62" t="str" cm="1">
        <f t="array" ref="U129">Common_InputFunctions.Utility_DisplayArrayInTable(Fertiliser_SourceData.Fertiliser_Products_Data1(),FertiliserProducts[[#Headers],[Include or Exclude]], 0,4)</f>
        <v/>
      </c>
      <c r="V129" s="62" t="str" cm="1">
        <f t="array" ref="V129">Common_InputFunctions.Utility_DisplayArrayInTable(Fertiliser_SourceData.Fertiliser_Products_Data1(),FertiliserProducts[[#Headers],[Include or Exclude]], 0,4)</f>
        <v/>
      </c>
      <c r="W129" s="62" t="str" cm="1">
        <f t="array" ref="W129">Common_InputFunctions.Utility_DisplayArrayInTable(Fertiliser_SourceData.Fertiliser_Products_Data1(),FertiliserProducts[[#Headers],[Include or Exclude]], 0,4)</f>
        <v/>
      </c>
      <c r="X129" s="62" t="str" cm="1">
        <f t="array" ref="X129">Common_InputFunctions.Utility_DisplayArrayInTable(Fertiliser_SourceData.Fertiliser_Products_Data1(),FertiliserProducts[[#Headers],[Include or Exclude]], 0,4)</f>
        <v/>
      </c>
      <c r="Y129" s="62" t="str" cm="1">
        <f t="array" ref="Y129">Common_InputFunctions.Utility_DisplayArrayInTable(Fertiliser_SourceData.Fertiliser_Products_Data1(),FertiliserProducts[[#Headers],[Include or Exclude]], 0,4)</f>
        <v/>
      </c>
      <c r="Z129" s="62" t="str" cm="1">
        <f t="array" ref="Z129">Common_InputFunctions.Utility_DisplayArrayInTable(Fertiliser_SourceData.Fertiliser_Products_Data1(),FertiliserProducts[[#Headers],[Include or Exclude]], 0,4)</f>
        <v/>
      </c>
      <c r="AA129" s="62" t="str" cm="1">
        <f t="array" ref="AA129">Common_InputFunctions.Utility_DisplayArrayInTable(Fertiliser_SourceData.Fertiliser_Products_Data1(),FertiliserProducts[[#Headers],[Include or Exclude]], 0,4)</f>
        <v/>
      </c>
      <c r="AB129" s="62" t="str" cm="1">
        <f t="array" ref="AB129">Common_InputFunctions.Utility_DisplayArrayInTable(Fertiliser_SourceData.Fertiliser_Products_Data1(),FertiliserProducts[[#Headers],[Include or Exclude]], 0,4)</f>
        <v/>
      </c>
      <c r="AC129" s="62" t="str" cm="1">
        <f t="array" ref="AC129">Common_InputFunctions.Utility_DisplayArrayInTable(Fertiliser_SourceData.Fertiliser_Products_Data1(),FertiliserProducts[[#Headers],[Include or Exclude]], 0,4)</f>
        <v/>
      </c>
      <c r="AD129" s="62" t="str" cm="1">
        <f t="array" ref="AD129">Common_InputFunctions.Utility_DisplayArrayInTable(Fertiliser_SourceData.Fertiliser_Products_Data1(),FertiliserProducts[[#Headers],[Include or Exclude]], 0,4)</f>
        <v/>
      </c>
      <c r="AE129" s="62" t="str" cm="1">
        <f t="array" ref="AE129">Common_InputFunctions.Utility_DisplayArrayInTable(Fertiliser_SourceData.Fertiliser_Products_Data1(),FertiliserProducts[[#Headers],[Include or Exclude]], 0,4)</f>
        <v/>
      </c>
    </row>
    <row r="130" spans="1:31" ht="20.100000000000001" customHeight="1" x14ac:dyDescent="0.25">
      <c r="A130"/>
      <c r="D130" s="62" t="str" cm="1">
        <f t="array" ref="D130">Common_InputFunctions.Utility_DisplayArrayInTable(Fertiliser_SourceData.Fertiliser_Products_Data1(),FertiliserProducts[[#Headers],[Include or Exclude]], -1)</f>
        <v/>
      </c>
      <c r="E130" s="62" t="str" cm="1">
        <f t="array" ref="E130">Common_InputFunctions.Utility_DisplayArrayInTable(Fertiliser_SourceData.Fertiliser_Products_Data1(),FertiliserProducts[[#Headers],[Include or Exclude]], 0)</f>
        <v/>
      </c>
      <c r="F130" s="62" t="str" cm="1">
        <f t="array" ref="F130">Common_InputFunctions.Utility_DisplayArrayInTable(Fertiliser_SourceData.Fertiliser_Products_Data1(),FertiliserProducts[[#Headers],[Include or Exclude]], 0)</f>
        <v/>
      </c>
      <c r="G130" s="62" t="str" cm="1">
        <f t="array" ref="G130">Common_InputFunctions.Utility_DisplayArrayInTable(Fertiliser_SourceData.Fertiliser_Products_Data1(),FertiliserProducts[[#Headers],[Include or Exclude]], 0)</f>
        <v/>
      </c>
      <c r="H130" s="62" t="str" cm="1">
        <f t="array" ref="H130">Common_InputFunctions.Utility_DisplayArrayInTable(Fertiliser_SourceData.Fertiliser_Products_Data1(),FertiliserProducts[[#Headers],[Include or Exclude]], 0,4)</f>
        <v/>
      </c>
      <c r="I130" s="62" t="str" cm="1">
        <f t="array" ref="I130">Common_InputFunctions.Utility_DisplayArrayInTable(Fertiliser_SourceData.Fertiliser_Products_Data1(),FertiliserProducts[[#Headers],[Include or Exclude]], 0,4)</f>
        <v/>
      </c>
      <c r="J130" s="62" t="str" cm="1">
        <f t="array" ref="J130">Common_InputFunctions.Utility_DisplayArrayInTable(Fertiliser_SourceData.Fertiliser_Products_Data1(),FertiliserProducts[[#Headers],[Include or Exclude]], 0,4)</f>
        <v/>
      </c>
      <c r="K130" s="62" t="str" cm="1">
        <f t="array" ref="K130">Common_InputFunctions.Utility_DisplayArrayInTable(Fertiliser_SourceData.Fertiliser_Products_Data1(),FertiliserProducts[[#Headers],[Include or Exclude]], 0,4)</f>
        <v/>
      </c>
      <c r="L130" s="62" t="str" cm="1">
        <f t="array" ref="L130">Common_InputFunctions.Utility_DisplayArrayInTable(Fertiliser_SourceData.Fertiliser_Products_Data1(),FertiliserProducts[[#Headers],[Include or Exclude]], 0,4)</f>
        <v/>
      </c>
      <c r="M130" s="62" t="str" cm="1">
        <f t="array" ref="M130">Common_InputFunctions.Utility_DisplayArrayInTable(Fertiliser_SourceData.Fertiliser_Products_Data1(),FertiliserProducts[[#Headers],[Include or Exclude]], 0,4)</f>
        <v/>
      </c>
      <c r="N130" s="62" t="str" cm="1">
        <f t="array" ref="N130">Common_InputFunctions.Utility_DisplayArrayInTable(Fertiliser_SourceData.Fertiliser_Products_Data1(),FertiliserProducts[[#Headers],[Include or Exclude]], 0,4)</f>
        <v/>
      </c>
      <c r="O130" s="62" t="str" cm="1">
        <f t="array" ref="O130">Common_InputFunctions.Utility_DisplayArrayInTable(Fertiliser_SourceData.Fertiliser_Products_Data1(),FertiliserProducts[[#Headers],[Include or Exclude]], 0,4)</f>
        <v/>
      </c>
      <c r="P130" s="62" t="str" cm="1">
        <f t="array" ref="P130">Common_InputFunctions.Utility_DisplayArrayInTable(Fertiliser_SourceData.Fertiliser_Products_Data1(),FertiliserProducts[[#Headers],[Include or Exclude]], 0,4)</f>
        <v/>
      </c>
      <c r="Q130" s="62" t="str" cm="1">
        <f t="array" ref="Q130">Common_InputFunctions.Utility_DisplayArrayInTable(Fertiliser_SourceData.Fertiliser_Products_Data1(),FertiliserProducts[[#Headers],[Include or Exclude]], 0,4)</f>
        <v/>
      </c>
      <c r="R130" s="62" t="str" cm="1">
        <f t="array" ref="R130">Common_InputFunctions.Utility_DisplayArrayInTable(Fertiliser_SourceData.Fertiliser_Products_Data1(),FertiliserProducts[[#Headers],[Include or Exclude]], 0,4)</f>
        <v/>
      </c>
      <c r="S130" s="62" t="str" cm="1">
        <f t="array" ref="S130">Common_InputFunctions.Utility_DisplayArrayInTable(Fertiliser_SourceData.Fertiliser_Products_Data1(),FertiliserProducts[[#Headers],[Include or Exclude]], 0,4)</f>
        <v/>
      </c>
      <c r="T130" s="62" t="str" cm="1">
        <f t="array" ref="T130">Common_InputFunctions.Utility_DisplayArrayInTable(Fertiliser_SourceData.Fertiliser_Products_Data1(),FertiliserProducts[[#Headers],[Include or Exclude]], 0,4)</f>
        <v/>
      </c>
      <c r="U130" s="62" t="str" cm="1">
        <f t="array" ref="U130">Common_InputFunctions.Utility_DisplayArrayInTable(Fertiliser_SourceData.Fertiliser_Products_Data1(),FertiliserProducts[[#Headers],[Include or Exclude]], 0,4)</f>
        <v/>
      </c>
      <c r="V130" s="62" t="str" cm="1">
        <f t="array" ref="V130">Common_InputFunctions.Utility_DisplayArrayInTable(Fertiliser_SourceData.Fertiliser_Products_Data1(),FertiliserProducts[[#Headers],[Include or Exclude]], 0,4)</f>
        <v/>
      </c>
      <c r="W130" s="62" t="str" cm="1">
        <f t="array" ref="W130">Common_InputFunctions.Utility_DisplayArrayInTable(Fertiliser_SourceData.Fertiliser_Products_Data1(),FertiliserProducts[[#Headers],[Include or Exclude]], 0,4)</f>
        <v/>
      </c>
      <c r="X130" s="62" t="str" cm="1">
        <f t="array" ref="X130">Common_InputFunctions.Utility_DisplayArrayInTable(Fertiliser_SourceData.Fertiliser_Products_Data1(),FertiliserProducts[[#Headers],[Include or Exclude]], 0,4)</f>
        <v/>
      </c>
      <c r="Y130" s="62" t="str" cm="1">
        <f t="array" ref="Y130">Common_InputFunctions.Utility_DisplayArrayInTable(Fertiliser_SourceData.Fertiliser_Products_Data1(),FertiliserProducts[[#Headers],[Include or Exclude]], 0,4)</f>
        <v/>
      </c>
      <c r="Z130" s="62" t="str" cm="1">
        <f t="array" ref="Z130">Common_InputFunctions.Utility_DisplayArrayInTable(Fertiliser_SourceData.Fertiliser_Products_Data1(),FertiliserProducts[[#Headers],[Include or Exclude]], 0,4)</f>
        <v/>
      </c>
      <c r="AA130" s="62" t="str" cm="1">
        <f t="array" ref="AA130">Common_InputFunctions.Utility_DisplayArrayInTable(Fertiliser_SourceData.Fertiliser_Products_Data1(),FertiliserProducts[[#Headers],[Include or Exclude]], 0,4)</f>
        <v/>
      </c>
      <c r="AB130" s="62" t="str" cm="1">
        <f t="array" ref="AB130">Common_InputFunctions.Utility_DisplayArrayInTable(Fertiliser_SourceData.Fertiliser_Products_Data1(),FertiliserProducts[[#Headers],[Include or Exclude]], 0,4)</f>
        <v/>
      </c>
      <c r="AC130" s="62" t="str" cm="1">
        <f t="array" ref="AC130">Common_InputFunctions.Utility_DisplayArrayInTable(Fertiliser_SourceData.Fertiliser_Products_Data1(),FertiliserProducts[[#Headers],[Include or Exclude]], 0,4)</f>
        <v/>
      </c>
      <c r="AD130" s="62" t="str" cm="1">
        <f t="array" ref="AD130">Common_InputFunctions.Utility_DisplayArrayInTable(Fertiliser_SourceData.Fertiliser_Products_Data1(),FertiliserProducts[[#Headers],[Include or Exclude]], 0,4)</f>
        <v/>
      </c>
      <c r="AE130" s="62" t="str" cm="1">
        <f t="array" ref="AE130">Common_InputFunctions.Utility_DisplayArrayInTable(Fertiliser_SourceData.Fertiliser_Products_Data1(),FertiliserProducts[[#Headers],[Include or Exclude]], 0,4)</f>
        <v/>
      </c>
    </row>
    <row r="131" spans="1:31" ht="20.100000000000001" customHeight="1" x14ac:dyDescent="0.25">
      <c r="A131"/>
      <c r="D131" s="62" t="str" cm="1">
        <f t="array" ref="D131">Common_InputFunctions.Utility_DisplayArrayInTable(Fertiliser_SourceData.Fertiliser_Products_Data1(),FertiliserProducts[[#Headers],[Include or Exclude]], -1)</f>
        <v/>
      </c>
      <c r="E131" s="62" t="str" cm="1">
        <f t="array" ref="E131">Common_InputFunctions.Utility_DisplayArrayInTable(Fertiliser_SourceData.Fertiliser_Products_Data1(),FertiliserProducts[[#Headers],[Include or Exclude]], 0)</f>
        <v/>
      </c>
      <c r="F131" s="62" t="str" cm="1">
        <f t="array" ref="F131">Common_InputFunctions.Utility_DisplayArrayInTable(Fertiliser_SourceData.Fertiliser_Products_Data1(),FertiliserProducts[[#Headers],[Include or Exclude]], 0)</f>
        <v/>
      </c>
      <c r="G131" s="62" t="str" cm="1">
        <f t="array" ref="G131">Common_InputFunctions.Utility_DisplayArrayInTable(Fertiliser_SourceData.Fertiliser_Products_Data1(),FertiliserProducts[[#Headers],[Include or Exclude]], 0)</f>
        <v/>
      </c>
      <c r="H131" s="62" t="str" cm="1">
        <f t="array" ref="H131">Common_InputFunctions.Utility_DisplayArrayInTable(Fertiliser_SourceData.Fertiliser_Products_Data1(),FertiliserProducts[[#Headers],[Include or Exclude]], 0,4)</f>
        <v/>
      </c>
      <c r="I131" s="62" t="str" cm="1">
        <f t="array" ref="I131">Common_InputFunctions.Utility_DisplayArrayInTable(Fertiliser_SourceData.Fertiliser_Products_Data1(),FertiliserProducts[[#Headers],[Include or Exclude]], 0,4)</f>
        <v/>
      </c>
      <c r="J131" s="62" t="str" cm="1">
        <f t="array" ref="J131">Common_InputFunctions.Utility_DisplayArrayInTable(Fertiliser_SourceData.Fertiliser_Products_Data1(),FertiliserProducts[[#Headers],[Include or Exclude]], 0,4)</f>
        <v/>
      </c>
      <c r="K131" s="62" t="str" cm="1">
        <f t="array" ref="K131">Common_InputFunctions.Utility_DisplayArrayInTable(Fertiliser_SourceData.Fertiliser_Products_Data1(),FertiliserProducts[[#Headers],[Include or Exclude]], 0,4)</f>
        <v/>
      </c>
      <c r="L131" s="62" t="str" cm="1">
        <f t="array" ref="L131">Common_InputFunctions.Utility_DisplayArrayInTable(Fertiliser_SourceData.Fertiliser_Products_Data1(),FertiliserProducts[[#Headers],[Include or Exclude]], 0,4)</f>
        <v/>
      </c>
      <c r="M131" s="62" t="str" cm="1">
        <f t="array" ref="M131">Common_InputFunctions.Utility_DisplayArrayInTable(Fertiliser_SourceData.Fertiliser_Products_Data1(),FertiliserProducts[[#Headers],[Include or Exclude]], 0,4)</f>
        <v/>
      </c>
      <c r="N131" s="62" t="str" cm="1">
        <f t="array" ref="N131">Common_InputFunctions.Utility_DisplayArrayInTable(Fertiliser_SourceData.Fertiliser_Products_Data1(),FertiliserProducts[[#Headers],[Include or Exclude]], 0,4)</f>
        <v/>
      </c>
      <c r="O131" s="62" t="str" cm="1">
        <f t="array" ref="O131">Common_InputFunctions.Utility_DisplayArrayInTable(Fertiliser_SourceData.Fertiliser_Products_Data1(),FertiliserProducts[[#Headers],[Include or Exclude]], 0,4)</f>
        <v/>
      </c>
      <c r="P131" s="62" t="str" cm="1">
        <f t="array" ref="P131">Common_InputFunctions.Utility_DisplayArrayInTable(Fertiliser_SourceData.Fertiliser_Products_Data1(),FertiliserProducts[[#Headers],[Include or Exclude]], 0,4)</f>
        <v/>
      </c>
      <c r="Q131" s="62" t="str" cm="1">
        <f t="array" ref="Q131">Common_InputFunctions.Utility_DisplayArrayInTable(Fertiliser_SourceData.Fertiliser_Products_Data1(),FertiliserProducts[[#Headers],[Include or Exclude]], 0,4)</f>
        <v/>
      </c>
      <c r="R131" s="62" t="str" cm="1">
        <f t="array" ref="R131">Common_InputFunctions.Utility_DisplayArrayInTable(Fertiliser_SourceData.Fertiliser_Products_Data1(),FertiliserProducts[[#Headers],[Include or Exclude]], 0,4)</f>
        <v/>
      </c>
      <c r="S131" s="62" t="str" cm="1">
        <f t="array" ref="S131">Common_InputFunctions.Utility_DisplayArrayInTable(Fertiliser_SourceData.Fertiliser_Products_Data1(),FertiliserProducts[[#Headers],[Include or Exclude]], 0,4)</f>
        <v/>
      </c>
      <c r="T131" s="62" t="str" cm="1">
        <f t="array" ref="T131">Common_InputFunctions.Utility_DisplayArrayInTable(Fertiliser_SourceData.Fertiliser_Products_Data1(),FertiliserProducts[[#Headers],[Include or Exclude]], 0,4)</f>
        <v/>
      </c>
      <c r="U131" s="62" t="str" cm="1">
        <f t="array" ref="U131">Common_InputFunctions.Utility_DisplayArrayInTable(Fertiliser_SourceData.Fertiliser_Products_Data1(),FertiliserProducts[[#Headers],[Include or Exclude]], 0,4)</f>
        <v/>
      </c>
      <c r="V131" s="62" t="str" cm="1">
        <f t="array" ref="V131">Common_InputFunctions.Utility_DisplayArrayInTable(Fertiliser_SourceData.Fertiliser_Products_Data1(),FertiliserProducts[[#Headers],[Include or Exclude]], 0,4)</f>
        <v/>
      </c>
      <c r="W131" s="62" t="str" cm="1">
        <f t="array" ref="W131">Common_InputFunctions.Utility_DisplayArrayInTable(Fertiliser_SourceData.Fertiliser_Products_Data1(),FertiliserProducts[[#Headers],[Include or Exclude]], 0,4)</f>
        <v/>
      </c>
      <c r="X131" s="62" t="str" cm="1">
        <f t="array" ref="X131">Common_InputFunctions.Utility_DisplayArrayInTable(Fertiliser_SourceData.Fertiliser_Products_Data1(),FertiliserProducts[[#Headers],[Include or Exclude]], 0,4)</f>
        <v/>
      </c>
      <c r="Y131" s="62" t="str" cm="1">
        <f t="array" ref="Y131">Common_InputFunctions.Utility_DisplayArrayInTable(Fertiliser_SourceData.Fertiliser_Products_Data1(),FertiliserProducts[[#Headers],[Include or Exclude]], 0,4)</f>
        <v/>
      </c>
      <c r="Z131" s="62" t="str" cm="1">
        <f t="array" ref="Z131">Common_InputFunctions.Utility_DisplayArrayInTable(Fertiliser_SourceData.Fertiliser_Products_Data1(),FertiliserProducts[[#Headers],[Include or Exclude]], 0,4)</f>
        <v/>
      </c>
      <c r="AA131" s="62" t="str" cm="1">
        <f t="array" ref="AA131">Common_InputFunctions.Utility_DisplayArrayInTable(Fertiliser_SourceData.Fertiliser_Products_Data1(),FertiliserProducts[[#Headers],[Include or Exclude]], 0,4)</f>
        <v/>
      </c>
      <c r="AB131" s="62" t="str" cm="1">
        <f t="array" ref="AB131">Common_InputFunctions.Utility_DisplayArrayInTable(Fertiliser_SourceData.Fertiliser_Products_Data1(),FertiliserProducts[[#Headers],[Include or Exclude]], 0,4)</f>
        <v/>
      </c>
      <c r="AC131" s="62" t="str" cm="1">
        <f t="array" ref="AC131">Common_InputFunctions.Utility_DisplayArrayInTable(Fertiliser_SourceData.Fertiliser_Products_Data1(),FertiliserProducts[[#Headers],[Include or Exclude]], 0,4)</f>
        <v/>
      </c>
      <c r="AD131" s="62" t="str" cm="1">
        <f t="array" ref="AD131">Common_InputFunctions.Utility_DisplayArrayInTable(Fertiliser_SourceData.Fertiliser_Products_Data1(),FertiliserProducts[[#Headers],[Include or Exclude]], 0,4)</f>
        <v/>
      </c>
      <c r="AE131" s="62" t="str" cm="1">
        <f t="array" ref="AE131">Common_InputFunctions.Utility_DisplayArrayInTable(Fertiliser_SourceData.Fertiliser_Products_Data1(),FertiliserProducts[[#Headers],[Include or Exclude]], 0,4)</f>
        <v/>
      </c>
    </row>
    <row r="132" spans="1:31" ht="20.100000000000001" customHeight="1" x14ac:dyDescent="0.25">
      <c r="A132"/>
      <c r="D132" s="62" t="str" cm="1">
        <f t="array" ref="D132">Common_InputFunctions.Utility_DisplayArrayInTable(Fertiliser_SourceData.Fertiliser_Products_Data1(),FertiliserProducts[[#Headers],[Include or Exclude]], -1)</f>
        <v/>
      </c>
      <c r="E132" s="62" t="str" cm="1">
        <f t="array" ref="E132">Common_InputFunctions.Utility_DisplayArrayInTable(Fertiliser_SourceData.Fertiliser_Products_Data1(),FertiliserProducts[[#Headers],[Include or Exclude]], 0)</f>
        <v/>
      </c>
      <c r="F132" s="62" t="str" cm="1">
        <f t="array" ref="F132">Common_InputFunctions.Utility_DisplayArrayInTable(Fertiliser_SourceData.Fertiliser_Products_Data1(),FertiliserProducts[[#Headers],[Include or Exclude]], 0)</f>
        <v/>
      </c>
      <c r="G132" s="62" t="str" cm="1">
        <f t="array" ref="G132">Common_InputFunctions.Utility_DisplayArrayInTable(Fertiliser_SourceData.Fertiliser_Products_Data1(),FertiliserProducts[[#Headers],[Include or Exclude]], 0)</f>
        <v/>
      </c>
      <c r="H132" s="62" t="str" cm="1">
        <f t="array" ref="H132">Common_InputFunctions.Utility_DisplayArrayInTable(Fertiliser_SourceData.Fertiliser_Products_Data1(),FertiliserProducts[[#Headers],[Include or Exclude]], 0,4)</f>
        <v/>
      </c>
      <c r="I132" s="62" t="str" cm="1">
        <f t="array" ref="I132">Common_InputFunctions.Utility_DisplayArrayInTable(Fertiliser_SourceData.Fertiliser_Products_Data1(),FertiliserProducts[[#Headers],[Include or Exclude]], 0,4)</f>
        <v/>
      </c>
      <c r="J132" s="62" t="str" cm="1">
        <f t="array" ref="J132">Common_InputFunctions.Utility_DisplayArrayInTable(Fertiliser_SourceData.Fertiliser_Products_Data1(),FertiliserProducts[[#Headers],[Include or Exclude]], 0,4)</f>
        <v/>
      </c>
      <c r="K132" s="62" t="str" cm="1">
        <f t="array" ref="K132">Common_InputFunctions.Utility_DisplayArrayInTable(Fertiliser_SourceData.Fertiliser_Products_Data1(),FertiliserProducts[[#Headers],[Include or Exclude]], 0,4)</f>
        <v/>
      </c>
      <c r="L132" s="62" t="str" cm="1">
        <f t="array" ref="L132">Common_InputFunctions.Utility_DisplayArrayInTable(Fertiliser_SourceData.Fertiliser_Products_Data1(),FertiliserProducts[[#Headers],[Include or Exclude]], 0,4)</f>
        <v/>
      </c>
      <c r="M132" s="62" t="str" cm="1">
        <f t="array" ref="M132">Common_InputFunctions.Utility_DisplayArrayInTable(Fertiliser_SourceData.Fertiliser_Products_Data1(),FertiliserProducts[[#Headers],[Include or Exclude]], 0,4)</f>
        <v/>
      </c>
      <c r="N132" s="62" t="str" cm="1">
        <f t="array" ref="N132">Common_InputFunctions.Utility_DisplayArrayInTable(Fertiliser_SourceData.Fertiliser_Products_Data1(),FertiliserProducts[[#Headers],[Include or Exclude]], 0,4)</f>
        <v/>
      </c>
      <c r="O132" s="62" t="str" cm="1">
        <f t="array" ref="O132">Common_InputFunctions.Utility_DisplayArrayInTable(Fertiliser_SourceData.Fertiliser_Products_Data1(),FertiliserProducts[[#Headers],[Include or Exclude]], 0,4)</f>
        <v/>
      </c>
      <c r="P132" s="62" t="str" cm="1">
        <f t="array" ref="P132">Common_InputFunctions.Utility_DisplayArrayInTable(Fertiliser_SourceData.Fertiliser_Products_Data1(),FertiliserProducts[[#Headers],[Include or Exclude]], 0,4)</f>
        <v/>
      </c>
      <c r="Q132" s="62" t="str" cm="1">
        <f t="array" ref="Q132">Common_InputFunctions.Utility_DisplayArrayInTable(Fertiliser_SourceData.Fertiliser_Products_Data1(),FertiliserProducts[[#Headers],[Include or Exclude]], 0,4)</f>
        <v/>
      </c>
      <c r="R132" s="62" t="str" cm="1">
        <f t="array" ref="R132">Common_InputFunctions.Utility_DisplayArrayInTable(Fertiliser_SourceData.Fertiliser_Products_Data1(),FertiliserProducts[[#Headers],[Include or Exclude]], 0,4)</f>
        <v/>
      </c>
      <c r="S132" s="62" t="str" cm="1">
        <f t="array" ref="S132">Common_InputFunctions.Utility_DisplayArrayInTable(Fertiliser_SourceData.Fertiliser_Products_Data1(),FertiliserProducts[[#Headers],[Include or Exclude]], 0,4)</f>
        <v/>
      </c>
      <c r="T132" s="62" t="str" cm="1">
        <f t="array" ref="T132">Common_InputFunctions.Utility_DisplayArrayInTable(Fertiliser_SourceData.Fertiliser_Products_Data1(),FertiliserProducts[[#Headers],[Include or Exclude]], 0,4)</f>
        <v/>
      </c>
      <c r="U132" s="62" t="str" cm="1">
        <f t="array" ref="U132">Common_InputFunctions.Utility_DisplayArrayInTable(Fertiliser_SourceData.Fertiliser_Products_Data1(),FertiliserProducts[[#Headers],[Include or Exclude]], 0,4)</f>
        <v/>
      </c>
      <c r="V132" s="62" t="str" cm="1">
        <f t="array" ref="V132">Common_InputFunctions.Utility_DisplayArrayInTable(Fertiliser_SourceData.Fertiliser_Products_Data1(),FertiliserProducts[[#Headers],[Include or Exclude]], 0,4)</f>
        <v/>
      </c>
      <c r="W132" s="62" t="str" cm="1">
        <f t="array" ref="W132">Common_InputFunctions.Utility_DisplayArrayInTable(Fertiliser_SourceData.Fertiliser_Products_Data1(),FertiliserProducts[[#Headers],[Include or Exclude]], 0,4)</f>
        <v/>
      </c>
      <c r="X132" s="62" t="str" cm="1">
        <f t="array" ref="X132">Common_InputFunctions.Utility_DisplayArrayInTable(Fertiliser_SourceData.Fertiliser_Products_Data1(),FertiliserProducts[[#Headers],[Include or Exclude]], 0,4)</f>
        <v/>
      </c>
      <c r="Y132" s="62" t="str" cm="1">
        <f t="array" ref="Y132">Common_InputFunctions.Utility_DisplayArrayInTable(Fertiliser_SourceData.Fertiliser_Products_Data1(),FertiliserProducts[[#Headers],[Include or Exclude]], 0,4)</f>
        <v/>
      </c>
      <c r="Z132" s="62" t="str" cm="1">
        <f t="array" ref="Z132">Common_InputFunctions.Utility_DisplayArrayInTable(Fertiliser_SourceData.Fertiliser_Products_Data1(),FertiliserProducts[[#Headers],[Include or Exclude]], 0,4)</f>
        <v/>
      </c>
      <c r="AA132" s="62" t="str" cm="1">
        <f t="array" ref="AA132">Common_InputFunctions.Utility_DisplayArrayInTable(Fertiliser_SourceData.Fertiliser_Products_Data1(),FertiliserProducts[[#Headers],[Include or Exclude]], 0,4)</f>
        <v/>
      </c>
      <c r="AB132" s="62" t="str" cm="1">
        <f t="array" ref="AB132">Common_InputFunctions.Utility_DisplayArrayInTable(Fertiliser_SourceData.Fertiliser_Products_Data1(),FertiliserProducts[[#Headers],[Include or Exclude]], 0,4)</f>
        <v/>
      </c>
      <c r="AC132" s="62" t="str" cm="1">
        <f t="array" ref="AC132">Common_InputFunctions.Utility_DisplayArrayInTable(Fertiliser_SourceData.Fertiliser_Products_Data1(),FertiliserProducts[[#Headers],[Include or Exclude]], 0,4)</f>
        <v/>
      </c>
      <c r="AD132" s="62" t="str" cm="1">
        <f t="array" ref="AD132">Common_InputFunctions.Utility_DisplayArrayInTable(Fertiliser_SourceData.Fertiliser_Products_Data1(),FertiliserProducts[[#Headers],[Include or Exclude]], 0,4)</f>
        <v/>
      </c>
      <c r="AE132" s="62" t="str" cm="1">
        <f t="array" ref="AE132">Common_InputFunctions.Utility_DisplayArrayInTable(Fertiliser_SourceData.Fertiliser_Products_Data1(),FertiliserProducts[[#Headers],[Include or Exclude]], 0,4)</f>
        <v/>
      </c>
    </row>
    <row r="133" spans="1:31" ht="20.100000000000001" customHeight="1" x14ac:dyDescent="0.25">
      <c r="A133"/>
      <c r="D133" s="62" t="str" cm="1">
        <f t="array" ref="D133">Common_InputFunctions.Utility_DisplayArrayInTable(Fertiliser_SourceData.Fertiliser_Products_Data1(),FertiliserProducts[[#Headers],[Include or Exclude]], -1)</f>
        <v/>
      </c>
      <c r="E133" s="62" t="str" cm="1">
        <f t="array" ref="E133">Common_InputFunctions.Utility_DisplayArrayInTable(Fertiliser_SourceData.Fertiliser_Products_Data1(),FertiliserProducts[[#Headers],[Include or Exclude]], 0)</f>
        <v/>
      </c>
      <c r="F133" s="62" t="str" cm="1">
        <f t="array" ref="F133">Common_InputFunctions.Utility_DisplayArrayInTable(Fertiliser_SourceData.Fertiliser_Products_Data1(),FertiliserProducts[[#Headers],[Include or Exclude]], 0)</f>
        <v/>
      </c>
      <c r="G133" s="62" t="str" cm="1">
        <f t="array" ref="G133">Common_InputFunctions.Utility_DisplayArrayInTable(Fertiliser_SourceData.Fertiliser_Products_Data1(),FertiliserProducts[[#Headers],[Include or Exclude]], 0)</f>
        <v/>
      </c>
      <c r="H133" s="62" t="str" cm="1">
        <f t="array" ref="H133">Common_InputFunctions.Utility_DisplayArrayInTable(Fertiliser_SourceData.Fertiliser_Products_Data1(),FertiliserProducts[[#Headers],[Include or Exclude]], 0,4)</f>
        <v/>
      </c>
      <c r="I133" s="62" t="str" cm="1">
        <f t="array" ref="I133">Common_InputFunctions.Utility_DisplayArrayInTable(Fertiliser_SourceData.Fertiliser_Products_Data1(),FertiliserProducts[[#Headers],[Include or Exclude]], 0,4)</f>
        <v/>
      </c>
      <c r="J133" s="62" t="str" cm="1">
        <f t="array" ref="J133">Common_InputFunctions.Utility_DisplayArrayInTable(Fertiliser_SourceData.Fertiliser_Products_Data1(),FertiliserProducts[[#Headers],[Include or Exclude]], 0,4)</f>
        <v/>
      </c>
      <c r="K133" s="62" t="str" cm="1">
        <f t="array" ref="K133">Common_InputFunctions.Utility_DisplayArrayInTable(Fertiliser_SourceData.Fertiliser_Products_Data1(),FertiliserProducts[[#Headers],[Include or Exclude]], 0,4)</f>
        <v/>
      </c>
      <c r="L133" s="62" t="str" cm="1">
        <f t="array" ref="L133">Common_InputFunctions.Utility_DisplayArrayInTable(Fertiliser_SourceData.Fertiliser_Products_Data1(),FertiliserProducts[[#Headers],[Include or Exclude]], 0,4)</f>
        <v/>
      </c>
      <c r="M133" s="62" t="str" cm="1">
        <f t="array" ref="M133">Common_InputFunctions.Utility_DisplayArrayInTable(Fertiliser_SourceData.Fertiliser_Products_Data1(),FertiliserProducts[[#Headers],[Include or Exclude]], 0,4)</f>
        <v/>
      </c>
      <c r="N133" s="62" t="str" cm="1">
        <f t="array" ref="N133">Common_InputFunctions.Utility_DisplayArrayInTable(Fertiliser_SourceData.Fertiliser_Products_Data1(),FertiliserProducts[[#Headers],[Include or Exclude]], 0,4)</f>
        <v/>
      </c>
      <c r="O133" s="62" t="str" cm="1">
        <f t="array" ref="O133">Common_InputFunctions.Utility_DisplayArrayInTable(Fertiliser_SourceData.Fertiliser_Products_Data1(),FertiliserProducts[[#Headers],[Include or Exclude]], 0,4)</f>
        <v/>
      </c>
      <c r="P133" s="62" t="str" cm="1">
        <f t="array" ref="P133">Common_InputFunctions.Utility_DisplayArrayInTable(Fertiliser_SourceData.Fertiliser_Products_Data1(),FertiliserProducts[[#Headers],[Include or Exclude]], 0,4)</f>
        <v/>
      </c>
      <c r="Q133" s="62" t="str" cm="1">
        <f t="array" ref="Q133">Common_InputFunctions.Utility_DisplayArrayInTable(Fertiliser_SourceData.Fertiliser_Products_Data1(),FertiliserProducts[[#Headers],[Include or Exclude]], 0,4)</f>
        <v/>
      </c>
      <c r="R133" s="62" t="str" cm="1">
        <f t="array" ref="R133">Common_InputFunctions.Utility_DisplayArrayInTable(Fertiliser_SourceData.Fertiliser_Products_Data1(),FertiliserProducts[[#Headers],[Include or Exclude]], 0,4)</f>
        <v/>
      </c>
      <c r="S133" s="62" t="str" cm="1">
        <f t="array" ref="S133">Common_InputFunctions.Utility_DisplayArrayInTable(Fertiliser_SourceData.Fertiliser_Products_Data1(),FertiliserProducts[[#Headers],[Include or Exclude]], 0,4)</f>
        <v/>
      </c>
      <c r="T133" s="62" t="str" cm="1">
        <f t="array" ref="T133">Common_InputFunctions.Utility_DisplayArrayInTable(Fertiliser_SourceData.Fertiliser_Products_Data1(),FertiliserProducts[[#Headers],[Include or Exclude]], 0,4)</f>
        <v/>
      </c>
      <c r="U133" s="62" t="str" cm="1">
        <f t="array" ref="U133">Common_InputFunctions.Utility_DisplayArrayInTable(Fertiliser_SourceData.Fertiliser_Products_Data1(),FertiliserProducts[[#Headers],[Include or Exclude]], 0,4)</f>
        <v/>
      </c>
      <c r="V133" s="62" t="str" cm="1">
        <f t="array" ref="V133">Common_InputFunctions.Utility_DisplayArrayInTable(Fertiliser_SourceData.Fertiliser_Products_Data1(),FertiliserProducts[[#Headers],[Include or Exclude]], 0,4)</f>
        <v/>
      </c>
      <c r="W133" s="62" t="str" cm="1">
        <f t="array" ref="W133">Common_InputFunctions.Utility_DisplayArrayInTable(Fertiliser_SourceData.Fertiliser_Products_Data1(),FertiliserProducts[[#Headers],[Include or Exclude]], 0,4)</f>
        <v/>
      </c>
      <c r="X133" s="62" t="str" cm="1">
        <f t="array" ref="X133">Common_InputFunctions.Utility_DisplayArrayInTable(Fertiliser_SourceData.Fertiliser_Products_Data1(),FertiliserProducts[[#Headers],[Include or Exclude]], 0,4)</f>
        <v/>
      </c>
      <c r="Y133" s="62" t="str" cm="1">
        <f t="array" ref="Y133">Common_InputFunctions.Utility_DisplayArrayInTable(Fertiliser_SourceData.Fertiliser_Products_Data1(),FertiliserProducts[[#Headers],[Include or Exclude]], 0,4)</f>
        <v/>
      </c>
      <c r="Z133" s="62" t="str" cm="1">
        <f t="array" ref="Z133">Common_InputFunctions.Utility_DisplayArrayInTable(Fertiliser_SourceData.Fertiliser_Products_Data1(),FertiliserProducts[[#Headers],[Include or Exclude]], 0,4)</f>
        <v/>
      </c>
      <c r="AA133" s="62" t="str" cm="1">
        <f t="array" ref="AA133">Common_InputFunctions.Utility_DisplayArrayInTable(Fertiliser_SourceData.Fertiliser_Products_Data1(),FertiliserProducts[[#Headers],[Include or Exclude]], 0,4)</f>
        <v/>
      </c>
      <c r="AB133" s="62" t="str" cm="1">
        <f t="array" ref="AB133">Common_InputFunctions.Utility_DisplayArrayInTable(Fertiliser_SourceData.Fertiliser_Products_Data1(),FertiliserProducts[[#Headers],[Include or Exclude]], 0,4)</f>
        <v/>
      </c>
      <c r="AC133" s="62" t="str" cm="1">
        <f t="array" ref="AC133">Common_InputFunctions.Utility_DisplayArrayInTable(Fertiliser_SourceData.Fertiliser_Products_Data1(),FertiliserProducts[[#Headers],[Include or Exclude]], 0,4)</f>
        <v/>
      </c>
      <c r="AD133" s="62" t="str" cm="1">
        <f t="array" ref="AD133">Common_InputFunctions.Utility_DisplayArrayInTable(Fertiliser_SourceData.Fertiliser_Products_Data1(),FertiliserProducts[[#Headers],[Include or Exclude]], 0,4)</f>
        <v/>
      </c>
      <c r="AE133" s="62" t="str" cm="1">
        <f t="array" ref="AE133">Common_InputFunctions.Utility_DisplayArrayInTable(Fertiliser_SourceData.Fertiliser_Products_Data1(),FertiliserProducts[[#Headers],[Include or Exclude]], 0,4)</f>
        <v/>
      </c>
    </row>
    <row r="134" spans="1:31" ht="20.100000000000001" customHeight="1" x14ac:dyDescent="0.25">
      <c r="A134"/>
      <c r="D134" s="62" t="str" cm="1">
        <f t="array" ref="D134">Common_InputFunctions.Utility_DisplayArrayInTable(Fertiliser_SourceData.Fertiliser_Products_Data1(),FertiliserProducts[[#Headers],[Include or Exclude]], -1)</f>
        <v/>
      </c>
      <c r="E134" s="62" t="str" cm="1">
        <f t="array" ref="E134">Common_InputFunctions.Utility_DisplayArrayInTable(Fertiliser_SourceData.Fertiliser_Products_Data1(),FertiliserProducts[[#Headers],[Include or Exclude]], 0)</f>
        <v/>
      </c>
      <c r="F134" s="62" t="str" cm="1">
        <f t="array" ref="F134">Common_InputFunctions.Utility_DisplayArrayInTable(Fertiliser_SourceData.Fertiliser_Products_Data1(),FertiliserProducts[[#Headers],[Include or Exclude]], 0)</f>
        <v/>
      </c>
      <c r="G134" s="62" t="str" cm="1">
        <f t="array" ref="G134">Common_InputFunctions.Utility_DisplayArrayInTable(Fertiliser_SourceData.Fertiliser_Products_Data1(),FertiliserProducts[[#Headers],[Include or Exclude]], 0)</f>
        <v/>
      </c>
      <c r="H134" s="62" t="str" cm="1">
        <f t="array" ref="H134">Common_InputFunctions.Utility_DisplayArrayInTable(Fertiliser_SourceData.Fertiliser_Products_Data1(),FertiliserProducts[[#Headers],[Include or Exclude]], 0,4)</f>
        <v/>
      </c>
      <c r="I134" s="62" t="str" cm="1">
        <f t="array" ref="I134">Common_InputFunctions.Utility_DisplayArrayInTable(Fertiliser_SourceData.Fertiliser_Products_Data1(),FertiliserProducts[[#Headers],[Include or Exclude]], 0,4)</f>
        <v/>
      </c>
      <c r="J134" s="62" t="str" cm="1">
        <f t="array" ref="J134">Common_InputFunctions.Utility_DisplayArrayInTable(Fertiliser_SourceData.Fertiliser_Products_Data1(),FertiliserProducts[[#Headers],[Include or Exclude]], 0,4)</f>
        <v/>
      </c>
      <c r="K134" s="62" t="str" cm="1">
        <f t="array" ref="K134">Common_InputFunctions.Utility_DisplayArrayInTable(Fertiliser_SourceData.Fertiliser_Products_Data1(),FertiliserProducts[[#Headers],[Include or Exclude]], 0,4)</f>
        <v/>
      </c>
      <c r="L134" s="62" t="str" cm="1">
        <f t="array" ref="L134">Common_InputFunctions.Utility_DisplayArrayInTable(Fertiliser_SourceData.Fertiliser_Products_Data1(),FertiliserProducts[[#Headers],[Include or Exclude]], 0,4)</f>
        <v/>
      </c>
      <c r="M134" s="62" t="str" cm="1">
        <f t="array" ref="M134">Common_InputFunctions.Utility_DisplayArrayInTable(Fertiliser_SourceData.Fertiliser_Products_Data1(),FertiliserProducts[[#Headers],[Include or Exclude]], 0,4)</f>
        <v/>
      </c>
      <c r="N134" s="62" t="str" cm="1">
        <f t="array" ref="N134">Common_InputFunctions.Utility_DisplayArrayInTable(Fertiliser_SourceData.Fertiliser_Products_Data1(),FertiliserProducts[[#Headers],[Include or Exclude]], 0,4)</f>
        <v/>
      </c>
      <c r="O134" s="62" t="str" cm="1">
        <f t="array" ref="O134">Common_InputFunctions.Utility_DisplayArrayInTable(Fertiliser_SourceData.Fertiliser_Products_Data1(),FertiliserProducts[[#Headers],[Include or Exclude]], 0,4)</f>
        <v/>
      </c>
      <c r="P134" s="62" t="str" cm="1">
        <f t="array" ref="P134">Common_InputFunctions.Utility_DisplayArrayInTable(Fertiliser_SourceData.Fertiliser_Products_Data1(),FertiliserProducts[[#Headers],[Include or Exclude]], 0,4)</f>
        <v/>
      </c>
      <c r="Q134" s="62" t="str" cm="1">
        <f t="array" ref="Q134">Common_InputFunctions.Utility_DisplayArrayInTable(Fertiliser_SourceData.Fertiliser_Products_Data1(),FertiliserProducts[[#Headers],[Include or Exclude]], 0,4)</f>
        <v/>
      </c>
      <c r="R134" s="62" t="str" cm="1">
        <f t="array" ref="R134">Common_InputFunctions.Utility_DisplayArrayInTable(Fertiliser_SourceData.Fertiliser_Products_Data1(),FertiliserProducts[[#Headers],[Include or Exclude]], 0,4)</f>
        <v/>
      </c>
      <c r="S134" s="62" t="str" cm="1">
        <f t="array" ref="S134">Common_InputFunctions.Utility_DisplayArrayInTable(Fertiliser_SourceData.Fertiliser_Products_Data1(),FertiliserProducts[[#Headers],[Include or Exclude]], 0,4)</f>
        <v/>
      </c>
      <c r="T134" s="62" t="str" cm="1">
        <f t="array" ref="T134">Common_InputFunctions.Utility_DisplayArrayInTable(Fertiliser_SourceData.Fertiliser_Products_Data1(),FertiliserProducts[[#Headers],[Include or Exclude]], 0,4)</f>
        <v/>
      </c>
      <c r="U134" s="62" t="str" cm="1">
        <f t="array" ref="U134">Common_InputFunctions.Utility_DisplayArrayInTable(Fertiliser_SourceData.Fertiliser_Products_Data1(),FertiliserProducts[[#Headers],[Include or Exclude]], 0,4)</f>
        <v/>
      </c>
      <c r="V134" s="62" t="str" cm="1">
        <f t="array" ref="V134">Common_InputFunctions.Utility_DisplayArrayInTable(Fertiliser_SourceData.Fertiliser_Products_Data1(),FertiliserProducts[[#Headers],[Include or Exclude]], 0,4)</f>
        <v/>
      </c>
      <c r="W134" s="62" t="str" cm="1">
        <f t="array" ref="W134">Common_InputFunctions.Utility_DisplayArrayInTable(Fertiliser_SourceData.Fertiliser_Products_Data1(),FertiliserProducts[[#Headers],[Include or Exclude]], 0,4)</f>
        <v/>
      </c>
      <c r="X134" s="62" t="str" cm="1">
        <f t="array" ref="X134">Common_InputFunctions.Utility_DisplayArrayInTable(Fertiliser_SourceData.Fertiliser_Products_Data1(),FertiliserProducts[[#Headers],[Include or Exclude]], 0,4)</f>
        <v/>
      </c>
      <c r="Y134" s="62" t="str" cm="1">
        <f t="array" ref="Y134">Common_InputFunctions.Utility_DisplayArrayInTable(Fertiliser_SourceData.Fertiliser_Products_Data1(),FertiliserProducts[[#Headers],[Include or Exclude]], 0,4)</f>
        <v/>
      </c>
      <c r="Z134" s="62" t="str" cm="1">
        <f t="array" ref="Z134">Common_InputFunctions.Utility_DisplayArrayInTable(Fertiliser_SourceData.Fertiliser_Products_Data1(),FertiliserProducts[[#Headers],[Include or Exclude]], 0,4)</f>
        <v/>
      </c>
      <c r="AA134" s="62" t="str" cm="1">
        <f t="array" ref="AA134">Common_InputFunctions.Utility_DisplayArrayInTable(Fertiliser_SourceData.Fertiliser_Products_Data1(),FertiliserProducts[[#Headers],[Include or Exclude]], 0,4)</f>
        <v/>
      </c>
      <c r="AB134" s="62" t="str" cm="1">
        <f t="array" ref="AB134">Common_InputFunctions.Utility_DisplayArrayInTable(Fertiliser_SourceData.Fertiliser_Products_Data1(),FertiliserProducts[[#Headers],[Include or Exclude]], 0,4)</f>
        <v/>
      </c>
      <c r="AC134" s="62" t="str" cm="1">
        <f t="array" ref="AC134">Common_InputFunctions.Utility_DisplayArrayInTable(Fertiliser_SourceData.Fertiliser_Products_Data1(),FertiliserProducts[[#Headers],[Include or Exclude]], 0,4)</f>
        <v/>
      </c>
      <c r="AD134" s="62" t="str" cm="1">
        <f t="array" ref="AD134">Common_InputFunctions.Utility_DisplayArrayInTable(Fertiliser_SourceData.Fertiliser_Products_Data1(),FertiliserProducts[[#Headers],[Include or Exclude]], 0,4)</f>
        <v/>
      </c>
      <c r="AE134" s="62" t="str" cm="1">
        <f t="array" ref="AE134">Common_InputFunctions.Utility_DisplayArrayInTable(Fertiliser_SourceData.Fertiliser_Products_Data1(),FertiliserProducts[[#Headers],[Include or Exclude]], 0,4)</f>
        <v/>
      </c>
    </row>
    <row r="135" spans="1:31" ht="20.100000000000001" customHeight="1" x14ac:dyDescent="0.25">
      <c r="A135"/>
      <c r="D135" s="62" t="str" cm="1">
        <f t="array" ref="D135">Common_InputFunctions.Utility_DisplayArrayInTable(Fertiliser_SourceData.Fertiliser_Products_Data1(),FertiliserProducts[[#Headers],[Include or Exclude]], -1)</f>
        <v/>
      </c>
      <c r="E135" s="62" t="str" cm="1">
        <f t="array" ref="E135">Common_InputFunctions.Utility_DisplayArrayInTable(Fertiliser_SourceData.Fertiliser_Products_Data1(),FertiliserProducts[[#Headers],[Include or Exclude]], 0)</f>
        <v/>
      </c>
      <c r="F135" s="62" t="str" cm="1">
        <f t="array" ref="F135">Common_InputFunctions.Utility_DisplayArrayInTable(Fertiliser_SourceData.Fertiliser_Products_Data1(),FertiliserProducts[[#Headers],[Include or Exclude]], 0)</f>
        <v/>
      </c>
      <c r="G135" s="62" t="str" cm="1">
        <f t="array" ref="G135">Common_InputFunctions.Utility_DisplayArrayInTable(Fertiliser_SourceData.Fertiliser_Products_Data1(),FertiliserProducts[[#Headers],[Include or Exclude]], 0)</f>
        <v/>
      </c>
      <c r="H135" s="62" t="str" cm="1">
        <f t="array" ref="H135">Common_InputFunctions.Utility_DisplayArrayInTable(Fertiliser_SourceData.Fertiliser_Products_Data1(),FertiliserProducts[[#Headers],[Include or Exclude]], 0,4)</f>
        <v/>
      </c>
      <c r="I135" s="62" t="str" cm="1">
        <f t="array" ref="I135">Common_InputFunctions.Utility_DisplayArrayInTable(Fertiliser_SourceData.Fertiliser_Products_Data1(),FertiliserProducts[[#Headers],[Include or Exclude]], 0,4)</f>
        <v/>
      </c>
      <c r="J135" s="62" t="str" cm="1">
        <f t="array" ref="J135">Common_InputFunctions.Utility_DisplayArrayInTable(Fertiliser_SourceData.Fertiliser_Products_Data1(),FertiliserProducts[[#Headers],[Include or Exclude]], 0,4)</f>
        <v/>
      </c>
      <c r="K135" s="62" t="str" cm="1">
        <f t="array" ref="K135">Common_InputFunctions.Utility_DisplayArrayInTable(Fertiliser_SourceData.Fertiliser_Products_Data1(),FertiliserProducts[[#Headers],[Include or Exclude]], 0,4)</f>
        <v/>
      </c>
      <c r="L135" s="62" t="str" cm="1">
        <f t="array" ref="L135">Common_InputFunctions.Utility_DisplayArrayInTable(Fertiliser_SourceData.Fertiliser_Products_Data1(),FertiliserProducts[[#Headers],[Include or Exclude]], 0,4)</f>
        <v/>
      </c>
      <c r="M135" s="62" t="str" cm="1">
        <f t="array" ref="M135">Common_InputFunctions.Utility_DisplayArrayInTable(Fertiliser_SourceData.Fertiliser_Products_Data1(),FertiliserProducts[[#Headers],[Include or Exclude]], 0,4)</f>
        <v/>
      </c>
      <c r="N135" s="62" t="str" cm="1">
        <f t="array" ref="N135">Common_InputFunctions.Utility_DisplayArrayInTable(Fertiliser_SourceData.Fertiliser_Products_Data1(),FertiliserProducts[[#Headers],[Include or Exclude]], 0,4)</f>
        <v/>
      </c>
      <c r="O135" s="62" t="str" cm="1">
        <f t="array" ref="O135">Common_InputFunctions.Utility_DisplayArrayInTable(Fertiliser_SourceData.Fertiliser_Products_Data1(),FertiliserProducts[[#Headers],[Include or Exclude]], 0,4)</f>
        <v/>
      </c>
      <c r="P135" s="62" t="str" cm="1">
        <f t="array" ref="P135">Common_InputFunctions.Utility_DisplayArrayInTable(Fertiliser_SourceData.Fertiliser_Products_Data1(),FertiliserProducts[[#Headers],[Include or Exclude]], 0,4)</f>
        <v/>
      </c>
      <c r="Q135" s="62" t="str" cm="1">
        <f t="array" ref="Q135">Common_InputFunctions.Utility_DisplayArrayInTable(Fertiliser_SourceData.Fertiliser_Products_Data1(),FertiliserProducts[[#Headers],[Include or Exclude]], 0,4)</f>
        <v/>
      </c>
      <c r="R135" s="62" t="str" cm="1">
        <f t="array" ref="R135">Common_InputFunctions.Utility_DisplayArrayInTable(Fertiliser_SourceData.Fertiliser_Products_Data1(),FertiliserProducts[[#Headers],[Include or Exclude]], 0,4)</f>
        <v/>
      </c>
      <c r="S135" s="62" t="str" cm="1">
        <f t="array" ref="S135">Common_InputFunctions.Utility_DisplayArrayInTable(Fertiliser_SourceData.Fertiliser_Products_Data1(),FertiliserProducts[[#Headers],[Include or Exclude]], 0,4)</f>
        <v/>
      </c>
      <c r="T135" s="62" t="str" cm="1">
        <f t="array" ref="T135">Common_InputFunctions.Utility_DisplayArrayInTable(Fertiliser_SourceData.Fertiliser_Products_Data1(),FertiliserProducts[[#Headers],[Include or Exclude]], 0,4)</f>
        <v/>
      </c>
      <c r="U135" s="62" t="str" cm="1">
        <f t="array" ref="U135">Common_InputFunctions.Utility_DisplayArrayInTable(Fertiliser_SourceData.Fertiliser_Products_Data1(),FertiliserProducts[[#Headers],[Include or Exclude]], 0,4)</f>
        <v/>
      </c>
      <c r="V135" s="62" t="str" cm="1">
        <f t="array" ref="V135">Common_InputFunctions.Utility_DisplayArrayInTable(Fertiliser_SourceData.Fertiliser_Products_Data1(),FertiliserProducts[[#Headers],[Include or Exclude]], 0,4)</f>
        <v/>
      </c>
      <c r="W135" s="62" t="str" cm="1">
        <f t="array" ref="W135">Common_InputFunctions.Utility_DisplayArrayInTable(Fertiliser_SourceData.Fertiliser_Products_Data1(),FertiliserProducts[[#Headers],[Include or Exclude]], 0,4)</f>
        <v/>
      </c>
      <c r="X135" s="62" t="str" cm="1">
        <f t="array" ref="X135">Common_InputFunctions.Utility_DisplayArrayInTable(Fertiliser_SourceData.Fertiliser_Products_Data1(),FertiliserProducts[[#Headers],[Include or Exclude]], 0,4)</f>
        <v/>
      </c>
      <c r="Y135" s="62" t="str" cm="1">
        <f t="array" ref="Y135">Common_InputFunctions.Utility_DisplayArrayInTable(Fertiliser_SourceData.Fertiliser_Products_Data1(),FertiliserProducts[[#Headers],[Include or Exclude]], 0,4)</f>
        <v/>
      </c>
      <c r="Z135" s="62" t="str" cm="1">
        <f t="array" ref="Z135">Common_InputFunctions.Utility_DisplayArrayInTable(Fertiliser_SourceData.Fertiliser_Products_Data1(),FertiliserProducts[[#Headers],[Include or Exclude]], 0,4)</f>
        <v/>
      </c>
      <c r="AA135" s="62" t="str" cm="1">
        <f t="array" ref="AA135">Common_InputFunctions.Utility_DisplayArrayInTable(Fertiliser_SourceData.Fertiliser_Products_Data1(),FertiliserProducts[[#Headers],[Include or Exclude]], 0,4)</f>
        <v/>
      </c>
      <c r="AB135" s="62" t="str" cm="1">
        <f t="array" ref="AB135">Common_InputFunctions.Utility_DisplayArrayInTable(Fertiliser_SourceData.Fertiliser_Products_Data1(),FertiliserProducts[[#Headers],[Include or Exclude]], 0,4)</f>
        <v/>
      </c>
      <c r="AC135" s="62" t="str" cm="1">
        <f t="array" ref="AC135">Common_InputFunctions.Utility_DisplayArrayInTable(Fertiliser_SourceData.Fertiliser_Products_Data1(),FertiliserProducts[[#Headers],[Include or Exclude]], 0,4)</f>
        <v/>
      </c>
      <c r="AD135" s="62" t="str" cm="1">
        <f t="array" ref="AD135">Common_InputFunctions.Utility_DisplayArrayInTable(Fertiliser_SourceData.Fertiliser_Products_Data1(),FertiliserProducts[[#Headers],[Include or Exclude]], 0,4)</f>
        <v/>
      </c>
      <c r="AE135" s="62" t="str" cm="1">
        <f t="array" ref="AE135">Common_InputFunctions.Utility_DisplayArrayInTable(Fertiliser_SourceData.Fertiliser_Products_Data1(),FertiliserProducts[[#Headers],[Include or Exclude]], 0,4)</f>
        <v/>
      </c>
    </row>
    <row r="136" spans="1:31" ht="20.100000000000001" customHeight="1" x14ac:dyDescent="0.25">
      <c r="A136"/>
      <c r="D136" s="62" t="str" cm="1">
        <f t="array" ref="D136">Common_InputFunctions.Utility_DisplayArrayInTable(Fertiliser_SourceData.Fertiliser_Products_Data1(),FertiliserProducts[[#Headers],[Include or Exclude]], -1)</f>
        <v/>
      </c>
      <c r="E136" s="62" t="str" cm="1">
        <f t="array" ref="E136">Common_InputFunctions.Utility_DisplayArrayInTable(Fertiliser_SourceData.Fertiliser_Products_Data1(),FertiliserProducts[[#Headers],[Include or Exclude]], 0)</f>
        <v/>
      </c>
      <c r="F136" s="62" t="str" cm="1">
        <f t="array" ref="F136">Common_InputFunctions.Utility_DisplayArrayInTable(Fertiliser_SourceData.Fertiliser_Products_Data1(),FertiliserProducts[[#Headers],[Include or Exclude]], 0)</f>
        <v/>
      </c>
      <c r="G136" s="62" t="str" cm="1">
        <f t="array" ref="G136">Common_InputFunctions.Utility_DisplayArrayInTable(Fertiliser_SourceData.Fertiliser_Products_Data1(),FertiliserProducts[[#Headers],[Include or Exclude]], 0)</f>
        <v/>
      </c>
      <c r="H136" s="62" t="str" cm="1">
        <f t="array" ref="H136">Common_InputFunctions.Utility_DisplayArrayInTable(Fertiliser_SourceData.Fertiliser_Products_Data1(),FertiliserProducts[[#Headers],[Include or Exclude]], 0,4)</f>
        <v/>
      </c>
      <c r="I136" s="62" t="str" cm="1">
        <f t="array" ref="I136">Common_InputFunctions.Utility_DisplayArrayInTable(Fertiliser_SourceData.Fertiliser_Products_Data1(),FertiliserProducts[[#Headers],[Include or Exclude]], 0,4)</f>
        <v/>
      </c>
      <c r="J136" s="62" t="str" cm="1">
        <f t="array" ref="J136">Common_InputFunctions.Utility_DisplayArrayInTable(Fertiliser_SourceData.Fertiliser_Products_Data1(),FertiliserProducts[[#Headers],[Include or Exclude]], 0,4)</f>
        <v/>
      </c>
      <c r="K136" s="62" t="str" cm="1">
        <f t="array" ref="K136">Common_InputFunctions.Utility_DisplayArrayInTable(Fertiliser_SourceData.Fertiliser_Products_Data1(),FertiliserProducts[[#Headers],[Include or Exclude]], 0,4)</f>
        <v/>
      </c>
      <c r="L136" s="62" t="str" cm="1">
        <f t="array" ref="L136">Common_InputFunctions.Utility_DisplayArrayInTable(Fertiliser_SourceData.Fertiliser_Products_Data1(),FertiliserProducts[[#Headers],[Include or Exclude]], 0,4)</f>
        <v/>
      </c>
      <c r="M136" s="62" t="str" cm="1">
        <f t="array" ref="M136">Common_InputFunctions.Utility_DisplayArrayInTable(Fertiliser_SourceData.Fertiliser_Products_Data1(),FertiliserProducts[[#Headers],[Include or Exclude]], 0,4)</f>
        <v/>
      </c>
      <c r="N136" s="62" t="str" cm="1">
        <f t="array" ref="N136">Common_InputFunctions.Utility_DisplayArrayInTable(Fertiliser_SourceData.Fertiliser_Products_Data1(),FertiliserProducts[[#Headers],[Include or Exclude]], 0,4)</f>
        <v/>
      </c>
      <c r="O136" s="62" t="str" cm="1">
        <f t="array" ref="O136">Common_InputFunctions.Utility_DisplayArrayInTable(Fertiliser_SourceData.Fertiliser_Products_Data1(),FertiliserProducts[[#Headers],[Include or Exclude]], 0,4)</f>
        <v/>
      </c>
      <c r="P136" s="62" t="str" cm="1">
        <f t="array" ref="P136">Common_InputFunctions.Utility_DisplayArrayInTable(Fertiliser_SourceData.Fertiliser_Products_Data1(),FertiliserProducts[[#Headers],[Include or Exclude]], 0,4)</f>
        <v/>
      </c>
      <c r="Q136" s="62" t="str" cm="1">
        <f t="array" ref="Q136">Common_InputFunctions.Utility_DisplayArrayInTable(Fertiliser_SourceData.Fertiliser_Products_Data1(),FertiliserProducts[[#Headers],[Include or Exclude]], 0,4)</f>
        <v/>
      </c>
      <c r="R136" s="62" t="str" cm="1">
        <f t="array" ref="R136">Common_InputFunctions.Utility_DisplayArrayInTable(Fertiliser_SourceData.Fertiliser_Products_Data1(),FertiliserProducts[[#Headers],[Include or Exclude]], 0,4)</f>
        <v/>
      </c>
      <c r="S136" s="62" t="str" cm="1">
        <f t="array" ref="S136">Common_InputFunctions.Utility_DisplayArrayInTable(Fertiliser_SourceData.Fertiliser_Products_Data1(),FertiliserProducts[[#Headers],[Include or Exclude]], 0,4)</f>
        <v/>
      </c>
      <c r="T136" s="62" t="str" cm="1">
        <f t="array" ref="T136">Common_InputFunctions.Utility_DisplayArrayInTable(Fertiliser_SourceData.Fertiliser_Products_Data1(),FertiliserProducts[[#Headers],[Include or Exclude]], 0,4)</f>
        <v/>
      </c>
      <c r="U136" s="62" t="str" cm="1">
        <f t="array" ref="U136">Common_InputFunctions.Utility_DisplayArrayInTable(Fertiliser_SourceData.Fertiliser_Products_Data1(),FertiliserProducts[[#Headers],[Include or Exclude]], 0,4)</f>
        <v/>
      </c>
      <c r="V136" s="62" t="str" cm="1">
        <f t="array" ref="V136">Common_InputFunctions.Utility_DisplayArrayInTable(Fertiliser_SourceData.Fertiliser_Products_Data1(),FertiliserProducts[[#Headers],[Include or Exclude]], 0,4)</f>
        <v/>
      </c>
      <c r="W136" s="62" t="str" cm="1">
        <f t="array" ref="W136">Common_InputFunctions.Utility_DisplayArrayInTable(Fertiliser_SourceData.Fertiliser_Products_Data1(),FertiliserProducts[[#Headers],[Include or Exclude]], 0,4)</f>
        <v/>
      </c>
      <c r="X136" s="62" t="str" cm="1">
        <f t="array" ref="X136">Common_InputFunctions.Utility_DisplayArrayInTable(Fertiliser_SourceData.Fertiliser_Products_Data1(),FertiliserProducts[[#Headers],[Include or Exclude]], 0,4)</f>
        <v/>
      </c>
      <c r="Y136" s="62" t="str" cm="1">
        <f t="array" ref="Y136">Common_InputFunctions.Utility_DisplayArrayInTable(Fertiliser_SourceData.Fertiliser_Products_Data1(),FertiliserProducts[[#Headers],[Include or Exclude]], 0,4)</f>
        <v/>
      </c>
      <c r="Z136" s="62" t="str" cm="1">
        <f t="array" ref="Z136">Common_InputFunctions.Utility_DisplayArrayInTable(Fertiliser_SourceData.Fertiliser_Products_Data1(),FertiliserProducts[[#Headers],[Include or Exclude]], 0,4)</f>
        <v/>
      </c>
      <c r="AA136" s="62" t="str" cm="1">
        <f t="array" ref="AA136">Common_InputFunctions.Utility_DisplayArrayInTable(Fertiliser_SourceData.Fertiliser_Products_Data1(),FertiliserProducts[[#Headers],[Include or Exclude]], 0,4)</f>
        <v/>
      </c>
      <c r="AB136" s="62" t="str" cm="1">
        <f t="array" ref="AB136">Common_InputFunctions.Utility_DisplayArrayInTable(Fertiliser_SourceData.Fertiliser_Products_Data1(),FertiliserProducts[[#Headers],[Include or Exclude]], 0,4)</f>
        <v/>
      </c>
      <c r="AC136" s="62" t="str" cm="1">
        <f t="array" ref="AC136">Common_InputFunctions.Utility_DisplayArrayInTable(Fertiliser_SourceData.Fertiliser_Products_Data1(),FertiliserProducts[[#Headers],[Include or Exclude]], 0,4)</f>
        <v/>
      </c>
      <c r="AD136" s="62" t="str" cm="1">
        <f t="array" ref="AD136">Common_InputFunctions.Utility_DisplayArrayInTable(Fertiliser_SourceData.Fertiliser_Products_Data1(),FertiliserProducts[[#Headers],[Include or Exclude]], 0,4)</f>
        <v/>
      </c>
      <c r="AE136" s="62" t="str" cm="1">
        <f t="array" ref="AE136">Common_InputFunctions.Utility_DisplayArrayInTable(Fertiliser_SourceData.Fertiliser_Products_Data1(),FertiliserProducts[[#Headers],[Include or Exclude]], 0,4)</f>
        <v/>
      </c>
    </row>
    <row r="137" spans="1:31" ht="20.100000000000001" customHeight="1" x14ac:dyDescent="0.25">
      <c r="A137"/>
      <c r="D137" s="62" t="str" cm="1">
        <f t="array" ref="D137">Common_InputFunctions.Utility_DisplayArrayInTable(Fertiliser_SourceData.Fertiliser_Products_Data1(),FertiliserProducts[[#Headers],[Include or Exclude]], -1)</f>
        <v/>
      </c>
      <c r="E137" s="62" t="str" cm="1">
        <f t="array" ref="E137">Common_InputFunctions.Utility_DisplayArrayInTable(Fertiliser_SourceData.Fertiliser_Products_Data1(),FertiliserProducts[[#Headers],[Include or Exclude]], 0)</f>
        <v/>
      </c>
      <c r="F137" s="62" t="str" cm="1">
        <f t="array" ref="F137">Common_InputFunctions.Utility_DisplayArrayInTable(Fertiliser_SourceData.Fertiliser_Products_Data1(),FertiliserProducts[[#Headers],[Include or Exclude]], 0)</f>
        <v/>
      </c>
      <c r="G137" s="62" t="str" cm="1">
        <f t="array" ref="G137">Common_InputFunctions.Utility_DisplayArrayInTable(Fertiliser_SourceData.Fertiliser_Products_Data1(),FertiliserProducts[[#Headers],[Include or Exclude]], 0)</f>
        <v/>
      </c>
      <c r="H137" s="62" t="str" cm="1">
        <f t="array" ref="H137">Common_InputFunctions.Utility_DisplayArrayInTable(Fertiliser_SourceData.Fertiliser_Products_Data1(),FertiliserProducts[[#Headers],[Include or Exclude]], 0,4)</f>
        <v/>
      </c>
      <c r="I137" s="62" t="str" cm="1">
        <f t="array" ref="I137">Common_InputFunctions.Utility_DisplayArrayInTable(Fertiliser_SourceData.Fertiliser_Products_Data1(),FertiliserProducts[[#Headers],[Include or Exclude]], 0,4)</f>
        <v/>
      </c>
      <c r="J137" s="62" t="str" cm="1">
        <f t="array" ref="J137">Common_InputFunctions.Utility_DisplayArrayInTable(Fertiliser_SourceData.Fertiliser_Products_Data1(),FertiliserProducts[[#Headers],[Include or Exclude]], 0,4)</f>
        <v/>
      </c>
      <c r="K137" s="62" t="str" cm="1">
        <f t="array" ref="K137">Common_InputFunctions.Utility_DisplayArrayInTable(Fertiliser_SourceData.Fertiliser_Products_Data1(),FertiliserProducts[[#Headers],[Include or Exclude]], 0,4)</f>
        <v/>
      </c>
      <c r="L137" s="62" t="str" cm="1">
        <f t="array" ref="L137">Common_InputFunctions.Utility_DisplayArrayInTable(Fertiliser_SourceData.Fertiliser_Products_Data1(),FertiliserProducts[[#Headers],[Include or Exclude]], 0,4)</f>
        <v/>
      </c>
      <c r="M137" s="62" t="str" cm="1">
        <f t="array" ref="M137">Common_InputFunctions.Utility_DisplayArrayInTable(Fertiliser_SourceData.Fertiliser_Products_Data1(),FertiliserProducts[[#Headers],[Include or Exclude]], 0,4)</f>
        <v/>
      </c>
      <c r="N137" s="62" t="str" cm="1">
        <f t="array" ref="N137">Common_InputFunctions.Utility_DisplayArrayInTable(Fertiliser_SourceData.Fertiliser_Products_Data1(),FertiliserProducts[[#Headers],[Include or Exclude]], 0,4)</f>
        <v/>
      </c>
      <c r="O137" s="62" t="str" cm="1">
        <f t="array" ref="O137">Common_InputFunctions.Utility_DisplayArrayInTable(Fertiliser_SourceData.Fertiliser_Products_Data1(),FertiliserProducts[[#Headers],[Include or Exclude]], 0,4)</f>
        <v/>
      </c>
      <c r="P137" s="62" t="str" cm="1">
        <f t="array" ref="P137">Common_InputFunctions.Utility_DisplayArrayInTable(Fertiliser_SourceData.Fertiliser_Products_Data1(),FertiliserProducts[[#Headers],[Include or Exclude]], 0,4)</f>
        <v/>
      </c>
      <c r="Q137" s="62" t="str" cm="1">
        <f t="array" ref="Q137">Common_InputFunctions.Utility_DisplayArrayInTable(Fertiliser_SourceData.Fertiliser_Products_Data1(),FertiliserProducts[[#Headers],[Include or Exclude]], 0,4)</f>
        <v/>
      </c>
      <c r="R137" s="62" t="str" cm="1">
        <f t="array" ref="R137">Common_InputFunctions.Utility_DisplayArrayInTable(Fertiliser_SourceData.Fertiliser_Products_Data1(),FertiliserProducts[[#Headers],[Include or Exclude]], 0,4)</f>
        <v/>
      </c>
      <c r="S137" s="62" t="str" cm="1">
        <f t="array" ref="S137">Common_InputFunctions.Utility_DisplayArrayInTable(Fertiliser_SourceData.Fertiliser_Products_Data1(),FertiliserProducts[[#Headers],[Include or Exclude]], 0,4)</f>
        <v/>
      </c>
      <c r="T137" s="62" t="str" cm="1">
        <f t="array" ref="T137">Common_InputFunctions.Utility_DisplayArrayInTable(Fertiliser_SourceData.Fertiliser_Products_Data1(),FertiliserProducts[[#Headers],[Include or Exclude]], 0,4)</f>
        <v/>
      </c>
      <c r="U137" s="62" t="str" cm="1">
        <f t="array" ref="U137">Common_InputFunctions.Utility_DisplayArrayInTable(Fertiliser_SourceData.Fertiliser_Products_Data1(),FertiliserProducts[[#Headers],[Include or Exclude]], 0,4)</f>
        <v/>
      </c>
      <c r="V137" s="62" t="str" cm="1">
        <f t="array" ref="V137">Common_InputFunctions.Utility_DisplayArrayInTable(Fertiliser_SourceData.Fertiliser_Products_Data1(),FertiliserProducts[[#Headers],[Include or Exclude]], 0,4)</f>
        <v/>
      </c>
      <c r="W137" s="62" t="str" cm="1">
        <f t="array" ref="W137">Common_InputFunctions.Utility_DisplayArrayInTable(Fertiliser_SourceData.Fertiliser_Products_Data1(),FertiliserProducts[[#Headers],[Include or Exclude]], 0,4)</f>
        <v/>
      </c>
      <c r="X137" s="62" t="str" cm="1">
        <f t="array" ref="X137">Common_InputFunctions.Utility_DisplayArrayInTable(Fertiliser_SourceData.Fertiliser_Products_Data1(),FertiliserProducts[[#Headers],[Include or Exclude]], 0,4)</f>
        <v/>
      </c>
      <c r="Y137" s="62" t="str" cm="1">
        <f t="array" ref="Y137">Common_InputFunctions.Utility_DisplayArrayInTable(Fertiliser_SourceData.Fertiliser_Products_Data1(),FertiliserProducts[[#Headers],[Include or Exclude]], 0,4)</f>
        <v/>
      </c>
      <c r="Z137" s="62" t="str" cm="1">
        <f t="array" ref="Z137">Common_InputFunctions.Utility_DisplayArrayInTable(Fertiliser_SourceData.Fertiliser_Products_Data1(),FertiliserProducts[[#Headers],[Include or Exclude]], 0,4)</f>
        <v/>
      </c>
      <c r="AA137" s="62" t="str" cm="1">
        <f t="array" ref="AA137">Common_InputFunctions.Utility_DisplayArrayInTable(Fertiliser_SourceData.Fertiliser_Products_Data1(),FertiliserProducts[[#Headers],[Include or Exclude]], 0,4)</f>
        <v/>
      </c>
      <c r="AB137" s="62" t="str" cm="1">
        <f t="array" ref="AB137">Common_InputFunctions.Utility_DisplayArrayInTable(Fertiliser_SourceData.Fertiliser_Products_Data1(),FertiliserProducts[[#Headers],[Include or Exclude]], 0,4)</f>
        <v/>
      </c>
      <c r="AC137" s="62" t="str" cm="1">
        <f t="array" ref="AC137">Common_InputFunctions.Utility_DisplayArrayInTable(Fertiliser_SourceData.Fertiliser_Products_Data1(),FertiliserProducts[[#Headers],[Include or Exclude]], 0,4)</f>
        <v/>
      </c>
      <c r="AD137" s="62" t="str" cm="1">
        <f t="array" ref="AD137">Common_InputFunctions.Utility_DisplayArrayInTable(Fertiliser_SourceData.Fertiliser_Products_Data1(),FertiliserProducts[[#Headers],[Include or Exclude]], 0,4)</f>
        <v/>
      </c>
      <c r="AE137" s="62" t="str" cm="1">
        <f t="array" ref="AE137">Common_InputFunctions.Utility_DisplayArrayInTable(Fertiliser_SourceData.Fertiliser_Products_Data1(),FertiliserProducts[[#Headers],[Include or Exclude]], 0,4)</f>
        <v/>
      </c>
    </row>
    <row r="138" spans="1:31" ht="20.100000000000001" customHeight="1" x14ac:dyDescent="0.25">
      <c r="A138"/>
      <c r="D138" s="62" t="str" cm="1">
        <f t="array" ref="D138">Common_InputFunctions.Utility_DisplayArrayInTable(Fertiliser_SourceData.Fertiliser_Products_Data1(),FertiliserProducts[[#Headers],[Include or Exclude]], -1)</f>
        <v/>
      </c>
      <c r="E138" s="62" t="str" cm="1">
        <f t="array" ref="E138">Common_InputFunctions.Utility_DisplayArrayInTable(Fertiliser_SourceData.Fertiliser_Products_Data1(),FertiliserProducts[[#Headers],[Include or Exclude]], 0)</f>
        <v/>
      </c>
      <c r="F138" s="62" t="str" cm="1">
        <f t="array" ref="F138">Common_InputFunctions.Utility_DisplayArrayInTable(Fertiliser_SourceData.Fertiliser_Products_Data1(),FertiliserProducts[[#Headers],[Include or Exclude]], 0)</f>
        <v/>
      </c>
      <c r="G138" s="62" t="str" cm="1">
        <f t="array" ref="G138">Common_InputFunctions.Utility_DisplayArrayInTable(Fertiliser_SourceData.Fertiliser_Products_Data1(),FertiliserProducts[[#Headers],[Include or Exclude]], 0)</f>
        <v/>
      </c>
      <c r="H138" s="62" t="str" cm="1">
        <f t="array" ref="H138">Common_InputFunctions.Utility_DisplayArrayInTable(Fertiliser_SourceData.Fertiliser_Products_Data1(),FertiliserProducts[[#Headers],[Include or Exclude]], 0,4)</f>
        <v/>
      </c>
      <c r="I138" s="62" t="str" cm="1">
        <f t="array" ref="I138">Common_InputFunctions.Utility_DisplayArrayInTable(Fertiliser_SourceData.Fertiliser_Products_Data1(),FertiliserProducts[[#Headers],[Include or Exclude]], 0,4)</f>
        <v/>
      </c>
      <c r="J138" s="62" t="str" cm="1">
        <f t="array" ref="J138">Common_InputFunctions.Utility_DisplayArrayInTable(Fertiliser_SourceData.Fertiliser_Products_Data1(),FertiliserProducts[[#Headers],[Include or Exclude]], 0,4)</f>
        <v/>
      </c>
      <c r="K138" s="62" t="str" cm="1">
        <f t="array" ref="K138">Common_InputFunctions.Utility_DisplayArrayInTable(Fertiliser_SourceData.Fertiliser_Products_Data1(),FertiliserProducts[[#Headers],[Include or Exclude]], 0,4)</f>
        <v/>
      </c>
      <c r="L138" s="62" t="str" cm="1">
        <f t="array" ref="L138">Common_InputFunctions.Utility_DisplayArrayInTable(Fertiliser_SourceData.Fertiliser_Products_Data1(),FertiliserProducts[[#Headers],[Include or Exclude]], 0,4)</f>
        <v/>
      </c>
      <c r="M138" s="62" t="str" cm="1">
        <f t="array" ref="M138">Common_InputFunctions.Utility_DisplayArrayInTable(Fertiliser_SourceData.Fertiliser_Products_Data1(),FertiliserProducts[[#Headers],[Include or Exclude]], 0,4)</f>
        <v/>
      </c>
      <c r="N138" s="62" t="str" cm="1">
        <f t="array" ref="N138">Common_InputFunctions.Utility_DisplayArrayInTable(Fertiliser_SourceData.Fertiliser_Products_Data1(),FertiliserProducts[[#Headers],[Include or Exclude]], 0,4)</f>
        <v/>
      </c>
      <c r="O138" s="62" t="str" cm="1">
        <f t="array" ref="O138">Common_InputFunctions.Utility_DisplayArrayInTable(Fertiliser_SourceData.Fertiliser_Products_Data1(),FertiliserProducts[[#Headers],[Include or Exclude]], 0,4)</f>
        <v/>
      </c>
      <c r="P138" s="62" t="str" cm="1">
        <f t="array" ref="P138">Common_InputFunctions.Utility_DisplayArrayInTable(Fertiliser_SourceData.Fertiliser_Products_Data1(),FertiliserProducts[[#Headers],[Include or Exclude]], 0,4)</f>
        <v/>
      </c>
      <c r="Q138" s="62" t="str" cm="1">
        <f t="array" ref="Q138">Common_InputFunctions.Utility_DisplayArrayInTable(Fertiliser_SourceData.Fertiliser_Products_Data1(),FertiliserProducts[[#Headers],[Include or Exclude]], 0,4)</f>
        <v/>
      </c>
      <c r="R138" s="62" t="str" cm="1">
        <f t="array" ref="R138">Common_InputFunctions.Utility_DisplayArrayInTable(Fertiliser_SourceData.Fertiliser_Products_Data1(),FertiliserProducts[[#Headers],[Include or Exclude]], 0,4)</f>
        <v/>
      </c>
      <c r="S138" s="62" t="str" cm="1">
        <f t="array" ref="S138">Common_InputFunctions.Utility_DisplayArrayInTable(Fertiliser_SourceData.Fertiliser_Products_Data1(),FertiliserProducts[[#Headers],[Include or Exclude]], 0,4)</f>
        <v/>
      </c>
      <c r="T138" s="62" t="str" cm="1">
        <f t="array" ref="T138">Common_InputFunctions.Utility_DisplayArrayInTable(Fertiliser_SourceData.Fertiliser_Products_Data1(),FertiliserProducts[[#Headers],[Include or Exclude]], 0,4)</f>
        <v/>
      </c>
      <c r="U138" s="62" t="str" cm="1">
        <f t="array" ref="U138">Common_InputFunctions.Utility_DisplayArrayInTable(Fertiliser_SourceData.Fertiliser_Products_Data1(),FertiliserProducts[[#Headers],[Include or Exclude]], 0,4)</f>
        <v/>
      </c>
      <c r="V138" s="62" t="str" cm="1">
        <f t="array" ref="V138">Common_InputFunctions.Utility_DisplayArrayInTable(Fertiliser_SourceData.Fertiliser_Products_Data1(),FertiliserProducts[[#Headers],[Include or Exclude]], 0,4)</f>
        <v/>
      </c>
      <c r="W138" s="62" t="str" cm="1">
        <f t="array" ref="W138">Common_InputFunctions.Utility_DisplayArrayInTable(Fertiliser_SourceData.Fertiliser_Products_Data1(),FertiliserProducts[[#Headers],[Include or Exclude]], 0,4)</f>
        <v/>
      </c>
      <c r="X138" s="62" t="str" cm="1">
        <f t="array" ref="X138">Common_InputFunctions.Utility_DisplayArrayInTable(Fertiliser_SourceData.Fertiliser_Products_Data1(),FertiliserProducts[[#Headers],[Include or Exclude]], 0,4)</f>
        <v/>
      </c>
      <c r="Y138" s="62" t="str" cm="1">
        <f t="array" ref="Y138">Common_InputFunctions.Utility_DisplayArrayInTable(Fertiliser_SourceData.Fertiliser_Products_Data1(),FertiliserProducts[[#Headers],[Include or Exclude]], 0,4)</f>
        <v/>
      </c>
      <c r="Z138" s="62" t="str" cm="1">
        <f t="array" ref="Z138">Common_InputFunctions.Utility_DisplayArrayInTable(Fertiliser_SourceData.Fertiliser_Products_Data1(),FertiliserProducts[[#Headers],[Include or Exclude]], 0,4)</f>
        <v/>
      </c>
      <c r="AA138" s="62" t="str" cm="1">
        <f t="array" ref="AA138">Common_InputFunctions.Utility_DisplayArrayInTable(Fertiliser_SourceData.Fertiliser_Products_Data1(),FertiliserProducts[[#Headers],[Include or Exclude]], 0,4)</f>
        <v/>
      </c>
      <c r="AB138" s="62" t="str" cm="1">
        <f t="array" ref="AB138">Common_InputFunctions.Utility_DisplayArrayInTable(Fertiliser_SourceData.Fertiliser_Products_Data1(),FertiliserProducts[[#Headers],[Include or Exclude]], 0,4)</f>
        <v/>
      </c>
      <c r="AC138" s="62" t="str" cm="1">
        <f t="array" ref="AC138">Common_InputFunctions.Utility_DisplayArrayInTable(Fertiliser_SourceData.Fertiliser_Products_Data1(),FertiliserProducts[[#Headers],[Include or Exclude]], 0,4)</f>
        <v/>
      </c>
      <c r="AD138" s="62" t="str" cm="1">
        <f t="array" ref="AD138">Common_InputFunctions.Utility_DisplayArrayInTable(Fertiliser_SourceData.Fertiliser_Products_Data1(),FertiliserProducts[[#Headers],[Include or Exclude]], 0,4)</f>
        <v/>
      </c>
      <c r="AE138" s="62" t="str" cm="1">
        <f t="array" ref="AE138">Common_InputFunctions.Utility_DisplayArrayInTable(Fertiliser_SourceData.Fertiliser_Products_Data1(),FertiliserProducts[[#Headers],[Include or Exclude]], 0,4)</f>
        <v/>
      </c>
    </row>
    <row r="139" spans="1:31" ht="20.100000000000001" customHeight="1" x14ac:dyDescent="0.25">
      <c r="A139"/>
      <c r="D139" s="62" t="str" cm="1">
        <f t="array" ref="D139">Common_InputFunctions.Utility_DisplayArrayInTable(Fertiliser_SourceData.Fertiliser_Products_Data1(),FertiliserProducts[[#Headers],[Include or Exclude]], -1)</f>
        <v/>
      </c>
      <c r="E139" s="62" t="str" cm="1">
        <f t="array" ref="E139">Common_InputFunctions.Utility_DisplayArrayInTable(Fertiliser_SourceData.Fertiliser_Products_Data1(),FertiliserProducts[[#Headers],[Include or Exclude]], 0)</f>
        <v/>
      </c>
      <c r="F139" s="62" t="str" cm="1">
        <f t="array" ref="F139">Common_InputFunctions.Utility_DisplayArrayInTable(Fertiliser_SourceData.Fertiliser_Products_Data1(),FertiliserProducts[[#Headers],[Include or Exclude]], 0)</f>
        <v/>
      </c>
      <c r="G139" s="62" t="str" cm="1">
        <f t="array" ref="G139">Common_InputFunctions.Utility_DisplayArrayInTable(Fertiliser_SourceData.Fertiliser_Products_Data1(),FertiliserProducts[[#Headers],[Include or Exclude]], 0)</f>
        <v/>
      </c>
      <c r="H139" s="62" t="str" cm="1">
        <f t="array" ref="H139">Common_InputFunctions.Utility_DisplayArrayInTable(Fertiliser_SourceData.Fertiliser_Products_Data1(),FertiliserProducts[[#Headers],[Include or Exclude]], 0,4)</f>
        <v/>
      </c>
      <c r="I139" s="62" t="str" cm="1">
        <f t="array" ref="I139">Common_InputFunctions.Utility_DisplayArrayInTable(Fertiliser_SourceData.Fertiliser_Products_Data1(),FertiliserProducts[[#Headers],[Include or Exclude]], 0,4)</f>
        <v/>
      </c>
      <c r="J139" s="62" t="str" cm="1">
        <f t="array" ref="J139">Common_InputFunctions.Utility_DisplayArrayInTable(Fertiliser_SourceData.Fertiliser_Products_Data1(),FertiliserProducts[[#Headers],[Include or Exclude]], 0,4)</f>
        <v/>
      </c>
      <c r="K139" s="62" t="str" cm="1">
        <f t="array" ref="K139">Common_InputFunctions.Utility_DisplayArrayInTable(Fertiliser_SourceData.Fertiliser_Products_Data1(),FertiliserProducts[[#Headers],[Include or Exclude]], 0,4)</f>
        <v/>
      </c>
      <c r="L139" s="62" t="str" cm="1">
        <f t="array" ref="L139">Common_InputFunctions.Utility_DisplayArrayInTable(Fertiliser_SourceData.Fertiliser_Products_Data1(),FertiliserProducts[[#Headers],[Include or Exclude]], 0,4)</f>
        <v/>
      </c>
      <c r="M139" s="62" t="str" cm="1">
        <f t="array" ref="M139">Common_InputFunctions.Utility_DisplayArrayInTable(Fertiliser_SourceData.Fertiliser_Products_Data1(),FertiliserProducts[[#Headers],[Include or Exclude]], 0,4)</f>
        <v/>
      </c>
      <c r="N139" s="62" t="str" cm="1">
        <f t="array" ref="N139">Common_InputFunctions.Utility_DisplayArrayInTable(Fertiliser_SourceData.Fertiliser_Products_Data1(),FertiliserProducts[[#Headers],[Include or Exclude]], 0,4)</f>
        <v/>
      </c>
      <c r="O139" s="62" t="str" cm="1">
        <f t="array" ref="O139">Common_InputFunctions.Utility_DisplayArrayInTable(Fertiliser_SourceData.Fertiliser_Products_Data1(),FertiliserProducts[[#Headers],[Include or Exclude]], 0,4)</f>
        <v/>
      </c>
      <c r="P139" s="62" t="str" cm="1">
        <f t="array" ref="P139">Common_InputFunctions.Utility_DisplayArrayInTable(Fertiliser_SourceData.Fertiliser_Products_Data1(),FertiliserProducts[[#Headers],[Include or Exclude]], 0,4)</f>
        <v/>
      </c>
      <c r="Q139" s="62" t="str" cm="1">
        <f t="array" ref="Q139">Common_InputFunctions.Utility_DisplayArrayInTable(Fertiliser_SourceData.Fertiliser_Products_Data1(),FertiliserProducts[[#Headers],[Include or Exclude]], 0,4)</f>
        <v/>
      </c>
      <c r="R139" s="62" t="str" cm="1">
        <f t="array" ref="R139">Common_InputFunctions.Utility_DisplayArrayInTable(Fertiliser_SourceData.Fertiliser_Products_Data1(),FertiliserProducts[[#Headers],[Include or Exclude]], 0,4)</f>
        <v/>
      </c>
      <c r="S139" s="62" t="str" cm="1">
        <f t="array" ref="S139">Common_InputFunctions.Utility_DisplayArrayInTable(Fertiliser_SourceData.Fertiliser_Products_Data1(),FertiliserProducts[[#Headers],[Include or Exclude]], 0,4)</f>
        <v/>
      </c>
      <c r="T139" s="62" t="str" cm="1">
        <f t="array" ref="T139">Common_InputFunctions.Utility_DisplayArrayInTable(Fertiliser_SourceData.Fertiliser_Products_Data1(),FertiliserProducts[[#Headers],[Include or Exclude]], 0,4)</f>
        <v/>
      </c>
      <c r="U139" s="62" t="str" cm="1">
        <f t="array" ref="U139">Common_InputFunctions.Utility_DisplayArrayInTable(Fertiliser_SourceData.Fertiliser_Products_Data1(),FertiliserProducts[[#Headers],[Include or Exclude]], 0,4)</f>
        <v/>
      </c>
      <c r="V139" s="62" t="str" cm="1">
        <f t="array" ref="V139">Common_InputFunctions.Utility_DisplayArrayInTable(Fertiliser_SourceData.Fertiliser_Products_Data1(),FertiliserProducts[[#Headers],[Include or Exclude]], 0,4)</f>
        <v/>
      </c>
      <c r="W139" s="62" t="str" cm="1">
        <f t="array" ref="W139">Common_InputFunctions.Utility_DisplayArrayInTable(Fertiliser_SourceData.Fertiliser_Products_Data1(),FertiliserProducts[[#Headers],[Include or Exclude]], 0,4)</f>
        <v/>
      </c>
      <c r="X139" s="62" t="str" cm="1">
        <f t="array" ref="X139">Common_InputFunctions.Utility_DisplayArrayInTable(Fertiliser_SourceData.Fertiliser_Products_Data1(),FertiliserProducts[[#Headers],[Include or Exclude]], 0,4)</f>
        <v/>
      </c>
      <c r="Y139" s="62" t="str" cm="1">
        <f t="array" ref="Y139">Common_InputFunctions.Utility_DisplayArrayInTable(Fertiliser_SourceData.Fertiliser_Products_Data1(),FertiliserProducts[[#Headers],[Include or Exclude]], 0,4)</f>
        <v/>
      </c>
      <c r="Z139" s="62" t="str" cm="1">
        <f t="array" ref="Z139">Common_InputFunctions.Utility_DisplayArrayInTable(Fertiliser_SourceData.Fertiliser_Products_Data1(),FertiliserProducts[[#Headers],[Include or Exclude]], 0,4)</f>
        <v/>
      </c>
      <c r="AA139" s="62" t="str" cm="1">
        <f t="array" ref="AA139">Common_InputFunctions.Utility_DisplayArrayInTable(Fertiliser_SourceData.Fertiliser_Products_Data1(),FertiliserProducts[[#Headers],[Include or Exclude]], 0,4)</f>
        <v/>
      </c>
      <c r="AB139" s="62" t="str" cm="1">
        <f t="array" ref="AB139">Common_InputFunctions.Utility_DisplayArrayInTable(Fertiliser_SourceData.Fertiliser_Products_Data1(),FertiliserProducts[[#Headers],[Include or Exclude]], 0,4)</f>
        <v/>
      </c>
      <c r="AC139" s="62" t="str" cm="1">
        <f t="array" ref="AC139">Common_InputFunctions.Utility_DisplayArrayInTable(Fertiliser_SourceData.Fertiliser_Products_Data1(),FertiliserProducts[[#Headers],[Include or Exclude]], 0,4)</f>
        <v/>
      </c>
      <c r="AD139" s="62" t="str" cm="1">
        <f t="array" ref="AD139">Common_InputFunctions.Utility_DisplayArrayInTable(Fertiliser_SourceData.Fertiliser_Products_Data1(),FertiliserProducts[[#Headers],[Include or Exclude]], 0,4)</f>
        <v/>
      </c>
      <c r="AE139" s="62" t="str" cm="1">
        <f t="array" ref="AE139">Common_InputFunctions.Utility_DisplayArrayInTable(Fertiliser_SourceData.Fertiliser_Products_Data1(),FertiliserProducts[[#Headers],[Include or Exclude]], 0,4)</f>
        <v/>
      </c>
    </row>
    <row r="140" spans="1:31" ht="20.100000000000001" customHeight="1" x14ac:dyDescent="0.25">
      <c r="A140"/>
      <c r="D140" s="62" t="str" cm="1">
        <f t="array" ref="D140">Common_InputFunctions.Utility_DisplayArrayInTable(Fertiliser_SourceData.Fertiliser_Products_Data1(),FertiliserProducts[[#Headers],[Include or Exclude]], -1)</f>
        <v/>
      </c>
      <c r="E140" s="62" t="str" cm="1">
        <f t="array" ref="E140">Common_InputFunctions.Utility_DisplayArrayInTable(Fertiliser_SourceData.Fertiliser_Products_Data1(),FertiliserProducts[[#Headers],[Include or Exclude]], 0)</f>
        <v/>
      </c>
      <c r="F140" s="62" t="str" cm="1">
        <f t="array" ref="F140">Common_InputFunctions.Utility_DisplayArrayInTable(Fertiliser_SourceData.Fertiliser_Products_Data1(),FertiliserProducts[[#Headers],[Include or Exclude]], 0)</f>
        <v/>
      </c>
      <c r="G140" s="62" t="str" cm="1">
        <f t="array" ref="G140">Common_InputFunctions.Utility_DisplayArrayInTable(Fertiliser_SourceData.Fertiliser_Products_Data1(),FertiliserProducts[[#Headers],[Include or Exclude]], 0)</f>
        <v/>
      </c>
      <c r="H140" s="62" t="str" cm="1">
        <f t="array" ref="H140">Common_InputFunctions.Utility_DisplayArrayInTable(Fertiliser_SourceData.Fertiliser_Products_Data1(),FertiliserProducts[[#Headers],[Include or Exclude]], 0,4)</f>
        <v/>
      </c>
      <c r="I140" s="62" t="str" cm="1">
        <f t="array" ref="I140">Common_InputFunctions.Utility_DisplayArrayInTable(Fertiliser_SourceData.Fertiliser_Products_Data1(),FertiliserProducts[[#Headers],[Include or Exclude]], 0,4)</f>
        <v/>
      </c>
      <c r="J140" s="62" t="str" cm="1">
        <f t="array" ref="J140">Common_InputFunctions.Utility_DisplayArrayInTable(Fertiliser_SourceData.Fertiliser_Products_Data1(),FertiliserProducts[[#Headers],[Include or Exclude]], 0,4)</f>
        <v/>
      </c>
      <c r="K140" s="62" t="str" cm="1">
        <f t="array" ref="K140">Common_InputFunctions.Utility_DisplayArrayInTable(Fertiliser_SourceData.Fertiliser_Products_Data1(),FertiliserProducts[[#Headers],[Include or Exclude]], 0,4)</f>
        <v/>
      </c>
      <c r="L140" s="62" t="str" cm="1">
        <f t="array" ref="L140">Common_InputFunctions.Utility_DisplayArrayInTable(Fertiliser_SourceData.Fertiliser_Products_Data1(),FertiliserProducts[[#Headers],[Include or Exclude]], 0,4)</f>
        <v/>
      </c>
      <c r="M140" s="62" t="str" cm="1">
        <f t="array" ref="M140">Common_InputFunctions.Utility_DisplayArrayInTable(Fertiliser_SourceData.Fertiliser_Products_Data1(),FertiliserProducts[[#Headers],[Include or Exclude]], 0,4)</f>
        <v/>
      </c>
      <c r="N140" s="62" t="str" cm="1">
        <f t="array" ref="N140">Common_InputFunctions.Utility_DisplayArrayInTable(Fertiliser_SourceData.Fertiliser_Products_Data1(),FertiliserProducts[[#Headers],[Include or Exclude]], 0,4)</f>
        <v/>
      </c>
      <c r="O140" s="62" t="str" cm="1">
        <f t="array" ref="O140">Common_InputFunctions.Utility_DisplayArrayInTable(Fertiliser_SourceData.Fertiliser_Products_Data1(),FertiliserProducts[[#Headers],[Include or Exclude]], 0,4)</f>
        <v/>
      </c>
      <c r="P140" s="62" t="str" cm="1">
        <f t="array" ref="P140">Common_InputFunctions.Utility_DisplayArrayInTable(Fertiliser_SourceData.Fertiliser_Products_Data1(),FertiliserProducts[[#Headers],[Include or Exclude]], 0,4)</f>
        <v/>
      </c>
      <c r="Q140" s="62" t="str" cm="1">
        <f t="array" ref="Q140">Common_InputFunctions.Utility_DisplayArrayInTable(Fertiliser_SourceData.Fertiliser_Products_Data1(),FertiliserProducts[[#Headers],[Include or Exclude]], 0,4)</f>
        <v/>
      </c>
      <c r="R140" s="62" t="str" cm="1">
        <f t="array" ref="R140">Common_InputFunctions.Utility_DisplayArrayInTable(Fertiliser_SourceData.Fertiliser_Products_Data1(),FertiliserProducts[[#Headers],[Include or Exclude]], 0,4)</f>
        <v/>
      </c>
      <c r="S140" s="62" t="str" cm="1">
        <f t="array" ref="S140">Common_InputFunctions.Utility_DisplayArrayInTable(Fertiliser_SourceData.Fertiliser_Products_Data1(),FertiliserProducts[[#Headers],[Include or Exclude]], 0,4)</f>
        <v/>
      </c>
      <c r="T140" s="62" t="str" cm="1">
        <f t="array" ref="T140">Common_InputFunctions.Utility_DisplayArrayInTable(Fertiliser_SourceData.Fertiliser_Products_Data1(),FertiliserProducts[[#Headers],[Include or Exclude]], 0,4)</f>
        <v/>
      </c>
      <c r="U140" s="62" t="str" cm="1">
        <f t="array" ref="U140">Common_InputFunctions.Utility_DisplayArrayInTable(Fertiliser_SourceData.Fertiliser_Products_Data1(),FertiliserProducts[[#Headers],[Include or Exclude]], 0,4)</f>
        <v/>
      </c>
      <c r="V140" s="62" t="str" cm="1">
        <f t="array" ref="V140">Common_InputFunctions.Utility_DisplayArrayInTable(Fertiliser_SourceData.Fertiliser_Products_Data1(),FertiliserProducts[[#Headers],[Include or Exclude]], 0,4)</f>
        <v/>
      </c>
      <c r="W140" s="62" t="str" cm="1">
        <f t="array" ref="W140">Common_InputFunctions.Utility_DisplayArrayInTable(Fertiliser_SourceData.Fertiliser_Products_Data1(),FertiliserProducts[[#Headers],[Include or Exclude]], 0,4)</f>
        <v/>
      </c>
      <c r="X140" s="62" t="str" cm="1">
        <f t="array" ref="X140">Common_InputFunctions.Utility_DisplayArrayInTable(Fertiliser_SourceData.Fertiliser_Products_Data1(),FertiliserProducts[[#Headers],[Include or Exclude]], 0,4)</f>
        <v/>
      </c>
      <c r="Y140" s="62" t="str" cm="1">
        <f t="array" ref="Y140">Common_InputFunctions.Utility_DisplayArrayInTable(Fertiliser_SourceData.Fertiliser_Products_Data1(),FertiliserProducts[[#Headers],[Include or Exclude]], 0,4)</f>
        <v/>
      </c>
      <c r="Z140" s="62" t="str" cm="1">
        <f t="array" ref="Z140">Common_InputFunctions.Utility_DisplayArrayInTable(Fertiliser_SourceData.Fertiliser_Products_Data1(),FertiliserProducts[[#Headers],[Include or Exclude]], 0,4)</f>
        <v/>
      </c>
      <c r="AA140" s="62" t="str" cm="1">
        <f t="array" ref="AA140">Common_InputFunctions.Utility_DisplayArrayInTable(Fertiliser_SourceData.Fertiliser_Products_Data1(),FertiliserProducts[[#Headers],[Include or Exclude]], 0,4)</f>
        <v/>
      </c>
      <c r="AB140" s="62" t="str" cm="1">
        <f t="array" ref="AB140">Common_InputFunctions.Utility_DisplayArrayInTable(Fertiliser_SourceData.Fertiliser_Products_Data1(),FertiliserProducts[[#Headers],[Include or Exclude]], 0,4)</f>
        <v/>
      </c>
      <c r="AC140" s="62" t="str" cm="1">
        <f t="array" ref="AC140">Common_InputFunctions.Utility_DisplayArrayInTable(Fertiliser_SourceData.Fertiliser_Products_Data1(),FertiliserProducts[[#Headers],[Include or Exclude]], 0,4)</f>
        <v/>
      </c>
      <c r="AD140" s="62" t="str" cm="1">
        <f t="array" ref="AD140">Common_InputFunctions.Utility_DisplayArrayInTable(Fertiliser_SourceData.Fertiliser_Products_Data1(),FertiliserProducts[[#Headers],[Include or Exclude]], 0,4)</f>
        <v/>
      </c>
      <c r="AE140" s="62" t="str" cm="1">
        <f t="array" ref="AE140">Common_InputFunctions.Utility_DisplayArrayInTable(Fertiliser_SourceData.Fertiliser_Products_Data1(),FertiliserProducts[[#Headers],[Include or Exclude]], 0,4)</f>
        <v/>
      </c>
    </row>
    <row r="141" spans="1:31" ht="20.100000000000001" customHeight="1" x14ac:dyDescent="0.25">
      <c r="A141"/>
      <c r="D141" s="62" t="str" cm="1">
        <f t="array" ref="D141">Common_InputFunctions.Utility_DisplayArrayInTable(Fertiliser_SourceData.Fertiliser_Products_Data1(),FertiliserProducts[[#Headers],[Include or Exclude]], -1)</f>
        <v/>
      </c>
      <c r="E141" s="62" t="str" cm="1">
        <f t="array" ref="E141">Common_InputFunctions.Utility_DisplayArrayInTable(Fertiliser_SourceData.Fertiliser_Products_Data1(),FertiliserProducts[[#Headers],[Include or Exclude]], 0)</f>
        <v/>
      </c>
      <c r="F141" s="62" t="str" cm="1">
        <f t="array" ref="F141">Common_InputFunctions.Utility_DisplayArrayInTable(Fertiliser_SourceData.Fertiliser_Products_Data1(),FertiliserProducts[[#Headers],[Include or Exclude]], 0)</f>
        <v/>
      </c>
      <c r="G141" s="62" t="str" cm="1">
        <f t="array" ref="G141">Common_InputFunctions.Utility_DisplayArrayInTable(Fertiliser_SourceData.Fertiliser_Products_Data1(),FertiliserProducts[[#Headers],[Include or Exclude]], 0)</f>
        <v/>
      </c>
      <c r="H141" s="62" t="str" cm="1">
        <f t="array" ref="H141">Common_InputFunctions.Utility_DisplayArrayInTable(Fertiliser_SourceData.Fertiliser_Products_Data1(),FertiliserProducts[[#Headers],[Include or Exclude]], 0,4)</f>
        <v/>
      </c>
      <c r="I141" s="62" t="str" cm="1">
        <f t="array" ref="I141">Common_InputFunctions.Utility_DisplayArrayInTable(Fertiliser_SourceData.Fertiliser_Products_Data1(),FertiliserProducts[[#Headers],[Include or Exclude]], 0,4)</f>
        <v/>
      </c>
      <c r="J141" s="62" t="str" cm="1">
        <f t="array" ref="J141">Common_InputFunctions.Utility_DisplayArrayInTable(Fertiliser_SourceData.Fertiliser_Products_Data1(),FertiliserProducts[[#Headers],[Include or Exclude]], 0,4)</f>
        <v/>
      </c>
      <c r="K141" s="62" t="str" cm="1">
        <f t="array" ref="K141">Common_InputFunctions.Utility_DisplayArrayInTable(Fertiliser_SourceData.Fertiliser_Products_Data1(),FertiliserProducts[[#Headers],[Include or Exclude]], 0,4)</f>
        <v/>
      </c>
      <c r="L141" s="62" t="str" cm="1">
        <f t="array" ref="L141">Common_InputFunctions.Utility_DisplayArrayInTable(Fertiliser_SourceData.Fertiliser_Products_Data1(),FertiliserProducts[[#Headers],[Include or Exclude]], 0,4)</f>
        <v/>
      </c>
      <c r="M141" s="62" t="str" cm="1">
        <f t="array" ref="M141">Common_InputFunctions.Utility_DisplayArrayInTable(Fertiliser_SourceData.Fertiliser_Products_Data1(),FertiliserProducts[[#Headers],[Include or Exclude]], 0,4)</f>
        <v/>
      </c>
      <c r="N141" s="62" t="str" cm="1">
        <f t="array" ref="N141">Common_InputFunctions.Utility_DisplayArrayInTable(Fertiliser_SourceData.Fertiliser_Products_Data1(),FertiliserProducts[[#Headers],[Include or Exclude]], 0,4)</f>
        <v/>
      </c>
      <c r="O141" s="62" t="str" cm="1">
        <f t="array" ref="O141">Common_InputFunctions.Utility_DisplayArrayInTable(Fertiliser_SourceData.Fertiliser_Products_Data1(),FertiliserProducts[[#Headers],[Include or Exclude]], 0,4)</f>
        <v/>
      </c>
      <c r="P141" s="62" t="str" cm="1">
        <f t="array" ref="P141">Common_InputFunctions.Utility_DisplayArrayInTable(Fertiliser_SourceData.Fertiliser_Products_Data1(),FertiliserProducts[[#Headers],[Include or Exclude]], 0,4)</f>
        <v/>
      </c>
      <c r="Q141" s="62" t="str" cm="1">
        <f t="array" ref="Q141">Common_InputFunctions.Utility_DisplayArrayInTable(Fertiliser_SourceData.Fertiliser_Products_Data1(),FertiliserProducts[[#Headers],[Include or Exclude]], 0,4)</f>
        <v/>
      </c>
      <c r="R141" s="62" t="str" cm="1">
        <f t="array" ref="R141">Common_InputFunctions.Utility_DisplayArrayInTable(Fertiliser_SourceData.Fertiliser_Products_Data1(),FertiliserProducts[[#Headers],[Include or Exclude]], 0,4)</f>
        <v/>
      </c>
      <c r="S141" s="62" t="str" cm="1">
        <f t="array" ref="S141">Common_InputFunctions.Utility_DisplayArrayInTable(Fertiliser_SourceData.Fertiliser_Products_Data1(),FertiliserProducts[[#Headers],[Include or Exclude]], 0,4)</f>
        <v/>
      </c>
      <c r="T141" s="62" t="str" cm="1">
        <f t="array" ref="T141">Common_InputFunctions.Utility_DisplayArrayInTable(Fertiliser_SourceData.Fertiliser_Products_Data1(),FertiliserProducts[[#Headers],[Include or Exclude]], 0,4)</f>
        <v/>
      </c>
      <c r="U141" s="62" t="str" cm="1">
        <f t="array" ref="U141">Common_InputFunctions.Utility_DisplayArrayInTable(Fertiliser_SourceData.Fertiliser_Products_Data1(),FertiliserProducts[[#Headers],[Include or Exclude]], 0,4)</f>
        <v/>
      </c>
      <c r="V141" s="62" t="str" cm="1">
        <f t="array" ref="V141">Common_InputFunctions.Utility_DisplayArrayInTable(Fertiliser_SourceData.Fertiliser_Products_Data1(),FertiliserProducts[[#Headers],[Include or Exclude]], 0,4)</f>
        <v/>
      </c>
      <c r="W141" s="62" t="str" cm="1">
        <f t="array" ref="W141">Common_InputFunctions.Utility_DisplayArrayInTable(Fertiliser_SourceData.Fertiliser_Products_Data1(),FertiliserProducts[[#Headers],[Include or Exclude]], 0,4)</f>
        <v/>
      </c>
      <c r="X141" s="62" t="str" cm="1">
        <f t="array" ref="X141">Common_InputFunctions.Utility_DisplayArrayInTable(Fertiliser_SourceData.Fertiliser_Products_Data1(),FertiliserProducts[[#Headers],[Include or Exclude]], 0,4)</f>
        <v/>
      </c>
      <c r="Y141" s="62" t="str" cm="1">
        <f t="array" ref="Y141">Common_InputFunctions.Utility_DisplayArrayInTable(Fertiliser_SourceData.Fertiliser_Products_Data1(),FertiliserProducts[[#Headers],[Include or Exclude]], 0,4)</f>
        <v/>
      </c>
      <c r="Z141" s="62" t="str" cm="1">
        <f t="array" ref="Z141">Common_InputFunctions.Utility_DisplayArrayInTable(Fertiliser_SourceData.Fertiliser_Products_Data1(),FertiliserProducts[[#Headers],[Include or Exclude]], 0,4)</f>
        <v/>
      </c>
      <c r="AA141" s="62" t="str" cm="1">
        <f t="array" ref="AA141">Common_InputFunctions.Utility_DisplayArrayInTable(Fertiliser_SourceData.Fertiliser_Products_Data1(),FertiliserProducts[[#Headers],[Include or Exclude]], 0,4)</f>
        <v/>
      </c>
      <c r="AB141" s="62" t="str" cm="1">
        <f t="array" ref="AB141">Common_InputFunctions.Utility_DisplayArrayInTable(Fertiliser_SourceData.Fertiliser_Products_Data1(),FertiliserProducts[[#Headers],[Include or Exclude]], 0,4)</f>
        <v/>
      </c>
      <c r="AC141" s="62" t="str" cm="1">
        <f t="array" ref="AC141">Common_InputFunctions.Utility_DisplayArrayInTable(Fertiliser_SourceData.Fertiliser_Products_Data1(),FertiliserProducts[[#Headers],[Include or Exclude]], 0,4)</f>
        <v/>
      </c>
      <c r="AD141" s="62" t="str" cm="1">
        <f t="array" ref="AD141">Common_InputFunctions.Utility_DisplayArrayInTable(Fertiliser_SourceData.Fertiliser_Products_Data1(),FertiliserProducts[[#Headers],[Include or Exclude]], 0,4)</f>
        <v/>
      </c>
      <c r="AE141" s="62" t="str" cm="1">
        <f t="array" ref="AE141">Common_InputFunctions.Utility_DisplayArrayInTable(Fertiliser_SourceData.Fertiliser_Products_Data1(),FertiliserProducts[[#Headers],[Include or Exclude]], 0,4)</f>
        <v/>
      </c>
    </row>
    <row r="142" spans="1:31" ht="20.100000000000001" customHeight="1" x14ac:dyDescent="0.25">
      <c r="A142"/>
      <c r="D142" s="62" t="str" cm="1">
        <f t="array" ref="D142">Common_InputFunctions.Utility_DisplayArrayInTable(Fertiliser_SourceData.Fertiliser_Products_Data1(),FertiliserProducts[[#Headers],[Include or Exclude]], -1)</f>
        <v/>
      </c>
      <c r="E142" s="62" t="str" cm="1">
        <f t="array" ref="E142">Common_InputFunctions.Utility_DisplayArrayInTable(Fertiliser_SourceData.Fertiliser_Products_Data1(),FertiliserProducts[[#Headers],[Include or Exclude]], 0)</f>
        <v/>
      </c>
      <c r="F142" s="62" t="str" cm="1">
        <f t="array" ref="F142">Common_InputFunctions.Utility_DisplayArrayInTable(Fertiliser_SourceData.Fertiliser_Products_Data1(),FertiliserProducts[[#Headers],[Include or Exclude]], 0)</f>
        <v/>
      </c>
      <c r="G142" s="62" t="str" cm="1">
        <f t="array" ref="G142">Common_InputFunctions.Utility_DisplayArrayInTable(Fertiliser_SourceData.Fertiliser_Products_Data1(),FertiliserProducts[[#Headers],[Include or Exclude]], 0)</f>
        <v/>
      </c>
      <c r="H142" s="62" t="str" cm="1">
        <f t="array" ref="H142">Common_InputFunctions.Utility_DisplayArrayInTable(Fertiliser_SourceData.Fertiliser_Products_Data1(),FertiliserProducts[[#Headers],[Include or Exclude]], 0,4)</f>
        <v/>
      </c>
      <c r="I142" s="62" t="str" cm="1">
        <f t="array" ref="I142">Common_InputFunctions.Utility_DisplayArrayInTable(Fertiliser_SourceData.Fertiliser_Products_Data1(),FertiliserProducts[[#Headers],[Include or Exclude]], 0,4)</f>
        <v/>
      </c>
      <c r="J142" s="62" t="str" cm="1">
        <f t="array" ref="J142">Common_InputFunctions.Utility_DisplayArrayInTable(Fertiliser_SourceData.Fertiliser_Products_Data1(),FertiliserProducts[[#Headers],[Include or Exclude]], 0,4)</f>
        <v/>
      </c>
      <c r="K142" s="62" t="str" cm="1">
        <f t="array" ref="K142">Common_InputFunctions.Utility_DisplayArrayInTable(Fertiliser_SourceData.Fertiliser_Products_Data1(),FertiliserProducts[[#Headers],[Include or Exclude]], 0,4)</f>
        <v/>
      </c>
      <c r="L142" s="62" t="str" cm="1">
        <f t="array" ref="L142">Common_InputFunctions.Utility_DisplayArrayInTable(Fertiliser_SourceData.Fertiliser_Products_Data1(),FertiliserProducts[[#Headers],[Include or Exclude]], 0,4)</f>
        <v/>
      </c>
      <c r="M142" s="62" t="str" cm="1">
        <f t="array" ref="M142">Common_InputFunctions.Utility_DisplayArrayInTable(Fertiliser_SourceData.Fertiliser_Products_Data1(),FertiliserProducts[[#Headers],[Include or Exclude]], 0,4)</f>
        <v/>
      </c>
      <c r="N142" s="62" t="str" cm="1">
        <f t="array" ref="N142">Common_InputFunctions.Utility_DisplayArrayInTable(Fertiliser_SourceData.Fertiliser_Products_Data1(),FertiliserProducts[[#Headers],[Include or Exclude]], 0,4)</f>
        <v/>
      </c>
      <c r="O142" s="62" t="str" cm="1">
        <f t="array" ref="O142">Common_InputFunctions.Utility_DisplayArrayInTable(Fertiliser_SourceData.Fertiliser_Products_Data1(),FertiliserProducts[[#Headers],[Include or Exclude]], 0,4)</f>
        <v/>
      </c>
      <c r="P142" s="62" t="str" cm="1">
        <f t="array" ref="P142">Common_InputFunctions.Utility_DisplayArrayInTable(Fertiliser_SourceData.Fertiliser_Products_Data1(),FertiliserProducts[[#Headers],[Include or Exclude]], 0,4)</f>
        <v/>
      </c>
      <c r="Q142" s="62" t="str" cm="1">
        <f t="array" ref="Q142">Common_InputFunctions.Utility_DisplayArrayInTable(Fertiliser_SourceData.Fertiliser_Products_Data1(),FertiliserProducts[[#Headers],[Include or Exclude]], 0,4)</f>
        <v/>
      </c>
      <c r="R142" s="62" t="str" cm="1">
        <f t="array" ref="R142">Common_InputFunctions.Utility_DisplayArrayInTable(Fertiliser_SourceData.Fertiliser_Products_Data1(),FertiliserProducts[[#Headers],[Include or Exclude]], 0,4)</f>
        <v/>
      </c>
      <c r="S142" s="62" t="str" cm="1">
        <f t="array" ref="S142">Common_InputFunctions.Utility_DisplayArrayInTable(Fertiliser_SourceData.Fertiliser_Products_Data1(),FertiliserProducts[[#Headers],[Include or Exclude]], 0,4)</f>
        <v/>
      </c>
      <c r="T142" s="62" t="str" cm="1">
        <f t="array" ref="T142">Common_InputFunctions.Utility_DisplayArrayInTable(Fertiliser_SourceData.Fertiliser_Products_Data1(),FertiliserProducts[[#Headers],[Include or Exclude]], 0,4)</f>
        <v/>
      </c>
      <c r="U142" s="62" t="str" cm="1">
        <f t="array" ref="U142">Common_InputFunctions.Utility_DisplayArrayInTable(Fertiliser_SourceData.Fertiliser_Products_Data1(),FertiliserProducts[[#Headers],[Include or Exclude]], 0,4)</f>
        <v/>
      </c>
      <c r="V142" s="62" t="str" cm="1">
        <f t="array" ref="V142">Common_InputFunctions.Utility_DisplayArrayInTable(Fertiliser_SourceData.Fertiliser_Products_Data1(),FertiliserProducts[[#Headers],[Include or Exclude]], 0,4)</f>
        <v/>
      </c>
      <c r="W142" s="62" t="str" cm="1">
        <f t="array" ref="W142">Common_InputFunctions.Utility_DisplayArrayInTable(Fertiliser_SourceData.Fertiliser_Products_Data1(),FertiliserProducts[[#Headers],[Include or Exclude]], 0,4)</f>
        <v/>
      </c>
      <c r="X142" s="62" t="str" cm="1">
        <f t="array" ref="X142">Common_InputFunctions.Utility_DisplayArrayInTable(Fertiliser_SourceData.Fertiliser_Products_Data1(),FertiliserProducts[[#Headers],[Include or Exclude]], 0,4)</f>
        <v/>
      </c>
      <c r="Y142" s="62" t="str" cm="1">
        <f t="array" ref="Y142">Common_InputFunctions.Utility_DisplayArrayInTable(Fertiliser_SourceData.Fertiliser_Products_Data1(),FertiliserProducts[[#Headers],[Include or Exclude]], 0,4)</f>
        <v/>
      </c>
      <c r="Z142" s="62" t="str" cm="1">
        <f t="array" ref="Z142">Common_InputFunctions.Utility_DisplayArrayInTable(Fertiliser_SourceData.Fertiliser_Products_Data1(),FertiliserProducts[[#Headers],[Include or Exclude]], 0,4)</f>
        <v/>
      </c>
      <c r="AA142" s="62" t="str" cm="1">
        <f t="array" ref="AA142">Common_InputFunctions.Utility_DisplayArrayInTable(Fertiliser_SourceData.Fertiliser_Products_Data1(),FertiliserProducts[[#Headers],[Include or Exclude]], 0,4)</f>
        <v/>
      </c>
      <c r="AB142" s="62" t="str" cm="1">
        <f t="array" ref="AB142">Common_InputFunctions.Utility_DisplayArrayInTable(Fertiliser_SourceData.Fertiliser_Products_Data1(),FertiliserProducts[[#Headers],[Include or Exclude]], 0,4)</f>
        <v/>
      </c>
      <c r="AC142" s="62" t="str" cm="1">
        <f t="array" ref="AC142">Common_InputFunctions.Utility_DisplayArrayInTable(Fertiliser_SourceData.Fertiliser_Products_Data1(),FertiliserProducts[[#Headers],[Include or Exclude]], 0,4)</f>
        <v/>
      </c>
      <c r="AD142" s="62" t="str" cm="1">
        <f t="array" ref="AD142">Common_InputFunctions.Utility_DisplayArrayInTable(Fertiliser_SourceData.Fertiliser_Products_Data1(),FertiliserProducts[[#Headers],[Include or Exclude]], 0,4)</f>
        <v/>
      </c>
      <c r="AE142" s="62" t="str" cm="1">
        <f t="array" ref="AE142">Common_InputFunctions.Utility_DisplayArrayInTable(Fertiliser_SourceData.Fertiliser_Products_Data1(),FertiliserProducts[[#Headers],[Include or Exclude]], 0,4)</f>
        <v/>
      </c>
    </row>
    <row r="143" spans="1:31" ht="20.100000000000001" customHeight="1" x14ac:dyDescent="0.25">
      <c r="A143"/>
      <c r="D143" s="62" t="str" cm="1">
        <f t="array" ref="D143">Common_InputFunctions.Utility_DisplayArrayInTable(Fertiliser_SourceData.Fertiliser_Products_Data1(),FertiliserProducts[[#Headers],[Include or Exclude]], -1)</f>
        <v/>
      </c>
      <c r="E143" s="62" t="str" cm="1">
        <f t="array" ref="E143">Common_InputFunctions.Utility_DisplayArrayInTable(Fertiliser_SourceData.Fertiliser_Products_Data1(),FertiliserProducts[[#Headers],[Include or Exclude]], 0)</f>
        <v/>
      </c>
      <c r="F143" s="62" t="str" cm="1">
        <f t="array" ref="F143">Common_InputFunctions.Utility_DisplayArrayInTable(Fertiliser_SourceData.Fertiliser_Products_Data1(),FertiliserProducts[[#Headers],[Include or Exclude]], 0)</f>
        <v/>
      </c>
      <c r="G143" s="62" t="str" cm="1">
        <f t="array" ref="G143">Common_InputFunctions.Utility_DisplayArrayInTable(Fertiliser_SourceData.Fertiliser_Products_Data1(),FertiliserProducts[[#Headers],[Include or Exclude]], 0)</f>
        <v/>
      </c>
      <c r="H143" s="62" t="str" cm="1">
        <f t="array" ref="H143">Common_InputFunctions.Utility_DisplayArrayInTable(Fertiliser_SourceData.Fertiliser_Products_Data1(),FertiliserProducts[[#Headers],[Include or Exclude]], 0,4)</f>
        <v/>
      </c>
      <c r="I143" s="62" t="str" cm="1">
        <f t="array" ref="I143">Common_InputFunctions.Utility_DisplayArrayInTable(Fertiliser_SourceData.Fertiliser_Products_Data1(),FertiliserProducts[[#Headers],[Include or Exclude]], 0,4)</f>
        <v/>
      </c>
      <c r="J143" s="62" t="str" cm="1">
        <f t="array" ref="J143">Common_InputFunctions.Utility_DisplayArrayInTable(Fertiliser_SourceData.Fertiliser_Products_Data1(),FertiliserProducts[[#Headers],[Include or Exclude]], 0,4)</f>
        <v/>
      </c>
      <c r="K143" s="62" t="str" cm="1">
        <f t="array" ref="K143">Common_InputFunctions.Utility_DisplayArrayInTable(Fertiliser_SourceData.Fertiliser_Products_Data1(),FertiliserProducts[[#Headers],[Include or Exclude]], 0,4)</f>
        <v/>
      </c>
      <c r="L143" s="62" t="str" cm="1">
        <f t="array" ref="L143">Common_InputFunctions.Utility_DisplayArrayInTable(Fertiliser_SourceData.Fertiliser_Products_Data1(),FertiliserProducts[[#Headers],[Include or Exclude]], 0,4)</f>
        <v/>
      </c>
      <c r="M143" s="62" t="str" cm="1">
        <f t="array" ref="M143">Common_InputFunctions.Utility_DisplayArrayInTable(Fertiliser_SourceData.Fertiliser_Products_Data1(),FertiliserProducts[[#Headers],[Include or Exclude]], 0,4)</f>
        <v/>
      </c>
      <c r="N143" s="62" t="str" cm="1">
        <f t="array" ref="N143">Common_InputFunctions.Utility_DisplayArrayInTable(Fertiliser_SourceData.Fertiliser_Products_Data1(),FertiliserProducts[[#Headers],[Include or Exclude]], 0,4)</f>
        <v/>
      </c>
      <c r="O143" s="62" t="str" cm="1">
        <f t="array" ref="O143">Common_InputFunctions.Utility_DisplayArrayInTable(Fertiliser_SourceData.Fertiliser_Products_Data1(),FertiliserProducts[[#Headers],[Include or Exclude]], 0,4)</f>
        <v/>
      </c>
      <c r="P143" s="62" t="str" cm="1">
        <f t="array" ref="P143">Common_InputFunctions.Utility_DisplayArrayInTable(Fertiliser_SourceData.Fertiliser_Products_Data1(),FertiliserProducts[[#Headers],[Include or Exclude]], 0,4)</f>
        <v/>
      </c>
      <c r="Q143" s="62" t="str" cm="1">
        <f t="array" ref="Q143">Common_InputFunctions.Utility_DisplayArrayInTable(Fertiliser_SourceData.Fertiliser_Products_Data1(),FertiliserProducts[[#Headers],[Include or Exclude]], 0,4)</f>
        <v/>
      </c>
      <c r="R143" s="62" t="str" cm="1">
        <f t="array" ref="R143">Common_InputFunctions.Utility_DisplayArrayInTable(Fertiliser_SourceData.Fertiliser_Products_Data1(),FertiliserProducts[[#Headers],[Include or Exclude]], 0,4)</f>
        <v/>
      </c>
      <c r="S143" s="62" t="str" cm="1">
        <f t="array" ref="S143">Common_InputFunctions.Utility_DisplayArrayInTable(Fertiliser_SourceData.Fertiliser_Products_Data1(),FertiliserProducts[[#Headers],[Include or Exclude]], 0,4)</f>
        <v/>
      </c>
      <c r="T143" s="62" t="str" cm="1">
        <f t="array" ref="T143">Common_InputFunctions.Utility_DisplayArrayInTable(Fertiliser_SourceData.Fertiliser_Products_Data1(),FertiliserProducts[[#Headers],[Include or Exclude]], 0,4)</f>
        <v/>
      </c>
      <c r="U143" s="62" t="str" cm="1">
        <f t="array" ref="U143">Common_InputFunctions.Utility_DisplayArrayInTable(Fertiliser_SourceData.Fertiliser_Products_Data1(),FertiliserProducts[[#Headers],[Include or Exclude]], 0,4)</f>
        <v/>
      </c>
      <c r="V143" s="62" t="str" cm="1">
        <f t="array" ref="V143">Common_InputFunctions.Utility_DisplayArrayInTable(Fertiliser_SourceData.Fertiliser_Products_Data1(),FertiliserProducts[[#Headers],[Include or Exclude]], 0,4)</f>
        <v/>
      </c>
      <c r="W143" s="62" t="str" cm="1">
        <f t="array" ref="W143">Common_InputFunctions.Utility_DisplayArrayInTable(Fertiliser_SourceData.Fertiliser_Products_Data1(),FertiliserProducts[[#Headers],[Include or Exclude]], 0,4)</f>
        <v/>
      </c>
      <c r="X143" s="62" t="str" cm="1">
        <f t="array" ref="X143">Common_InputFunctions.Utility_DisplayArrayInTable(Fertiliser_SourceData.Fertiliser_Products_Data1(),FertiliserProducts[[#Headers],[Include or Exclude]], 0,4)</f>
        <v/>
      </c>
      <c r="Y143" s="62" t="str" cm="1">
        <f t="array" ref="Y143">Common_InputFunctions.Utility_DisplayArrayInTable(Fertiliser_SourceData.Fertiliser_Products_Data1(),FertiliserProducts[[#Headers],[Include or Exclude]], 0,4)</f>
        <v/>
      </c>
      <c r="Z143" s="62" t="str" cm="1">
        <f t="array" ref="Z143">Common_InputFunctions.Utility_DisplayArrayInTable(Fertiliser_SourceData.Fertiliser_Products_Data1(),FertiliserProducts[[#Headers],[Include or Exclude]], 0,4)</f>
        <v/>
      </c>
      <c r="AA143" s="62" t="str" cm="1">
        <f t="array" ref="AA143">Common_InputFunctions.Utility_DisplayArrayInTable(Fertiliser_SourceData.Fertiliser_Products_Data1(),FertiliserProducts[[#Headers],[Include or Exclude]], 0,4)</f>
        <v/>
      </c>
      <c r="AB143" s="62" t="str" cm="1">
        <f t="array" ref="AB143">Common_InputFunctions.Utility_DisplayArrayInTable(Fertiliser_SourceData.Fertiliser_Products_Data1(),FertiliserProducts[[#Headers],[Include or Exclude]], 0,4)</f>
        <v/>
      </c>
      <c r="AC143" s="62" t="str" cm="1">
        <f t="array" ref="AC143">Common_InputFunctions.Utility_DisplayArrayInTable(Fertiliser_SourceData.Fertiliser_Products_Data1(),FertiliserProducts[[#Headers],[Include or Exclude]], 0,4)</f>
        <v/>
      </c>
      <c r="AD143" s="62" t="str" cm="1">
        <f t="array" ref="AD143">Common_InputFunctions.Utility_DisplayArrayInTable(Fertiliser_SourceData.Fertiliser_Products_Data1(),FertiliserProducts[[#Headers],[Include or Exclude]], 0,4)</f>
        <v/>
      </c>
      <c r="AE143" s="62" t="str" cm="1">
        <f t="array" ref="AE143">Common_InputFunctions.Utility_DisplayArrayInTable(Fertiliser_SourceData.Fertiliser_Products_Data1(),FertiliserProducts[[#Headers],[Include or Exclude]], 0,4)</f>
        <v/>
      </c>
    </row>
    <row r="144" spans="1:31" ht="20.100000000000001" customHeight="1" x14ac:dyDescent="0.25">
      <c r="A144"/>
      <c r="D144" s="62" t="str" cm="1">
        <f t="array" ref="D144">Common_InputFunctions.Utility_DisplayArrayInTable(Fertiliser_SourceData.Fertiliser_Products_Data1(),FertiliserProducts[[#Headers],[Include or Exclude]], -1)</f>
        <v/>
      </c>
      <c r="E144" s="62" t="str" cm="1">
        <f t="array" ref="E144">Common_InputFunctions.Utility_DisplayArrayInTable(Fertiliser_SourceData.Fertiliser_Products_Data1(),FertiliserProducts[[#Headers],[Include or Exclude]], 0)</f>
        <v/>
      </c>
      <c r="F144" s="62" t="str" cm="1">
        <f t="array" ref="F144">Common_InputFunctions.Utility_DisplayArrayInTable(Fertiliser_SourceData.Fertiliser_Products_Data1(),FertiliserProducts[[#Headers],[Include or Exclude]], 0)</f>
        <v/>
      </c>
      <c r="G144" s="62" t="str" cm="1">
        <f t="array" ref="G144">Common_InputFunctions.Utility_DisplayArrayInTable(Fertiliser_SourceData.Fertiliser_Products_Data1(),FertiliserProducts[[#Headers],[Include or Exclude]], 0)</f>
        <v/>
      </c>
      <c r="H144" s="62" t="str" cm="1">
        <f t="array" ref="H144">Common_InputFunctions.Utility_DisplayArrayInTable(Fertiliser_SourceData.Fertiliser_Products_Data1(),FertiliserProducts[[#Headers],[Include or Exclude]], 0,4)</f>
        <v/>
      </c>
      <c r="I144" s="62" t="str" cm="1">
        <f t="array" ref="I144">Common_InputFunctions.Utility_DisplayArrayInTable(Fertiliser_SourceData.Fertiliser_Products_Data1(),FertiliserProducts[[#Headers],[Include or Exclude]], 0,4)</f>
        <v/>
      </c>
      <c r="J144" s="62" t="str" cm="1">
        <f t="array" ref="J144">Common_InputFunctions.Utility_DisplayArrayInTable(Fertiliser_SourceData.Fertiliser_Products_Data1(),FertiliserProducts[[#Headers],[Include or Exclude]], 0,4)</f>
        <v/>
      </c>
      <c r="K144" s="62" t="str" cm="1">
        <f t="array" ref="K144">Common_InputFunctions.Utility_DisplayArrayInTable(Fertiliser_SourceData.Fertiliser_Products_Data1(),FertiliserProducts[[#Headers],[Include or Exclude]], 0,4)</f>
        <v/>
      </c>
      <c r="L144" s="62" t="str" cm="1">
        <f t="array" ref="L144">Common_InputFunctions.Utility_DisplayArrayInTable(Fertiliser_SourceData.Fertiliser_Products_Data1(),FertiliserProducts[[#Headers],[Include or Exclude]], 0,4)</f>
        <v/>
      </c>
      <c r="M144" s="62" t="str" cm="1">
        <f t="array" ref="M144">Common_InputFunctions.Utility_DisplayArrayInTable(Fertiliser_SourceData.Fertiliser_Products_Data1(),FertiliserProducts[[#Headers],[Include or Exclude]], 0,4)</f>
        <v/>
      </c>
      <c r="N144" s="62" t="str" cm="1">
        <f t="array" ref="N144">Common_InputFunctions.Utility_DisplayArrayInTable(Fertiliser_SourceData.Fertiliser_Products_Data1(),FertiliserProducts[[#Headers],[Include or Exclude]], 0,4)</f>
        <v/>
      </c>
      <c r="O144" s="62" t="str" cm="1">
        <f t="array" ref="O144">Common_InputFunctions.Utility_DisplayArrayInTable(Fertiliser_SourceData.Fertiliser_Products_Data1(),FertiliserProducts[[#Headers],[Include or Exclude]], 0,4)</f>
        <v/>
      </c>
      <c r="P144" s="62" t="str" cm="1">
        <f t="array" ref="P144">Common_InputFunctions.Utility_DisplayArrayInTable(Fertiliser_SourceData.Fertiliser_Products_Data1(),FertiliserProducts[[#Headers],[Include or Exclude]], 0,4)</f>
        <v/>
      </c>
      <c r="Q144" s="62" t="str" cm="1">
        <f t="array" ref="Q144">Common_InputFunctions.Utility_DisplayArrayInTable(Fertiliser_SourceData.Fertiliser_Products_Data1(),FertiliserProducts[[#Headers],[Include or Exclude]], 0,4)</f>
        <v/>
      </c>
      <c r="R144" s="62" t="str" cm="1">
        <f t="array" ref="R144">Common_InputFunctions.Utility_DisplayArrayInTable(Fertiliser_SourceData.Fertiliser_Products_Data1(),FertiliserProducts[[#Headers],[Include or Exclude]], 0,4)</f>
        <v/>
      </c>
      <c r="S144" s="62" t="str" cm="1">
        <f t="array" ref="S144">Common_InputFunctions.Utility_DisplayArrayInTable(Fertiliser_SourceData.Fertiliser_Products_Data1(),FertiliserProducts[[#Headers],[Include or Exclude]], 0,4)</f>
        <v/>
      </c>
      <c r="T144" s="62" t="str" cm="1">
        <f t="array" ref="T144">Common_InputFunctions.Utility_DisplayArrayInTable(Fertiliser_SourceData.Fertiliser_Products_Data1(),FertiliserProducts[[#Headers],[Include or Exclude]], 0,4)</f>
        <v/>
      </c>
      <c r="U144" s="62" t="str" cm="1">
        <f t="array" ref="U144">Common_InputFunctions.Utility_DisplayArrayInTable(Fertiliser_SourceData.Fertiliser_Products_Data1(),FertiliserProducts[[#Headers],[Include or Exclude]], 0,4)</f>
        <v/>
      </c>
      <c r="V144" s="62" t="str" cm="1">
        <f t="array" ref="V144">Common_InputFunctions.Utility_DisplayArrayInTable(Fertiliser_SourceData.Fertiliser_Products_Data1(),FertiliserProducts[[#Headers],[Include or Exclude]], 0,4)</f>
        <v/>
      </c>
      <c r="W144" s="62" t="str" cm="1">
        <f t="array" ref="W144">Common_InputFunctions.Utility_DisplayArrayInTable(Fertiliser_SourceData.Fertiliser_Products_Data1(),FertiliserProducts[[#Headers],[Include or Exclude]], 0,4)</f>
        <v/>
      </c>
      <c r="X144" s="62" t="str" cm="1">
        <f t="array" ref="X144">Common_InputFunctions.Utility_DisplayArrayInTable(Fertiliser_SourceData.Fertiliser_Products_Data1(),FertiliserProducts[[#Headers],[Include or Exclude]], 0,4)</f>
        <v/>
      </c>
      <c r="Y144" s="62" t="str" cm="1">
        <f t="array" ref="Y144">Common_InputFunctions.Utility_DisplayArrayInTable(Fertiliser_SourceData.Fertiliser_Products_Data1(),FertiliserProducts[[#Headers],[Include or Exclude]], 0,4)</f>
        <v/>
      </c>
      <c r="Z144" s="62" t="str" cm="1">
        <f t="array" ref="Z144">Common_InputFunctions.Utility_DisplayArrayInTable(Fertiliser_SourceData.Fertiliser_Products_Data1(),FertiliserProducts[[#Headers],[Include or Exclude]], 0,4)</f>
        <v/>
      </c>
      <c r="AA144" s="62" t="str" cm="1">
        <f t="array" ref="AA144">Common_InputFunctions.Utility_DisplayArrayInTable(Fertiliser_SourceData.Fertiliser_Products_Data1(),FertiliserProducts[[#Headers],[Include or Exclude]], 0,4)</f>
        <v/>
      </c>
      <c r="AB144" s="62" t="str" cm="1">
        <f t="array" ref="AB144">Common_InputFunctions.Utility_DisplayArrayInTable(Fertiliser_SourceData.Fertiliser_Products_Data1(),FertiliserProducts[[#Headers],[Include or Exclude]], 0,4)</f>
        <v/>
      </c>
      <c r="AC144" s="62" t="str" cm="1">
        <f t="array" ref="AC144">Common_InputFunctions.Utility_DisplayArrayInTable(Fertiliser_SourceData.Fertiliser_Products_Data1(),FertiliserProducts[[#Headers],[Include or Exclude]], 0,4)</f>
        <v/>
      </c>
      <c r="AD144" s="62" t="str" cm="1">
        <f t="array" ref="AD144">Common_InputFunctions.Utility_DisplayArrayInTable(Fertiliser_SourceData.Fertiliser_Products_Data1(),FertiliserProducts[[#Headers],[Include or Exclude]], 0,4)</f>
        <v/>
      </c>
      <c r="AE144" s="62" t="str" cm="1">
        <f t="array" ref="AE144">Common_InputFunctions.Utility_DisplayArrayInTable(Fertiliser_SourceData.Fertiliser_Products_Data1(),FertiliserProducts[[#Headers],[Include or Exclude]], 0,4)</f>
        <v/>
      </c>
    </row>
    <row r="145" spans="1:31" ht="20.100000000000001" customHeight="1" x14ac:dyDescent="0.25">
      <c r="A145"/>
      <c r="D145" s="62" t="str" cm="1">
        <f t="array" ref="D145">Common_InputFunctions.Utility_DisplayArrayInTable(Fertiliser_SourceData.Fertiliser_Products_Data1(),FertiliserProducts[[#Headers],[Include or Exclude]], -1)</f>
        <v/>
      </c>
      <c r="E145" s="62" t="str" cm="1">
        <f t="array" ref="E145">Common_InputFunctions.Utility_DisplayArrayInTable(Fertiliser_SourceData.Fertiliser_Products_Data1(),FertiliserProducts[[#Headers],[Include or Exclude]], 0)</f>
        <v/>
      </c>
      <c r="F145" s="62" t="str" cm="1">
        <f t="array" ref="F145">Common_InputFunctions.Utility_DisplayArrayInTable(Fertiliser_SourceData.Fertiliser_Products_Data1(),FertiliserProducts[[#Headers],[Include or Exclude]], 0)</f>
        <v/>
      </c>
      <c r="G145" s="62" t="str" cm="1">
        <f t="array" ref="G145">Common_InputFunctions.Utility_DisplayArrayInTable(Fertiliser_SourceData.Fertiliser_Products_Data1(),FertiliserProducts[[#Headers],[Include or Exclude]], 0)</f>
        <v/>
      </c>
      <c r="H145" s="62" t="str" cm="1">
        <f t="array" ref="H145">Common_InputFunctions.Utility_DisplayArrayInTable(Fertiliser_SourceData.Fertiliser_Products_Data1(),FertiliserProducts[[#Headers],[Include or Exclude]], 0,4)</f>
        <v/>
      </c>
      <c r="I145" s="62" t="str" cm="1">
        <f t="array" ref="I145">Common_InputFunctions.Utility_DisplayArrayInTable(Fertiliser_SourceData.Fertiliser_Products_Data1(),FertiliserProducts[[#Headers],[Include or Exclude]], 0,4)</f>
        <v/>
      </c>
      <c r="J145" s="62" t="str" cm="1">
        <f t="array" ref="J145">Common_InputFunctions.Utility_DisplayArrayInTable(Fertiliser_SourceData.Fertiliser_Products_Data1(),FertiliserProducts[[#Headers],[Include or Exclude]], 0,4)</f>
        <v/>
      </c>
      <c r="K145" s="62" t="str" cm="1">
        <f t="array" ref="K145">Common_InputFunctions.Utility_DisplayArrayInTable(Fertiliser_SourceData.Fertiliser_Products_Data1(),FertiliserProducts[[#Headers],[Include or Exclude]], 0,4)</f>
        <v/>
      </c>
      <c r="L145" s="62" t="str" cm="1">
        <f t="array" ref="L145">Common_InputFunctions.Utility_DisplayArrayInTable(Fertiliser_SourceData.Fertiliser_Products_Data1(),FertiliserProducts[[#Headers],[Include or Exclude]], 0,4)</f>
        <v/>
      </c>
      <c r="M145" s="62" t="str" cm="1">
        <f t="array" ref="M145">Common_InputFunctions.Utility_DisplayArrayInTable(Fertiliser_SourceData.Fertiliser_Products_Data1(),FertiliserProducts[[#Headers],[Include or Exclude]], 0,4)</f>
        <v/>
      </c>
      <c r="N145" s="62" t="str" cm="1">
        <f t="array" ref="N145">Common_InputFunctions.Utility_DisplayArrayInTable(Fertiliser_SourceData.Fertiliser_Products_Data1(),FertiliserProducts[[#Headers],[Include or Exclude]], 0,4)</f>
        <v/>
      </c>
      <c r="O145" s="62" t="str" cm="1">
        <f t="array" ref="O145">Common_InputFunctions.Utility_DisplayArrayInTable(Fertiliser_SourceData.Fertiliser_Products_Data1(),FertiliserProducts[[#Headers],[Include or Exclude]], 0,4)</f>
        <v/>
      </c>
      <c r="P145" s="62" t="str" cm="1">
        <f t="array" ref="P145">Common_InputFunctions.Utility_DisplayArrayInTable(Fertiliser_SourceData.Fertiliser_Products_Data1(),FertiliserProducts[[#Headers],[Include or Exclude]], 0,4)</f>
        <v/>
      </c>
      <c r="Q145" s="62" t="str" cm="1">
        <f t="array" ref="Q145">Common_InputFunctions.Utility_DisplayArrayInTable(Fertiliser_SourceData.Fertiliser_Products_Data1(),FertiliserProducts[[#Headers],[Include or Exclude]], 0,4)</f>
        <v/>
      </c>
      <c r="R145" s="62" t="str" cm="1">
        <f t="array" ref="R145">Common_InputFunctions.Utility_DisplayArrayInTable(Fertiliser_SourceData.Fertiliser_Products_Data1(),FertiliserProducts[[#Headers],[Include or Exclude]], 0,4)</f>
        <v/>
      </c>
      <c r="S145" s="62" t="str" cm="1">
        <f t="array" ref="S145">Common_InputFunctions.Utility_DisplayArrayInTable(Fertiliser_SourceData.Fertiliser_Products_Data1(),FertiliserProducts[[#Headers],[Include or Exclude]], 0,4)</f>
        <v/>
      </c>
      <c r="T145" s="62" t="str" cm="1">
        <f t="array" ref="T145">Common_InputFunctions.Utility_DisplayArrayInTable(Fertiliser_SourceData.Fertiliser_Products_Data1(),FertiliserProducts[[#Headers],[Include or Exclude]], 0,4)</f>
        <v/>
      </c>
      <c r="U145" s="62" t="str" cm="1">
        <f t="array" ref="U145">Common_InputFunctions.Utility_DisplayArrayInTable(Fertiliser_SourceData.Fertiliser_Products_Data1(),FertiliserProducts[[#Headers],[Include or Exclude]], 0,4)</f>
        <v/>
      </c>
      <c r="V145" s="62" t="str" cm="1">
        <f t="array" ref="V145">Common_InputFunctions.Utility_DisplayArrayInTable(Fertiliser_SourceData.Fertiliser_Products_Data1(),FertiliserProducts[[#Headers],[Include or Exclude]], 0,4)</f>
        <v/>
      </c>
      <c r="W145" s="62" t="str" cm="1">
        <f t="array" ref="W145">Common_InputFunctions.Utility_DisplayArrayInTable(Fertiliser_SourceData.Fertiliser_Products_Data1(),FertiliserProducts[[#Headers],[Include or Exclude]], 0,4)</f>
        <v/>
      </c>
      <c r="X145" s="62" t="str" cm="1">
        <f t="array" ref="X145">Common_InputFunctions.Utility_DisplayArrayInTable(Fertiliser_SourceData.Fertiliser_Products_Data1(),FertiliserProducts[[#Headers],[Include or Exclude]], 0,4)</f>
        <v/>
      </c>
      <c r="Y145" s="62" t="str" cm="1">
        <f t="array" ref="Y145">Common_InputFunctions.Utility_DisplayArrayInTable(Fertiliser_SourceData.Fertiliser_Products_Data1(),FertiliserProducts[[#Headers],[Include or Exclude]], 0,4)</f>
        <v/>
      </c>
      <c r="Z145" s="62" t="str" cm="1">
        <f t="array" ref="Z145">Common_InputFunctions.Utility_DisplayArrayInTable(Fertiliser_SourceData.Fertiliser_Products_Data1(),FertiliserProducts[[#Headers],[Include or Exclude]], 0,4)</f>
        <v/>
      </c>
      <c r="AA145" s="62" t="str" cm="1">
        <f t="array" ref="AA145">Common_InputFunctions.Utility_DisplayArrayInTable(Fertiliser_SourceData.Fertiliser_Products_Data1(),FertiliserProducts[[#Headers],[Include or Exclude]], 0,4)</f>
        <v/>
      </c>
      <c r="AB145" s="62" t="str" cm="1">
        <f t="array" ref="AB145">Common_InputFunctions.Utility_DisplayArrayInTable(Fertiliser_SourceData.Fertiliser_Products_Data1(),FertiliserProducts[[#Headers],[Include or Exclude]], 0,4)</f>
        <v/>
      </c>
      <c r="AC145" s="62" t="str" cm="1">
        <f t="array" ref="AC145">Common_InputFunctions.Utility_DisplayArrayInTable(Fertiliser_SourceData.Fertiliser_Products_Data1(),FertiliserProducts[[#Headers],[Include or Exclude]], 0,4)</f>
        <v/>
      </c>
      <c r="AD145" s="62" t="str" cm="1">
        <f t="array" ref="AD145">Common_InputFunctions.Utility_DisplayArrayInTable(Fertiliser_SourceData.Fertiliser_Products_Data1(),FertiliserProducts[[#Headers],[Include or Exclude]], 0,4)</f>
        <v/>
      </c>
      <c r="AE145" s="62" t="str" cm="1">
        <f t="array" ref="AE145">Common_InputFunctions.Utility_DisplayArrayInTable(Fertiliser_SourceData.Fertiliser_Products_Data1(),FertiliserProducts[[#Headers],[Include or Exclude]], 0,4)</f>
        <v/>
      </c>
    </row>
    <row r="146" spans="1:31" ht="20.100000000000001" customHeight="1" x14ac:dyDescent="0.25">
      <c r="A146"/>
      <c r="D146" s="62" t="str" cm="1">
        <f t="array" ref="D146">Common_InputFunctions.Utility_DisplayArrayInTable(Fertiliser_SourceData.Fertiliser_Products_Data1(),FertiliserProducts[[#Headers],[Include or Exclude]], -1)</f>
        <v/>
      </c>
      <c r="E146" s="62" t="str" cm="1">
        <f t="array" ref="E146">Common_InputFunctions.Utility_DisplayArrayInTable(Fertiliser_SourceData.Fertiliser_Products_Data1(),FertiliserProducts[[#Headers],[Include or Exclude]], 0)</f>
        <v/>
      </c>
      <c r="F146" s="62" t="str" cm="1">
        <f t="array" ref="F146">Common_InputFunctions.Utility_DisplayArrayInTable(Fertiliser_SourceData.Fertiliser_Products_Data1(),FertiliserProducts[[#Headers],[Include or Exclude]], 0)</f>
        <v/>
      </c>
      <c r="G146" s="62" t="str" cm="1">
        <f t="array" ref="G146">Common_InputFunctions.Utility_DisplayArrayInTable(Fertiliser_SourceData.Fertiliser_Products_Data1(),FertiliserProducts[[#Headers],[Include or Exclude]], 0)</f>
        <v/>
      </c>
      <c r="H146" s="62" t="str" cm="1">
        <f t="array" ref="H146">Common_InputFunctions.Utility_DisplayArrayInTable(Fertiliser_SourceData.Fertiliser_Products_Data1(),FertiliserProducts[[#Headers],[Include or Exclude]], 0,4)</f>
        <v/>
      </c>
      <c r="I146" s="62" t="str" cm="1">
        <f t="array" ref="I146">Common_InputFunctions.Utility_DisplayArrayInTable(Fertiliser_SourceData.Fertiliser_Products_Data1(),FertiliserProducts[[#Headers],[Include or Exclude]], 0,4)</f>
        <v/>
      </c>
      <c r="J146" s="62" t="str" cm="1">
        <f t="array" ref="J146">Common_InputFunctions.Utility_DisplayArrayInTable(Fertiliser_SourceData.Fertiliser_Products_Data1(),FertiliserProducts[[#Headers],[Include or Exclude]], 0,4)</f>
        <v/>
      </c>
      <c r="K146" s="62" t="str" cm="1">
        <f t="array" ref="K146">Common_InputFunctions.Utility_DisplayArrayInTable(Fertiliser_SourceData.Fertiliser_Products_Data1(),FertiliserProducts[[#Headers],[Include or Exclude]], 0,4)</f>
        <v/>
      </c>
      <c r="L146" s="62" t="str" cm="1">
        <f t="array" ref="L146">Common_InputFunctions.Utility_DisplayArrayInTable(Fertiliser_SourceData.Fertiliser_Products_Data1(),FertiliserProducts[[#Headers],[Include or Exclude]], 0,4)</f>
        <v/>
      </c>
      <c r="M146" s="62" t="str" cm="1">
        <f t="array" ref="M146">Common_InputFunctions.Utility_DisplayArrayInTable(Fertiliser_SourceData.Fertiliser_Products_Data1(),FertiliserProducts[[#Headers],[Include or Exclude]], 0,4)</f>
        <v/>
      </c>
      <c r="N146" s="62" t="str" cm="1">
        <f t="array" ref="N146">Common_InputFunctions.Utility_DisplayArrayInTable(Fertiliser_SourceData.Fertiliser_Products_Data1(),FertiliserProducts[[#Headers],[Include or Exclude]], 0,4)</f>
        <v/>
      </c>
      <c r="O146" s="62" t="str" cm="1">
        <f t="array" ref="O146">Common_InputFunctions.Utility_DisplayArrayInTable(Fertiliser_SourceData.Fertiliser_Products_Data1(),FertiliserProducts[[#Headers],[Include or Exclude]], 0,4)</f>
        <v/>
      </c>
      <c r="P146" s="62" t="str" cm="1">
        <f t="array" ref="P146">Common_InputFunctions.Utility_DisplayArrayInTable(Fertiliser_SourceData.Fertiliser_Products_Data1(),FertiliserProducts[[#Headers],[Include or Exclude]], 0,4)</f>
        <v/>
      </c>
      <c r="Q146" s="62" t="str" cm="1">
        <f t="array" ref="Q146">Common_InputFunctions.Utility_DisplayArrayInTable(Fertiliser_SourceData.Fertiliser_Products_Data1(),FertiliserProducts[[#Headers],[Include or Exclude]], 0,4)</f>
        <v/>
      </c>
      <c r="R146" s="62" t="str" cm="1">
        <f t="array" ref="R146">Common_InputFunctions.Utility_DisplayArrayInTable(Fertiliser_SourceData.Fertiliser_Products_Data1(),FertiliserProducts[[#Headers],[Include or Exclude]], 0,4)</f>
        <v/>
      </c>
      <c r="S146" s="62" t="str" cm="1">
        <f t="array" ref="S146">Common_InputFunctions.Utility_DisplayArrayInTable(Fertiliser_SourceData.Fertiliser_Products_Data1(),FertiliserProducts[[#Headers],[Include or Exclude]], 0,4)</f>
        <v/>
      </c>
      <c r="T146" s="62" t="str" cm="1">
        <f t="array" ref="T146">Common_InputFunctions.Utility_DisplayArrayInTable(Fertiliser_SourceData.Fertiliser_Products_Data1(),FertiliserProducts[[#Headers],[Include or Exclude]], 0,4)</f>
        <v/>
      </c>
      <c r="U146" s="62" t="str" cm="1">
        <f t="array" ref="U146">Common_InputFunctions.Utility_DisplayArrayInTable(Fertiliser_SourceData.Fertiliser_Products_Data1(),FertiliserProducts[[#Headers],[Include or Exclude]], 0,4)</f>
        <v/>
      </c>
      <c r="V146" s="62" t="str" cm="1">
        <f t="array" ref="V146">Common_InputFunctions.Utility_DisplayArrayInTable(Fertiliser_SourceData.Fertiliser_Products_Data1(),FertiliserProducts[[#Headers],[Include or Exclude]], 0,4)</f>
        <v/>
      </c>
      <c r="W146" s="62" t="str" cm="1">
        <f t="array" ref="W146">Common_InputFunctions.Utility_DisplayArrayInTable(Fertiliser_SourceData.Fertiliser_Products_Data1(),FertiliserProducts[[#Headers],[Include or Exclude]], 0,4)</f>
        <v/>
      </c>
      <c r="X146" s="62" t="str" cm="1">
        <f t="array" ref="X146">Common_InputFunctions.Utility_DisplayArrayInTable(Fertiliser_SourceData.Fertiliser_Products_Data1(),FertiliserProducts[[#Headers],[Include or Exclude]], 0,4)</f>
        <v/>
      </c>
      <c r="Y146" s="62" t="str" cm="1">
        <f t="array" ref="Y146">Common_InputFunctions.Utility_DisplayArrayInTable(Fertiliser_SourceData.Fertiliser_Products_Data1(),FertiliserProducts[[#Headers],[Include or Exclude]], 0,4)</f>
        <v/>
      </c>
      <c r="Z146" s="62" t="str" cm="1">
        <f t="array" ref="Z146">Common_InputFunctions.Utility_DisplayArrayInTable(Fertiliser_SourceData.Fertiliser_Products_Data1(),FertiliserProducts[[#Headers],[Include or Exclude]], 0,4)</f>
        <v/>
      </c>
      <c r="AA146" s="62" t="str" cm="1">
        <f t="array" ref="AA146">Common_InputFunctions.Utility_DisplayArrayInTable(Fertiliser_SourceData.Fertiliser_Products_Data1(),FertiliserProducts[[#Headers],[Include or Exclude]], 0,4)</f>
        <v/>
      </c>
      <c r="AB146" s="62" t="str" cm="1">
        <f t="array" ref="AB146">Common_InputFunctions.Utility_DisplayArrayInTable(Fertiliser_SourceData.Fertiliser_Products_Data1(),FertiliserProducts[[#Headers],[Include or Exclude]], 0,4)</f>
        <v/>
      </c>
      <c r="AC146" s="62" t="str" cm="1">
        <f t="array" ref="AC146">Common_InputFunctions.Utility_DisplayArrayInTable(Fertiliser_SourceData.Fertiliser_Products_Data1(),FertiliserProducts[[#Headers],[Include or Exclude]], 0,4)</f>
        <v/>
      </c>
      <c r="AD146" s="62" t="str" cm="1">
        <f t="array" ref="AD146">Common_InputFunctions.Utility_DisplayArrayInTable(Fertiliser_SourceData.Fertiliser_Products_Data1(),FertiliserProducts[[#Headers],[Include or Exclude]], 0,4)</f>
        <v/>
      </c>
      <c r="AE146" s="62" t="str" cm="1">
        <f t="array" ref="AE146">Common_InputFunctions.Utility_DisplayArrayInTable(Fertiliser_SourceData.Fertiliser_Products_Data1(),FertiliserProducts[[#Headers],[Include or Exclude]], 0,4)</f>
        <v/>
      </c>
    </row>
    <row r="147" spans="1:31" ht="20.100000000000001" customHeight="1" x14ac:dyDescent="0.25">
      <c r="A147"/>
      <c r="D147" s="62" t="str" cm="1">
        <f t="array" ref="D147">Common_InputFunctions.Utility_DisplayArrayInTable(Fertiliser_SourceData.Fertiliser_Products_Data1(),FertiliserProducts[[#Headers],[Include or Exclude]], -1)</f>
        <v/>
      </c>
      <c r="E147" s="62" t="str" cm="1">
        <f t="array" ref="E147">Common_InputFunctions.Utility_DisplayArrayInTable(Fertiliser_SourceData.Fertiliser_Products_Data1(),FertiliserProducts[[#Headers],[Include or Exclude]], 0)</f>
        <v/>
      </c>
      <c r="F147" s="62" t="str" cm="1">
        <f t="array" ref="F147">Common_InputFunctions.Utility_DisplayArrayInTable(Fertiliser_SourceData.Fertiliser_Products_Data1(),FertiliserProducts[[#Headers],[Include or Exclude]], 0)</f>
        <v/>
      </c>
      <c r="G147" s="62" t="str" cm="1">
        <f t="array" ref="G147">Common_InputFunctions.Utility_DisplayArrayInTable(Fertiliser_SourceData.Fertiliser_Products_Data1(),FertiliserProducts[[#Headers],[Include or Exclude]], 0)</f>
        <v/>
      </c>
      <c r="H147" s="62" t="str" cm="1">
        <f t="array" ref="H147">Common_InputFunctions.Utility_DisplayArrayInTable(Fertiliser_SourceData.Fertiliser_Products_Data1(),FertiliserProducts[[#Headers],[Include or Exclude]], 0,4)</f>
        <v/>
      </c>
      <c r="I147" s="62" t="str" cm="1">
        <f t="array" ref="I147">Common_InputFunctions.Utility_DisplayArrayInTable(Fertiliser_SourceData.Fertiliser_Products_Data1(),FertiliserProducts[[#Headers],[Include or Exclude]], 0,4)</f>
        <v/>
      </c>
      <c r="J147" s="62" t="str" cm="1">
        <f t="array" ref="J147">Common_InputFunctions.Utility_DisplayArrayInTable(Fertiliser_SourceData.Fertiliser_Products_Data1(),FertiliserProducts[[#Headers],[Include or Exclude]], 0,4)</f>
        <v/>
      </c>
      <c r="K147" s="62" t="str" cm="1">
        <f t="array" ref="K147">Common_InputFunctions.Utility_DisplayArrayInTable(Fertiliser_SourceData.Fertiliser_Products_Data1(),FertiliserProducts[[#Headers],[Include or Exclude]], 0,4)</f>
        <v/>
      </c>
      <c r="L147" s="62" t="str" cm="1">
        <f t="array" ref="L147">Common_InputFunctions.Utility_DisplayArrayInTable(Fertiliser_SourceData.Fertiliser_Products_Data1(),FertiliserProducts[[#Headers],[Include or Exclude]], 0,4)</f>
        <v/>
      </c>
      <c r="M147" s="62" t="str" cm="1">
        <f t="array" ref="M147">Common_InputFunctions.Utility_DisplayArrayInTable(Fertiliser_SourceData.Fertiliser_Products_Data1(),FertiliserProducts[[#Headers],[Include or Exclude]], 0,4)</f>
        <v/>
      </c>
      <c r="N147" s="62" t="str" cm="1">
        <f t="array" ref="N147">Common_InputFunctions.Utility_DisplayArrayInTable(Fertiliser_SourceData.Fertiliser_Products_Data1(),FertiliserProducts[[#Headers],[Include or Exclude]], 0,4)</f>
        <v/>
      </c>
      <c r="O147" s="62" t="str" cm="1">
        <f t="array" ref="O147">Common_InputFunctions.Utility_DisplayArrayInTable(Fertiliser_SourceData.Fertiliser_Products_Data1(),FertiliserProducts[[#Headers],[Include or Exclude]], 0,4)</f>
        <v/>
      </c>
      <c r="P147" s="62" t="str" cm="1">
        <f t="array" ref="P147">Common_InputFunctions.Utility_DisplayArrayInTable(Fertiliser_SourceData.Fertiliser_Products_Data1(),FertiliserProducts[[#Headers],[Include or Exclude]], 0,4)</f>
        <v/>
      </c>
      <c r="Q147" s="62" t="str" cm="1">
        <f t="array" ref="Q147">Common_InputFunctions.Utility_DisplayArrayInTable(Fertiliser_SourceData.Fertiliser_Products_Data1(),FertiliserProducts[[#Headers],[Include or Exclude]], 0,4)</f>
        <v/>
      </c>
      <c r="R147" s="62" t="str" cm="1">
        <f t="array" ref="R147">Common_InputFunctions.Utility_DisplayArrayInTable(Fertiliser_SourceData.Fertiliser_Products_Data1(),FertiliserProducts[[#Headers],[Include or Exclude]], 0,4)</f>
        <v/>
      </c>
      <c r="S147" s="62" t="str" cm="1">
        <f t="array" ref="S147">Common_InputFunctions.Utility_DisplayArrayInTable(Fertiliser_SourceData.Fertiliser_Products_Data1(),FertiliserProducts[[#Headers],[Include or Exclude]], 0,4)</f>
        <v/>
      </c>
      <c r="T147" s="62" t="str" cm="1">
        <f t="array" ref="T147">Common_InputFunctions.Utility_DisplayArrayInTable(Fertiliser_SourceData.Fertiliser_Products_Data1(),FertiliserProducts[[#Headers],[Include or Exclude]], 0,4)</f>
        <v/>
      </c>
      <c r="U147" s="62" t="str" cm="1">
        <f t="array" ref="U147">Common_InputFunctions.Utility_DisplayArrayInTable(Fertiliser_SourceData.Fertiliser_Products_Data1(),FertiliserProducts[[#Headers],[Include or Exclude]], 0,4)</f>
        <v/>
      </c>
      <c r="V147" s="62" t="str" cm="1">
        <f t="array" ref="V147">Common_InputFunctions.Utility_DisplayArrayInTable(Fertiliser_SourceData.Fertiliser_Products_Data1(),FertiliserProducts[[#Headers],[Include or Exclude]], 0,4)</f>
        <v/>
      </c>
      <c r="W147" s="62" t="str" cm="1">
        <f t="array" ref="W147">Common_InputFunctions.Utility_DisplayArrayInTable(Fertiliser_SourceData.Fertiliser_Products_Data1(),FertiliserProducts[[#Headers],[Include or Exclude]], 0,4)</f>
        <v/>
      </c>
      <c r="X147" s="62" t="str" cm="1">
        <f t="array" ref="X147">Common_InputFunctions.Utility_DisplayArrayInTable(Fertiliser_SourceData.Fertiliser_Products_Data1(),FertiliserProducts[[#Headers],[Include or Exclude]], 0,4)</f>
        <v/>
      </c>
      <c r="Y147" s="62" t="str" cm="1">
        <f t="array" ref="Y147">Common_InputFunctions.Utility_DisplayArrayInTable(Fertiliser_SourceData.Fertiliser_Products_Data1(),FertiliserProducts[[#Headers],[Include or Exclude]], 0,4)</f>
        <v/>
      </c>
      <c r="Z147" s="62" t="str" cm="1">
        <f t="array" ref="Z147">Common_InputFunctions.Utility_DisplayArrayInTable(Fertiliser_SourceData.Fertiliser_Products_Data1(),FertiliserProducts[[#Headers],[Include or Exclude]], 0,4)</f>
        <v/>
      </c>
      <c r="AA147" s="62" t="str" cm="1">
        <f t="array" ref="AA147">Common_InputFunctions.Utility_DisplayArrayInTable(Fertiliser_SourceData.Fertiliser_Products_Data1(),FertiliserProducts[[#Headers],[Include or Exclude]], 0,4)</f>
        <v/>
      </c>
      <c r="AB147" s="62" t="str" cm="1">
        <f t="array" ref="AB147">Common_InputFunctions.Utility_DisplayArrayInTable(Fertiliser_SourceData.Fertiliser_Products_Data1(),FertiliserProducts[[#Headers],[Include or Exclude]], 0,4)</f>
        <v/>
      </c>
      <c r="AC147" s="62" t="str" cm="1">
        <f t="array" ref="AC147">Common_InputFunctions.Utility_DisplayArrayInTable(Fertiliser_SourceData.Fertiliser_Products_Data1(),FertiliserProducts[[#Headers],[Include or Exclude]], 0,4)</f>
        <v/>
      </c>
      <c r="AD147" s="62" t="str" cm="1">
        <f t="array" ref="AD147">Common_InputFunctions.Utility_DisplayArrayInTable(Fertiliser_SourceData.Fertiliser_Products_Data1(),FertiliserProducts[[#Headers],[Include or Exclude]], 0,4)</f>
        <v/>
      </c>
      <c r="AE147" s="62" t="str" cm="1">
        <f t="array" ref="AE147">Common_InputFunctions.Utility_DisplayArrayInTable(Fertiliser_SourceData.Fertiliser_Products_Data1(),FertiliserProducts[[#Headers],[Include or Exclude]], 0,4)</f>
        <v/>
      </c>
    </row>
    <row r="148" spans="1:31" ht="20.100000000000001" customHeight="1" x14ac:dyDescent="0.25">
      <c r="A148"/>
      <c r="D148" s="62" t="str" cm="1">
        <f t="array" ref="D148">Common_InputFunctions.Utility_DisplayArrayInTable(Fertiliser_SourceData.Fertiliser_Products_Data1(),FertiliserProducts[[#Headers],[Include or Exclude]], -1)</f>
        <v/>
      </c>
      <c r="E148" s="62" t="str" cm="1">
        <f t="array" ref="E148">Common_InputFunctions.Utility_DisplayArrayInTable(Fertiliser_SourceData.Fertiliser_Products_Data1(),FertiliserProducts[[#Headers],[Include or Exclude]], 0)</f>
        <v/>
      </c>
      <c r="F148" s="62" t="str" cm="1">
        <f t="array" ref="F148">Common_InputFunctions.Utility_DisplayArrayInTable(Fertiliser_SourceData.Fertiliser_Products_Data1(),FertiliserProducts[[#Headers],[Include or Exclude]], 0)</f>
        <v/>
      </c>
      <c r="G148" s="62" t="str" cm="1">
        <f t="array" ref="G148">Common_InputFunctions.Utility_DisplayArrayInTable(Fertiliser_SourceData.Fertiliser_Products_Data1(),FertiliserProducts[[#Headers],[Include or Exclude]], 0)</f>
        <v/>
      </c>
      <c r="H148" s="62" t="str" cm="1">
        <f t="array" ref="H148">Common_InputFunctions.Utility_DisplayArrayInTable(Fertiliser_SourceData.Fertiliser_Products_Data1(),FertiliserProducts[[#Headers],[Include or Exclude]], 0,4)</f>
        <v/>
      </c>
      <c r="I148" s="62" t="str" cm="1">
        <f t="array" ref="I148">Common_InputFunctions.Utility_DisplayArrayInTable(Fertiliser_SourceData.Fertiliser_Products_Data1(),FertiliserProducts[[#Headers],[Include or Exclude]], 0,4)</f>
        <v/>
      </c>
      <c r="J148" s="62" t="str" cm="1">
        <f t="array" ref="J148">Common_InputFunctions.Utility_DisplayArrayInTable(Fertiliser_SourceData.Fertiliser_Products_Data1(),FertiliserProducts[[#Headers],[Include or Exclude]], 0,4)</f>
        <v/>
      </c>
      <c r="K148" s="62" t="str" cm="1">
        <f t="array" ref="K148">Common_InputFunctions.Utility_DisplayArrayInTable(Fertiliser_SourceData.Fertiliser_Products_Data1(),FertiliserProducts[[#Headers],[Include or Exclude]], 0,4)</f>
        <v/>
      </c>
      <c r="L148" s="62" t="str" cm="1">
        <f t="array" ref="L148">Common_InputFunctions.Utility_DisplayArrayInTable(Fertiliser_SourceData.Fertiliser_Products_Data1(),FertiliserProducts[[#Headers],[Include or Exclude]], 0,4)</f>
        <v/>
      </c>
      <c r="M148" s="62" t="str" cm="1">
        <f t="array" ref="M148">Common_InputFunctions.Utility_DisplayArrayInTable(Fertiliser_SourceData.Fertiliser_Products_Data1(),FertiliserProducts[[#Headers],[Include or Exclude]], 0,4)</f>
        <v/>
      </c>
      <c r="N148" s="62" t="str" cm="1">
        <f t="array" ref="N148">Common_InputFunctions.Utility_DisplayArrayInTable(Fertiliser_SourceData.Fertiliser_Products_Data1(),FertiliserProducts[[#Headers],[Include or Exclude]], 0,4)</f>
        <v/>
      </c>
      <c r="O148" s="62" t="str" cm="1">
        <f t="array" ref="O148">Common_InputFunctions.Utility_DisplayArrayInTable(Fertiliser_SourceData.Fertiliser_Products_Data1(),FertiliserProducts[[#Headers],[Include or Exclude]], 0,4)</f>
        <v/>
      </c>
      <c r="P148" s="62" t="str" cm="1">
        <f t="array" ref="P148">Common_InputFunctions.Utility_DisplayArrayInTable(Fertiliser_SourceData.Fertiliser_Products_Data1(),FertiliserProducts[[#Headers],[Include or Exclude]], 0,4)</f>
        <v/>
      </c>
      <c r="Q148" s="62" t="str" cm="1">
        <f t="array" ref="Q148">Common_InputFunctions.Utility_DisplayArrayInTable(Fertiliser_SourceData.Fertiliser_Products_Data1(),FertiliserProducts[[#Headers],[Include or Exclude]], 0,4)</f>
        <v/>
      </c>
      <c r="R148" s="62" t="str" cm="1">
        <f t="array" ref="R148">Common_InputFunctions.Utility_DisplayArrayInTable(Fertiliser_SourceData.Fertiliser_Products_Data1(),FertiliserProducts[[#Headers],[Include or Exclude]], 0,4)</f>
        <v/>
      </c>
      <c r="S148" s="62" t="str" cm="1">
        <f t="array" ref="S148">Common_InputFunctions.Utility_DisplayArrayInTable(Fertiliser_SourceData.Fertiliser_Products_Data1(),FertiliserProducts[[#Headers],[Include or Exclude]], 0,4)</f>
        <v/>
      </c>
      <c r="T148" s="62" t="str" cm="1">
        <f t="array" ref="T148">Common_InputFunctions.Utility_DisplayArrayInTable(Fertiliser_SourceData.Fertiliser_Products_Data1(),FertiliserProducts[[#Headers],[Include or Exclude]], 0,4)</f>
        <v/>
      </c>
      <c r="U148" s="62" t="str" cm="1">
        <f t="array" ref="U148">Common_InputFunctions.Utility_DisplayArrayInTable(Fertiliser_SourceData.Fertiliser_Products_Data1(),FertiliserProducts[[#Headers],[Include or Exclude]], 0,4)</f>
        <v/>
      </c>
      <c r="V148" s="62" t="str" cm="1">
        <f t="array" ref="V148">Common_InputFunctions.Utility_DisplayArrayInTable(Fertiliser_SourceData.Fertiliser_Products_Data1(),FertiliserProducts[[#Headers],[Include or Exclude]], 0,4)</f>
        <v/>
      </c>
      <c r="W148" s="62" t="str" cm="1">
        <f t="array" ref="W148">Common_InputFunctions.Utility_DisplayArrayInTable(Fertiliser_SourceData.Fertiliser_Products_Data1(),FertiliserProducts[[#Headers],[Include or Exclude]], 0,4)</f>
        <v/>
      </c>
      <c r="X148" s="62" t="str" cm="1">
        <f t="array" ref="X148">Common_InputFunctions.Utility_DisplayArrayInTable(Fertiliser_SourceData.Fertiliser_Products_Data1(),FertiliserProducts[[#Headers],[Include or Exclude]], 0,4)</f>
        <v/>
      </c>
      <c r="Y148" s="62" t="str" cm="1">
        <f t="array" ref="Y148">Common_InputFunctions.Utility_DisplayArrayInTable(Fertiliser_SourceData.Fertiliser_Products_Data1(),FertiliserProducts[[#Headers],[Include or Exclude]], 0,4)</f>
        <v/>
      </c>
      <c r="Z148" s="62" t="str" cm="1">
        <f t="array" ref="Z148">Common_InputFunctions.Utility_DisplayArrayInTable(Fertiliser_SourceData.Fertiliser_Products_Data1(),FertiliserProducts[[#Headers],[Include or Exclude]], 0,4)</f>
        <v/>
      </c>
      <c r="AA148" s="62" t="str" cm="1">
        <f t="array" ref="AA148">Common_InputFunctions.Utility_DisplayArrayInTable(Fertiliser_SourceData.Fertiliser_Products_Data1(),FertiliserProducts[[#Headers],[Include or Exclude]], 0,4)</f>
        <v/>
      </c>
      <c r="AB148" s="62" t="str" cm="1">
        <f t="array" ref="AB148">Common_InputFunctions.Utility_DisplayArrayInTable(Fertiliser_SourceData.Fertiliser_Products_Data1(),FertiliserProducts[[#Headers],[Include or Exclude]], 0,4)</f>
        <v/>
      </c>
      <c r="AC148" s="62" t="str" cm="1">
        <f t="array" ref="AC148">Common_InputFunctions.Utility_DisplayArrayInTable(Fertiliser_SourceData.Fertiliser_Products_Data1(),FertiliserProducts[[#Headers],[Include or Exclude]], 0,4)</f>
        <v/>
      </c>
      <c r="AD148" s="62" t="str" cm="1">
        <f t="array" ref="AD148">Common_InputFunctions.Utility_DisplayArrayInTable(Fertiliser_SourceData.Fertiliser_Products_Data1(),FertiliserProducts[[#Headers],[Include or Exclude]], 0,4)</f>
        <v/>
      </c>
      <c r="AE148" s="62" t="str" cm="1">
        <f t="array" ref="AE148">Common_InputFunctions.Utility_DisplayArrayInTable(Fertiliser_SourceData.Fertiliser_Products_Data1(),FertiliserProducts[[#Headers],[Include or Exclude]], 0,4)</f>
        <v/>
      </c>
    </row>
    <row r="149" spans="1:31" ht="20.100000000000001" customHeight="1" x14ac:dyDescent="0.25">
      <c r="A149"/>
      <c r="D149" s="62" t="str" cm="1">
        <f t="array" ref="D149">Common_InputFunctions.Utility_DisplayArrayInTable(Fertiliser_SourceData.Fertiliser_Products_Data1(),FertiliserProducts[[#Headers],[Include or Exclude]], -1)</f>
        <v/>
      </c>
      <c r="E149" s="62" t="str" cm="1">
        <f t="array" ref="E149">Common_InputFunctions.Utility_DisplayArrayInTable(Fertiliser_SourceData.Fertiliser_Products_Data1(),FertiliserProducts[[#Headers],[Include or Exclude]], 0)</f>
        <v/>
      </c>
      <c r="F149" s="62" t="str" cm="1">
        <f t="array" ref="F149">Common_InputFunctions.Utility_DisplayArrayInTable(Fertiliser_SourceData.Fertiliser_Products_Data1(),FertiliserProducts[[#Headers],[Include or Exclude]], 0)</f>
        <v/>
      </c>
      <c r="G149" s="62" t="str" cm="1">
        <f t="array" ref="G149">Common_InputFunctions.Utility_DisplayArrayInTable(Fertiliser_SourceData.Fertiliser_Products_Data1(),FertiliserProducts[[#Headers],[Include or Exclude]], 0)</f>
        <v/>
      </c>
      <c r="H149" s="62" t="str" cm="1">
        <f t="array" ref="H149">Common_InputFunctions.Utility_DisplayArrayInTable(Fertiliser_SourceData.Fertiliser_Products_Data1(),FertiliserProducts[[#Headers],[Include or Exclude]], 0,4)</f>
        <v/>
      </c>
      <c r="I149" s="62" t="str" cm="1">
        <f t="array" ref="I149">Common_InputFunctions.Utility_DisplayArrayInTable(Fertiliser_SourceData.Fertiliser_Products_Data1(),FertiliserProducts[[#Headers],[Include or Exclude]], 0,4)</f>
        <v/>
      </c>
      <c r="J149" s="62" t="str" cm="1">
        <f t="array" ref="J149">Common_InputFunctions.Utility_DisplayArrayInTable(Fertiliser_SourceData.Fertiliser_Products_Data1(),FertiliserProducts[[#Headers],[Include or Exclude]], 0,4)</f>
        <v/>
      </c>
      <c r="K149" s="62" t="str" cm="1">
        <f t="array" ref="K149">Common_InputFunctions.Utility_DisplayArrayInTable(Fertiliser_SourceData.Fertiliser_Products_Data1(),FertiliserProducts[[#Headers],[Include or Exclude]], 0,4)</f>
        <v/>
      </c>
      <c r="L149" s="62" t="str" cm="1">
        <f t="array" ref="L149">Common_InputFunctions.Utility_DisplayArrayInTable(Fertiliser_SourceData.Fertiliser_Products_Data1(),FertiliserProducts[[#Headers],[Include or Exclude]], 0,4)</f>
        <v/>
      </c>
      <c r="M149" s="62" t="str" cm="1">
        <f t="array" ref="M149">Common_InputFunctions.Utility_DisplayArrayInTable(Fertiliser_SourceData.Fertiliser_Products_Data1(),FertiliserProducts[[#Headers],[Include or Exclude]], 0,4)</f>
        <v/>
      </c>
      <c r="N149" s="62" t="str" cm="1">
        <f t="array" ref="N149">Common_InputFunctions.Utility_DisplayArrayInTable(Fertiliser_SourceData.Fertiliser_Products_Data1(),FertiliserProducts[[#Headers],[Include or Exclude]], 0,4)</f>
        <v/>
      </c>
      <c r="O149" s="62" t="str" cm="1">
        <f t="array" ref="O149">Common_InputFunctions.Utility_DisplayArrayInTable(Fertiliser_SourceData.Fertiliser_Products_Data1(),FertiliserProducts[[#Headers],[Include or Exclude]], 0,4)</f>
        <v/>
      </c>
      <c r="P149" s="62" t="str" cm="1">
        <f t="array" ref="P149">Common_InputFunctions.Utility_DisplayArrayInTable(Fertiliser_SourceData.Fertiliser_Products_Data1(),FertiliserProducts[[#Headers],[Include or Exclude]], 0,4)</f>
        <v/>
      </c>
      <c r="Q149" s="62" t="str" cm="1">
        <f t="array" ref="Q149">Common_InputFunctions.Utility_DisplayArrayInTable(Fertiliser_SourceData.Fertiliser_Products_Data1(),FertiliserProducts[[#Headers],[Include or Exclude]], 0,4)</f>
        <v/>
      </c>
      <c r="R149" s="62" t="str" cm="1">
        <f t="array" ref="R149">Common_InputFunctions.Utility_DisplayArrayInTable(Fertiliser_SourceData.Fertiliser_Products_Data1(),FertiliserProducts[[#Headers],[Include or Exclude]], 0,4)</f>
        <v/>
      </c>
      <c r="S149" s="62" t="str" cm="1">
        <f t="array" ref="S149">Common_InputFunctions.Utility_DisplayArrayInTable(Fertiliser_SourceData.Fertiliser_Products_Data1(),FertiliserProducts[[#Headers],[Include or Exclude]], 0,4)</f>
        <v/>
      </c>
      <c r="T149" s="62" t="str" cm="1">
        <f t="array" ref="T149">Common_InputFunctions.Utility_DisplayArrayInTable(Fertiliser_SourceData.Fertiliser_Products_Data1(),FertiliserProducts[[#Headers],[Include or Exclude]], 0,4)</f>
        <v/>
      </c>
      <c r="U149" s="62" t="str" cm="1">
        <f t="array" ref="U149">Common_InputFunctions.Utility_DisplayArrayInTable(Fertiliser_SourceData.Fertiliser_Products_Data1(),FertiliserProducts[[#Headers],[Include or Exclude]], 0,4)</f>
        <v/>
      </c>
      <c r="V149" s="62" t="str" cm="1">
        <f t="array" ref="V149">Common_InputFunctions.Utility_DisplayArrayInTable(Fertiliser_SourceData.Fertiliser_Products_Data1(),FertiliserProducts[[#Headers],[Include or Exclude]], 0,4)</f>
        <v/>
      </c>
      <c r="W149" s="62" t="str" cm="1">
        <f t="array" ref="W149">Common_InputFunctions.Utility_DisplayArrayInTable(Fertiliser_SourceData.Fertiliser_Products_Data1(),FertiliserProducts[[#Headers],[Include or Exclude]], 0,4)</f>
        <v/>
      </c>
      <c r="X149" s="62" t="str" cm="1">
        <f t="array" ref="X149">Common_InputFunctions.Utility_DisplayArrayInTable(Fertiliser_SourceData.Fertiliser_Products_Data1(),FertiliserProducts[[#Headers],[Include or Exclude]], 0,4)</f>
        <v/>
      </c>
      <c r="Y149" s="62" t="str" cm="1">
        <f t="array" ref="Y149">Common_InputFunctions.Utility_DisplayArrayInTable(Fertiliser_SourceData.Fertiliser_Products_Data1(),FertiliserProducts[[#Headers],[Include or Exclude]], 0,4)</f>
        <v/>
      </c>
      <c r="Z149" s="62" t="str" cm="1">
        <f t="array" ref="Z149">Common_InputFunctions.Utility_DisplayArrayInTable(Fertiliser_SourceData.Fertiliser_Products_Data1(),FertiliserProducts[[#Headers],[Include or Exclude]], 0,4)</f>
        <v/>
      </c>
      <c r="AA149" s="62" t="str" cm="1">
        <f t="array" ref="AA149">Common_InputFunctions.Utility_DisplayArrayInTable(Fertiliser_SourceData.Fertiliser_Products_Data1(),FertiliserProducts[[#Headers],[Include or Exclude]], 0,4)</f>
        <v/>
      </c>
      <c r="AB149" s="62" t="str" cm="1">
        <f t="array" ref="AB149">Common_InputFunctions.Utility_DisplayArrayInTable(Fertiliser_SourceData.Fertiliser_Products_Data1(),FertiliserProducts[[#Headers],[Include or Exclude]], 0,4)</f>
        <v/>
      </c>
      <c r="AC149" s="62" t="str" cm="1">
        <f t="array" ref="AC149">Common_InputFunctions.Utility_DisplayArrayInTable(Fertiliser_SourceData.Fertiliser_Products_Data1(),FertiliserProducts[[#Headers],[Include or Exclude]], 0,4)</f>
        <v/>
      </c>
      <c r="AD149" s="62" t="str" cm="1">
        <f t="array" ref="AD149">Common_InputFunctions.Utility_DisplayArrayInTable(Fertiliser_SourceData.Fertiliser_Products_Data1(),FertiliserProducts[[#Headers],[Include or Exclude]], 0,4)</f>
        <v/>
      </c>
      <c r="AE149" s="62" t="str" cm="1">
        <f t="array" ref="AE149">Common_InputFunctions.Utility_DisplayArrayInTable(Fertiliser_SourceData.Fertiliser_Products_Data1(),FertiliserProducts[[#Headers],[Include or Exclude]], 0,4)</f>
        <v/>
      </c>
    </row>
    <row r="150" spans="1:31" ht="20.100000000000001" customHeight="1" x14ac:dyDescent="0.25">
      <c r="A150"/>
      <c r="D150" s="62" t="str" cm="1">
        <f t="array" ref="D150">Common_InputFunctions.Utility_DisplayArrayInTable(Fertiliser_SourceData.Fertiliser_Products_Data1(),FertiliserProducts[[#Headers],[Include or Exclude]], -1)</f>
        <v/>
      </c>
      <c r="E150" s="62" t="str" cm="1">
        <f t="array" ref="E150">Common_InputFunctions.Utility_DisplayArrayInTable(Fertiliser_SourceData.Fertiliser_Products_Data1(),FertiliserProducts[[#Headers],[Include or Exclude]], 0)</f>
        <v/>
      </c>
      <c r="F150" s="62" t="str" cm="1">
        <f t="array" ref="F150">Common_InputFunctions.Utility_DisplayArrayInTable(Fertiliser_SourceData.Fertiliser_Products_Data1(),FertiliserProducts[[#Headers],[Include or Exclude]], 0)</f>
        <v/>
      </c>
      <c r="G150" s="62" t="str" cm="1">
        <f t="array" ref="G150">Common_InputFunctions.Utility_DisplayArrayInTable(Fertiliser_SourceData.Fertiliser_Products_Data1(),FertiliserProducts[[#Headers],[Include or Exclude]], 0)</f>
        <v/>
      </c>
      <c r="H150" s="62" t="str" cm="1">
        <f t="array" ref="H150">Common_InputFunctions.Utility_DisplayArrayInTable(Fertiliser_SourceData.Fertiliser_Products_Data1(),FertiliserProducts[[#Headers],[Include or Exclude]], 0,4)</f>
        <v/>
      </c>
      <c r="I150" s="62" t="str" cm="1">
        <f t="array" ref="I150">Common_InputFunctions.Utility_DisplayArrayInTable(Fertiliser_SourceData.Fertiliser_Products_Data1(),FertiliserProducts[[#Headers],[Include or Exclude]], 0,4)</f>
        <v/>
      </c>
      <c r="J150" s="62" t="str" cm="1">
        <f t="array" ref="J150">Common_InputFunctions.Utility_DisplayArrayInTable(Fertiliser_SourceData.Fertiliser_Products_Data1(),FertiliserProducts[[#Headers],[Include or Exclude]], 0,4)</f>
        <v/>
      </c>
      <c r="K150" s="62" t="str" cm="1">
        <f t="array" ref="K150">Common_InputFunctions.Utility_DisplayArrayInTable(Fertiliser_SourceData.Fertiliser_Products_Data1(),FertiliserProducts[[#Headers],[Include or Exclude]], 0,4)</f>
        <v/>
      </c>
      <c r="L150" s="62" t="str" cm="1">
        <f t="array" ref="L150">Common_InputFunctions.Utility_DisplayArrayInTable(Fertiliser_SourceData.Fertiliser_Products_Data1(),FertiliserProducts[[#Headers],[Include or Exclude]], 0,4)</f>
        <v/>
      </c>
      <c r="M150" s="62" t="str" cm="1">
        <f t="array" ref="M150">Common_InputFunctions.Utility_DisplayArrayInTable(Fertiliser_SourceData.Fertiliser_Products_Data1(),FertiliserProducts[[#Headers],[Include or Exclude]], 0,4)</f>
        <v/>
      </c>
      <c r="N150" s="62" t="str" cm="1">
        <f t="array" ref="N150">Common_InputFunctions.Utility_DisplayArrayInTable(Fertiliser_SourceData.Fertiliser_Products_Data1(),FertiliserProducts[[#Headers],[Include or Exclude]], 0,4)</f>
        <v/>
      </c>
      <c r="O150" s="62" t="str" cm="1">
        <f t="array" ref="O150">Common_InputFunctions.Utility_DisplayArrayInTable(Fertiliser_SourceData.Fertiliser_Products_Data1(),FertiliserProducts[[#Headers],[Include or Exclude]], 0,4)</f>
        <v/>
      </c>
      <c r="P150" s="62" t="str" cm="1">
        <f t="array" ref="P150">Common_InputFunctions.Utility_DisplayArrayInTable(Fertiliser_SourceData.Fertiliser_Products_Data1(),FertiliserProducts[[#Headers],[Include or Exclude]], 0,4)</f>
        <v/>
      </c>
      <c r="Q150" s="62" t="str" cm="1">
        <f t="array" ref="Q150">Common_InputFunctions.Utility_DisplayArrayInTable(Fertiliser_SourceData.Fertiliser_Products_Data1(),FertiliserProducts[[#Headers],[Include or Exclude]], 0,4)</f>
        <v/>
      </c>
      <c r="R150" s="62" t="str" cm="1">
        <f t="array" ref="R150">Common_InputFunctions.Utility_DisplayArrayInTable(Fertiliser_SourceData.Fertiliser_Products_Data1(),FertiliserProducts[[#Headers],[Include or Exclude]], 0,4)</f>
        <v/>
      </c>
      <c r="S150" s="62" t="str" cm="1">
        <f t="array" ref="S150">Common_InputFunctions.Utility_DisplayArrayInTable(Fertiliser_SourceData.Fertiliser_Products_Data1(),FertiliserProducts[[#Headers],[Include or Exclude]], 0,4)</f>
        <v/>
      </c>
      <c r="T150" s="62" t="str" cm="1">
        <f t="array" ref="T150">Common_InputFunctions.Utility_DisplayArrayInTable(Fertiliser_SourceData.Fertiliser_Products_Data1(),FertiliserProducts[[#Headers],[Include or Exclude]], 0,4)</f>
        <v/>
      </c>
      <c r="U150" s="62" t="str" cm="1">
        <f t="array" ref="U150">Common_InputFunctions.Utility_DisplayArrayInTable(Fertiliser_SourceData.Fertiliser_Products_Data1(),FertiliserProducts[[#Headers],[Include or Exclude]], 0,4)</f>
        <v/>
      </c>
      <c r="V150" s="62" t="str" cm="1">
        <f t="array" ref="V150">Common_InputFunctions.Utility_DisplayArrayInTable(Fertiliser_SourceData.Fertiliser_Products_Data1(),FertiliserProducts[[#Headers],[Include or Exclude]], 0,4)</f>
        <v/>
      </c>
      <c r="W150" s="62" t="str" cm="1">
        <f t="array" ref="W150">Common_InputFunctions.Utility_DisplayArrayInTable(Fertiliser_SourceData.Fertiliser_Products_Data1(),FertiliserProducts[[#Headers],[Include or Exclude]], 0,4)</f>
        <v/>
      </c>
      <c r="X150" s="62" t="str" cm="1">
        <f t="array" ref="X150">Common_InputFunctions.Utility_DisplayArrayInTable(Fertiliser_SourceData.Fertiliser_Products_Data1(),FertiliserProducts[[#Headers],[Include or Exclude]], 0,4)</f>
        <v/>
      </c>
      <c r="Y150" s="62" t="str" cm="1">
        <f t="array" ref="Y150">Common_InputFunctions.Utility_DisplayArrayInTable(Fertiliser_SourceData.Fertiliser_Products_Data1(),FertiliserProducts[[#Headers],[Include or Exclude]], 0,4)</f>
        <v/>
      </c>
      <c r="Z150" s="62" t="str" cm="1">
        <f t="array" ref="Z150">Common_InputFunctions.Utility_DisplayArrayInTable(Fertiliser_SourceData.Fertiliser_Products_Data1(),FertiliserProducts[[#Headers],[Include or Exclude]], 0,4)</f>
        <v/>
      </c>
      <c r="AA150" s="62" t="str" cm="1">
        <f t="array" ref="AA150">Common_InputFunctions.Utility_DisplayArrayInTable(Fertiliser_SourceData.Fertiliser_Products_Data1(),FertiliserProducts[[#Headers],[Include or Exclude]], 0,4)</f>
        <v/>
      </c>
      <c r="AB150" s="62" t="str" cm="1">
        <f t="array" ref="AB150">Common_InputFunctions.Utility_DisplayArrayInTable(Fertiliser_SourceData.Fertiliser_Products_Data1(),FertiliserProducts[[#Headers],[Include or Exclude]], 0,4)</f>
        <v/>
      </c>
      <c r="AC150" s="62" t="str" cm="1">
        <f t="array" ref="AC150">Common_InputFunctions.Utility_DisplayArrayInTable(Fertiliser_SourceData.Fertiliser_Products_Data1(),FertiliserProducts[[#Headers],[Include or Exclude]], 0,4)</f>
        <v/>
      </c>
      <c r="AD150" s="62" t="str" cm="1">
        <f t="array" ref="AD150">Common_InputFunctions.Utility_DisplayArrayInTable(Fertiliser_SourceData.Fertiliser_Products_Data1(),FertiliserProducts[[#Headers],[Include or Exclude]], 0,4)</f>
        <v/>
      </c>
      <c r="AE150" s="62" t="str" cm="1">
        <f t="array" ref="AE150">Common_InputFunctions.Utility_DisplayArrayInTable(Fertiliser_SourceData.Fertiliser_Products_Data1(),FertiliserProducts[[#Headers],[Include or Exclude]], 0,4)</f>
        <v/>
      </c>
    </row>
    <row r="151" spans="1:31" ht="20.100000000000001" customHeight="1" x14ac:dyDescent="0.25">
      <c r="A151"/>
      <c r="D151" s="62" t="str" cm="1">
        <f t="array" ref="D151">Common_InputFunctions.Utility_DisplayArrayInTable(Fertiliser_SourceData.Fertiliser_Products_Data1(),FertiliserProducts[[#Headers],[Include or Exclude]], -1)</f>
        <v/>
      </c>
      <c r="E151" s="62" t="str" cm="1">
        <f t="array" ref="E151">Common_InputFunctions.Utility_DisplayArrayInTable(Fertiliser_SourceData.Fertiliser_Products_Data1(),FertiliserProducts[[#Headers],[Include or Exclude]], 0)</f>
        <v/>
      </c>
      <c r="F151" s="62" t="str" cm="1">
        <f t="array" ref="F151">Common_InputFunctions.Utility_DisplayArrayInTable(Fertiliser_SourceData.Fertiliser_Products_Data1(),FertiliserProducts[[#Headers],[Include or Exclude]], 0)</f>
        <v/>
      </c>
      <c r="G151" s="62" t="str" cm="1">
        <f t="array" ref="G151">Common_InputFunctions.Utility_DisplayArrayInTable(Fertiliser_SourceData.Fertiliser_Products_Data1(),FertiliserProducts[[#Headers],[Include or Exclude]], 0)</f>
        <v/>
      </c>
      <c r="H151" s="62" t="str" cm="1">
        <f t="array" ref="H151">Common_InputFunctions.Utility_DisplayArrayInTable(Fertiliser_SourceData.Fertiliser_Products_Data1(),FertiliserProducts[[#Headers],[Include or Exclude]], 0,4)</f>
        <v/>
      </c>
      <c r="I151" s="62" t="str" cm="1">
        <f t="array" ref="I151">Common_InputFunctions.Utility_DisplayArrayInTable(Fertiliser_SourceData.Fertiliser_Products_Data1(),FertiliserProducts[[#Headers],[Include or Exclude]], 0,4)</f>
        <v/>
      </c>
      <c r="J151" s="62" t="str" cm="1">
        <f t="array" ref="J151">Common_InputFunctions.Utility_DisplayArrayInTable(Fertiliser_SourceData.Fertiliser_Products_Data1(),FertiliserProducts[[#Headers],[Include or Exclude]], 0,4)</f>
        <v/>
      </c>
      <c r="K151" s="62" t="str" cm="1">
        <f t="array" ref="K151">Common_InputFunctions.Utility_DisplayArrayInTable(Fertiliser_SourceData.Fertiliser_Products_Data1(),FertiliserProducts[[#Headers],[Include or Exclude]], 0,4)</f>
        <v/>
      </c>
      <c r="L151" s="62" t="str" cm="1">
        <f t="array" ref="L151">Common_InputFunctions.Utility_DisplayArrayInTable(Fertiliser_SourceData.Fertiliser_Products_Data1(),FertiliserProducts[[#Headers],[Include or Exclude]], 0,4)</f>
        <v/>
      </c>
      <c r="M151" s="62" t="str" cm="1">
        <f t="array" ref="M151">Common_InputFunctions.Utility_DisplayArrayInTable(Fertiliser_SourceData.Fertiliser_Products_Data1(),FertiliserProducts[[#Headers],[Include or Exclude]], 0,4)</f>
        <v/>
      </c>
      <c r="N151" s="62" t="str" cm="1">
        <f t="array" ref="N151">Common_InputFunctions.Utility_DisplayArrayInTable(Fertiliser_SourceData.Fertiliser_Products_Data1(),FertiliserProducts[[#Headers],[Include or Exclude]], 0,4)</f>
        <v/>
      </c>
      <c r="O151" s="62" t="str" cm="1">
        <f t="array" ref="O151">Common_InputFunctions.Utility_DisplayArrayInTable(Fertiliser_SourceData.Fertiliser_Products_Data1(),FertiliserProducts[[#Headers],[Include or Exclude]], 0,4)</f>
        <v/>
      </c>
      <c r="P151" s="62" t="str" cm="1">
        <f t="array" ref="P151">Common_InputFunctions.Utility_DisplayArrayInTable(Fertiliser_SourceData.Fertiliser_Products_Data1(),FertiliserProducts[[#Headers],[Include or Exclude]], 0,4)</f>
        <v/>
      </c>
      <c r="Q151" s="62" t="str" cm="1">
        <f t="array" ref="Q151">Common_InputFunctions.Utility_DisplayArrayInTable(Fertiliser_SourceData.Fertiliser_Products_Data1(),FertiliserProducts[[#Headers],[Include or Exclude]], 0,4)</f>
        <v/>
      </c>
      <c r="R151" s="62" t="str" cm="1">
        <f t="array" ref="R151">Common_InputFunctions.Utility_DisplayArrayInTable(Fertiliser_SourceData.Fertiliser_Products_Data1(),FertiliserProducts[[#Headers],[Include or Exclude]], 0,4)</f>
        <v/>
      </c>
      <c r="S151" s="62" t="str" cm="1">
        <f t="array" ref="S151">Common_InputFunctions.Utility_DisplayArrayInTable(Fertiliser_SourceData.Fertiliser_Products_Data1(),FertiliserProducts[[#Headers],[Include or Exclude]], 0,4)</f>
        <v/>
      </c>
      <c r="T151" s="62" t="str" cm="1">
        <f t="array" ref="T151">Common_InputFunctions.Utility_DisplayArrayInTable(Fertiliser_SourceData.Fertiliser_Products_Data1(),FertiliserProducts[[#Headers],[Include or Exclude]], 0,4)</f>
        <v/>
      </c>
      <c r="U151" s="62" t="str" cm="1">
        <f t="array" ref="U151">Common_InputFunctions.Utility_DisplayArrayInTable(Fertiliser_SourceData.Fertiliser_Products_Data1(),FertiliserProducts[[#Headers],[Include or Exclude]], 0,4)</f>
        <v/>
      </c>
      <c r="V151" s="62" t="str" cm="1">
        <f t="array" ref="V151">Common_InputFunctions.Utility_DisplayArrayInTable(Fertiliser_SourceData.Fertiliser_Products_Data1(),FertiliserProducts[[#Headers],[Include or Exclude]], 0,4)</f>
        <v/>
      </c>
      <c r="W151" s="62" t="str" cm="1">
        <f t="array" ref="W151">Common_InputFunctions.Utility_DisplayArrayInTable(Fertiliser_SourceData.Fertiliser_Products_Data1(),FertiliserProducts[[#Headers],[Include or Exclude]], 0,4)</f>
        <v/>
      </c>
      <c r="X151" s="62" t="str" cm="1">
        <f t="array" ref="X151">Common_InputFunctions.Utility_DisplayArrayInTable(Fertiliser_SourceData.Fertiliser_Products_Data1(),FertiliserProducts[[#Headers],[Include or Exclude]], 0,4)</f>
        <v/>
      </c>
      <c r="Y151" s="62" t="str" cm="1">
        <f t="array" ref="Y151">Common_InputFunctions.Utility_DisplayArrayInTable(Fertiliser_SourceData.Fertiliser_Products_Data1(),FertiliserProducts[[#Headers],[Include or Exclude]], 0,4)</f>
        <v/>
      </c>
      <c r="Z151" s="62" t="str" cm="1">
        <f t="array" ref="Z151">Common_InputFunctions.Utility_DisplayArrayInTable(Fertiliser_SourceData.Fertiliser_Products_Data1(),FertiliserProducts[[#Headers],[Include or Exclude]], 0,4)</f>
        <v/>
      </c>
      <c r="AA151" s="62" t="str" cm="1">
        <f t="array" ref="AA151">Common_InputFunctions.Utility_DisplayArrayInTable(Fertiliser_SourceData.Fertiliser_Products_Data1(),FertiliserProducts[[#Headers],[Include or Exclude]], 0,4)</f>
        <v/>
      </c>
      <c r="AB151" s="62" t="str" cm="1">
        <f t="array" ref="AB151">Common_InputFunctions.Utility_DisplayArrayInTable(Fertiliser_SourceData.Fertiliser_Products_Data1(),FertiliserProducts[[#Headers],[Include or Exclude]], 0,4)</f>
        <v/>
      </c>
      <c r="AC151" s="62" t="str" cm="1">
        <f t="array" ref="AC151">Common_InputFunctions.Utility_DisplayArrayInTable(Fertiliser_SourceData.Fertiliser_Products_Data1(),FertiliserProducts[[#Headers],[Include or Exclude]], 0,4)</f>
        <v/>
      </c>
      <c r="AD151" s="62" t="str" cm="1">
        <f t="array" ref="AD151">Common_InputFunctions.Utility_DisplayArrayInTable(Fertiliser_SourceData.Fertiliser_Products_Data1(),FertiliserProducts[[#Headers],[Include or Exclude]], 0,4)</f>
        <v/>
      </c>
      <c r="AE151" s="62" t="str" cm="1">
        <f t="array" ref="AE151">Common_InputFunctions.Utility_DisplayArrayInTable(Fertiliser_SourceData.Fertiliser_Products_Data1(),FertiliserProducts[[#Headers],[Include or Exclude]], 0,4)</f>
        <v/>
      </c>
    </row>
    <row r="152" spans="1:31" ht="20.100000000000001" customHeight="1" x14ac:dyDescent="0.25">
      <c r="A152"/>
      <c r="D152" s="62" t="str" cm="1">
        <f t="array" ref="D152">Common_InputFunctions.Utility_DisplayArrayInTable(Fertiliser_SourceData.Fertiliser_Products_Data1(),FertiliserProducts[[#Headers],[Include or Exclude]], -1)</f>
        <v/>
      </c>
      <c r="E152" s="62" t="str" cm="1">
        <f t="array" ref="E152">Common_InputFunctions.Utility_DisplayArrayInTable(Fertiliser_SourceData.Fertiliser_Products_Data1(),FertiliserProducts[[#Headers],[Include or Exclude]], 0)</f>
        <v/>
      </c>
      <c r="F152" s="62" t="str" cm="1">
        <f t="array" ref="F152">Common_InputFunctions.Utility_DisplayArrayInTable(Fertiliser_SourceData.Fertiliser_Products_Data1(),FertiliserProducts[[#Headers],[Include or Exclude]], 0)</f>
        <v/>
      </c>
      <c r="G152" s="62" t="str" cm="1">
        <f t="array" ref="G152">Common_InputFunctions.Utility_DisplayArrayInTable(Fertiliser_SourceData.Fertiliser_Products_Data1(),FertiliserProducts[[#Headers],[Include or Exclude]], 0)</f>
        <v/>
      </c>
      <c r="H152" s="62" t="str" cm="1">
        <f t="array" ref="H152">Common_InputFunctions.Utility_DisplayArrayInTable(Fertiliser_SourceData.Fertiliser_Products_Data1(),FertiliserProducts[[#Headers],[Include or Exclude]], 0,4)</f>
        <v/>
      </c>
      <c r="I152" s="62" t="str" cm="1">
        <f t="array" ref="I152">Common_InputFunctions.Utility_DisplayArrayInTable(Fertiliser_SourceData.Fertiliser_Products_Data1(),FertiliserProducts[[#Headers],[Include or Exclude]], 0,4)</f>
        <v/>
      </c>
      <c r="J152" s="62" t="str" cm="1">
        <f t="array" ref="J152">Common_InputFunctions.Utility_DisplayArrayInTable(Fertiliser_SourceData.Fertiliser_Products_Data1(),FertiliserProducts[[#Headers],[Include or Exclude]], 0,4)</f>
        <v/>
      </c>
      <c r="K152" s="62" t="str" cm="1">
        <f t="array" ref="K152">Common_InputFunctions.Utility_DisplayArrayInTable(Fertiliser_SourceData.Fertiliser_Products_Data1(),FertiliserProducts[[#Headers],[Include or Exclude]], 0,4)</f>
        <v/>
      </c>
      <c r="L152" s="62" t="str" cm="1">
        <f t="array" ref="L152">Common_InputFunctions.Utility_DisplayArrayInTable(Fertiliser_SourceData.Fertiliser_Products_Data1(),FertiliserProducts[[#Headers],[Include or Exclude]], 0,4)</f>
        <v/>
      </c>
      <c r="M152" s="62" t="str" cm="1">
        <f t="array" ref="M152">Common_InputFunctions.Utility_DisplayArrayInTable(Fertiliser_SourceData.Fertiliser_Products_Data1(),FertiliserProducts[[#Headers],[Include or Exclude]], 0,4)</f>
        <v/>
      </c>
      <c r="N152" s="62" t="str" cm="1">
        <f t="array" ref="N152">Common_InputFunctions.Utility_DisplayArrayInTable(Fertiliser_SourceData.Fertiliser_Products_Data1(),FertiliserProducts[[#Headers],[Include or Exclude]], 0,4)</f>
        <v/>
      </c>
      <c r="O152" s="62" t="str" cm="1">
        <f t="array" ref="O152">Common_InputFunctions.Utility_DisplayArrayInTable(Fertiliser_SourceData.Fertiliser_Products_Data1(),FertiliserProducts[[#Headers],[Include or Exclude]], 0,4)</f>
        <v/>
      </c>
      <c r="P152" s="62" t="str" cm="1">
        <f t="array" ref="P152">Common_InputFunctions.Utility_DisplayArrayInTable(Fertiliser_SourceData.Fertiliser_Products_Data1(),FertiliserProducts[[#Headers],[Include or Exclude]], 0,4)</f>
        <v/>
      </c>
      <c r="Q152" s="62" t="str" cm="1">
        <f t="array" ref="Q152">Common_InputFunctions.Utility_DisplayArrayInTable(Fertiliser_SourceData.Fertiliser_Products_Data1(),FertiliserProducts[[#Headers],[Include or Exclude]], 0,4)</f>
        <v/>
      </c>
      <c r="R152" s="62" t="str" cm="1">
        <f t="array" ref="R152">Common_InputFunctions.Utility_DisplayArrayInTable(Fertiliser_SourceData.Fertiliser_Products_Data1(),FertiliserProducts[[#Headers],[Include or Exclude]], 0,4)</f>
        <v/>
      </c>
      <c r="S152" s="62" t="str" cm="1">
        <f t="array" ref="S152">Common_InputFunctions.Utility_DisplayArrayInTable(Fertiliser_SourceData.Fertiliser_Products_Data1(),FertiliserProducts[[#Headers],[Include or Exclude]], 0,4)</f>
        <v/>
      </c>
      <c r="T152" s="62" t="str" cm="1">
        <f t="array" ref="T152">Common_InputFunctions.Utility_DisplayArrayInTable(Fertiliser_SourceData.Fertiliser_Products_Data1(),FertiliserProducts[[#Headers],[Include or Exclude]], 0,4)</f>
        <v/>
      </c>
      <c r="U152" s="62" t="str" cm="1">
        <f t="array" ref="U152">Common_InputFunctions.Utility_DisplayArrayInTable(Fertiliser_SourceData.Fertiliser_Products_Data1(),FertiliserProducts[[#Headers],[Include or Exclude]], 0,4)</f>
        <v/>
      </c>
      <c r="V152" s="62" t="str" cm="1">
        <f t="array" ref="V152">Common_InputFunctions.Utility_DisplayArrayInTable(Fertiliser_SourceData.Fertiliser_Products_Data1(),FertiliserProducts[[#Headers],[Include or Exclude]], 0,4)</f>
        <v/>
      </c>
      <c r="W152" s="62" t="str" cm="1">
        <f t="array" ref="W152">Common_InputFunctions.Utility_DisplayArrayInTable(Fertiliser_SourceData.Fertiliser_Products_Data1(),FertiliserProducts[[#Headers],[Include or Exclude]], 0,4)</f>
        <v/>
      </c>
      <c r="X152" s="62" t="str" cm="1">
        <f t="array" ref="X152">Common_InputFunctions.Utility_DisplayArrayInTable(Fertiliser_SourceData.Fertiliser_Products_Data1(),FertiliserProducts[[#Headers],[Include or Exclude]], 0,4)</f>
        <v/>
      </c>
      <c r="Y152" s="62" t="str" cm="1">
        <f t="array" ref="Y152">Common_InputFunctions.Utility_DisplayArrayInTable(Fertiliser_SourceData.Fertiliser_Products_Data1(),FertiliserProducts[[#Headers],[Include or Exclude]], 0,4)</f>
        <v/>
      </c>
      <c r="Z152" s="62" t="str" cm="1">
        <f t="array" ref="Z152">Common_InputFunctions.Utility_DisplayArrayInTable(Fertiliser_SourceData.Fertiliser_Products_Data1(),FertiliserProducts[[#Headers],[Include or Exclude]], 0,4)</f>
        <v/>
      </c>
      <c r="AA152" s="62" t="str" cm="1">
        <f t="array" ref="AA152">Common_InputFunctions.Utility_DisplayArrayInTable(Fertiliser_SourceData.Fertiliser_Products_Data1(),FertiliserProducts[[#Headers],[Include or Exclude]], 0,4)</f>
        <v/>
      </c>
      <c r="AB152" s="62" t="str" cm="1">
        <f t="array" ref="AB152">Common_InputFunctions.Utility_DisplayArrayInTable(Fertiliser_SourceData.Fertiliser_Products_Data1(),FertiliserProducts[[#Headers],[Include or Exclude]], 0,4)</f>
        <v/>
      </c>
      <c r="AC152" s="62" t="str" cm="1">
        <f t="array" ref="AC152">Common_InputFunctions.Utility_DisplayArrayInTable(Fertiliser_SourceData.Fertiliser_Products_Data1(),FertiliserProducts[[#Headers],[Include or Exclude]], 0,4)</f>
        <v/>
      </c>
      <c r="AD152" s="62" t="str" cm="1">
        <f t="array" ref="AD152">Common_InputFunctions.Utility_DisplayArrayInTable(Fertiliser_SourceData.Fertiliser_Products_Data1(),FertiliserProducts[[#Headers],[Include or Exclude]], 0,4)</f>
        <v/>
      </c>
      <c r="AE152" s="62" t="str" cm="1">
        <f t="array" ref="AE152">Common_InputFunctions.Utility_DisplayArrayInTable(Fertiliser_SourceData.Fertiliser_Products_Data1(),FertiliserProducts[[#Headers],[Include or Exclude]], 0,4)</f>
        <v/>
      </c>
    </row>
    <row r="153" spans="1:31" ht="20.100000000000001" customHeight="1" x14ac:dyDescent="0.25">
      <c r="A153"/>
      <c r="D153" s="62" t="str" cm="1">
        <f t="array" ref="D153">Common_InputFunctions.Utility_DisplayArrayInTable(Fertiliser_SourceData.Fertiliser_Products_Data1(),FertiliserProducts[[#Headers],[Include or Exclude]], -1)</f>
        <v/>
      </c>
      <c r="E153" s="62" t="str" cm="1">
        <f t="array" ref="E153">Common_InputFunctions.Utility_DisplayArrayInTable(Fertiliser_SourceData.Fertiliser_Products_Data1(),FertiliserProducts[[#Headers],[Include or Exclude]], 0)</f>
        <v/>
      </c>
      <c r="F153" s="62" t="str" cm="1">
        <f t="array" ref="F153">Common_InputFunctions.Utility_DisplayArrayInTable(Fertiliser_SourceData.Fertiliser_Products_Data1(),FertiliserProducts[[#Headers],[Include or Exclude]], 0)</f>
        <v/>
      </c>
      <c r="G153" s="62" t="str" cm="1">
        <f t="array" ref="G153">Common_InputFunctions.Utility_DisplayArrayInTable(Fertiliser_SourceData.Fertiliser_Products_Data1(),FertiliserProducts[[#Headers],[Include or Exclude]], 0)</f>
        <v/>
      </c>
      <c r="H153" s="62" t="str" cm="1">
        <f t="array" ref="H153">Common_InputFunctions.Utility_DisplayArrayInTable(Fertiliser_SourceData.Fertiliser_Products_Data1(),FertiliserProducts[[#Headers],[Include or Exclude]], 0,4)</f>
        <v/>
      </c>
      <c r="I153" s="62" t="str" cm="1">
        <f t="array" ref="I153">Common_InputFunctions.Utility_DisplayArrayInTable(Fertiliser_SourceData.Fertiliser_Products_Data1(),FertiliserProducts[[#Headers],[Include or Exclude]], 0,4)</f>
        <v/>
      </c>
      <c r="J153" s="62" t="str" cm="1">
        <f t="array" ref="J153">Common_InputFunctions.Utility_DisplayArrayInTable(Fertiliser_SourceData.Fertiliser_Products_Data1(),FertiliserProducts[[#Headers],[Include or Exclude]], 0,4)</f>
        <v/>
      </c>
      <c r="K153" s="62" t="str" cm="1">
        <f t="array" ref="K153">Common_InputFunctions.Utility_DisplayArrayInTable(Fertiliser_SourceData.Fertiliser_Products_Data1(),FertiliserProducts[[#Headers],[Include or Exclude]], 0,4)</f>
        <v/>
      </c>
      <c r="L153" s="62" t="str" cm="1">
        <f t="array" ref="L153">Common_InputFunctions.Utility_DisplayArrayInTable(Fertiliser_SourceData.Fertiliser_Products_Data1(),FertiliserProducts[[#Headers],[Include or Exclude]], 0,4)</f>
        <v/>
      </c>
      <c r="M153" s="62" t="str" cm="1">
        <f t="array" ref="M153">Common_InputFunctions.Utility_DisplayArrayInTable(Fertiliser_SourceData.Fertiliser_Products_Data1(),FertiliserProducts[[#Headers],[Include or Exclude]], 0,4)</f>
        <v/>
      </c>
      <c r="N153" s="62" t="str" cm="1">
        <f t="array" ref="N153">Common_InputFunctions.Utility_DisplayArrayInTable(Fertiliser_SourceData.Fertiliser_Products_Data1(),FertiliserProducts[[#Headers],[Include or Exclude]], 0,4)</f>
        <v/>
      </c>
      <c r="O153" s="62" t="str" cm="1">
        <f t="array" ref="O153">Common_InputFunctions.Utility_DisplayArrayInTable(Fertiliser_SourceData.Fertiliser_Products_Data1(),FertiliserProducts[[#Headers],[Include or Exclude]], 0,4)</f>
        <v/>
      </c>
      <c r="P153" s="62" t="str" cm="1">
        <f t="array" ref="P153">Common_InputFunctions.Utility_DisplayArrayInTable(Fertiliser_SourceData.Fertiliser_Products_Data1(),FertiliserProducts[[#Headers],[Include or Exclude]], 0,4)</f>
        <v/>
      </c>
      <c r="Q153" s="62" t="str" cm="1">
        <f t="array" ref="Q153">Common_InputFunctions.Utility_DisplayArrayInTable(Fertiliser_SourceData.Fertiliser_Products_Data1(),FertiliserProducts[[#Headers],[Include or Exclude]], 0,4)</f>
        <v/>
      </c>
      <c r="R153" s="62" t="str" cm="1">
        <f t="array" ref="R153">Common_InputFunctions.Utility_DisplayArrayInTable(Fertiliser_SourceData.Fertiliser_Products_Data1(),FertiliserProducts[[#Headers],[Include or Exclude]], 0,4)</f>
        <v/>
      </c>
      <c r="S153" s="62" t="str" cm="1">
        <f t="array" ref="S153">Common_InputFunctions.Utility_DisplayArrayInTable(Fertiliser_SourceData.Fertiliser_Products_Data1(),FertiliserProducts[[#Headers],[Include or Exclude]], 0,4)</f>
        <v/>
      </c>
      <c r="T153" s="62" t="str" cm="1">
        <f t="array" ref="T153">Common_InputFunctions.Utility_DisplayArrayInTable(Fertiliser_SourceData.Fertiliser_Products_Data1(),FertiliserProducts[[#Headers],[Include or Exclude]], 0,4)</f>
        <v/>
      </c>
      <c r="U153" s="62" t="str" cm="1">
        <f t="array" ref="U153">Common_InputFunctions.Utility_DisplayArrayInTable(Fertiliser_SourceData.Fertiliser_Products_Data1(),FertiliserProducts[[#Headers],[Include or Exclude]], 0,4)</f>
        <v/>
      </c>
      <c r="V153" s="62" t="str" cm="1">
        <f t="array" ref="V153">Common_InputFunctions.Utility_DisplayArrayInTable(Fertiliser_SourceData.Fertiliser_Products_Data1(),FertiliserProducts[[#Headers],[Include or Exclude]], 0,4)</f>
        <v/>
      </c>
      <c r="W153" s="62" t="str" cm="1">
        <f t="array" ref="W153">Common_InputFunctions.Utility_DisplayArrayInTable(Fertiliser_SourceData.Fertiliser_Products_Data1(),FertiliserProducts[[#Headers],[Include or Exclude]], 0,4)</f>
        <v/>
      </c>
      <c r="X153" s="62" t="str" cm="1">
        <f t="array" ref="X153">Common_InputFunctions.Utility_DisplayArrayInTable(Fertiliser_SourceData.Fertiliser_Products_Data1(),FertiliserProducts[[#Headers],[Include or Exclude]], 0,4)</f>
        <v/>
      </c>
      <c r="Y153" s="62" t="str" cm="1">
        <f t="array" ref="Y153">Common_InputFunctions.Utility_DisplayArrayInTable(Fertiliser_SourceData.Fertiliser_Products_Data1(),FertiliserProducts[[#Headers],[Include or Exclude]], 0,4)</f>
        <v/>
      </c>
      <c r="Z153" s="62" t="str" cm="1">
        <f t="array" ref="Z153">Common_InputFunctions.Utility_DisplayArrayInTable(Fertiliser_SourceData.Fertiliser_Products_Data1(),FertiliserProducts[[#Headers],[Include or Exclude]], 0,4)</f>
        <v/>
      </c>
      <c r="AA153" s="62" t="str" cm="1">
        <f t="array" ref="AA153">Common_InputFunctions.Utility_DisplayArrayInTable(Fertiliser_SourceData.Fertiliser_Products_Data1(),FertiliserProducts[[#Headers],[Include or Exclude]], 0,4)</f>
        <v/>
      </c>
      <c r="AB153" s="62" t="str" cm="1">
        <f t="array" ref="AB153">Common_InputFunctions.Utility_DisplayArrayInTable(Fertiliser_SourceData.Fertiliser_Products_Data1(),FertiliserProducts[[#Headers],[Include or Exclude]], 0,4)</f>
        <v/>
      </c>
      <c r="AC153" s="62" t="str" cm="1">
        <f t="array" ref="AC153">Common_InputFunctions.Utility_DisplayArrayInTable(Fertiliser_SourceData.Fertiliser_Products_Data1(),FertiliserProducts[[#Headers],[Include or Exclude]], 0,4)</f>
        <v/>
      </c>
      <c r="AD153" s="62" t="str" cm="1">
        <f t="array" ref="AD153">Common_InputFunctions.Utility_DisplayArrayInTable(Fertiliser_SourceData.Fertiliser_Products_Data1(),FertiliserProducts[[#Headers],[Include or Exclude]], 0,4)</f>
        <v/>
      </c>
      <c r="AE153" s="62"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C423-60D9-442A-B4F9-618DE7C4909A}">
  <dimension ref="A1:AI165"/>
  <sheetViews>
    <sheetView showGridLines="0" topLeftCell="A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Beef cattle purchases'!A1", "Beef cattle purchases")</f>
        <v>Beef cattle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Dairy cattle purchases'!A1", "Dairy cattle purchases")</f>
        <v>Dairy cattle purchases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Pig purchases'!A1", "Pig purchases")</f>
        <v>Pig purchases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Poultry purchases'!A1", "Poultry purchases")</f>
        <v>Poultry purchases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Freight'!A1", "Freight")</f>
        <v>Freight</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Solid waste'!A1", "Solid waste")</f>
        <v>Solid waste</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Manure sent off-site'!A1", "Manure sent off-site")</f>
        <v>Manure sent off-site</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Electricity'!A1", "Electricity")</f>
        <v>Electricity</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row>
    <row r="21" spans="1:8" ht="20.100000000000001" customHeight="1" x14ac:dyDescent="0.25">
      <c r="A21"/>
      <c r="D21" s="9" t="str" cm="1">
        <f t="array" ref="D21">Electricity_SourceData.Electricity_Scope2Scope3MarketBased_Title()</f>
        <v>Electricity scope 2 and scope 3 market-based emission factors</v>
      </c>
    </row>
    <row r="22" spans="1:8" ht="20.100000000000001" customHeight="1" x14ac:dyDescent="0.25">
      <c r="A22" s="21" t="s">
        <v>77</v>
      </c>
      <c r="D22" s="11" t="str" cm="1">
        <f t="array" ref="D22">Electricity_SourceData.Electricity_Scope2Scope3MarketBased_Source()</f>
        <v>Australian National Greenhouse Accounts Factors 2025 - Table 2a</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62" t="s">
        <v>222</v>
      </c>
      <c r="E24" s="62" t="s">
        <v>225</v>
      </c>
      <c r="F24" s="62" t="s">
        <v>226</v>
      </c>
      <c r="G24" s="62" t="s">
        <v>227</v>
      </c>
      <c r="H24" s="62" t="s">
        <v>228</v>
      </c>
    </row>
    <row r="25" spans="1:8" ht="20.100000000000001" customHeight="1" x14ac:dyDescent="0.25">
      <c r="A25" s="16" t="str">
        <f>HYPERLINK("#'Calcs - Manure sent off-site'!A1", "Calcs - Manure sent off-site")</f>
        <v>Calcs - Manure sent off-site</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16" t="str">
        <f>HYPERLINK("#'8.1.1.1-2 Transport fuel'!A1", "8.1.1.1-2 Transport fuel")</f>
        <v>8.1.1.1-2 Transport fuel</v>
      </c>
    </row>
    <row r="27" spans="1:8" ht="20.100000000000001" customHeight="1" x14ac:dyDescent="0.25">
      <c r="A27" s="16" t="str">
        <f>HYPERLINK("#'8.2.1.1-2 Stationary fuel'!A1", "8.2.1.1-2 Stationary fuel")</f>
        <v>8.2.1.1-2 Stationary fuel</v>
      </c>
    </row>
    <row r="28" spans="1:8" ht="20.100000000000001" customHeight="1" x14ac:dyDescent="0.25">
      <c r="A28"/>
    </row>
    <row r="29" spans="1:8" ht="20.100000000000001" customHeight="1" x14ac:dyDescent="0.25">
      <c r="A29"/>
    </row>
    <row r="30" spans="1:8" ht="20.100000000000001" customHeight="1" x14ac:dyDescent="0.25">
      <c r="A30" s="221" t="s">
        <v>78</v>
      </c>
    </row>
    <row r="31" spans="1:8" ht="20.100000000000001" customHeight="1" x14ac:dyDescent="0.25">
      <c r="A31" s="16" t="str">
        <f>HYPERLINK("#'Constants - Scope 3'!A1", "Constants - Scope 3")</f>
        <v>Constants - Scope 3</v>
      </c>
    </row>
    <row r="32" spans="1:8"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23"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86" zoomScaleNormal="100" workbookViewId="0">
      <selection activeCell="A41" sqref="A41"/>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Beef cattle purchases'!A1", "Beef cattle purchases")</f>
        <v>Beef cattle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Dairy cattle purchases'!A1", "Dairy cattle purchases")</f>
        <v>Dairy cattle purchases</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Pig purchases'!A1", "Pig purchases")</f>
        <v>Pig purchases</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Poultry purchases'!A1", "Poultry purchases")</f>
        <v>Poultry purchases</v>
      </c>
    </row>
    <row r="16" spans="1:65" ht="20.100000000000001" customHeight="1" x14ac:dyDescent="0.25">
      <c r="A16" s="16" t="str">
        <f>HYPERLINK("#'Input - Freight'!A1", "Freight")</f>
        <v>Freight</v>
      </c>
    </row>
    <row r="17" spans="1:4" ht="20.100000000000001" customHeight="1" x14ac:dyDescent="0.25">
      <c r="A17" s="16" t="str">
        <f>HYPERLINK("#'Input - Solid waste'!A1", "Solid waste")</f>
        <v>Solid waste</v>
      </c>
    </row>
    <row r="18" spans="1:4" ht="20.100000000000001" customHeight="1" x14ac:dyDescent="0.25">
      <c r="A18" s="16" t="str">
        <f>HYPERLINK("#'Input - Manure sent off-site'!A1", "Manure sent off-site")</f>
        <v>Manure sent off-site</v>
      </c>
      <c r="D18" s="9" t="str" cm="1">
        <f t="array" ref="D18">Common_SourceData.Common_SourceData_WASA4Areas_Title()</f>
        <v>ABS Statistcal Areas Level 4 - Western Australia</v>
      </c>
    </row>
    <row r="19" spans="1:4" ht="20.100000000000001" customHeight="1" x14ac:dyDescent="0.25">
      <c r="A19" s="16" t="str">
        <f>HYPERLINK("#'Input - Electricity'!A1", "Electricity")</f>
        <v>Electricity</v>
      </c>
      <c r="D19" s="11" t="str" cm="1">
        <f t="array" ref="D19">Common_SourceData.Common_SourceData_WASA4Areas_Source()</f>
        <v>Australian Bureau of Statistics (ABS) - Statistical Areas Level 2 - 2021 - Shapefile</v>
      </c>
    </row>
    <row r="20" spans="1:4" ht="20.100000000000001" customHeight="1" x14ac:dyDescent="0.25">
      <c r="A20"/>
      <c r="D20" s="10" t="s">
        <v>4</v>
      </c>
    </row>
    <row r="21" spans="1:4" ht="20.100000000000001" customHeight="1" x14ac:dyDescent="0.25">
      <c r="A21"/>
      <c r="D21" s="10" t="str" cm="1">
        <f t="array" ref="D21">Common_InputFunctions.Utility_DisplayArrayInTable(Common_SourceData.Common_SourceData_WASA4Areas_Data(), Table_WASA4Areas[[#Headers],[SA 4 Name]], 0)</f>
        <v>Bunbury</v>
      </c>
    </row>
    <row r="22" spans="1:4" ht="20.100000000000001" customHeight="1" x14ac:dyDescent="0.25">
      <c r="A22" s="21" t="s">
        <v>77</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HYPERLINK("#'15 Scope 3'!A1", "15 Scope 3")</f>
        <v>15 Scope 3</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HYPERLINK("#'10.1.1-2 Solid waste treatment'!A1", "10.1.1-2 Solid waste treatment")</f>
        <v>10.1.1-2 Solid waste treatment</v>
      </c>
      <c r="D24" s="10" t="str" cm="1">
        <f t="array" ref="D24">Common_InputFunctions.Utility_DisplayArrayInTable(Common_SourceData.Common_SourceData_WASA4Areas_Data(), Table_WASA4Areas[[#Headers],[SA 4 Name]], 0)</f>
        <v>Perth - North East</v>
      </c>
    </row>
    <row r="25" spans="1:4" ht="20.100000000000001" customHeight="1" x14ac:dyDescent="0.25">
      <c r="A25" s="16" t="str">
        <f>HYPERLINK("#'Calcs - Manure sent off-site'!A1", "Calcs - Manure sent off-site")</f>
        <v>Calcs - Manure sent off-site</v>
      </c>
      <c r="D25" s="10" t="str" cm="1">
        <f t="array" ref="D25">Common_InputFunctions.Utility_DisplayArrayInTable(Common_SourceData.Common_SourceData_WASA4Areas_Data(), Table_WASA4Areas[[#Headers],[SA 4 Name]], 0)</f>
        <v>Perth - North West</v>
      </c>
    </row>
    <row r="26" spans="1:4" ht="20.100000000000001" customHeight="1" x14ac:dyDescent="0.25">
      <c r="A26" s="16" t="str">
        <f>HYPERLINK("#'8.1.1.1-2 Transport fuel'!A1", "8.1.1.1-2 Transport fuel")</f>
        <v>8.1.1.1-2 Transport fuel</v>
      </c>
      <c r="D26" s="10" t="str" cm="1">
        <f t="array" ref="D26">Common_InputFunctions.Utility_DisplayArrayInTable(Common_SourceData.Common_SourceData_WASA4Areas_Data(), Table_WASA4Areas[[#Headers],[SA 4 Name]], 0)</f>
        <v>Perth - South East</v>
      </c>
    </row>
    <row r="27" spans="1:4" ht="20.100000000000001" customHeight="1" x14ac:dyDescent="0.25">
      <c r="A27" s="16" t="str">
        <f>HYPERLINK("#'8.2.1.1-2 Stationary fuel'!A1", "8.2.1.1-2 Stationary fuel")</f>
        <v>8.2.1.1-2 Stationary fuel</v>
      </c>
      <c r="D27" s="10" t="str" cm="1">
        <f t="array" ref="D27">Common_InputFunctions.Utility_DisplayArrayInTable(Common_SourceData.Common_SourceData_WASA4Areas_Data(), Table_WASA4Areas[[#Headers],[SA 4 Name]], 0)</f>
        <v>Perth - South West</v>
      </c>
    </row>
    <row r="28" spans="1:4" ht="20.100000000000001" customHeight="1" x14ac:dyDescent="0.25">
      <c r="A28"/>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221" t="s">
        <v>78</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Scope 3'!A1", "Constants - Scope 3")</f>
        <v>Constants - Scope 3</v>
      </c>
    </row>
    <row r="32" spans="1:4" ht="20.100000000000001" customHeight="1" x14ac:dyDescent="0.25">
      <c r="A32" s="16" t="str">
        <f>HYPERLINK("#'Constants - Solid Waste'!A1", "Constants - Solid Waste")</f>
        <v>Constants - Solid Waste</v>
      </c>
    </row>
    <row r="33" spans="1:8" ht="20.100000000000001" customHeight="1" x14ac:dyDescent="0.25">
      <c r="A33" s="16" t="str">
        <f>HYPERLINK("#'Constants - Fuel'!A1", "Constants - Fuel")</f>
        <v>Constants - Fuel</v>
      </c>
    </row>
    <row r="34" spans="1:8" ht="20.100000000000001" customHeight="1" x14ac:dyDescent="0.25">
      <c r="A34" s="16" t="str">
        <f>HYPERLINK("#'Constants - Poultry'!A1", "Constants - Poultry")</f>
        <v>Constants - Poultry</v>
      </c>
      <c r="D34" s="9" t="str" cm="1">
        <f t="array" ref="D34">Common_SourceData.Common_SourceData_GWP_Title()</f>
        <v>Global warming potential for greenhouse gases</v>
      </c>
    </row>
    <row r="35" spans="1:8" ht="20.100000000000001" customHeight="1" x14ac:dyDescent="0.25">
      <c r="A35" s="16" t="str">
        <f>HYPERLINK("#'Constants - Swine'!A1", "Constants - Swine")</f>
        <v>Constants - Swine</v>
      </c>
      <c r="D35" s="11" t="str" cm="1">
        <f t="array" ref="D35">Common_SourceData.Common_SourceData_GWP_Source()</f>
        <v>XXXXXXX</v>
      </c>
    </row>
    <row r="36" spans="1:8" ht="20.100000000000001" customHeight="1" x14ac:dyDescent="0.25">
      <c r="A36" s="16" t="str">
        <f>HYPERLINK("#'Constants - Dairy'!A1", "Constants - Dairy")</f>
        <v>Constants - Dairy</v>
      </c>
      <c r="D36" s="10" t="s">
        <v>5</v>
      </c>
      <c r="E36" s="10" t="s">
        <v>6</v>
      </c>
    </row>
    <row r="37" spans="1:8" ht="20.100000000000001" customHeight="1" x14ac:dyDescent="0.25">
      <c r="A37" s="16" t="str">
        <f>HYPERLINK("#'Constants - Pasture Beef'!A1", "Constants - Pasture Beef")</f>
        <v>Constants - Pasture Beef</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Common Livestock'!A1", "Constants - Common Livestock")</f>
        <v>Constants - Common Livestock</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Fertiliser'!A1", "Constants - Fertiliser")</f>
        <v>Constants - Fertiliser</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Electricity'!A1", "Constants - Electricity")</f>
        <v>Constants - Electricity</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23" t="str">
        <f>HYPERLINK("#'Constants - Common'!A1", "Constants - Common")</f>
        <v>Constants - Common</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FYAYQBsAGkAZABMAGkAdgBlAHMAdABvAGMAawBDAGwAYQBzAHMAXABuAD0AIABVAE4ASQBRAFUARQAoAEYASQBMAFQARQBSACgAVABhAGIAbABlAF8AUwBjAG8AcABlADMAXwBMAGkAdgBlAHMAdABvAGMAawBbAFAAcgBvAGQAdQBjAHQAXQAsACAAVABhAGIAbABlAF8AUwBjAG8AcABlADMAXwBMAGkAdgBlAHMAdABvAGMAawBbAEMAYQB0AGUAZwBvAHIAeQBdAD0AVABhAGIAbABlAF8ASQBuAHAAdQB0AF8ATABpAHYAZQBzAHQAbwBjAGsAUAB1AHIAYwBoAGEAcwBlAHMAWwBbACMAVABoAGkAcwAgAFIAbwB3AF0ALABbAEwAaQB2AGUAcwB0AG8AYwBrACAAdAB5AHAAZQAgACgAcwBlAGwAZQBjAHQAKQBdAF0AKQApAFwAbg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gA0ACwAIAAzADIALABcAG4AIABMAEEATQBCAEQAQQAoAHIALABjACwAXABuACAAIABJAE4ARABFAFgAKAB7AFwAbgBcAG4AXAAiAEkAbgBjAGwAdQBkAGUAIABvAHIAIABlAHgAYwBsAHUAZABlAFwAIgAsAFwAIgBOAG8AdABlAHMAXAAiACwAXAAiAEMAbwBtAHAAYQBuAHkAXAAiACwAXAAiAFAAcgBvAGQAdQBjAHQAIABOAGEAbQBlAFwAIgAsAFwAIgBMAGkAbgBrAFwAIgAsAFwAIgBEAGEAdABhACAAcwBvAHUAcgBjAGUAXAAiACwAXAAiAFMAbwB1AHIAYwBlACAAaQBtAGEAZwBlAHMAXAAiACwAXAAiAFUAbgBpAHQAXAAiACwAXAAiAEQAZQBuAHMAaQB0AHkAIAAoAGwAIAB0AG8AIABrAGcAKQBcACIALABcACIAVQByAGUAYQAgAHMAbwB1AHIAYwBlAFwAIgAsAFwAIgBBAG0AbQBvAG4AaQBhACAAcwBvAHUAcgBjAGUAXAAiACwAXAAiAEkAbgBnAHIAZQBkAGkAZQBuAHQAIAAxAFwAIgAsAFwAIgBJAG4AZwByAGUAZABpAGUAbgB0ACAAMQAgAHAAZQByAGMAZQBuAHQAXAAiACwAXAAiAEkAbgBnAHIAZQBkAGkAZQBuAHQAIAAyAFwAIgAsAFwAIgBJAG4AZwByAGUAZABpAGUAbgB0ACAAMgAgAHAAZQByAGMAZQBuAHQAXAAiACwAXAAiAEkAbgBnAHIAZQBkAGkAZQBuAHQAIAAzAFwAIgAsAFwAIgBJAG4AZwByAGUAZABpAGUAbgB0ACAAMwAgAHAAZQByAGMAZQBuAHQAXAAiACwAXAAiAEkAbgBnAHIAZQBkAGkAZQBuAHQAIAA0AFwAIgAsAFwAIgBJAG4AZwByAGUAZABpAGUAbgB0ACAANAAgAHAAZQByAGMAZQBuAHQAXAAiACwAXAAiAEkAbgBnAHIAZQBkAGkAZQBuAHQAIAA1AFwAIgAsAFwAIgBJAG4AZwByAGUAZABpAGUAbgB0ACAANQAgAHAAZQByAGMAZQBuAHQAXAAiACwAXAAiAEkAbgBnAHIAZQBkAGkAZQBuAHQAIAA2AFwAIgAsAFwAIgBJAG4AZwByAGUAZABpAGUAbgB0ACAANgAgAHAAZQByAGMAZQBuAHQAXAAiACwAXAAiAEkAbgBnAHIAZQBkAGkAZQBuAHQAIAA3AFwAIgAsAFwAIgBJAG4AZwByAGUAZABpAGUAbgB0ACAANwAgAHAAZQByAGMAZQBuAHQAXAAiACwAXAAiAEkAbgBnAHIAZQBkAGkAZQBuAHQAIAA4AFwAIgAsAFwAIgBJAG4AZwByAGUAZABpAGUAbgB0ACAAOAAgAHAAZQByAGMAZQBuAHQAXAAiACwAXAAiAEkAbgBnAHIAZQBkAGkAZQBuAHQAIAA5AFwAIgAsAFwAIgBJAG4AZwByAGUAZABpAGUAbgB0ACAAOQAgAHAAZQByAGMAZQBuAHQAXAAiACwAXAAiAEkAbgBnAHIAZQBkAGkAZQBuAHQAIAAxADAAXAAiACwAXAAiAEkAbgBnAHIAZQBkAGkAZQBuAHQAIAAxADAAIABwAGUAcgBjAGUAbgB0AFwAIgAsAFwAIgBFAE4ARAAgAFIATwBXAFwAIgA7AFwAbgBcACIASQBuAGMAbAB1AGQAZQBcACIALABcACIAXAAiACwAXAAiAEMAYQBtAHAAYgBlAGwAbABzACAAZgBlAHIAdABpAGwAaQBzAGUAcgBzACAAQQB1AHMAdAByAGEAbABpAGEAXAAiACwAXAAiAEEAcQB1AGEAIABGAGkAbgBpAHMAaABcACIALABcACIAQQBxAHUAYQAgAEYAaQBuAGkAcwBoACAALQAgAEMAYQBtAHAAYgBlAGwAbABzACAARgBlAHIAdABpAGwAaQBzAGUAcgBzACAAQQB1AHMAdAByAGEAbABhAHMAaQBhAFwAIgAsAFwAIgBXAGUAYgBzAGkAdABlAFwAIgAsAFwAIgBcACIALABcACIATABcACIALAAxAC4AMgA2ACwAXAAiAFwAIg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RwByAG8AdwBcACIALABcACIAQQBxAHUAYQAgAEcAcgBvAHcAIAAtACAAQwBhAG0AcABiAGUAbABsAHMAIABGAGUAcgB0AGkAbABpAHMAZQByAHMAIABBAHUAcwB0AHIAYQBsAGEAcwBpAGEAXAAiACwAXAAiAFcAZQBiAHMAaQB0AGUAXAAiACwAXAAiAFwAIgAsAFwAIgBMAFwAIgAsADEALgAyADYALABcACIAXAAi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OAGkAdAByAG8AIABBAE4AXAAiACwAXAAiAEEAcQB1AGEAIABOAGkAdAByAG8AIABBAE4AIAAtACAAQwBhAG0AcABiAGUAbABsAHMAIABGAGUAcgB0AGkAbABpAHMAZQByAHMAIABBAHUAcwB0AHIAYQBsAGEAcwBpAGEAXAAiACwAXAAiAFcAZQBiAHMAaQB0AGUALgAgAEIAcgBvAGMAaAB1AHIAZQBcACIALABcACI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FwAIgAsAFwAIgBBAHEAdQBhACAATgBpAHQAcgBvAEMAYQBs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AoAFYASQApAFwAIgAsAFwAIgBBAHEAdQBhACAATgBpAHQAcgBvAEMAYQBsACAAKABWAEkAK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VQBsAHQAaQBtAGEAdABlAFwAIgAsAFwAIgBBAHEAdQBhACAATgBpAHQAcgBvAEMAYQBsACAAVQBsAHQAaQBtAGEAdABl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MwAsAFwAIgBOAGkAdAByAG8AZwBlAG4AIA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UwB0AGEAcgB0AFwAIgAsAFwAIgBBAHEAdQBhACAAUwB0AGEAcgB0ACAALQAgAEMAYQBtAHAAYgBlAGwAbABzACAARgBlAHIAdABpAGwAaQBzAGUAcgBzACAAQQB1AHMAdAByAGEAbABhAHMAaQBhAFwAIgAsAFwAIgBXAGUAYgBzAGkAdABlACAAUwBEAFMAXAAiACwAXAAiAFwAIgAsAFwAIgBMAFwAIgAsADEALgAyADUALABcACIAXAAi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MAbwBtAHAAbABlAHQAZQBcACIALABcACIAQQBxAHUAYQAgAFQAaABpAG8ALQBDAG8AbQBwAGwAZQB0AGUAIAAtACAAQwBhAG0AcABiAGUAbABsAHMAIABGAGUAcgB0AGkAbABpAHMAZQByAHMAIABBAHUAcwB0AHIAYQBsAGEAcwBpAGEAXAAiACwAXAAiAFcAZQBiAHMAaQB0AGUAIABTAEQAUwBcACIALABcACIAXAAiACwAXAAiAEwAXAAiACwAMQAuADQAMwAsAFwAIgBcACI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UAbQBlAHIAZwBlAFwAIgAsAFwAIgBBAHEAdQBhACAAVABoAGkAbwAtAEUAbQBlAHIAZwBlACAALQAgAEMAYQBtAHAAYgBlAGwAbABzACAARgBlAHIAdABpAGwAaQBzAGUAcgBzACAAQQB1AHMAdAByAGEAbABhAHMAaQBhAFwAIgAsAFwAIgBXAGUAYgBzAGkAdABlACAAUwBEAFMAXAAiACwAXAAiAFwAIgAsAFwAIgBMAFwAIgAsADEALgAyADkALABcACIAXAAiACwAXAAiAFwAIg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GAGwAbwB1AHIAaQBzAGgAXAAiACwAXAAiAEEAcQB1AGEAIABUAGgAaQBvAC0ARgBsAG8AdQByAGkAcwBoACAALQAgAEMAYQBtAHAAYgBlAGwAbABzACAARgBlAHIAdABpAGwAaQBzAGUAcgBzACAAQQB1AHMAdAByAGEAbABhAHMAaQBhAFwAIgAsAFwAIgBXAGUAYgBzAGkAdABlACAAUwBEAFMAXAAiACwAXAAiAFwAIgAsAFwAIgBMAFwAIgAsADEALgAzADIALABcACIAXAAiACwAXAAiAFwAIg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BcAG4AIAAgAH0ALAAgAHIALAAgAGMAKQBcAG4AKQApACkAOwBcAG4AXABuAC8AKgBcAG4ARgBlAHIAdABpAGwAaQBzAGUAcgBfAFAAcgBvAGQAdQBjAHQAcwBfAEQAYQB0AGEAMgBcAG4APQBMAEEATQBCAEQAQQAoAFwAbgAgAE0AQQBLAEUAQQBSAFIAQQBZACgAMgAxACwAIAAyADgALABcAG4AIABMAEEATQBCAEQAQQAoAHIALABjACwAXABuACAAIABJAE4ARABFAFgAKAB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BcAHUAMAAwADIANgAgAEwAZQBhAHYAZQBuAGkAbgBnACAAQQBnAGUAbgB0AFwAIgAsAFwAIgBXAGUAYgBzAGkAdABlACAAUwBEAFMAIAAgAGgAdAB0AHAAcwA6AC8ALwBtAGUAcgBjAGsAaQBuAGQAZQB4AC4AcgBzAGMALgBvAHIAZwAvAG0AbwBuAG8AZwByAGEAcABoAHMALwBtADEANwA2ADQAPwBhAGMAYwBlAHMAcwA9AGYAdABcACIALABcACIAXAAiACwAXAAiAGsAZwBcACIALAAxACwAXAAiAFwAIgAsAFwAIgBDAGgAaQBuAGE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aQBzAHMAbwAtAEMAaABlAG0AaQBjAGEAbABcACIALABcACIAQQBtAG0AbwBuAGkAdQBtACAAUwB1AGwAZgBhAHQAZQBcACIALABcACIAQQBtAG0AbwBuAGkAdQBtACAAUwB1AGwAZgBhAHQAZQAgAEYAZQByAHQAaQBsAGkAegBlAHIAIABIAGkAZwBoAC0AUQB1AGEAbABpAHQAeQAgAE4AaQB0AHIAbwBnAGUAbgAgAGEAbgBkACAAUwB1AGwAZgB1AHIAIABmAG8AcgAgAEMAcgBvAHAAcwBcACIALABcACIAVwBlAGIAcwBpAHQAZQBcACIALABcACIAXAAiACwAXAAiAGsAZwBcACIALAAxACwAXAAiAFwAIgAsAFwAIgBDAGgAaQBuAGEAXAAi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YQB2AGUAbgBzAGQAbwB3AG4AXAAiACwAXAAiAEEAbQBtAG8AbgBpAHUAbQAgAFMAdQBsAHAAaABhAHQAZQAgAC0AIABHAHIAYQBuAHUAbABhAHIAXAAiACwAXAAiAFIAYQB2AGUAbgBzAGQAbwB3AG4AIAB8ACAARwByAGEAbgB1AGwAYQByACAAQQBtAG0AbwBuAGkAdQBtACAAUwB1AGwAcABoAGEAdABlACAAKABHAEEAUwAvAFMATwBBACkAXAAiACwAXAAiAFcAZQBiAHMAaQB0AGUAIABTAEQAUwBcACIALABcACIAXAAiACwAXAAiAGsAZwBcACIALAAxACwAXAAiAFwAIgAsAFwAIgBcACIALABcACIAUwB1AGwAZgB1AHIAIAAtACAARwBlAG4AZQByAGkAYwBcACIALAAwAC4AMgAzACwAXAAiAE4AaQB0AHIAbwBnAGUAbgAgAC0AIABBAG0AbQBvAG4AaQBhAGMAYQBsAFwAIgAsADAALg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kAbQBwAGEAYwB0ACAARgBlAHIAdABpAGwAaQBzAGUAcgBzAFwAIgAsAFwAIgBEAGkALQBBAG0AbQBvAG4AaQB1AG0AIABQAGgAbwBzAHAAaABhAHQAZQAgACgARABBAFAAKQBcACIALABcACIARABpAC0AQQBtAG0AbwBuAGkAdQBtACAAUABoAG8AcwBwAGgAYQB0AGUAIAAoAEQAQQBQACkAIAAtACAASQBtAHAAYQBjAHQAIABGAGUAcgB0AGkAbABpAHMAZQByAHMAXAAiACwAXAAiAFcAZQBiAHMAaQB0AGUAXAAiACwAXAAiAFwAIgAsAFwAIgBrAGcAXAAiACwAMQAsAFwAIgBcACIALABcACIAXAAiACwAXAAiAFAAaABvAHMAcABoAG8AcgB1AHMAIAAtACAARwBlAG4AZQByAGkAYwBcACIALAAwAC4AMgAwADIALABcACIATgBpAHQAcgBvAGcAZQBuACAALQAgAEcAZQBuAGUAcgBpAGMAXAAiACwAMAAuADEAOAAsAFwAIgBTAHUAbABmAHUAcgAgAC0AIABHAGUAbgBlAHIAaQBjAFwAIgAsADAALgAwADEAN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JAG4AYwBpAHQAZQBjACAAUABpAHYAbwB0ACAARgBlAHIAdABpAGwAaQBzAGUAcgBzAFwAIgAsAFwAIgBCAGEAcwBhAGwAdAAgAEIAbwBvAFMAUwB0AGEAXAAiACwAXAAiAEIAYQBnACAAVABhAGcAcwBcACIALABcACIAQgByAG8AYwBoAHUAcgBlAFwAIgAsAFwAIgBcACIALABcACIAawBnAFwAIgAsADEALABcACIAXAAiACwAXAAiAFwAIgAsAFwAIgBTAHUAbABmAHUAcgAgAC0AIABHAGUAbgBlAHIAaQBjAFwAIgAsADAALgAyADcANgAsAFwAIgBQAGgAbwBzAHAAaABvAHIAdQBzACAALQAgAEcAZQBuAGUAcgBpAGMAXAAiACwAMAAuADEANAAsAFwAIgBOAGkAdAByAG8AZwBlAG4AIAAtACAARwBlAG4AZQByAGkAYwBcACIALAAwAC4AMAA4ACwAXAAiAEYAbABvAHUAcgBpAGQAZQBcACIALAAwAC4AMAAyADQ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FwAdQAwADAAMwBl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FwAdQAwADAAMwBl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XAB1ADAAMAAzAGM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5ACwAIAAz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FwAdQAwADAAMgA3AEIAZQBsAHQAIABtAGEAbgB1AHIAZQAgAHIAZQBtAG8AdgBhAGwAXAB1ADAAMAAyADcAIABhAG4AZAAgAFwAdQAwADAAMgA3AE0AYQBuAHUAcgBlACAAcwB0AG8AcgBlAGQAIABpAG4AIABoAG8AdQBzAGUAXAB1ADAAMAAyAD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FAG4AdABlAHIAaQBjAE0AZQB0AGgAYQBuAGUAXwBQAGEAcwB0AHUAcgBlAEIAZQBlAGYAXwBFAHEAdQBhAHQAaQBvAG4AcwAiACwAIgB0AGUAeAB0ACIAOgAiAC8AKgBcAG4APQA9AD0APQA9AD0APQA9AD0APQA9AD0APQA9AD0APQA9AD0APQA9AD0APQA9AD0APQA9AD0APQA9AD0APQA9AD0APQA9AD0APQA9AD0APQA9AD0APQA9AD0APQA9AD0APQA9AD0APQA9AD0APQA9AD0APQA9AD0APQA9AD0APQA9AD0APQA9AD0APQA9AD0APQA9AD0APQBcAG4AMwAuADIAOgAgAEUAbgB0AGUAcgBpAGMAIABNAGUAdABoAGEAbgBlACAALQAgAFAAYQBzAHQAdQByAGUAIABCAGUAZQBmAFwAbgA9AD0APQA9AD0APQA9AD0APQA9AD0APQA9AD0APQA9AD0APQA9AD0APQA9AD0APQA9AD0APQA9AD0APQA9AD0APQA9AD0APQA9AD0APQA9AD0APQA9AD0APQA9AD0APQA9AD0APQA9AD0APQA9AD0APQA9AD0APQA9AD0APQA9AD0APQA9AD0APQA9AD0APQA9AD0APQA9AFwAbgAzAC4AMgAuADEALgAxACAATQBlAHQAaABvAGQAIAAxACAALQAgAEUAbgB0AGUAcgBpAGM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y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wByAGEAegBpAG4AZwAgAGIAZQBlAGYAIABjAGEAdAB0AGwAZQBcAG4ARQBfAGUAbgB0AGUAcgBpAGMAXABuAHQAIABDAEgANABcAG4ARQBfAHsAZQBuAHQAZQByAGkAYwB9AD0AXABcAHMAdQBtAF8AewBqAH0AXABcAHMAdQBtAF8AewBrAH0AXABcAHMAdQBtAF8AewBsAH0AKABEAF8AagBcAFwAdABpAG0AZQBzACAATQBfAHsAagBrAGwAfQBcAFwAdABpAG0AZQBzACAATgBfAHsAagBrAGwAfQApAFwAXAB0AGkAbQBlAHMAIAAxADAAXgB7AC0AMwB9AFwAbgBEAF8AagAgAD0AIABuAHUAbQBiAGUAcgAgAG8AZgAgAGQAYQB5AHMAIAB0AGgAZQAgAGEAbgBpAG0AYQBsACAAaQBzACAAbwBuACAAdABoAGUAIABmAGEAcgBtACAAaQBuACAAZQBhAGMAaAAgAHQAaQBtAGUALQBwAGUAcgBpAG8AZAAgACgAZABhAHkAcwApAFwAbgBNAF8AagBrAGwAIAA9ACAAZABhAGkAbAB5ACAAcAByAG8AZAB1AGMAdABpAG8AbgAgAG8AZgAgAGUAbgB0AGUAcgBpAGMAIABtAGUAdABoAGEAbgBlACAAaQBuACAAZQBhAGMAaAAgAHQAaQBtAGUALQBwAGUAcgBpAG8AZAAsACAAYwBsAGEAcwBzACAAYQBuAGQAIABzAHUAYgBjAGwAYQBzAHMAIAAoAGsAZwAgAEMASAA0AC8AaABlAGEAZAAvAGQAYQB5ACkAXABuAE4AXwBqAGsAbAAgAD0AIABuAHUAbQBiAGUAcgAgAG8AZgAgAGIAZQBlAGYAIABjAGEAdAB0AGwAZQAgAGkAbgAgAGUAYQBjAGgAIAB0AGkAbQBlAC0AcABlAHIAaQBvAGQALAAgAGMAbABhAHMAcwAgAGEAbgBkACAAcwB1AGIAYwBsAGEAcwBzACAAKABoAGUAYQBkACkAXABuAC0ALQAtAC0ALQAtAC0ALQAtAC0ALQAtAC0ALQAtAC0ALQAtAC0ALQAtAC0ALQAtAC0ALQAtAC0ALQAtAC0ALQAtAC0ALQAtAC0ALQBcAG4AKgAvAFwAbgBcAG4AVgBFAEUAUgBHAF8AMwBfADIAXwAxAF8AMQBfAF8AMQBfAFQAbwB0AGEAbABBAG4AbgB1AGEAbABNAGUAdABoAGEAbgBlAEYAcgBvAG0ARQBuAHQAZQByAGkAYwBGAGUAcgBtAGUAbgB0AGEAdABpAG8AbgBcAG4AIAAgAD0ATABBAE0AQgBEAEEAKABcAG4AIAAgACAAIABEAF8AagAsACAATQBfAGoAawBsACwAIABOAF8AagBrAGwALABcAG4AIAAgACAAIAAoAEQAXwBqACAAKgAgAE0AXwBqAGsAbAAgACoAIABOAF8AagBrAGwAKQAgACoAIAAxADAAIABeACAALQAzAFwAbgAgACAAKQA7AFwAbgBcAG4AVgBFAEUAUgBHAF8AMwBfADI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nAHIAYQB6AGkAbgBnACAAYgBlAGUAZgAgAGMAYQB0AHQAbABlAFwAIgApADsAXABuAFwAbgBWAEUARQBSAEcAXwAzAF8AMgBfADEAXwAxAF8AXwAxAF8AVABvAHQAYQBsAEEAbgBuAHUAYQBsAE0AZQB0AGgAYQBuAGUARgByAG8AbQBFAG4AdABlAHIAaQBjAEYAZQByAG0AZQBuAHQAYQB0AGkAbwBuAF8AVgBhAHIAaQBhAGIAbABlAFwAbgAgACAAPQBMAEEATQBCAEQAQQAoAFwAIgBFAF8AZQBuAHQAZQByAGkAYwBcACIAKQA7AFwAbgBcAG4AVgBFAEUAUgBHAF8AMwBfADIAXwAxAF8AMQBfAF8AMQBfAFQAbwB0AGEAbABBAG4AbgB1AGEAbABNAGUAdABoAGEAbgBlAEYAcgBvAG0ARQBuAHQAZQByAGkAYwBGAGUAcgBtAGUAbgB0AGEAdABpAG8AbgBfAFUAbgBpAHQAXABuACAAIAA9AEwAQQBNAEIARABBACgAXAAiAHQAIABDAEgANABcACIAKQA7AFwAbgBcAG4AVgBFAEUAUgBHAF8AMwBfADIAXwAxAF8AMQBfAF8AMQBfAFQAbwB0AGEAbABBAG4AbgB1AGEAbABNAGUAdABoAGEAbgBlAEYAcgBvAG0ARQBuAHQAZQByAGkAYwBGAGUAcgBtAGUAbgB0AGEAdABpAG8AbgBfAFMAbwB1AHIAYwBlAFwAbgAgACAAPQBMAEEATQBCAEQAQQAoAFwAIgBWAEUARQBSAEcAIAAyADAAMgA2ADoAIAAzAC4AMgAuADEALgAxACwAIABFAHEAdQBhAHQAaQBvAG4AIAAoADEAKQBcACIAKQA7AFwAbgBcAG4AVgBFAEUAUgBHAF8AMwBfADIAXwAxAF8AMQBfAF8AMQBfAFQAbwB0AGEAbABBAG4AbgB1AGEAbABNAGUAdABoAGEAbgBlAEYAcgBvAG0ARQBuAHQAZQByAGkAYwBGAGUAcgBtAGUAbgB0AGEAdABpAG8AbgBfAE4ASQBSAFIAZQBmAGUAcgBlAG4AYwBlAFwAbgAgACAAPQBMAEEATQBCAEQAQQAoAFwAIgBcACIAKQA7AFwAbgBcAG4AVgBFAEUAUgBHAF8AMwBfADIAXwAxAF8AMQBfAF8AMQBfAFQAbwB0AGEAbABBAG4AbgB1AGEAbABNAGUAdABoAGEAbgBlAEYAcgBvAG0ARQBuAHQAZQByAGkAYwBGAGUAcgBtAGUAbgB0AGEAdABpAG8AbgBfAEwAYQB0AGUAeABFAHEAdQBhAHQAaQBvAG4AXABuACAAIAA9AEwAQQBNAEIARABBACgAXAAiAEUAXwB7AGUAbgB0AGUAcgBpAGMAfQA9AFwAXABzAHUAbQBfAHsAagB9AFwAXABzAHUAbQBfAHsAawB9AFwAXABzAHUAbQBfAHsAbAB9ACgARABfAGoAXABcAHQAaQBtAGUAcwAgAE0AXwB7AGoAawBsAH0AXABcAHQAaQBtAGUAcwAgAE4AXwB7AGoAawBsAH0AKQBcAFwAdABpAG0AZQBzACAAMQAwAF4AewAtADMAfQBcACIAKQA7AFwAbgBcAG4AVgBFAEUAUgBHAF8AMwBfADI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uAHUAbQBiAGUAcgAgAG8AZgAgAGQAYQB5AHMAIAB0AGgAZQAgAGEAbgBpAG0AYQBsACAAaQBzACAAbwBuACAAdABoAGUAIABmAGEAcgBtACAAaQBuACAAZQBhAGMAaAAgAHQAaQBtAGUALQBwAGUAcgBpAG8AZABcACIALAAgAFwAIgBkAGEAeQBzAFwAIgAsACAAXAAiAEkAbgBwAHUAdABcACIAOwBcAG4AIAAgACAAIAAgACAAIAAgACAAIABcACIATQBfAGoAawBsAFwAIgAsACAAXAAiAGQAYQBpAGwAeQAgAHAAcgBvAGQAdQBjAHQAaQBvAG4AIABvAGYAIABlAG4AdABlAHIAaQBjACAAbQBlAHQAaABhAG4AZQAgAGkAbgAgAGUAYQBjAGgAIAB0AGkAbQBlAC0AcABlAHIAaQBvAGQALAAgAGMAbABhAHMAcwAgAGEAbgBkACAAcwB1AGIAYwBsAGEAcwBzAFwAIgAsACAAXAAiAGsAZwAgAEMASAA0AC8AaABlAGEAZAAvAGQAYQB5AFwAIgAsACAAXAAiAEMAYQBsAGMAdQBsAGEAdABlAGQAIABmAHIAbwBtACAAMwAuADIALgAxAC4AMQAsACAAKAAyACkAXAAiAD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IAXwBEAGEAaQBsAHkARQBuAHQAZQByAGkAYwBNAGUAdABoAGEAbgBlAFAAcgBvAGQAdQBjAHQAaQBvAG4AXABuAEQAYQBpAGwAeQAgAHAAcgBvAGQAdQBjAHQAaQBvAG4AIABvAGYAIABlAG4AdABlAHIAaQBjACAAbQBlAHQAaABhAG4AZQBcAG4ATQBfAGoAawBsAFwAbgBrAGcAIABDAEgANAAvAGgAZQBhAGQALwBkAGEAeQBcAG4ATQBfAHsAagBrAGwAfQA9ADIAMAAuADcAXABcAHQAaQBtAGUAcwAgAEkAXwB7AGoAawBsAH0AXABcAHQAaQBtAGUAcwAgADEAMABeAHsALQAzAH0AXABuAEkAXwBqAGsAbAAgAD0AIABkAHIAeQAgAG0AYQB0AHQAZQByACAAaQBuAHQAYQBrAGUAIAAoAGsAZwAgAEQATQAvAGgAZQBhAGQALwBkAGEAeQApAFwAbgAtAC0ALQAtAC0ALQAtAC0ALQAtAC0ALQAtAC0ALQAtAC0ALQAtAC0ALQAtAC0ALQAtAC0ALQAtAC0ALQAtAC0ALQAtAC0ALQAtAC0AXABuACoALwBcAG4AXABuAFYARQBFAFIARwBfADMAXwAyAF8AMQBfADEAXwBfADIAXwBEAGEAaQBsAHkARQBuAHQAZQByAGkAYwBNAGUAdABoAGEAbgBlAFAAcgBvAGQAdQBjAHQAaQBvAG4AXABuACAAIAA9AEwAQQBNAEIARABBACgAXABuACAAIAAgACAASQBfAGoAawBsACwAXABuACAAIAAgACAAMgAwAC4ANwAgACoAIABJAF8AagBrAGwAIAAqACAAMQAwACAAXgAgAC0AMwBcAG4AIAAgACkAOwBcAG4AXABuAFYARQBFAFIARwBfADMAXwAy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IAXwAxAF8AMQBfAF8AMgBfAEQAYQBpAGwAeQBFAG4AdABlAHIAaQBjAE0AZQB0AGgAYQBuAGUAUAByAG8AZAB1AGMAdABpAG8AbgBfAFYAYQByAGkAYQBiAGwAZQBcAG4AIAAgAD0ATABBAE0AQgBEAEEAKABcACIATQBfAGoAawBsAFwAIgApADsAXABuAFwAbgBWAEUARQBSAEcAXwAzAF8AMgBfADEAXwAxAF8AXwAyAF8ARABhAGkAbAB5AEUAbgB0AGUAcgBpAGMATQBlAHQAaABhAG4AZQBQAHIAbwBkAHUAYwB0AGkAbwBuAF8AVQBuAGkAdABcAG4AIAAgAD0ATABBAE0AQgBEAEEAKABcACIAawBnACAAQwBIADQALwBoAGUAYQBkAC8AZABhAHkAXAAiACkAOwBcAG4AXABuAFYARQBFAFIARwBfADMAXwAyAF8AMQBfADEAXwBfADIAXwBEAGEAaQBsAHkARQBuAHQAZQByAGkAYwBNAGUAdABoAGEAbgBlAFAAcgBvAGQAdQBjAHQAaQBvAG4AXwBTAG8AdQByAGMAZQBcAG4AIAAgAD0ATABBAE0AQgBEAEEAKABcACIAVgBFAEUAUgBHACAAMgAwADIANgA6ACAAMwAuADIALgAxAC4AMQAsACAARQBxAHUAYQB0AGkAbwBuACAAKAAyACkAXAAiACkAOwBcAG4AXABuAFYARQBFAFIARwBfADMAXwAyAF8AMQBfADEAXwBfADIAXwBEAGEAaQBsAHkARQBuAHQAZQByAGkAYwBNAGUAdABoAGEAbgBlAFAAcgBvAGQAdQBjAHQAaQBvAG4AXwBOAEkAUgBSAGUAZgBlAHIAZQBuAGMAZQBcAG4AIAAgAD0ATABBAE0AQgBEAEEAKABcACIAQwBoAGEAcgBtAGwAZQB5ACAAZQB0ACAAYQBsAC4AIAAoADIAMAAxADUAKQBcACIAKQA7AFwAbgBcAG4AVgBFAEUAUgBHAF8AMwBfADIAXwAxAF8AMQBfAF8AMgBfAEQAYQBpAGwAeQBFAG4AdABlAHIAaQBjAE0AZQB0AGgAYQBuAGUAUAByAG8AZAB1AGMAdABpAG8AbgBfAEwAYQB0AGUAeABFAHEAdQBhAHQAaQBvAG4AXABuACAAIAA9AEwAQQBNAEIARABBACgAXAAiAE0AXwB7AGoAawBsAH0APQAyADAALgA3AFwAXAB0AGkAbQBlAHMAIABJAF8AewBqAGsAbAB9AFwAXAB0AGkAbQBlAHMAIAAxADAAXgB7AC0AMwB9AFwAIgApADsAXABuAFwAbgBWAEUARQBSAEcAXwAzAF8AMg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GsAbABcACIALAAgAFwAIgBkAHIAeQAgAG0AYQB0AHQAZQByACAAaQBuAHQAYQBrAGUAXAAiACwAIABcACIAawBnACAARABNAC8AaABlAGEAZAAvAGQAYQB5AFwAIgAsACAAXAAiAEMAYQBsAGMAdQBsAGEAdABlAGQAIABmAHIAbwBtACAAMwAuADIALgAxAC4AMQAsACAAKAAz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wBfAEYAZQBlAGQASQBuAHQAYQBrAGUARgBvAHIARwByAGEAegBpAG4AZwBCAGUAZQBmAFwAbgBGAGUAZQBkACAAaQBuAHQAYQBrAGUAIABmAG8AcgAgAGcAcgBhAHoAaQBuAGcAIABiAGUAZQBmACAAYwBhAHQAdABsAGUAXABuAEkAXwBqAGsAbABcAG4AawBnACAARABNAC8AaABlAGEAZAAvAGQAYQB5AFwAb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G4AVwBfAGoAawBsACAAPQAgAGwAaQB2AGUAdwBlAGkAZwBoAHQAIAAoAGsAZwApAFwAbgBMAFcARwBfAGoAawBsACAAPQAgAGwAaQB2AGUAIAB3AGUAaQBnAGgAdAAgAGcAYQBpAG4AIAAoAGsAZwAvAGgAZQBhAGQALwBkAGEAeQApAFwAbgBNAEEAXwBqAGsANAA1ACAAPQAgAGEAZABkAGkAdABpAG8AbgBhAGwAIABpAG4AdABhAGsAZQAgAGYAbwByACAAbQBpAGwAawAgAHAAcgBvAGQAdQBjAHQAaQBvAG4AIABpAG4AIABjAG8AdwBzACAAZwByAGUAYQB0AGUAcgAgAHQAaABhAG4AIAAyACAAeQBlAGEAcgBzACAAKABrAGcALwBoAGUAYQBkAC8AZABhAHkAKQBcAG4ALQAtAC0ALQAtAC0ALQAtAC0ALQAtAC0ALQAtAC0ALQAtAC0ALQAtAC0ALQAtAC0ALQAtAC0ALQAtAC0ALQAtAC0ALQAtAC0ALQAtAFwAbgAqAC8AXABuAFwAbgBWAEUARQBSAEcAXwAzAF8AMgBfADEAXwAxAF8AXwAzAF8ARgBlAGUAZABJAG4AdABhAGsAZQBGAG8AcgBHAHIAYQB6AGkAbgBnAEIAZQBlAGYAXABuACAAIAA9AEwAQQBNAEIARABBACgAXABuACAAIAAgACAAVwBfAGoAawBsACwAIABMAFcARwBfAGoAawBsACwAIABNAEEAXwBqAGsANAA1ACwAXABuACAAIAAgACAAKAAxAC4AMQA4ADUAIAArACAAMAAuADAAMAA0ADUANAAgACoAIABXAF8AagBrAGwAIAAtACAAMAAuADAAMAAwADAAMAAyADYAIAAqACAAVwBfAGoAawBsACAAXgAgADIAIAArACAAMAAuADMAMQA1ACAAKgAgAEwAVwBHAF8AagBrAGwAKQAgAF4AIAAyACAAKgAgAE0AQQBfAGoAawA0ADUAXABuACAAIAApADsAXABuAFwAbgBWAEUARQBSAEcAXwAzAF8AMgBfADEAXwAxAF8AXwAzAF8ARgBlAGUAZABJAG4AdABhAGsAZQBGAG8AcgBHAHIAYQB6AGkAbgBnAEIAZQBlAGYAXwBUAGkAdABsAGUAXABuACAAIAA9AEwAQQBNAEIARABBACgAXAAiAEYAZQBlAGQAIABpAG4AdABhAGsAZQAgAGYAbwByACAAZwByAGEAegBpAG4AZwAgAGIAZQBlAGYAIABjAGEAdAB0AGwAZQBcACIAKQA7AFwAbgBcAG4AVgBFAEUAUgBHAF8AMwBfADIAXwAxAF8AMQBfAF8AMwBfAEYAZQBlAGQASQBuAHQAYQBrAGUARgBvAHIARwByAGEAegBpAG4AZwBCAGUAZQBmAF8AVgBhAHIAaQBhAGIAbABlAFwAbgAgACAAPQBMAEEATQBCAEQAQQAoAFwAIgBJAF8AagBrAGwAXAAiACkAOwBcAG4AXABuAFYARQBFAFIARwBfADMAXwAyAF8AMQBfADEAXwBfADMAXwBGAGUAZQBkAEkAbgB0AGEAawBlAEYAbwByAEcAcgBhAHoAaQBuAGcAQgBlAGUAZgBfAFUAbgBpAHQAXABuACAAIAA9AEwAQQBNAEIARABBACgAXAAiAGsAZwAgAEQATQAvAGgAZQBhAGQALwBkAGEAeQBcACIAKQA7AFwAbgBcAG4AVgBFAEUAUgBHAF8AMwBfADIAXwAxAF8AMQBfAF8AMwBfAEYAZQBlAGQASQBuAHQAYQBrAGUARgBvAHIARwByAGEAegBpAG4AZwBCAGUAZQBmAF8AUwBvAHUAcgBjAGUAXABuACAAIAA9AEwAQQBNAEIARABBACgAXAAiAFYARQBFAFIARwAgADIAMAAyADYAOgAgADMALgAyAC4AMQAuADEALAAgAEUAcQB1AGEAdABpAG8AbgAgACgAMwApAFwAIgApADsAXABuAFwAbgBWAEUARQBSAEcAXwAzAF8AMgBfADEAXwAxAF8AXwAzAF8ARgBlAGUAZABJAG4AdABhAGsAZQBGAG8AcgBHAHIAYQB6AGkAbgBnAEIAZQBlAGYAXwBOAEkAUgBSAGUAZgBlAHIAZQBuAGMAZQBcAG4AIAAgAD0ATABBAE0AQgBEAEEAKABcACIATQBpAG4AcwBvAG4AIABhAG4AZAAgAE0AYwBEAG8AbgBhAGwAZAAgACgAMQA5ADgANwApAFwAIgApADsAXABuAFwAbgBWAEUARQBSAEcAXwAzAF8AMgBfADEAXwAxAF8AXwAzAF8ARgBlAGUAZABJAG4AdABhAGsAZQBGAG8AcgBHAHIAYQB6AGkAbgBnAEIAZQBlAGYAXwBMAGEAdABlAHgARQBxAHUAYQB0AGkAbwBuAFwAbgAgACAAPQBMAEEATQBCAEQAQQAoAFwAI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CIAKQA7AFwAbgBcAG4AVgBFAEUAUgBHAF8AMwBfADIAXwAxAF8AMQBfAF8AMwBfAEYAZQBlAGQASQBuAHQAYQBrAGUARgBvAHIARwByAGEAegBpAG4AZwBCAGUAZQBm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MAFcARwBfAGoAawBsAFwAIgAsACAAXAAiAGwAaQB2AGUAIAB3AGUAaQBnAGgAdAAgAGcAYQBpAG4AIAAoAGsAZwAvAGgAZQBhAGQALwBkAGEAeQApAFwAIgAsACAAXAAiAGsAZwAvAGgAZQBhAGQALwBkAGEAeQBcACIALAAgAFwAIgBJAG4AcAB1AHQAXAAiADsAXABuACAAIAAgACAAIAAgACAAIAAgACAAXAAiAE0AQQBfAGoAawA0ADUAXAAiACwAIABcACIAYQBkAGQAaQB0AGkAbwBuAGEAbAAgAGkAbgB0AGEAawBlACAAZgBvAHIAIABtAGkAbABrACAAcAByAG8AZAB1AGMAdABpAG8AbgAgAGkAbgAgAGMAbwB3AHMAIABnAHIAZQBhAHQAZQByACAAdABoAGEAbgAgADIAIAB5AGUAYQByAHMAXAAiACwAIABcACIAawBnAC8AaABlAGEAZAAvAGQAYQB5AFwAIgAsACAAXAAiAEMAYQBsAGMAdQBsAGEAdABlAGQAIABmAHIAbwBtACAAMwAuADIALgAxAC4AMQAsACAAKAA0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NABfAEEAZABkAGkAdABpAG8AbgBhAGwASQBuAHQAYQBrAGUARgBvAHIATQBpAGwAawBQAHIAbwBkAHUAYwB0AGkAbwBuAFwAbgBBAGQAZABpAHQAaQBvAG4AYQBsACAAaQBuAHQAYQBrAGUAIABmAG8AcgAgAG0AaQBsAGsAIABwAHIAbwBkAHUAYwB0AGkAbwBuACAAaQBuACAAdABoAGUAIABzAGUAYQBzAG8AbgAgAG8AZgAgAGMAYQBsAHYAaQBuAGcAIABhAG4AZAAgAHQAaABlACAAcwBlAGEAcwBvAG4AIABhAGYAdABlAHIAIABjAGEAbAB2AGkAbgBnAFwAbgBNAEEAXwBqAGsANAA1AFwAbgBmAHIAYQBjAHQAaQBvAG4AXABuAE0AQQBfAHsAagBrAD0ANAAsADUAfQA9ACgATABDAF8AewBqAGsAPQA0ACwANQB9AFwAXAB0AGkAbQBlAHMAIABGAEEAXwB7AGoAawA9ADQALAA1AH0AKQArACgAMQAtAEwAQwBfAHsAagBrAD0ANAAsADUAfQApAFwAbgBMAEMAXwBqAGsANAA1ACAAPQAgAHAAcgBvAHAAbwByAHQAaQBvAG4AIABvAGYAIABjAG8AdwBzACAAZwByAGUAYQB0AGUAcgAgAHQAaABhAG4AIAAxACAAeQBlAGEAcgAgAGkAbgAgAGMAYQBsAGYAIABpAG4AIAB0AGgAZQAgAHMAZQBhAHMAbwBuACAAbwBmACAAYwBhAGwAdgBpAG4AZwAgAGUAeABwAHIAZQBzAHMAZQBkACAAYQBzACAAYQAgAGYAcgBhAGMAdABpAG8AbgBcAG4ARgBBAF8AagBrADQANQAgAD0AIA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bgAtAC0ALQAtAC0ALQAtAC0ALQAtAC0ALQAtAC0ALQAtAC0ALQAtAC0ALQAtAC0ALQAtAC0ALQAtAC0ALQAtAC0ALQAtAC0ALQAtAC0AXABuACoALwBcAG4AXABuAFYARQBFAFIARwBfADMAXwAyAF8AMQBfADEAXwBfADQAXwBBAGQAZABpAHQAaQBvAG4AYQBsAEkAbgB0AGEAawBlAEYAbwByAE0AaQBsAGsAUAByAG8AZAB1AGMAdABpAG8AbgBcAG4AIAAgAD0ATABBAE0AQgBEAEEAKABcAG4AIAAgACAAIABMAEMAXwBqAGsANAA1ACwAIABGAEEAXwBqAGsANAA1ACwAXABuACAAIAAgACAAKABMAEMAXwBqAGsANAA1ACAAKgAgAEYAQQBfAGoAawA0ADUAKQAgACsAIAAoADEAIAAtACAATABDAF8AagBrADQANQApAFwAbgAgACAAKQA7AFwAbgBcAG4AXABuAFYARQBFAFIARwBfADMAXwAyAF8AMQBfADEAXwBfADQAXwBBAGQAZABpAHQAaQBvAG4AYQBsAEkAbgB0AGEAawBlAEYAbwByAE0AaQBsAGsAUAByAG8AZAB1AGMAdABpAG8AbgBWAGEAcgBpAGEAdABpAG8AbgBcAG4AIAAgAD0ATABBAE0AQgBEAEEAKABcAG4AIAAgACAAIABMAEMAXwBqAGsANAA1AGMAYQBsAHYALAAgAEwAQwBfAGoAawA0ADUAcAByAGUAdgAsACAARgBBAF8AagBrADQANQBjAGEAbAB2ACwAIABGAEEAXwBqAGsANAA1AGEAZgB0AGUAcgAsAFwAbgAgACAAIAAgACgAKABMAEMAXwBqAGsANAA1AGMAYQBsAHYAIAAqACAARgBBAF8AagBrADQANQBjAGEAbAB2ACkAIAArACAAKABMAEMAXwBqAGsANAA1AHAAcgBlAHYAIAAqACAARgBBAF8AagBrADQANQBhAGYAdABlAHIAKQApACAAKwAgACgAMQAgAC0AIAAoAEwAQwBfAGoAawA0ADUAYwBhAGwAdgAgACsAIABMAEMAXwBqAGsANAA1AHAAcgBlAHYAKQApAFwAbgAgACAAKQA7AFwAbgBcAG4AVgBFAEUAUgBHAF8AMwBfADIAXwAxAF8AMQBfAF8ANABfAEEAZABkAGkAdABpAG8AbgBhAGwASQBuAHQAYQBrAGUARgBvAHIATQBpAGwAawBQAHIAbwBkAHUAYwB0AGkAbwBuAF8AVABpAHQAbABlAFwAbgAgACAAPQBMAEEATQBCAEQAQQAoAFwAIgBBAGQAZABpAHQAaQBvAG4AYQBsACAAaQBuAHQAYQBrAGUAIABmAG8AcgAgAG0AaQBsAGsAIABwAHIAbwBkAHUAYwB0AGkAbwBuACAAaQBuACAAdABoAGUAIABzAGUAYQBzAG8AbgAgAG8AZgAgAGMAYQBsAHYAaQBuAGcAIABhAG4AZAAgAHQAaABlACAAcwBlAGEAcwBvAG4AIABhAGYAdABlAHIAIABjAGEAbAB2AGkAbgBnAFwAIgApADsAXABuAFwAbgBWAEUARQBSAEcAXwAzAF8AMgBfADEAXwAxAF8AXwA0AF8AQQBkAGQAaQB0AGkAbwBuAGEAbABJAG4AdABhAGsAZQBGAG8AcgBNAGkAbABrAFAAcgBvAGQAdQBjAHQAaQBvAG4AXwBWAGEAcgBpAGEAYgBsAGUAXABuACAAIAA9AEwAQQBNAEIARABBACgAXAAiAE0AQQBfAGoAawA0ADUAXAAiACkAOwBcAG4AXABuAFYARQBFAFIARwBfADMAXwAyAF8AMQBfADEAXwBfADQAXwBBAGQAZABpAHQAaQBvAG4AYQBsAEkAbgB0AGEAawBlAEYAbwByAE0AaQBsAGsAUAByAG8AZAB1AGMAdABpAG8AbgBfAFUAbgBpAHQAXABuACAAIAA9AEwAQQBNAEIARABBACgAXAAiAGYAcgBhAGMAdABpAG8AbgBcACIAKQA7AFwAbgBcAG4AVgBFAEUAUgBHAF8AMwBfADIAXwAxAF8AMQBfAF8ANABfAEEAZABkAGkAdABpAG8AbgBhAGwASQBuAHQAYQBrAGUARgBvAHIATQBpAGwAawBQAHIAbwBkAHUAYwB0AGkAbwBuAF8AUwBvAHUAcgBjAGUAXABuACAAIAA9AEwAQQBNAEIARABBACgAXAAiAFYARQBFAFIARwAgADIAMAAyADYAOgAgADMALgAyAC4AMQAuADEALAAgAEUAcQB1AGEAdABpAG8AbgAgACgANAApAFwAIgApADsAXABuAFwAbgBWAEUARQBSAEcAXwAzAF8AMgBfADEAXwAxAF8AXwA0AF8AQQBkAGQAaQB0AGkAbwBuAGEAbABJAG4AdABhAGsAZQBGAG8AcgBNAGkAbABrAFAAcgBvAGQAdQBjAHQAaQBvAG4AXwBOAEkAUgBSAGUAZgBlAHIAZQBuAGMAZQBcAG4AIAAgAD0ATABBAE0AQgBEAEEAKABcACIAXAAiACkAOwBcAG4AXABuAFYARQBFAFIARwBfADMAXwAyAF8AMQBfADEAXwBfADQAXwBBAGQAZABpAHQAaQBvAG4AYQBsAEkAbgB0AGEAawBlAEYAbwByAE0AaQBsAGsAUAByAG8AZAB1AGMAdABpAG8AbgBfAEwAYQB0AGUAeABFAHEAdQBhAHQAaQBvAG4AXABuACAAIAA9AEwAQQBNAEIARABBACgAXAAiAE0AQQBfAHsAagBrAD0ANAAsADUAfQA9ACgATABDAF8AewBqAGsAPQA0ACwANQB9AFwAXAB0AGkAbQBlAHMAIABGAEEAXwB7AGoAawA9ADQALAA1AH0AKQArACgAMQAtAEwAQwBfAHsAagBrAD0ANAAsADUAfQApAFwAIgApADsAXABuAFwAbgBWAEUARQBSAEcAXwAzAF8AMgBfADEAXwAxAF8AXwA0AF8AQQBkAGQAaQB0AGkAbwBuAGEAbABJAG4AdABhAGsAZQBGAG8AcgBNAGkAbABrAFAAcgBvAGQAdQBjAHQAaQBvAG4AXwBMAGEAdABlAHgARQBxAHUAYQB0AGkAbwBuAFYAYQByAGkAYQB0AGkAbwBuAFwAbgAgACAAPQBMAEEATQBCAEQAQQAoAFwAIgBNAEEAXwB7AGoAawA9ADQALAA1AH0APQAoACgATABDAF8AewBqAGsAPQA0ACwANQAsAGMAYQBsAHYAfQBcAFwAdABpAG0AZQBzACAARgBBAF8AewBqAGsAPQA0ACwANQAsAGMAYQBsAHYAfQApACsAKABMAEMAXwB7AGoAawA9ADQALAA1ACwAcAByAGUAdgB9AFwAXAB0AGkAbQBlAHMAIABGAEEAXwB7AGoAawA9ADQALAA1ACwAYQBmAHQAZQByAH0AKQApACsAKAAxAC0AKABMAEMAXwB7AGoAawA9ADQALAA1ACwAYwBhAGwAdgB9ACsATABDAF8AewBqAGsAPQA0ACwANQAsAHAAcgBlAHYAfQApACkAXAAiACkAOwBcAG4AXABuAFYARQBFAFIARwBfADMAXwAyAF8AMQBfADEAXwBfADQAXwBBAGQAZABpAHQAaQBvAG4AYQBsAEkAbgB0AGEAawBlAEYAbwByAE0AaQBsAGsAUAByAG8AZAB1AGMAdABpAG8AbgBfAEEAcgBnAHUAbQBlAG4AdABzAFwAbgAgACAAPQBMAEEATQBCAEQAQQAoAFwAbgAgACAAIAAgAE0AQQBLAEUAQQBSAFIAQQBZACgAMw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FwAIgAsACAAXAAi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BAHIAZwB1AG0AZQBuAHQAcwBWAGEAcgBpAGEAdABpAG8AbgBcAG4AIAAgAD0ATABBAE0AQgBEAEEAKABcAG4AIAAgACAAIABNAEEASwBFAEEAUgBSAEEAWQAoADQ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jAGEAbAB2AFwAIgAsACAAXAAiAGYAZQBlAGQAIABhAGQAagB1AHMAdABtAGUAbgB0ACAAdgBhAGwAdQBlACAAZgBvAHIAIABsAGEAYwB0AGEAdABpAG4AZwAgAGMAbwB3AHMAIABpAG4AIAB0AGgAZQAgAHMAZQBhAHMAbwBuACAAbwBmACAAYwBhAGwAdgBpAG4AZwAgAGUAeABwAHIAZQBzAHMAZQBkACAAYQBzACAAYQAgAGYAcgBhAGMAdABpAG8AbgBcACIALAAgAFwAIgBmAHIAYQBjAHQAaQBvAG4AXAAiACwAIABcACIAQwBvAG4AcwB0AGEAbgB0AFwAIgA7AFwAbgAgACAAIAAgACAAIAAgACAAIAAgAFwAIgBGAEEAXwBqAGsANAA1AGEAZgB0AGUAcgBcACIALAAgAFwAIgBmAGUAZQBkACAAYQBkAGoAdQBzAHQAbQBlAG4AdAAgAHYAYQBsAHUAZQAgAGYAbwByACAAbABhAGMAdABhAHQAaQBuAGcAIABjAG8AdwBzACAAaQBu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WAGEAcgBpAGEAdABpAG8AbgBcAG4APQBMAEEATQBCAEQAQQAoAFwAIgBWAEEAUgBJAEEAVABJAE8ATgAgAE8ATgAgAFMATwBVAFIAQwBFADoAIABFAHgAcABhAG4AZABlAGQAIABlAHEAdQBhAHQAaQBvAG4AIAB0AG8AIABhAGMAYwBvAHUAbgB0ACAAZgBvAHIAIABzAGUAYQBzAG8AbgAgAGEAZgB0AGUAcgAgAGMAYQBsAHYAaQBuAGcALAAgAHIAYQB0AGgAZQByACAAdABoAGEAbgAgAGQAbwBpAG4AZwAgAHQAaABlACAAcwBhAG0AZQAgAGUAcQB1AGEAdABpAG8AbgAgAHQAdwBpAGMAZQAgAGYAbwByACAAYgBvAHQAaAAgAHMAZQBhAHMAbwBuAHMAXAAiACkAXABu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X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144</vt:i4>
      </vt:variant>
    </vt:vector>
  </HeadingPairs>
  <TitlesOfParts>
    <vt:vector size="174"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2026-08-02T23:59:55Z</dcterms:modified>
</cp:coreProperties>
</file>