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D0F1F94-3D35-4940-9D78-374B55F71716}" xr6:coauthVersionLast="47" xr6:coauthVersionMax="47" xr10:uidLastSave="{00000000-0000-0000-0000-000000000000}"/>
  <bookViews>
    <workbookView xWindow="4680" yWindow="4680" windowWidth="28800" windowHeight="15345" firstSheet="23" activeTab="26" xr2:uid="{D37248E2-1193-4B5E-BE4F-D7532AB14CA0}"/>
  </bookViews>
  <sheets>
    <sheet name="Overview" sheetId="40" r:id="rId1"/>
    <sheet name="Results" sheetId="41" r:id="rId2"/>
    <sheet name="Input - Site" sheetId="51" r:id="rId3"/>
    <sheet name="Input - Fuel" sheetId="53" r:id="rId4"/>
    <sheet name="Input - Fertiliser" sheetId="52" r:id="rId5"/>
    <sheet name="Input - Farm Inputs" sheetId="13" r:id="rId6"/>
    <sheet name="Input - Livestock purchases" sheetId="48" r:id="rId7"/>
    <sheet name="Input - Freight" sheetId="39" r:id="rId8"/>
    <sheet name="Input - Solid waste" sheetId="54" r:id="rId9"/>
    <sheet name="Input - Manure sent off-site" sheetId="50" r:id="rId10"/>
    <sheet name="Input - Electricity" sheetId="55" r:id="rId11"/>
    <sheet name="15 Scope 3" sheetId="19" r:id="rId12"/>
    <sheet name="10.1.1-2 Solid waste treatment" sheetId="58" r:id="rId13"/>
    <sheet name="Calcs - Manure sent off-site" sheetId="34" r:id="rId14"/>
    <sheet name="8.1.1.1-2 Transport fuel" sheetId="56" r:id="rId15"/>
    <sheet name="8.2.1.1-2 Stationary fuel" sheetId="57" r:id="rId16"/>
    <sheet name="Constants - Scope 3" sheetId="20" r:id="rId17"/>
    <sheet name="Constants - Solid Waste" sheetId="60" r:id="rId18"/>
    <sheet name="Constants - Fuel" sheetId="59" r:id="rId19"/>
    <sheet name="Constants - Poultry" sheetId="66" r:id="rId20"/>
    <sheet name="Constants - Swine" sheetId="65" r:id="rId21"/>
    <sheet name="Constants - Dairy" sheetId="64" r:id="rId22"/>
    <sheet name="Constants - Pasture Beef" sheetId="63" r:id="rId23"/>
    <sheet name="Constants - Common Livestock" sheetId="67" r:id="rId24"/>
    <sheet name="Constants - Fertiliser" sheetId="61" r:id="rId25"/>
    <sheet name="Constants - Electricity" sheetId="62" r:id="rId26"/>
    <sheet name="Constants - Common" sheetId="68" r:id="rId27"/>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IFERROR('Constants - Common'!CommonLivestock_InputFunctions.LivestockMovement_TotalLiveweightAddedDuringMonth(_xlpm.Month, _xlpm.LivestockClass) / 'Constants - Common'!CommonLivestock_InputFunctions.LivestockMovement_HeadAddedDuringMonth(_xlpm.Month, _xlpm.LivestockClass), 0))</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'Constants - Common'!CommonLivestock_InputFunctions.LivestockMovement_HeadAddedDuringMonth(_xlpm.Month, _xlpm.LivestockClass) - 'Constants - Common'!CommonLivestock_InputFunctions.LivestockMovement_HeadLostDuringMonth(_xlpm.Month, _xlpm.LivestockClass))</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'Constants - Common'!CommonLivestock_InputFunctions.LivestockMovement_HeadLostDuringMonth(_xlpm.Month,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IFERROR('Constants - Common'!CommonLivestock_InputFunctions.LivestockMovement_GetMovementLiveweightGain(_xlpm.LivestockClass,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'Constants - Common'!CommonLivestock_InputFunctions.LivestockMovement_HeadAddedDuringMonth(_xlpm.Month,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'Constants - Common'!CommonLivestock_InputFunctions.LivestockMovement_TotalLiveweightGrownDuringMonth(_xlpm.Month,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Step1">#REF!</definedName>
    <definedName name="Step2">#REF!</definedName>
    <definedName name="Step3">#REF!</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38" i="68" l="1"/>
  <c r="A37" i="68"/>
  <c r="A36" i="68"/>
  <c r="A35" i="68"/>
  <c r="A34" i="68"/>
  <c r="A33" i="68"/>
  <c r="A32" i="68"/>
  <c r="A31" i="68"/>
  <c r="A30" i="68"/>
  <c r="A29" i="68"/>
  <c r="A28" i="68"/>
  <c r="A24" i="68"/>
  <c r="A23" i="68"/>
  <c r="A22" i="68"/>
  <c r="A21" i="68"/>
  <c r="A20" i="68"/>
  <c r="A16" i="68"/>
  <c r="A15" i="68"/>
  <c r="A14" i="68"/>
  <c r="A13" i="68"/>
  <c r="A12" i="68"/>
  <c r="A11" i="68"/>
  <c r="A10" i="68"/>
  <c r="A9" i="68"/>
  <c r="A8" i="68"/>
  <c r="A4" i="68"/>
  <c r="A3" i="68"/>
  <c r="A38" i="62"/>
  <c r="A37" i="62"/>
  <c r="A36" i="62"/>
  <c r="A35" i="62"/>
  <c r="A34" i="62"/>
  <c r="A33" i="62"/>
  <c r="A32" i="62"/>
  <c r="A31" i="62"/>
  <c r="A30" i="62"/>
  <c r="A29" i="62"/>
  <c r="A28" i="62"/>
  <c r="A24" i="62"/>
  <c r="A23" i="62"/>
  <c r="A22" i="62"/>
  <c r="A21" i="62"/>
  <c r="A20" i="62"/>
  <c r="A16" i="62"/>
  <c r="A15" i="62"/>
  <c r="A14" i="62"/>
  <c r="A13" i="62"/>
  <c r="A12" i="62"/>
  <c r="A11" i="62"/>
  <c r="A10" i="62"/>
  <c r="A9" i="62"/>
  <c r="A8" i="62"/>
  <c r="A4" i="62"/>
  <c r="A3" i="62"/>
  <c r="A38" i="61"/>
  <c r="A37" i="61"/>
  <c r="A36" i="61"/>
  <c r="A35" i="61"/>
  <c r="A34" i="61"/>
  <c r="A33" i="61"/>
  <c r="A32" i="61"/>
  <c r="A31" i="61"/>
  <c r="A30" i="61"/>
  <c r="A29" i="61"/>
  <c r="A28" i="61"/>
  <c r="A24" i="61"/>
  <c r="A23" i="61"/>
  <c r="A22" i="61"/>
  <c r="A21" i="61"/>
  <c r="A20" i="61"/>
  <c r="A16" i="61"/>
  <c r="A15" i="61"/>
  <c r="A14" i="61"/>
  <c r="A13" i="61"/>
  <c r="A12" i="61"/>
  <c r="A11" i="61"/>
  <c r="A10" i="61"/>
  <c r="A9" i="61"/>
  <c r="A8" i="61"/>
  <c r="A4" i="61"/>
  <c r="A3" i="61"/>
  <c r="A38" i="67"/>
  <c r="A37" i="67"/>
  <c r="A36" i="67"/>
  <c r="A35" i="67"/>
  <c r="A34" i="67"/>
  <c r="A33" i="67"/>
  <c r="A32" i="67"/>
  <c r="A31" i="67"/>
  <c r="A30" i="67"/>
  <c r="A29" i="67"/>
  <c r="A28" i="67"/>
  <c r="A24" i="67"/>
  <c r="A23" i="67"/>
  <c r="A22" i="67"/>
  <c r="A21" i="67"/>
  <c r="A20" i="67"/>
  <c r="A16" i="67"/>
  <c r="A15" i="67"/>
  <c r="A14" i="67"/>
  <c r="A13" i="67"/>
  <c r="A12" i="67"/>
  <c r="A11" i="67"/>
  <c r="A10" i="67"/>
  <c r="A9" i="67"/>
  <c r="A8" i="67"/>
  <c r="A4" i="67"/>
  <c r="A3" i="67"/>
  <c r="A38" i="63"/>
  <c r="A37" i="63"/>
  <c r="A36" i="63"/>
  <c r="A35" i="63"/>
  <c r="A34" i="63"/>
  <c r="A33" i="63"/>
  <c r="A32" i="63"/>
  <c r="A31" i="63"/>
  <c r="A30" i="63"/>
  <c r="A29" i="63"/>
  <c r="A28" i="63"/>
  <c r="A24" i="63"/>
  <c r="A23" i="63"/>
  <c r="A22" i="63"/>
  <c r="A21" i="63"/>
  <c r="A20" i="63"/>
  <c r="A16" i="63"/>
  <c r="A15" i="63"/>
  <c r="A14" i="63"/>
  <c r="A13" i="63"/>
  <c r="A12" i="63"/>
  <c r="A11" i="63"/>
  <c r="A10" i="63"/>
  <c r="A9" i="63"/>
  <c r="A8" i="63"/>
  <c r="A4" i="63"/>
  <c r="A3" i="63"/>
  <c r="A38" i="64"/>
  <c r="A37" i="64"/>
  <c r="A36" i="64"/>
  <c r="A35" i="64"/>
  <c r="A34" i="64"/>
  <c r="A33" i="64"/>
  <c r="A32" i="64"/>
  <c r="A31" i="64"/>
  <c r="A30" i="64"/>
  <c r="A29" i="64"/>
  <c r="A28" i="64"/>
  <c r="A24" i="64"/>
  <c r="A23" i="64"/>
  <c r="A22" i="64"/>
  <c r="A21" i="64"/>
  <c r="A20" i="64"/>
  <c r="A16" i="64"/>
  <c r="A15" i="64"/>
  <c r="A14" i="64"/>
  <c r="A13" i="64"/>
  <c r="A12" i="64"/>
  <c r="A11" i="64"/>
  <c r="A10" i="64"/>
  <c r="A9" i="64"/>
  <c r="A8" i="64"/>
  <c r="A4" i="64"/>
  <c r="A3" i="64"/>
  <c r="A38" i="65"/>
  <c r="A37" i="65"/>
  <c r="A36" i="65"/>
  <c r="A35" i="65"/>
  <c r="A34" i="65"/>
  <c r="A33" i="65"/>
  <c r="A32" i="65"/>
  <c r="A31" i="65"/>
  <c r="A30" i="65"/>
  <c r="A29" i="65"/>
  <c r="A28" i="65"/>
  <c r="A24" i="65"/>
  <c r="A23" i="65"/>
  <c r="A22" i="65"/>
  <c r="A21" i="65"/>
  <c r="A20" i="65"/>
  <c r="A16" i="65"/>
  <c r="A15" i="65"/>
  <c r="A14" i="65"/>
  <c r="A13" i="65"/>
  <c r="A12" i="65"/>
  <c r="A11" i="65"/>
  <c r="A10" i="65"/>
  <c r="A9" i="65"/>
  <c r="A8" i="65"/>
  <c r="A4" i="65"/>
  <c r="A3" i="65"/>
  <c r="A38" i="66"/>
  <c r="A37" i="66"/>
  <c r="A36" i="66"/>
  <c r="A35" i="66"/>
  <c r="A34" i="66"/>
  <c r="A33" i="66"/>
  <c r="A32" i="66"/>
  <c r="A31" i="66"/>
  <c r="A30" i="66"/>
  <c r="A29" i="66"/>
  <c r="A28" i="66"/>
  <c r="A24" i="66"/>
  <c r="A23" i="66"/>
  <c r="A22" i="66"/>
  <c r="A21" i="66"/>
  <c r="A20" i="66"/>
  <c r="A16" i="66"/>
  <c r="A15" i="66"/>
  <c r="A14" i="66"/>
  <c r="A13" i="66"/>
  <c r="A12" i="66"/>
  <c r="A11" i="66"/>
  <c r="A10" i="66"/>
  <c r="A9" i="66"/>
  <c r="A8" i="66"/>
  <c r="A4" i="66"/>
  <c r="A3" i="66"/>
  <c r="A38" i="59"/>
  <c r="A37" i="59"/>
  <c r="A36" i="59"/>
  <c r="A35" i="59"/>
  <c r="A34" i="59"/>
  <c r="A33" i="59"/>
  <c r="A32" i="59"/>
  <c r="A31" i="59"/>
  <c r="A30" i="59"/>
  <c r="A29" i="59"/>
  <c r="A28" i="59"/>
  <c r="A24" i="59"/>
  <c r="A23" i="59"/>
  <c r="A22" i="59"/>
  <c r="A21" i="59"/>
  <c r="A20" i="59"/>
  <c r="A16" i="59"/>
  <c r="A15" i="59"/>
  <c r="A14" i="59"/>
  <c r="A13" i="59"/>
  <c r="A12" i="59"/>
  <c r="A11" i="59"/>
  <c r="A10" i="59"/>
  <c r="A9" i="59"/>
  <c r="A8" i="59"/>
  <c r="A4" i="59"/>
  <c r="A3" i="59"/>
  <c r="A38" i="60"/>
  <c r="A37" i="60"/>
  <c r="A36" i="60"/>
  <c r="A35" i="60"/>
  <c r="A34" i="60"/>
  <c r="A33" i="60"/>
  <c r="A32" i="60"/>
  <c r="A31" i="60"/>
  <c r="A30" i="60"/>
  <c r="A29" i="60"/>
  <c r="A28" i="60"/>
  <c r="A24" i="60"/>
  <c r="A23" i="60"/>
  <c r="A22" i="60"/>
  <c r="A21" i="60"/>
  <c r="A20" i="60"/>
  <c r="A16" i="60"/>
  <c r="A15" i="60"/>
  <c r="A14" i="60"/>
  <c r="A13" i="60"/>
  <c r="A12" i="60"/>
  <c r="A11" i="60"/>
  <c r="A10" i="60"/>
  <c r="A9" i="60"/>
  <c r="A8" i="60"/>
  <c r="A4" i="60"/>
  <c r="A3" i="60"/>
  <c r="A38" i="20"/>
  <c r="A37" i="20"/>
  <c r="A36" i="20"/>
  <c r="A35" i="20"/>
  <c r="A34" i="20"/>
  <c r="A33" i="20"/>
  <c r="A32" i="20"/>
  <c r="A31" i="20"/>
  <c r="A30" i="20"/>
  <c r="A29" i="20"/>
  <c r="A28" i="20"/>
  <c r="A24" i="20"/>
  <c r="A23" i="20"/>
  <c r="A22" i="20"/>
  <c r="A21" i="20"/>
  <c r="A20" i="20"/>
  <c r="A16" i="20"/>
  <c r="A15" i="20"/>
  <c r="A14" i="20"/>
  <c r="A13" i="20"/>
  <c r="A12" i="20"/>
  <c r="A11" i="20"/>
  <c r="A10" i="20"/>
  <c r="A9" i="20"/>
  <c r="A8" i="20"/>
  <c r="A4" i="20"/>
  <c r="A3" i="20"/>
  <c r="A38" i="57"/>
  <c r="A37" i="57"/>
  <c r="A36" i="57"/>
  <c r="A35" i="57"/>
  <c r="A34" i="57"/>
  <c r="A33" i="57"/>
  <c r="A32" i="57"/>
  <c r="A31" i="57"/>
  <c r="A30" i="57"/>
  <c r="A29" i="57"/>
  <c r="A28" i="57"/>
  <c r="A24" i="57"/>
  <c r="A23" i="57"/>
  <c r="A22" i="57"/>
  <c r="A21" i="57"/>
  <c r="A20" i="57"/>
  <c r="A16" i="57"/>
  <c r="A15" i="57"/>
  <c r="A14" i="57"/>
  <c r="A13" i="57"/>
  <c r="A12" i="57"/>
  <c r="A11" i="57"/>
  <c r="A10" i="57"/>
  <c r="A9" i="57"/>
  <c r="A8" i="57"/>
  <c r="A4" i="57"/>
  <c r="A3" i="57"/>
  <c r="A38" i="56"/>
  <c r="A37" i="56"/>
  <c r="A36" i="56"/>
  <c r="A35" i="56"/>
  <c r="A34" i="56"/>
  <c r="A33" i="56"/>
  <c r="A32" i="56"/>
  <c r="A31" i="56"/>
  <c r="A30" i="56"/>
  <c r="A29" i="56"/>
  <c r="A28" i="56"/>
  <c r="A24" i="56"/>
  <c r="A23" i="56"/>
  <c r="A22" i="56"/>
  <c r="A21" i="56"/>
  <c r="A20" i="56"/>
  <c r="A16" i="56"/>
  <c r="A15" i="56"/>
  <c r="A14" i="56"/>
  <c r="A13" i="56"/>
  <c r="A12" i="56"/>
  <c r="A11" i="56"/>
  <c r="A10" i="56"/>
  <c r="A9" i="56"/>
  <c r="A8" i="56"/>
  <c r="A4" i="56"/>
  <c r="A3" i="56"/>
  <c r="A38" i="34"/>
  <c r="A37" i="34"/>
  <c r="A36" i="34"/>
  <c r="A35" i="34"/>
  <c r="A34" i="34"/>
  <c r="A33" i="34"/>
  <c r="A32" i="34"/>
  <c r="A31" i="34"/>
  <c r="A30" i="34"/>
  <c r="A29" i="34"/>
  <c r="A28" i="34"/>
  <c r="A24" i="34"/>
  <c r="A23" i="34"/>
  <c r="A22" i="34"/>
  <c r="A21" i="34"/>
  <c r="A20" i="34"/>
  <c r="A16" i="34"/>
  <c r="A15" i="34"/>
  <c r="A14" i="34"/>
  <c r="A13" i="34"/>
  <c r="A12" i="34"/>
  <c r="A11" i="34"/>
  <c r="A10" i="34"/>
  <c r="A9" i="34"/>
  <c r="A8" i="34"/>
  <c r="A4" i="34"/>
  <c r="A3" i="34"/>
  <c r="A38" i="58"/>
  <c r="A37" i="58"/>
  <c r="A36" i="58"/>
  <c r="A35" i="58"/>
  <c r="A34" i="58"/>
  <c r="A33" i="58"/>
  <c r="A32" i="58"/>
  <c r="A31" i="58"/>
  <c r="A30" i="58"/>
  <c r="A29" i="58"/>
  <c r="A28" i="58"/>
  <c r="A24" i="58"/>
  <c r="A23" i="58"/>
  <c r="A22" i="58"/>
  <c r="A21" i="58"/>
  <c r="A20" i="58"/>
  <c r="A16" i="58"/>
  <c r="A15" i="58"/>
  <c r="A14" i="58"/>
  <c r="A13" i="58"/>
  <c r="A12" i="58"/>
  <c r="A11" i="58"/>
  <c r="A10" i="58"/>
  <c r="A9" i="58"/>
  <c r="A8" i="58"/>
  <c r="A4" i="58"/>
  <c r="A3" i="58"/>
  <c r="A38" i="19"/>
  <c r="A37" i="19"/>
  <c r="A36" i="19"/>
  <c r="A35" i="19"/>
  <c r="A34" i="19"/>
  <c r="A33" i="19"/>
  <c r="A32" i="19"/>
  <c r="A31" i="19"/>
  <c r="A30" i="19"/>
  <c r="A29" i="19"/>
  <c r="A28" i="19"/>
  <c r="A24" i="19"/>
  <c r="A23" i="19"/>
  <c r="A22" i="19"/>
  <c r="A21" i="19"/>
  <c r="A20" i="19"/>
  <c r="A16" i="19"/>
  <c r="A15" i="19"/>
  <c r="A14" i="19"/>
  <c r="A13" i="19"/>
  <c r="A12" i="19"/>
  <c r="A11" i="19"/>
  <c r="A10" i="19"/>
  <c r="A9" i="19"/>
  <c r="A8" i="19"/>
  <c r="A4" i="19"/>
  <c r="A3" i="19"/>
  <c r="A38" i="55"/>
  <c r="A37" i="55"/>
  <c r="A36" i="55"/>
  <c r="A35" i="55"/>
  <c r="A34" i="55"/>
  <c r="A33" i="55"/>
  <c r="A32" i="55"/>
  <c r="A31" i="55"/>
  <c r="A30" i="55"/>
  <c r="A29" i="55"/>
  <c r="A28" i="55"/>
  <c r="A24" i="55"/>
  <c r="A23" i="55"/>
  <c r="A22" i="55"/>
  <c r="A21" i="55"/>
  <c r="A20" i="55"/>
  <c r="A16" i="55"/>
  <c r="A15" i="55"/>
  <c r="A14" i="55"/>
  <c r="A13" i="55"/>
  <c r="A12" i="55"/>
  <c r="A11" i="55"/>
  <c r="A10" i="55"/>
  <c r="A9" i="55"/>
  <c r="A8" i="55"/>
  <c r="A4" i="55"/>
  <c r="A3" i="55"/>
  <c r="A38" i="50"/>
  <c r="A37" i="50"/>
  <c r="A36" i="50"/>
  <c r="A35" i="50"/>
  <c r="A34" i="50"/>
  <c r="A33" i="50"/>
  <c r="A32" i="50"/>
  <c r="A31" i="50"/>
  <c r="A30" i="50"/>
  <c r="A29" i="50"/>
  <c r="A28" i="50"/>
  <c r="A24" i="50"/>
  <c r="A23" i="50"/>
  <c r="A22" i="50"/>
  <c r="A21" i="50"/>
  <c r="A20" i="50"/>
  <c r="A16" i="50"/>
  <c r="A15" i="50"/>
  <c r="A14" i="50"/>
  <c r="A13" i="50"/>
  <c r="A12" i="50"/>
  <c r="A11" i="50"/>
  <c r="A10" i="50"/>
  <c r="A9" i="50"/>
  <c r="A8" i="50"/>
  <c r="A4" i="50"/>
  <c r="A3" i="50"/>
  <c r="A38" i="54"/>
  <c r="A37" i="54"/>
  <c r="A36" i="54"/>
  <c r="A35" i="54"/>
  <c r="A34" i="54"/>
  <c r="A33" i="54"/>
  <c r="A32" i="54"/>
  <c r="A31" i="54"/>
  <c r="A30" i="54"/>
  <c r="A29" i="54"/>
  <c r="A28" i="54"/>
  <c r="A24" i="54"/>
  <c r="A23" i="54"/>
  <c r="A22" i="54"/>
  <c r="A21" i="54"/>
  <c r="A20" i="54"/>
  <c r="A16" i="54"/>
  <c r="A15" i="54"/>
  <c r="A14" i="54"/>
  <c r="A13" i="54"/>
  <c r="A12" i="54"/>
  <c r="A11" i="54"/>
  <c r="A10" i="54"/>
  <c r="A9" i="54"/>
  <c r="A8" i="54"/>
  <c r="A4" i="54"/>
  <c r="A3" i="54"/>
  <c r="A38" i="39"/>
  <c r="A37" i="39"/>
  <c r="A36" i="39"/>
  <c r="A35" i="39"/>
  <c r="A34" i="39"/>
  <c r="A33" i="39"/>
  <c r="A32" i="39"/>
  <c r="A31" i="39"/>
  <c r="A30" i="39"/>
  <c r="A29" i="39"/>
  <c r="A28" i="39"/>
  <c r="A24" i="39"/>
  <c r="A23" i="39"/>
  <c r="A22" i="39"/>
  <c r="A21" i="39"/>
  <c r="A20" i="39"/>
  <c r="A16" i="39"/>
  <c r="A15" i="39"/>
  <c r="A14" i="39"/>
  <c r="A13" i="39"/>
  <c r="A12" i="39"/>
  <c r="A11" i="39"/>
  <c r="A10" i="39"/>
  <c r="A9" i="39"/>
  <c r="A8" i="39"/>
  <c r="A4" i="39"/>
  <c r="A3" i="39"/>
  <c r="A38" i="48"/>
  <c r="A37" i="48"/>
  <c r="A36" i="48"/>
  <c r="A35" i="48"/>
  <c r="A34" i="48"/>
  <c r="A33" i="48"/>
  <c r="A32" i="48"/>
  <c r="A31" i="48"/>
  <c r="A30" i="48"/>
  <c r="A29" i="48"/>
  <c r="A28" i="48"/>
  <c r="A24" i="48"/>
  <c r="A23" i="48"/>
  <c r="A22" i="48"/>
  <c r="A21" i="48"/>
  <c r="A20" i="48"/>
  <c r="A16" i="48"/>
  <c r="A15" i="48"/>
  <c r="A14" i="48"/>
  <c r="A13" i="48"/>
  <c r="A12" i="48"/>
  <c r="A11" i="48"/>
  <c r="A10" i="48"/>
  <c r="A9" i="48"/>
  <c r="A8" i="48"/>
  <c r="A4" i="48"/>
  <c r="A3" i="48"/>
  <c r="A38" i="13"/>
  <c r="A37" i="13"/>
  <c r="A36" i="13"/>
  <c r="A35" i="13"/>
  <c r="A34" i="13"/>
  <c r="A33" i="13"/>
  <c r="A32" i="13"/>
  <c r="A31" i="13"/>
  <c r="A30" i="13"/>
  <c r="A29" i="13"/>
  <c r="A28" i="13"/>
  <c r="A24" i="13"/>
  <c r="A23" i="13"/>
  <c r="A22" i="13"/>
  <c r="A21" i="13"/>
  <c r="A20" i="13"/>
  <c r="A16" i="13"/>
  <c r="A15" i="13"/>
  <c r="A14" i="13"/>
  <c r="A13" i="13"/>
  <c r="A12" i="13"/>
  <c r="A11" i="13"/>
  <c r="A10" i="13"/>
  <c r="A9" i="13"/>
  <c r="A8" i="13"/>
  <c r="A4" i="13"/>
  <c r="A3" i="13"/>
  <c r="A38" i="52"/>
  <c r="A37" i="52"/>
  <c r="A36" i="52"/>
  <c r="A35" i="52"/>
  <c r="A34" i="52"/>
  <c r="A33" i="52"/>
  <c r="A32" i="52"/>
  <c r="A31" i="52"/>
  <c r="A30" i="52"/>
  <c r="A29" i="52"/>
  <c r="A28" i="52"/>
  <c r="A24" i="52"/>
  <c r="A23" i="52"/>
  <c r="A22" i="52"/>
  <c r="A21" i="52"/>
  <c r="A20" i="52"/>
  <c r="A16" i="52"/>
  <c r="A15" i="52"/>
  <c r="A14" i="52"/>
  <c r="A13" i="52"/>
  <c r="A12" i="52"/>
  <c r="A11" i="52"/>
  <c r="A10" i="52"/>
  <c r="A9" i="52"/>
  <c r="A8" i="52"/>
  <c r="A4" i="52"/>
  <c r="A3" i="52"/>
  <c r="A38" i="53"/>
  <c r="A37" i="53"/>
  <c r="A36" i="53"/>
  <c r="A35" i="53"/>
  <c r="A34" i="53"/>
  <c r="A33" i="53"/>
  <c r="A32" i="53"/>
  <c r="A31" i="53"/>
  <c r="A30" i="53"/>
  <c r="A29" i="53"/>
  <c r="A28" i="53"/>
  <c r="A24" i="53"/>
  <c r="A23" i="53"/>
  <c r="A22" i="53"/>
  <c r="A21" i="53"/>
  <c r="A20" i="53"/>
  <c r="A16" i="53"/>
  <c r="A15" i="53"/>
  <c r="A14" i="53"/>
  <c r="A13" i="53"/>
  <c r="A12" i="53"/>
  <c r="A11" i="53"/>
  <c r="A10" i="53"/>
  <c r="A9" i="53"/>
  <c r="A8" i="53"/>
  <c r="A4" i="53"/>
  <c r="A3" i="53"/>
  <c r="A38" i="51"/>
  <c r="A37" i="51"/>
  <c r="A36" i="51"/>
  <c r="A35" i="51"/>
  <c r="A34" i="51"/>
  <c r="A33" i="51"/>
  <c r="A32" i="51"/>
  <c r="A31" i="51"/>
  <c r="A30" i="51"/>
  <c r="A29" i="51"/>
  <c r="A28" i="51"/>
  <c r="A24" i="51"/>
  <c r="A23" i="51"/>
  <c r="A22" i="51"/>
  <c r="A21" i="51"/>
  <c r="A20" i="51"/>
  <c r="A16" i="51"/>
  <c r="A15" i="51"/>
  <c r="A14" i="51"/>
  <c r="A13" i="51"/>
  <c r="A12" i="51"/>
  <c r="A11" i="51"/>
  <c r="A10" i="51"/>
  <c r="A9" i="51"/>
  <c r="A8" i="51"/>
  <c r="A4" i="51"/>
  <c r="A3" i="51"/>
  <c r="A38" i="41"/>
  <c r="A37" i="41"/>
  <c r="A36" i="41"/>
  <c r="A35" i="41"/>
  <c r="A34" i="41"/>
  <c r="A33" i="41"/>
  <c r="A32" i="41"/>
  <c r="A31" i="41"/>
  <c r="A30" i="41"/>
  <c r="A29" i="41"/>
  <c r="A28" i="41"/>
  <c r="A24" i="41"/>
  <c r="A23" i="41"/>
  <c r="A22" i="41"/>
  <c r="A21" i="41"/>
  <c r="A20" i="41"/>
  <c r="A16" i="41"/>
  <c r="A15" i="41"/>
  <c r="A14" i="41"/>
  <c r="A13" i="41"/>
  <c r="A12" i="41"/>
  <c r="A11" i="41"/>
  <c r="A10" i="41"/>
  <c r="A9" i="41"/>
  <c r="A8" i="41"/>
  <c r="A4" i="41"/>
  <c r="A3" i="41"/>
  <c r="A38" i="40"/>
  <c r="A37" i="40"/>
  <c r="A36" i="40"/>
  <c r="A35" i="40"/>
  <c r="A34" i="40"/>
  <c r="A33" i="40"/>
  <c r="A32" i="40"/>
  <c r="A31" i="40"/>
  <c r="A30" i="40"/>
  <c r="A29" i="40"/>
  <c r="A28" i="40"/>
  <c r="A24" i="40"/>
  <c r="A23" i="40"/>
  <c r="A22" i="40"/>
  <c r="A21" i="40"/>
  <c r="A20" i="40"/>
  <c r="A16" i="40"/>
  <c r="A15" i="40"/>
  <c r="A14" i="40"/>
  <c r="A13" i="40"/>
  <c r="A12" i="40"/>
  <c r="A11" i="40"/>
  <c r="A10" i="40"/>
  <c r="A9" i="40"/>
  <c r="A8" i="40"/>
  <c r="A4" i="40"/>
  <c r="A3" i="40"/>
  <c r="D9" i="63"/>
  <c r="D8" i="63"/>
  <c r="G9" i="64"/>
  <c r="G8" i="64"/>
  <c r="G46" i="66"/>
  <c r="G45" i="66"/>
  <c r="J14" i="34"/>
  <c r="I68" i="34"/>
  <c r="I49" i="34"/>
  <c r="E30" i="51"/>
  <c r="E33" i="51"/>
  <c r="E32" i="51"/>
  <c r="E31" i="51"/>
  <c r="J88" i="34"/>
  <c r="I50" i="34"/>
  <c r="J15" i="34"/>
  <c r="O576" i="19"/>
  <c r="G576" i="19"/>
  <c r="E259" i="68" a="1"/>
  <c r="E259" i="68" s="1"/>
  <c r="D259" i="68" a="1"/>
  <c r="D259" i="68" s="1"/>
  <c r="E258" i="68" a="1"/>
  <c r="E258" i="68" s="1"/>
  <c r="D258" i="68" a="1"/>
  <c r="D258" i="68" s="1"/>
  <c r="D256" i="68" a="1"/>
  <c r="D256" i="68" s="1"/>
  <c r="D255" i="68" a="1"/>
  <c r="D255" i="68" s="1"/>
  <c r="D254" i="68" a="1"/>
  <c r="D254" i="68" s="1"/>
  <c r="D253" i="68" a="1"/>
  <c r="D253" i="68" s="1"/>
  <c r="S250" i="68" a="1"/>
  <c r="S250" i="68" s="1"/>
  <c r="R250" i="68" a="1"/>
  <c r="R250" i="68" s="1"/>
  <c r="Q250" i="68" a="1"/>
  <c r="Q250" i="68" s="1"/>
  <c r="P250" i="68" a="1"/>
  <c r="P250" i="68" s="1"/>
  <c r="O250" i="68" a="1"/>
  <c r="O250" i="68" s="1"/>
  <c r="N250" i="68" a="1"/>
  <c r="N250" i="68" s="1"/>
  <c r="M250" i="68" a="1"/>
  <c r="M250" i="68" s="1"/>
  <c r="L250" i="68" a="1"/>
  <c r="L250" i="68" s="1"/>
  <c r="K250" i="68" a="1"/>
  <c r="K250" i="68" s="1"/>
  <c r="J250" i="68" a="1"/>
  <c r="J250" i="68" s="1"/>
  <c r="I250" i="68" a="1"/>
  <c r="I250" i="68" s="1"/>
  <c r="H250" i="68" a="1"/>
  <c r="H250" i="68" s="1"/>
  <c r="G250" i="68" a="1"/>
  <c r="G250" i="68" s="1"/>
  <c r="F250" i="68" a="1"/>
  <c r="F250" i="68" s="1"/>
  <c r="E250" i="68" a="1"/>
  <c r="E250" i="68" s="1"/>
  <c r="D250" i="68" a="1"/>
  <c r="D250" i="68" s="1"/>
  <c r="S249" i="68" a="1"/>
  <c r="S249" i="68" s="1"/>
  <c r="R249" i="68" a="1"/>
  <c r="R249" i="68" s="1"/>
  <c r="Q249" i="68" a="1"/>
  <c r="Q249" i="68" s="1"/>
  <c r="P249" i="68" a="1"/>
  <c r="P249" i="68" s="1"/>
  <c r="O249" i="68" a="1"/>
  <c r="O249" i="68" s="1"/>
  <c r="N249" i="68" a="1"/>
  <c r="N249" i="68" s="1"/>
  <c r="M249" i="68" a="1"/>
  <c r="M249" i="68" s="1"/>
  <c r="L249" i="68" a="1"/>
  <c r="L249" i="68" s="1"/>
  <c r="K249" i="68" a="1"/>
  <c r="K249" i="68" s="1"/>
  <c r="J249" i="68" a="1"/>
  <c r="J249" i="68" s="1"/>
  <c r="I249" i="68" a="1"/>
  <c r="I249" i="68" s="1"/>
  <c r="H249" i="68" a="1"/>
  <c r="H249" i="68" s="1"/>
  <c r="G249" i="68" a="1"/>
  <c r="G249" i="68" s="1"/>
  <c r="F249" i="68" a="1"/>
  <c r="F249" i="68" s="1"/>
  <c r="E249" i="68" a="1"/>
  <c r="E249" i="68" s="1"/>
  <c r="D249" i="68" a="1"/>
  <c r="D249" i="68" s="1"/>
  <c r="S248" i="68" a="1"/>
  <c r="S248" i="68" s="1"/>
  <c r="R248" i="68" a="1"/>
  <c r="R248" i="68" s="1"/>
  <c r="Q248" i="68" a="1"/>
  <c r="Q248" i="68" s="1"/>
  <c r="P248" i="68" a="1"/>
  <c r="P248" i="68" s="1"/>
  <c r="O248" i="68" a="1"/>
  <c r="O248" i="68" s="1"/>
  <c r="N248" i="68" a="1"/>
  <c r="N248" i="68" s="1"/>
  <c r="M248" i="68" a="1"/>
  <c r="M248" i="68" s="1"/>
  <c r="L248" i="68" a="1"/>
  <c r="L248" i="68" s="1"/>
  <c r="K248" i="68" a="1"/>
  <c r="K248" i="68" s="1"/>
  <c r="J248" i="68" a="1"/>
  <c r="J248" i="68" s="1"/>
  <c r="I248" i="68" a="1"/>
  <c r="I248" i="68" s="1"/>
  <c r="H248" i="68" a="1"/>
  <c r="H248" i="68" s="1"/>
  <c r="G248" i="68" a="1"/>
  <c r="G248" i="68" s="1"/>
  <c r="F248" i="68" a="1"/>
  <c r="F248" i="68" s="1"/>
  <c r="E248" i="68" a="1"/>
  <c r="E248" i="68" s="1"/>
  <c r="D248" i="68" a="1"/>
  <c r="D248" i="68" s="1"/>
  <c r="S247" i="68" a="1"/>
  <c r="S247" i="68" s="1"/>
  <c r="R247" i="68" a="1"/>
  <c r="R247" i="68" s="1"/>
  <c r="Q247" i="68" a="1"/>
  <c r="Q247" i="68" s="1"/>
  <c r="P247" i="68" a="1"/>
  <c r="P247" i="68" s="1"/>
  <c r="O247" i="68" a="1"/>
  <c r="O247" i="68" s="1"/>
  <c r="N247" i="68" a="1"/>
  <c r="N247" i="68" s="1"/>
  <c r="M247" i="68" a="1"/>
  <c r="M247" i="68" s="1"/>
  <c r="L247" i="68" a="1"/>
  <c r="L247" i="68" s="1"/>
  <c r="K247" i="68" a="1"/>
  <c r="K247" i="68" s="1"/>
  <c r="J247" i="68" a="1"/>
  <c r="J247" i="68" s="1"/>
  <c r="I247" i="68" a="1"/>
  <c r="I247" i="68" s="1"/>
  <c r="H247" i="68" a="1"/>
  <c r="H247" i="68" s="1"/>
  <c r="G247" i="68" a="1"/>
  <c r="G247" i="68" s="1"/>
  <c r="F247" i="68" a="1"/>
  <c r="F247" i="68" s="1"/>
  <c r="E247" i="68" a="1"/>
  <c r="E247" i="68" s="1"/>
  <c r="D247" i="68" a="1"/>
  <c r="D247" i="68" s="1"/>
  <c r="S246" i="68" a="1"/>
  <c r="S246" i="68" s="1"/>
  <c r="R246" i="68" a="1"/>
  <c r="R246" i="68" s="1"/>
  <c r="Q246" i="68" a="1"/>
  <c r="Q246" i="68" s="1"/>
  <c r="P246" i="68" a="1"/>
  <c r="P246" i="68" s="1"/>
  <c r="O246" i="68" a="1"/>
  <c r="O246" i="68" s="1"/>
  <c r="N246" i="68" a="1"/>
  <c r="N246" i="68" s="1"/>
  <c r="M246" i="68" a="1"/>
  <c r="M246" i="68" s="1"/>
  <c r="L246" i="68" a="1"/>
  <c r="L246" i="68" s="1"/>
  <c r="K246" i="68" a="1"/>
  <c r="K246" i="68" s="1"/>
  <c r="J246" i="68" a="1"/>
  <c r="J246" i="68" s="1"/>
  <c r="I246" i="68" a="1"/>
  <c r="I246" i="68" s="1"/>
  <c r="H246" i="68" a="1"/>
  <c r="H246" i="68" s="1"/>
  <c r="G246" i="68" a="1"/>
  <c r="G246" i="68" s="1"/>
  <c r="F246" i="68" a="1"/>
  <c r="F246" i="68" s="1"/>
  <c r="E246" i="68" a="1"/>
  <c r="E246" i="68" s="1"/>
  <c r="D246" i="68" a="1"/>
  <c r="D246" i="68" s="1"/>
  <c r="S245" i="68" a="1"/>
  <c r="S245" i="68" s="1"/>
  <c r="R245" i="68" a="1"/>
  <c r="R245" i="68" s="1"/>
  <c r="Q245" i="68" a="1"/>
  <c r="Q245" i="68" s="1"/>
  <c r="P245" i="68" a="1"/>
  <c r="P245" i="68" s="1"/>
  <c r="O245" i="68" a="1"/>
  <c r="O245" i="68" s="1"/>
  <c r="N245" i="68" a="1"/>
  <c r="N245" i="68" s="1"/>
  <c r="M245" i="68" a="1"/>
  <c r="M245" i="68" s="1"/>
  <c r="L245" i="68" a="1"/>
  <c r="L245" i="68" s="1"/>
  <c r="K245" i="68" a="1"/>
  <c r="K245" i="68" s="1"/>
  <c r="J245" i="68" a="1"/>
  <c r="J245" i="68" s="1"/>
  <c r="I245" i="68" a="1"/>
  <c r="I245" i="68" s="1"/>
  <c r="H245" i="68" a="1"/>
  <c r="H245" i="68" s="1"/>
  <c r="G245" i="68" a="1"/>
  <c r="G245" i="68" s="1"/>
  <c r="F245" i="68" a="1"/>
  <c r="F245" i="68" s="1"/>
  <c r="E245" i="68" a="1"/>
  <c r="E245" i="68" s="1"/>
  <c r="D245" i="68" a="1"/>
  <c r="D245" i="68" s="1"/>
  <c r="S244" i="68" a="1"/>
  <c r="S244" i="68" s="1"/>
  <c r="R244" i="68" a="1"/>
  <c r="R244" i="68" s="1"/>
  <c r="Q244" i="68" a="1"/>
  <c r="Q244" i="68" s="1"/>
  <c r="P244" i="68" a="1"/>
  <c r="P244" i="68" s="1"/>
  <c r="O244" i="68" a="1"/>
  <c r="O244" i="68" s="1"/>
  <c r="N244" i="68" a="1"/>
  <c r="N244" i="68" s="1"/>
  <c r="M244" i="68" a="1"/>
  <c r="M244" i="68" s="1"/>
  <c r="L244" i="68" a="1"/>
  <c r="L244" i="68" s="1"/>
  <c r="K244" i="68" a="1"/>
  <c r="K244" i="68" s="1"/>
  <c r="J244" i="68" a="1"/>
  <c r="J244" i="68" s="1"/>
  <c r="I244" i="68" a="1"/>
  <c r="I244" i="68" s="1"/>
  <c r="H244" i="68" a="1"/>
  <c r="H244" i="68" s="1"/>
  <c r="G244" i="68" a="1"/>
  <c r="G244" i="68" s="1"/>
  <c r="F244" i="68" a="1"/>
  <c r="F244" i="68" s="1"/>
  <c r="E244" i="68" a="1"/>
  <c r="E244" i="68" s="1"/>
  <c r="D244" i="68" a="1"/>
  <c r="D244" i="68" s="1"/>
  <c r="S243" i="68" a="1"/>
  <c r="S243" i="68" s="1"/>
  <c r="R243" i="68" a="1"/>
  <c r="R243" i="68" s="1"/>
  <c r="Q243" i="68" a="1"/>
  <c r="Q243" i="68" s="1"/>
  <c r="P243" i="68" a="1"/>
  <c r="P243" i="68" s="1"/>
  <c r="O243" i="68" a="1"/>
  <c r="O243" i="68" s="1"/>
  <c r="N243" i="68" a="1"/>
  <c r="N243" i="68" s="1"/>
  <c r="M243" i="68" a="1"/>
  <c r="M243" i="68" s="1"/>
  <c r="L243" i="68" a="1"/>
  <c r="L243" i="68" s="1"/>
  <c r="K243" i="68" a="1"/>
  <c r="K243" i="68" s="1"/>
  <c r="J243" i="68" a="1"/>
  <c r="J243" i="68" s="1"/>
  <c r="I243" i="68" a="1"/>
  <c r="I243" i="68" s="1"/>
  <c r="H243" i="68" a="1"/>
  <c r="H243" i="68" s="1"/>
  <c r="G243" i="68" a="1"/>
  <c r="G243" i="68" s="1"/>
  <c r="F243" i="68" a="1"/>
  <c r="F243" i="68" s="1"/>
  <c r="E243" i="68" a="1"/>
  <c r="E243" i="68" s="1"/>
  <c r="D243" i="68" a="1"/>
  <c r="D243" i="68" s="1"/>
  <c r="S242" i="68" a="1"/>
  <c r="S242" i="68" s="1"/>
  <c r="R242" i="68" a="1"/>
  <c r="R242" i="68" s="1"/>
  <c r="Q242" i="68" a="1"/>
  <c r="Q242" i="68" s="1"/>
  <c r="P242" i="68" a="1"/>
  <c r="P242" i="68" s="1"/>
  <c r="O242" i="68" a="1"/>
  <c r="O242" i="68" s="1"/>
  <c r="N242" i="68" a="1"/>
  <c r="N242" i="68" s="1"/>
  <c r="M242" i="68" a="1"/>
  <c r="M242" i="68" s="1"/>
  <c r="L242" i="68" a="1"/>
  <c r="L242" i="68" s="1"/>
  <c r="K242" i="68" a="1"/>
  <c r="K242" i="68" s="1"/>
  <c r="J242" i="68" a="1"/>
  <c r="J242" i="68" s="1"/>
  <c r="I242" i="68" a="1"/>
  <c r="I242" i="68" s="1"/>
  <c r="H242" i="68" a="1"/>
  <c r="H242" i="68" s="1"/>
  <c r="G242" i="68" a="1"/>
  <c r="G242" i="68" s="1"/>
  <c r="F242" i="68" a="1"/>
  <c r="F242" i="68" s="1"/>
  <c r="E242" i="68" a="1"/>
  <c r="E242" i="68" s="1"/>
  <c r="D242" i="68" a="1"/>
  <c r="D242" i="68" s="1"/>
  <c r="S241" i="68" a="1"/>
  <c r="S241" i="68" s="1"/>
  <c r="R241" i="68" a="1"/>
  <c r="R241" i="68" s="1"/>
  <c r="Q241" i="68" a="1"/>
  <c r="Q241" i="68" s="1"/>
  <c r="P241" i="68" a="1"/>
  <c r="P241" i="68" s="1"/>
  <c r="O241" i="68" a="1"/>
  <c r="O241" i="68" s="1"/>
  <c r="N241" i="68" a="1"/>
  <c r="N241" i="68" s="1"/>
  <c r="M241" i="68" a="1"/>
  <c r="M241" i="68" s="1"/>
  <c r="L241" i="68" a="1"/>
  <c r="L241" i="68" s="1"/>
  <c r="K241" i="68" a="1"/>
  <c r="K241" i="68" s="1"/>
  <c r="J241" i="68" a="1"/>
  <c r="J241" i="68" s="1"/>
  <c r="I241" i="68" a="1"/>
  <c r="I241" i="68" s="1"/>
  <c r="H241" i="68" a="1"/>
  <c r="H241" i="68" s="1"/>
  <c r="G241" i="68" a="1"/>
  <c r="G241" i="68" s="1"/>
  <c r="F241" i="68" a="1"/>
  <c r="F241" i="68" s="1"/>
  <c r="E241" i="68" a="1"/>
  <c r="E241" i="68" s="1"/>
  <c r="D241" i="68" a="1"/>
  <c r="D241" i="68" s="1"/>
  <c r="S240" i="68" a="1"/>
  <c r="S240" i="68" s="1"/>
  <c r="R240" i="68" a="1"/>
  <c r="R240" i="68" s="1"/>
  <c r="Q240" i="68" a="1"/>
  <c r="Q240" i="68" s="1"/>
  <c r="P240" i="68" a="1"/>
  <c r="P240" i="68" s="1"/>
  <c r="O240" i="68" a="1"/>
  <c r="O240" i="68" s="1"/>
  <c r="N240" i="68" a="1"/>
  <c r="N240" i="68" s="1"/>
  <c r="M240" i="68" a="1"/>
  <c r="M240" i="68" s="1"/>
  <c r="L240" i="68" a="1"/>
  <c r="L240" i="68" s="1"/>
  <c r="K240" i="68" a="1"/>
  <c r="K240" i="68" s="1"/>
  <c r="J240" i="68" a="1"/>
  <c r="J240" i="68" s="1"/>
  <c r="I240" i="68" a="1"/>
  <c r="I240" i="68" s="1"/>
  <c r="H240" i="68" a="1"/>
  <c r="H240" i="68" s="1"/>
  <c r="G240" i="68" a="1"/>
  <c r="G240" i="68" s="1"/>
  <c r="F240" i="68" a="1"/>
  <c r="F240" i="68" s="1"/>
  <c r="E240" i="68" a="1"/>
  <c r="E240" i="68" s="1"/>
  <c r="D240" i="68" a="1"/>
  <c r="D240" i="68" s="1"/>
  <c r="S239" i="68" a="1"/>
  <c r="S239" i="68" s="1"/>
  <c r="R239" i="68" a="1"/>
  <c r="R239" i="68" s="1"/>
  <c r="Q239" i="68" a="1"/>
  <c r="Q239" i="68" s="1"/>
  <c r="P239" i="68" a="1"/>
  <c r="P239" i="68" s="1"/>
  <c r="O239" i="68" a="1"/>
  <c r="O239" i="68" s="1"/>
  <c r="N239" i="68" a="1"/>
  <c r="N239" i="68" s="1"/>
  <c r="M239" i="68" a="1"/>
  <c r="M239" i="68" s="1"/>
  <c r="L239" i="68" a="1"/>
  <c r="L239" i="68" s="1"/>
  <c r="K239" i="68" a="1"/>
  <c r="K239" i="68" s="1"/>
  <c r="J239" i="68" a="1"/>
  <c r="J239" i="68" s="1"/>
  <c r="I239" i="68" a="1"/>
  <c r="I239" i="68" s="1"/>
  <c r="H239" i="68" a="1"/>
  <c r="H239" i="68" s="1"/>
  <c r="G239" i="68" a="1"/>
  <c r="G239" i="68" s="1"/>
  <c r="F239" i="68" a="1"/>
  <c r="F239" i="68" s="1"/>
  <c r="E239" i="68" a="1"/>
  <c r="E239" i="68" s="1"/>
  <c r="D239" i="68" a="1"/>
  <c r="D239" i="68" s="1"/>
  <c r="S238" i="68" a="1"/>
  <c r="S238" i="68" s="1"/>
  <c r="R238" i="68" a="1"/>
  <c r="R238" i="68" s="1"/>
  <c r="Q238" i="68" a="1"/>
  <c r="Q238" i="68" s="1"/>
  <c r="P238" i="68" a="1"/>
  <c r="P238" i="68" s="1"/>
  <c r="O238" i="68" a="1"/>
  <c r="O238" i="68" s="1"/>
  <c r="N238" i="68" a="1"/>
  <c r="N238" i="68" s="1"/>
  <c r="M238" i="68" a="1"/>
  <c r="M238" i="68" s="1"/>
  <c r="L238" i="68" a="1"/>
  <c r="L238" i="68" s="1"/>
  <c r="K238" i="68" a="1"/>
  <c r="K238" i="68" s="1"/>
  <c r="J238" i="68" a="1"/>
  <c r="J238" i="68" s="1"/>
  <c r="I238" i="68" a="1"/>
  <c r="I238" i="68" s="1"/>
  <c r="H238" i="68" a="1"/>
  <c r="H238" i="68" s="1"/>
  <c r="G238" i="68" a="1"/>
  <c r="G238" i="68" s="1"/>
  <c r="F238" i="68" a="1"/>
  <c r="F238" i="68" s="1"/>
  <c r="E238" i="68" a="1"/>
  <c r="E238" i="68" s="1"/>
  <c r="D238" i="68" a="1"/>
  <c r="D238" i="68" s="1"/>
  <c r="S237" i="68" a="1"/>
  <c r="S237" i="68" s="1"/>
  <c r="R237" i="68" a="1"/>
  <c r="R237" i="68" s="1"/>
  <c r="Q237" i="68" a="1"/>
  <c r="Q237" i="68" s="1"/>
  <c r="P237" i="68" a="1"/>
  <c r="P237" i="68" s="1"/>
  <c r="O237" i="68" a="1"/>
  <c r="O237" i="68" s="1"/>
  <c r="N237" i="68" a="1"/>
  <c r="N237" i="68" s="1"/>
  <c r="M237" i="68" a="1"/>
  <c r="M237" i="68" s="1"/>
  <c r="L237" i="68" a="1"/>
  <c r="L237" i="68" s="1"/>
  <c r="K237" i="68" a="1"/>
  <c r="K237" i="68" s="1"/>
  <c r="J237" i="68" a="1"/>
  <c r="J237" i="68" s="1"/>
  <c r="I237" i="68" a="1"/>
  <c r="I237" i="68" s="1"/>
  <c r="H237" i="68" a="1"/>
  <c r="H237" i="68" s="1"/>
  <c r="G237" i="68" a="1"/>
  <c r="G237" i="68" s="1"/>
  <c r="F237" i="68" a="1"/>
  <c r="F237" i="68" s="1"/>
  <c r="E237" i="68" a="1"/>
  <c r="E237" i="68" s="1"/>
  <c r="D237" i="68" a="1"/>
  <c r="D237" i="68" s="1"/>
  <c r="S236" i="68" a="1"/>
  <c r="S236" i="68" s="1"/>
  <c r="R236" i="68" a="1"/>
  <c r="R236" i="68" s="1"/>
  <c r="Q236" i="68" a="1"/>
  <c r="Q236" i="68" s="1"/>
  <c r="P236" i="68" a="1"/>
  <c r="P236" i="68" s="1"/>
  <c r="O236" i="68" a="1"/>
  <c r="O236" i="68" s="1"/>
  <c r="N236" i="68" a="1"/>
  <c r="N236" i="68" s="1"/>
  <c r="M236" i="68" a="1"/>
  <c r="M236" i="68" s="1"/>
  <c r="L236" i="68" a="1"/>
  <c r="L236" i="68" s="1"/>
  <c r="K236" i="68" a="1"/>
  <c r="K236" i="68" s="1"/>
  <c r="J236" i="68" a="1"/>
  <c r="J236" i="68" s="1"/>
  <c r="I236" i="68" a="1"/>
  <c r="I236" i="68" s="1"/>
  <c r="H236" i="68" a="1"/>
  <c r="H236" i="68" s="1"/>
  <c r="G236" i="68" a="1"/>
  <c r="G236" i="68" s="1"/>
  <c r="F236" i="68" a="1"/>
  <c r="F236" i="68" s="1"/>
  <c r="E236" i="68" a="1"/>
  <c r="E236" i="68" s="1"/>
  <c r="D236" i="68" a="1"/>
  <c r="D236" i="68" s="1"/>
  <c r="S235" i="68" a="1"/>
  <c r="S235" i="68" s="1"/>
  <c r="R235" i="68" a="1"/>
  <c r="R235" i="68" s="1"/>
  <c r="Q235" i="68" a="1"/>
  <c r="Q235" i="68" s="1"/>
  <c r="P235" i="68" a="1"/>
  <c r="P235" i="68" s="1"/>
  <c r="O235" i="68" a="1"/>
  <c r="O235" i="68" s="1"/>
  <c r="N235" i="68" a="1"/>
  <c r="N235" i="68" s="1"/>
  <c r="M235" i="68" a="1"/>
  <c r="M235" i="68" s="1"/>
  <c r="L235" i="68" a="1"/>
  <c r="L235" i="68" s="1"/>
  <c r="K235" i="68" a="1"/>
  <c r="K235" i="68" s="1"/>
  <c r="J235" i="68" a="1"/>
  <c r="J235" i="68" s="1"/>
  <c r="I235" i="68" a="1"/>
  <c r="I235" i="68" s="1"/>
  <c r="H235" i="68" a="1"/>
  <c r="H235" i="68" s="1"/>
  <c r="G235" i="68" a="1"/>
  <c r="G235" i="68" s="1"/>
  <c r="F235" i="68" a="1"/>
  <c r="F235" i="68" s="1"/>
  <c r="E235" i="68" a="1"/>
  <c r="E235" i="68" s="1"/>
  <c r="D235" i="68" a="1"/>
  <c r="D235" i="68" s="1"/>
  <c r="S234" i="68" a="1"/>
  <c r="S234" i="68" s="1"/>
  <c r="R234" i="68" a="1"/>
  <c r="R234" i="68" s="1"/>
  <c r="Q234" i="68" a="1"/>
  <c r="Q234" i="68" s="1"/>
  <c r="P234" i="68" a="1"/>
  <c r="P234" i="68" s="1"/>
  <c r="O234" i="68" a="1"/>
  <c r="O234" i="68" s="1"/>
  <c r="N234" i="68" a="1"/>
  <c r="N234" i="68" s="1"/>
  <c r="M234" i="68" a="1"/>
  <c r="M234" i="68" s="1"/>
  <c r="L234" i="68" a="1"/>
  <c r="L234" i="68" s="1"/>
  <c r="K234" i="68" a="1"/>
  <c r="K234" i="68" s="1"/>
  <c r="J234" i="68" a="1"/>
  <c r="J234" i="68" s="1"/>
  <c r="I234" i="68" a="1"/>
  <c r="I234" i="68" s="1"/>
  <c r="H234" i="68" a="1"/>
  <c r="H234" i="68" s="1"/>
  <c r="G234" i="68" a="1"/>
  <c r="G234" i="68" s="1"/>
  <c r="F234" i="68" a="1"/>
  <c r="F234" i="68" s="1"/>
  <c r="E234" i="68" a="1"/>
  <c r="E234" i="68" s="1"/>
  <c r="D234" i="68" a="1"/>
  <c r="D234" i="68" s="1"/>
  <c r="S233" i="68" a="1"/>
  <c r="S233" i="68" s="1"/>
  <c r="R233" i="68" a="1"/>
  <c r="R233" i="68" s="1"/>
  <c r="Q233" i="68" a="1"/>
  <c r="Q233" i="68" s="1"/>
  <c r="P233" i="68" a="1"/>
  <c r="P233" i="68" s="1"/>
  <c r="O233" i="68" a="1"/>
  <c r="O233" i="68" s="1"/>
  <c r="N233" i="68" a="1"/>
  <c r="N233" i="68" s="1"/>
  <c r="M233" i="68" a="1"/>
  <c r="M233" i="68" s="1"/>
  <c r="L233" i="68" a="1"/>
  <c r="L233" i="68" s="1"/>
  <c r="K233" i="68" a="1"/>
  <c r="K233" i="68" s="1"/>
  <c r="J233" i="68" a="1"/>
  <c r="J233" i="68" s="1"/>
  <c r="I233" i="68" a="1"/>
  <c r="I233" i="68" s="1"/>
  <c r="H233" i="68" a="1"/>
  <c r="H233" i="68" s="1"/>
  <c r="G233" i="68" a="1"/>
  <c r="G233" i="68" s="1"/>
  <c r="F233" i="68" a="1"/>
  <c r="F233" i="68" s="1"/>
  <c r="E233" i="68" a="1"/>
  <c r="E233" i="68" s="1"/>
  <c r="D233" i="68" a="1"/>
  <c r="D233" i="68" s="1"/>
  <c r="S232" i="68" a="1"/>
  <c r="S232" i="68" s="1"/>
  <c r="R232" i="68" a="1"/>
  <c r="R232" i="68" s="1"/>
  <c r="Q232" i="68" a="1"/>
  <c r="Q232" i="68" s="1"/>
  <c r="P232" i="68" a="1"/>
  <c r="P232" i="68" s="1"/>
  <c r="O232" i="68" a="1"/>
  <c r="O232" i="68" s="1"/>
  <c r="N232" i="68" a="1"/>
  <c r="N232" i="68" s="1"/>
  <c r="M232" i="68" a="1"/>
  <c r="M232" i="68" s="1"/>
  <c r="L232" i="68" a="1"/>
  <c r="L232" i="68" s="1"/>
  <c r="K232" i="68" a="1"/>
  <c r="K232" i="68" s="1"/>
  <c r="J232" i="68" a="1"/>
  <c r="J232" i="68" s="1"/>
  <c r="I232" i="68" a="1"/>
  <c r="I232" i="68" s="1"/>
  <c r="H232" i="68" a="1"/>
  <c r="H232" i="68" s="1"/>
  <c r="G232" i="68" a="1"/>
  <c r="G232" i="68" s="1"/>
  <c r="F232" i="68" a="1"/>
  <c r="F232" i="68" s="1"/>
  <c r="E232" i="68" a="1"/>
  <c r="E232" i="68" s="1"/>
  <c r="D232" i="68" a="1"/>
  <c r="D232" i="68" s="1"/>
  <c r="D229" i="68" a="1"/>
  <c r="D229" i="68" s="1"/>
  <c r="D228" i="68" a="1"/>
  <c r="D228" i="68" s="1"/>
  <c r="D227" i="68" a="1"/>
  <c r="D227" i="68" s="1"/>
  <c r="E224" i="68" a="1"/>
  <c r="E224" i="68" s="1"/>
  <c r="D224" i="68" a="1"/>
  <c r="D224" i="68" s="1"/>
  <c r="E223" i="68" a="1"/>
  <c r="E223" i="68" s="1"/>
  <c r="D223" i="68" a="1"/>
  <c r="D223" i="68" s="1"/>
  <c r="E222" i="68" a="1"/>
  <c r="E222" i="68" s="1"/>
  <c r="D222" i="68" a="1"/>
  <c r="D222" i="68" s="1"/>
  <c r="E221" i="68" a="1"/>
  <c r="E221" i="68" s="1"/>
  <c r="D221" i="68" a="1"/>
  <c r="D221" i="68" s="1"/>
  <c r="E220" i="68" a="1"/>
  <c r="E220" i="68" s="1"/>
  <c r="D220" i="68" a="1"/>
  <c r="D220" i="68" s="1"/>
  <c r="E219" i="68" a="1"/>
  <c r="E219" i="68" s="1"/>
  <c r="D219" i="68" a="1"/>
  <c r="D219" i="68" s="1"/>
  <c r="E218" i="68" a="1"/>
  <c r="E218" i="68" s="1"/>
  <c r="D218" i="68" a="1"/>
  <c r="D218" i="68" s="1"/>
  <c r="E217" i="68" a="1"/>
  <c r="E217" i="68" s="1"/>
  <c r="D217" i="68" a="1"/>
  <c r="D217" i="68" s="1"/>
  <c r="E216" i="68" a="1"/>
  <c r="E216" i="68" s="1"/>
  <c r="D216" i="68" a="1"/>
  <c r="D216" i="68" s="1"/>
  <c r="E215" i="68" a="1"/>
  <c r="E215" i="68" s="1"/>
  <c r="D215" i="68" a="1"/>
  <c r="D215" i="68" s="1"/>
  <c r="E214" i="68" a="1"/>
  <c r="E214" i="68" s="1"/>
  <c r="D214" i="68" a="1"/>
  <c r="D214" i="68" s="1"/>
  <c r="E213" i="68" a="1"/>
  <c r="E213" i="68" s="1"/>
  <c r="D213" i="68" a="1"/>
  <c r="D213" i="68" s="1"/>
  <c r="D211" i="68" a="1"/>
  <c r="D211" i="68" s="1"/>
  <c r="E208" i="68" a="1"/>
  <c r="E208" i="68" s="1"/>
  <c r="D208" i="68" a="1"/>
  <c r="D208" i="68" s="1"/>
  <c r="E207" i="68" a="1"/>
  <c r="E207" i="68" s="1"/>
  <c r="D207" i="68" a="1"/>
  <c r="D207" i="68" s="1"/>
  <c r="D205" i="68" a="1"/>
  <c r="D205" i="68" s="1"/>
  <c r="D204" i="68" a="1"/>
  <c r="D204" i="68" s="1"/>
  <c r="D203" i="68" a="1"/>
  <c r="D203" i="68" s="1"/>
  <c r="D202" i="68" a="1"/>
  <c r="D202" i="68" s="1"/>
  <c r="H199" i="68" a="1"/>
  <c r="H199" i="68" s="1"/>
  <c r="G199" i="68" a="1"/>
  <c r="G199" i="68" s="1"/>
  <c r="F199" i="68" a="1"/>
  <c r="F199" i="68" s="1"/>
  <c r="E199" i="68" a="1"/>
  <c r="E199" i="68" s="1"/>
  <c r="D199" i="68" a="1"/>
  <c r="D199" i="68" s="1"/>
  <c r="H198" i="68" a="1"/>
  <c r="H198" i="68" s="1"/>
  <c r="G198" i="68" a="1"/>
  <c r="G198" i="68" s="1"/>
  <c r="F198" i="68" a="1"/>
  <c r="F198" i="68" s="1"/>
  <c r="E198" i="68" a="1"/>
  <c r="E198" i="68" s="1"/>
  <c r="D198" i="68" a="1"/>
  <c r="D198" i="68" s="1"/>
  <c r="H197" i="68" a="1"/>
  <c r="H197" i="68" s="1"/>
  <c r="G197" i="68" a="1"/>
  <c r="G197" i="68" s="1"/>
  <c r="F197" i="68" a="1"/>
  <c r="F197" i="68" s="1"/>
  <c r="E197" i="68" a="1"/>
  <c r="E197" i="68" s="1"/>
  <c r="D197" i="68" a="1"/>
  <c r="D197" i="68" s="1"/>
  <c r="H196" i="68" a="1"/>
  <c r="H196" i="68" s="1"/>
  <c r="G196" i="68" a="1"/>
  <c r="G196" i="68" s="1"/>
  <c r="F196" i="68" a="1"/>
  <c r="F196" i="68" s="1"/>
  <c r="E196" i="68" a="1"/>
  <c r="E196" i="68" s="1"/>
  <c r="D196" i="68" a="1"/>
  <c r="D196" i="68" s="1"/>
  <c r="H195" i="68" a="1"/>
  <c r="H195" i="68" s="1"/>
  <c r="G195" i="68" a="1"/>
  <c r="G195" i="68" s="1"/>
  <c r="F195" i="68" a="1"/>
  <c r="F195" i="68" s="1"/>
  <c r="E195" i="68" a="1"/>
  <c r="E195" i="68" s="1"/>
  <c r="D195" i="68" a="1"/>
  <c r="D195" i="68" s="1"/>
  <c r="H194" i="68" a="1"/>
  <c r="H194" i="68" s="1"/>
  <c r="G194" i="68" a="1"/>
  <c r="G194" i="68" s="1"/>
  <c r="F194" i="68" a="1"/>
  <c r="F194" i="68" s="1"/>
  <c r="E194" i="68" a="1"/>
  <c r="E194" i="68" s="1"/>
  <c r="D194" i="68" a="1"/>
  <c r="D194" i="68" s="1"/>
  <c r="H193" i="68" a="1"/>
  <c r="H193" i="68" s="1"/>
  <c r="G193" i="68" a="1"/>
  <c r="G193" i="68" s="1"/>
  <c r="F193" i="68" a="1"/>
  <c r="F193" i="68" s="1"/>
  <c r="E193" i="68" a="1"/>
  <c r="E193" i="68" s="1"/>
  <c r="D193" i="68" a="1"/>
  <c r="D193" i="68" s="1"/>
  <c r="H192" i="68" a="1"/>
  <c r="H192" i="68" s="1"/>
  <c r="G192" i="68" a="1"/>
  <c r="G192" i="68" s="1"/>
  <c r="F192" i="68" a="1"/>
  <c r="F192" i="68" s="1"/>
  <c r="E192" i="68" a="1"/>
  <c r="E192" i="68" s="1"/>
  <c r="D192" i="68" a="1"/>
  <c r="D192" i="68" s="1"/>
  <c r="H191" i="68" a="1"/>
  <c r="H191" i="68" s="1"/>
  <c r="G191" i="68" a="1"/>
  <c r="G191" i="68" s="1"/>
  <c r="F191" i="68" a="1"/>
  <c r="F191" i="68" s="1"/>
  <c r="E191" i="68" a="1"/>
  <c r="E191" i="68" s="1"/>
  <c r="D191" i="68" a="1"/>
  <c r="D191" i="68" s="1"/>
  <c r="H190" i="68" a="1"/>
  <c r="H190" i="68" s="1"/>
  <c r="G190" i="68" a="1"/>
  <c r="G190" i="68" s="1"/>
  <c r="F190" i="68" a="1"/>
  <c r="F190" i="68" s="1"/>
  <c r="E190" i="68" a="1"/>
  <c r="E190" i="68" s="1"/>
  <c r="D190" i="68" a="1"/>
  <c r="D190" i="68" s="1"/>
  <c r="H189" i="68" a="1"/>
  <c r="H189" i="68" s="1"/>
  <c r="G189" i="68" a="1"/>
  <c r="G189" i="68" s="1"/>
  <c r="F189" i="68" a="1"/>
  <c r="F189" i="68" s="1"/>
  <c r="E189" i="68" a="1"/>
  <c r="E189" i="68" s="1"/>
  <c r="D189" i="68" a="1"/>
  <c r="D189" i="68" s="1"/>
  <c r="H188" i="68" a="1"/>
  <c r="H188" i="68" s="1"/>
  <c r="G188" i="68" a="1"/>
  <c r="G188" i="68" s="1"/>
  <c r="F188" i="68" a="1"/>
  <c r="F188" i="68" s="1"/>
  <c r="E188" i="68" a="1"/>
  <c r="E188" i="68" s="1"/>
  <c r="D188" i="68" a="1"/>
  <c r="D188" i="68" s="1"/>
  <c r="H187" i="68" a="1"/>
  <c r="H187" i="68" s="1"/>
  <c r="G187" i="68" a="1"/>
  <c r="G187" i="68" s="1"/>
  <c r="F187" i="68" a="1"/>
  <c r="F187" i="68" s="1"/>
  <c r="E187" i="68" a="1"/>
  <c r="E187" i="68" s="1"/>
  <c r="D187" i="68" a="1"/>
  <c r="D187" i="68" s="1"/>
  <c r="D181" i="68" a="1"/>
  <c r="D181" i="68" s="1"/>
  <c r="D180" i="68" a="1"/>
  <c r="D180" i="68" s="1"/>
  <c r="D179" i="68" a="1"/>
  <c r="D179" i="68" s="1"/>
  <c r="D178" i="68" a="1"/>
  <c r="D178" i="68" s="1"/>
  <c r="E175" i="68"/>
  <c r="E175" i="68" a="1"/>
  <c r="D175" i="68" a="1"/>
  <c r="D175" i="68" s="1"/>
  <c r="D174" i="68" a="1"/>
  <c r="D174" i="68" s="1"/>
  <c r="D173" i="68" a="1"/>
  <c r="D173" i="68" s="1"/>
  <c r="D170" i="68" a="1"/>
  <c r="D170" i="68" s="1"/>
  <c r="D169" i="68" a="1"/>
  <c r="D169" i="68" s="1"/>
  <c r="D168" i="68" a="1"/>
  <c r="D168" i="68" s="1"/>
  <c r="D167" i="68" a="1"/>
  <c r="D167" i="68" s="1"/>
  <c r="D164" i="68" a="1"/>
  <c r="D164" i="68" s="1"/>
  <c r="D163" i="68" a="1"/>
  <c r="D163" i="68" s="1"/>
  <c r="D162" i="68" a="1"/>
  <c r="D162" i="68" s="1"/>
  <c r="D161" i="68" a="1"/>
  <c r="D161" i="68" s="1"/>
  <c r="E158" i="68" a="1"/>
  <c r="E158" i="68" s="1"/>
  <c r="D158" i="68" a="1"/>
  <c r="D158" i="68" s="1"/>
  <c r="E157" i="68" a="1"/>
  <c r="E157" i="68" s="1"/>
  <c r="D157" i="68" a="1"/>
  <c r="D157" i="68" s="1"/>
  <c r="E156" i="68" a="1"/>
  <c r="E156" i="68" s="1"/>
  <c r="D156" i="68" a="1"/>
  <c r="D156" i="68" s="1"/>
  <c r="E155" i="68" a="1"/>
  <c r="E155" i="68" s="1"/>
  <c r="D155" i="68" a="1"/>
  <c r="D155" i="68" s="1"/>
  <c r="E154" i="68" a="1"/>
  <c r="E154" i="68" s="1"/>
  <c r="D154" i="68" a="1"/>
  <c r="D154" i="68" s="1"/>
  <c r="D151" i="68" a="1"/>
  <c r="D151" i="68" s="1"/>
  <c r="D150" i="68" a="1"/>
  <c r="D150" i="68" s="1"/>
  <c r="E147" i="68" a="1"/>
  <c r="E147" i="68" s="1"/>
  <c r="D147" i="68" a="1"/>
  <c r="D147" i="68" s="1"/>
  <c r="E146" i="68" a="1"/>
  <c r="E146" i="68" s="1"/>
  <c r="D146" i="68" a="1"/>
  <c r="D146" i="68" s="1"/>
  <c r="E145" i="68" a="1"/>
  <c r="E145" i="68" s="1"/>
  <c r="D145" i="68" a="1"/>
  <c r="D145" i="68" s="1"/>
  <c r="E144" i="68" a="1"/>
  <c r="E144" i="68" s="1"/>
  <c r="D144" i="68" a="1"/>
  <c r="D144" i="68" s="1"/>
  <c r="E143" i="68" a="1"/>
  <c r="E143" i="68" s="1"/>
  <c r="D143" i="68" a="1"/>
  <c r="D143" i="68" s="1"/>
  <c r="D141" i="68" a="1"/>
  <c r="D141" i="68" s="1"/>
  <c r="D140" i="68" a="1"/>
  <c r="D140" i="68" s="1"/>
  <c r="D139" i="68" a="1"/>
  <c r="D139" i="68" s="1"/>
  <c r="E136" i="68" a="1"/>
  <c r="E136" i="68" s="1"/>
  <c r="D136" i="68" a="1"/>
  <c r="D136" i="68" s="1"/>
  <c r="E135" i="68" a="1"/>
  <c r="E135" i="68" s="1"/>
  <c r="D135" i="68" a="1"/>
  <c r="D135" i="68" s="1"/>
  <c r="D133" i="68" a="1"/>
  <c r="D133" i="68" s="1"/>
  <c r="D132" i="68" a="1"/>
  <c r="D132" i="68" s="1"/>
  <c r="E129" i="68" a="1"/>
  <c r="E129" i="68" s="1"/>
  <c r="D129" i="68" a="1"/>
  <c r="D129" i="68" s="1"/>
  <c r="E128" i="68" a="1"/>
  <c r="E128" i="68" s="1"/>
  <c r="D128" i="68" a="1"/>
  <c r="D128" i="68" s="1"/>
  <c r="D125" i="68" a="1"/>
  <c r="D125" i="68" s="1"/>
  <c r="D124" i="68" a="1"/>
  <c r="D124" i="68" s="1"/>
  <c r="G121" i="68" a="1"/>
  <c r="G121" i="68" s="1"/>
  <c r="F121" i="68" a="1"/>
  <c r="F121" i="68" s="1"/>
  <c r="E121" i="68" a="1"/>
  <c r="E121" i="68" s="1"/>
  <c r="D121" i="68" a="1"/>
  <c r="D121" i="68" s="1"/>
  <c r="G120" i="68" a="1"/>
  <c r="G120" i="68" s="1"/>
  <c r="F120" i="68" a="1"/>
  <c r="F120" i="68" s="1"/>
  <c r="E120" i="68" a="1"/>
  <c r="E120" i="68" s="1"/>
  <c r="D120" i="68" a="1"/>
  <c r="D120" i="68" s="1"/>
  <c r="D117" i="68" a="1"/>
  <c r="D117" i="68" s="1"/>
  <c r="D116" i="68" a="1"/>
  <c r="D116" i="68" s="1"/>
  <c r="D115" i="68" a="1"/>
  <c r="D115" i="68" s="1"/>
  <c r="G112" i="68" a="1"/>
  <c r="G112" i="68" s="1"/>
  <c r="F112" i="68" a="1"/>
  <c r="F112" i="68" s="1"/>
  <c r="E112" i="68" a="1"/>
  <c r="E112" i="68" s="1"/>
  <c r="D112" i="68" a="1"/>
  <c r="D112" i="68" s="1"/>
  <c r="G111" i="68" a="1"/>
  <c r="G111" i="68" s="1"/>
  <c r="F111" i="68" a="1"/>
  <c r="F111" i="68" s="1"/>
  <c r="E111" i="68" a="1"/>
  <c r="E111" i="68" s="1"/>
  <c r="D111" i="68" a="1"/>
  <c r="D111" i="68" s="1"/>
  <c r="G110" i="68" a="1"/>
  <c r="G110" i="68" s="1"/>
  <c r="F110" i="68" a="1"/>
  <c r="F110" i="68" s="1"/>
  <c r="E110" i="68" a="1"/>
  <c r="E110" i="68" s="1"/>
  <c r="D110" i="68" a="1"/>
  <c r="D110" i="68" s="1"/>
  <c r="D107" i="68" a="1"/>
  <c r="D107" i="68" s="1"/>
  <c r="D106" i="68" a="1"/>
  <c r="D106" i="68" s="1"/>
  <c r="D105" i="68" a="1"/>
  <c r="D105" i="68" s="1"/>
  <c r="D99" i="68" a="1"/>
  <c r="D99" i="68" s="1"/>
  <c r="S97" i="68" a="1"/>
  <c r="S97" i="68" s="1"/>
  <c r="R97" i="68" a="1"/>
  <c r="R97" i="68" s="1"/>
  <c r="Q97" i="68" a="1"/>
  <c r="Q97" i="68" s="1"/>
  <c r="P97" i="68" a="1"/>
  <c r="P97" i="68" s="1"/>
  <c r="O97" i="68" a="1"/>
  <c r="O97" i="68" s="1"/>
  <c r="N97" i="68" a="1"/>
  <c r="N97" i="68" s="1"/>
  <c r="M97" i="68" a="1"/>
  <c r="M97" i="68" s="1"/>
  <c r="L97" i="68" a="1"/>
  <c r="L97" i="68" s="1"/>
  <c r="K97" i="68" a="1"/>
  <c r="K97" i="68" s="1"/>
  <c r="J97" i="68" a="1"/>
  <c r="J97" i="68" s="1"/>
  <c r="I97" i="68" a="1"/>
  <c r="I97" i="68" s="1"/>
  <c r="H97" i="68" a="1"/>
  <c r="H97" i="68" s="1"/>
  <c r="G97" i="68" a="1"/>
  <c r="G97" i="68" s="1"/>
  <c r="F97" i="68" a="1"/>
  <c r="F97" i="68" s="1"/>
  <c r="E97" i="68" a="1"/>
  <c r="E97" i="68" s="1"/>
  <c r="D97" i="68" a="1"/>
  <c r="D97" i="68" s="1"/>
  <c r="S96" i="68" a="1"/>
  <c r="S96" i="68" s="1"/>
  <c r="R96" i="68" a="1"/>
  <c r="R96" i="68" s="1"/>
  <c r="Q96" i="68" a="1"/>
  <c r="Q96" i="68" s="1"/>
  <c r="P96" i="68" a="1"/>
  <c r="P96" i="68" s="1"/>
  <c r="O96" i="68" a="1"/>
  <c r="O96" i="68" s="1"/>
  <c r="N96" i="68" a="1"/>
  <c r="N96" i="68" s="1"/>
  <c r="M96" i="68" a="1"/>
  <c r="M96" i="68" s="1"/>
  <c r="L96" i="68" a="1"/>
  <c r="L96" i="68" s="1"/>
  <c r="K96" i="68" a="1"/>
  <c r="K96" i="68" s="1"/>
  <c r="J96" i="68" a="1"/>
  <c r="J96" i="68" s="1"/>
  <c r="I96" i="68" a="1"/>
  <c r="I96" i="68" s="1"/>
  <c r="H96" i="68" a="1"/>
  <c r="H96" i="68" s="1"/>
  <c r="G96" i="68" a="1"/>
  <c r="G96" i="68" s="1"/>
  <c r="F96" i="68" a="1"/>
  <c r="F96" i="68" s="1"/>
  <c r="E96" i="68" a="1"/>
  <c r="E96" i="68" s="1"/>
  <c r="D96" i="68" a="1"/>
  <c r="D96" i="68" s="1"/>
  <c r="S95" i="68" a="1"/>
  <c r="S95" i="68" s="1"/>
  <c r="R95" i="68" a="1"/>
  <c r="R95" i="68" s="1"/>
  <c r="Q95" i="68" a="1"/>
  <c r="Q95" i="68" s="1"/>
  <c r="P95" i="68" a="1"/>
  <c r="P95" i="68" s="1"/>
  <c r="O95" i="68" a="1"/>
  <c r="O95" i="68" s="1"/>
  <c r="N95" i="68" a="1"/>
  <c r="N95" i="68" s="1"/>
  <c r="M95" i="68" a="1"/>
  <c r="M95" i="68" s="1"/>
  <c r="L95" i="68" a="1"/>
  <c r="L95" i="68" s="1"/>
  <c r="K95" i="68" a="1"/>
  <c r="K95" i="68" s="1"/>
  <c r="J95" i="68" a="1"/>
  <c r="J95" i="68" s="1"/>
  <c r="I95" i="68" a="1"/>
  <c r="I95" i="68" s="1"/>
  <c r="H95" i="68" a="1"/>
  <c r="H95" i="68" s="1"/>
  <c r="G95" i="68" a="1"/>
  <c r="G95" i="68" s="1"/>
  <c r="F95" i="68" a="1"/>
  <c r="F95" i="68" s="1"/>
  <c r="E95" i="68" a="1"/>
  <c r="E95" i="68" s="1"/>
  <c r="D95" i="68" a="1"/>
  <c r="D95" i="68" s="1"/>
  <c r="S94" i="68" a="1"/>
  <c r="S94" i="68" s="1"/>
  <c r="R94" i="68" a="1"/>
  <c r="R94" i="68" s="1"/>
  <c r="Q94" i="68" a="1"/>
  <c r="Q94" i="68" s="1"/>
  <c r="P94" i="68" a="1"/>
  <c r="P94" i="68" s="1"/>
  <c r="O94" i="68" a="1"/>
  <c r="O94" i="68" s="1"/>
  <c r="N94" i="68" a="1"/>
  <c r="N94" i="68" s="1"/>
  <c r="M94" i="68" a="1"/>
  <c r="M94" i="68" s="1"/>
  <c r="L94" i="68" a="1"/>
  <c r="L94" i="68" s="1"/>
  <c r="K94" i="68" a="1"/>
  <c r="K94" i="68" s="1"/>
  <c r="J94" i="68" a="1"/>
  <c r="J94" i="68" s="1"/>
  <c r="I94" i="68" a="1"/>
  <c r="I94" i="68" s="1"/>
  <c r="H94" i="68" a="1"/>
  <c r="H94" i="68" s="1"/>
  <c r="G94" i="68" a="1"/>
  <c r="G94" i="68" s="1"/>
  <c r="F94" i="68" a="1"/>
  <c r="F94" i="68" s="1"/>
  <c r="E94" i="68" a="1"/>
  <c r="E94" i="68" s="1"/>
  <c r="D94" i="68" a="1"/>
  <c r="D94" i="68" s="1"/>
  <c r="S93" i="68" a="1"/>
  <c r="S93" i="68" s="1"/>
  <c r="R93" i="68" a="1"/>
  <c r="R93" i="68" s="1"/>
  <c r="Q93" i="68" a="1"/>
  <c r="Q93" i="68" s="1"/>
  <c r="P93" i="68" a="1"/>
  <c r="P93" i="68" s="1"/>
  <c r="O93" i="68" a="1"/>
  <c r="O93" i="68" s="1"/>
  <c r="N93" i="68" a="1"/>
  <c r="N93" i="68" s="1"/>
  <c r="M93" i="68" a="1"/>
  <c r="M93" i="68" s="1"/>
  <c r="L93" i="68" a="1"/>
  <c r="L93" i="68" s="1"/>
  <c r="K93" i="68" a="1"/>
  <c r="K93" i="68" s="1"/>
  <c r="J93" i="68" a="1"/>
  <c r="J93" i="68" s="1"/>
  <c r="I93" i="68" a="1"/>
  <c r="I93" i="68" s="1"/>
  <c r="H93" i="68" a="1"/>
  <c r="H93" i="68" s="1"/>
  <c r="G93" i="68" a="1"/>
  <c r="G93" i="68" s="1"/>
  <c r="F93" i="68" a="1"/>
  <c r="F93" i="68" s="1"/>
  <c r="E93" i="68" a="1"/>
  <c r="E93" i="68" s="1"/>
  <c r="D93" i="68" a="1"/>
  <c r="D93" i="68" s="1"/>
  <c r="S92" i="68" a="1"/>
  <c r="S92" i="68" s="1"/>
  <c r="R92" i="68" a="1"/>
  <c r="R92" i="68" s="1"/>
  <c r="Q92" i="68" a="1"/>
  <c r="Q92" i="68" s="1"/>
  <c r="P92" i="68" a="1"/>
  <c r="P92" i="68" s="1"/>
  <c r="O92" i="68" a="1"/>
  <c r="O92" i="68" s="1"/>
  <c r="N92" i="68" a="1"/>
  <c r="N92" i="68" s="1"/>
  <c r="M92" i="68" a="1"/>
  <c r="M92" i="68" s="1"/>
  <c r="L92" i="68" a="1"/>
  <c r="L92" i="68" s="1"/>
  <c r="K92" i="68" a="1"/>
  <c r="K92" i="68" s="1"/>
  <c r="J92" i="68" a="1"/>
  <c r="J92" i="68" s="1"/>
  <c r="I92" i="68" a="1"/>
  <c r="I92" i="68" s="1"/>
  <c r="H92" i="68" a="1"/>
  <c r="H92" i="68" s="1"/>
  <c r="G92" i="68" a="1"/>
  <c r="G92" i="68" s="1"/>
  <c r="F92" i="68" a="1"/>
  <c r="F92" i="68" s="1"/>
  <c r="E92" i="68" a="1"/>
  <c r="E92" i="68" s="1"/>
  <c r="D92" i="68" a="1"/>
  <c r="D92" i="68" s="1"/>
  <c r="S91" i="68" a="1"/>
  <c r="S91" i="68" s="1"/>
  <c r="R91" i="68" a="1"/>
  <c r="R91" i="68" s="1"/>
  <c r="Q91" i="68" a="1"/>
  <c r="Q91" i="68" s="1"/>
  <c r="P91" i="68" a="1"/>
  <c r="P91" i="68" s="1"/>
  <c r="O91" i="68" a="1"/>
  <c r="O91" i="68" s="1"/>
  <c r="N91" i="68" a="1"/>
  <c r="N91" i="68" s="1"/>
  <c r="M91" i="68" a="1"/>
  <c r="M91" i="68" s="1"/>
  <c r="L91" i="68" a="1"/>
  <c r="L91" i="68" s="1"/>
  <c r="K91" i="68" a="1"/>
  <c r="K91" i="68" s="1"/>
  <c r="J91" i="68" a="1"/>
  <c r="J91" i="68" s="1"/>
  <c r="I91" i="68" a="1"/>
  <c r="I91" i="68" s="1"/>
  <c r="H91" i="68" a="1"/>
  <c r="H91" i="68" s="1"/>
  <c r="G91" i="68" a="1"/>
  <c r="G91" i="68" s="1"/>
  <c r="F91" i="68" a="1"/>
  <c r="F91" i="68" s="1"/>
  <c r="E91" i="68" a="1"/>
  <c r="E91" i="68" s="1"/>
  <c r="D91" i="68" a="1"/>
  <c r="D91" i="68" s="1"/>
  <c r="S90" i="68" a="1"/>
  <c r="S90" i="68" s="1"/>
  <c r="R90" i="68" a="1"/>
  <c r="R90" i="68" s="1"/>
  <c r="Q90" i="68" a="1"/>
  <c r="Q90" i="68" s="1"/>
  <c r="P90" i="68" a="1"/>
  <c r="P90" i="68" s="1"/>
  <c r="O90" i="68" a="1"/>
  <c r="O90" i="68" s="1"/>
  <c r="N90" i="68" a="1"/>
  <c r="N90" i="68" s="1"/>
  <c r="M90" i="68" a="1"/>
  <c r="M90" i="68" s="1"/>
  <c r="L90" i="68" a="1"/>
  <c r="L90" i="68" s="1"/>
  <c r="K90" i="68" a="1"/>
  <c r="K90" i="68" s="1"/>
  <c r="J90" i="68" a="1"/>
  <c r="J90" i="68" s="1"/>
  <c r="I90" i="68" a="1"/>
  <c r="I90" i="68" s="1"/>
  <c r="H90" i="68" a="1"/>
  <c r="H90" i="68" s="1"/>
  <c r="G90" i="68" a="1"/>
  <c r="G90" i="68" s="1"/>
  <c r="F90" i="68" a="1"/>
  <c r="F90" i="68" s="1"/>
  <c r="E90" i="68" a="1"/>
  <c r="E90" i="68" s="1"/>
  <c r="D90" i="68" a="1"/>
  <c r="D90" i="68" s="1"/>
  <c r="D83" i="68" a="1"/>
  <c r="D83" i="68" s="1"/>
  <c r="D82" i="68" a="1"/>
  <c r="D82" i="68" s="1"/>
  <c r="D81" i="68" a="1"/>
  <c r="D81" i="68" s="1"/>
  <c r="E77" i="68" a="1"/>
  <c r="E77" i="68" s="1"/>
  <c r="D77" i="68" a="1"/>
  <c r="D77" i="68" s="1"/>
  <c r="E76" i="68" a="1"/>
  <c r="E76" i="68" s="1"/>
  <c r="D76" i="68" a="1"/>
  <c r="D76" i="68" s="1"/>
  <c r="E75" i="68" a="1"/>
  <c r="E75" i="68" s="1"/>
  <c r="D75" i="68" a="1"/>
  <c r="D75" i="68" s="1"/>
  <c r="E74" i="68" a="1"/>
  <c r="E74" i="68" s="1"/>
  <c r="D74" i="68" a="1"/>
  <c r="D74" i="68" s="1"/>
  <c r="E73" i="68" a="1"/>
  <c r="E73" i="68" s="1"/>
  <c r="D73" i="68" a="1"/>
  <c r="D73" i="68" s="1"/>
  <c r="E72" i="68" a="1"/>
  <c r="E72" i="68" s="1"/>
  <c r="D72" i="68" a="1"/>
  <c r="D72" i="68" s="1"/>
  <c r="E71" i="68" a="1"/>
  <c r="E71" i="68" s="1"/>
  <c r="D71" i="68" a="1"/>
  <c r="D71" i="68" s="1"/>
  <c r="E70" i="68" a="1"/>
  <c r="E70" i="68" s="1"/>
  <c r="D70" i="68" a="1"/>
  <c r="D70" i="68" s="1"/>
  <c r="E69" i="68" a="1"/>
  <c r="E69" i="68" s="1"/>
  <c r="D69" i="68" a="1"/>
  <c r="D69" i="68" s="1"/>
  <c r="E68" i="68" a="1"/>
  <c r="E68" i="68" s="1"/>
  <c r="D68" i="68" a="1"/>
  <c r="D68" i="68" s="1"/>
  <c r="E67" i="68" a="1"/>
  <c r="E67" i="68" s="1"/>
  <c r="D67" i="68" a="1"/>
  <c r="D67" i="68" s="1"/>
  <c r="E66" i="68" a="1"/>
  <c r="E66" i="68" s="1"/>
  <c r="D66" i="68" a="1"/>
  <c r="D66" i="68" s="1"/>
  <c r="E65" i="68" a="1"/>
  <c r="E65" i="68" s="1"/>
  <c r="D65" i="68" a="1"/>
  <c r="D65" i="68" s="1"/>
  <c r="E64" i="68" a="1"/>
  <c r="E64" i="68" s="1"/>
  <c r="D64" i="68" a="1"/>
  <c r="D64" i="68" s="1"/>
  <c r="D59" i="68" a="1"/>
  <c r="D59" i="68" s="1"/>
  <c r="D58" i="68" a="1"/>
  <c r="D58" i="68" s="1"/>
  <c r="D57" i="68" a="1"/>
  <c r="D57" i="68" s="1"/>
  <c r="G54" i="68" a="1"/>
  <c r="G54" i="68" s="1"/>
  <c r="F54" i="68" a="1"/>
  <c r="F54" i="68" s="1"/>
  <c r="E54" i="68" a="1"/>
  <c r="E54" i="68" s="1"/>
  <c r="D54" i="68" a="1"/>
  <c r="D54" i="68" s="1"/>
  <c r="G53" i="68" a="1"/>
  <c r="G53" i="68" s="1"/>
  <c r="F53" i="68" a="1"/>
  <c r="F53" i="68" s="1"/>
  <c r="E53" i="68" a="1"/>
  <c r="E53" i="68" s="1"/>
  <c r="D53" i="68" a="1"/>
  <c r="D53" i="68" s="1"/>
  <c r="G52" i="68" a="1"/>
  <c r="G52" i="68" s="1"/>
  <c r="F52" i="68" a="1"/>
  <c r="F52" i="68" s="1"/>
  <c r="E52" i="68" a="1"/>
  <c r="E52" i="68" s="1"/>
  <c r="D52" i="68" a="1"/>
  <c r="D52" i="68" s="1"/>
  <c r="G51" i="68" a="1"/>
  <c r="G51" i="68" s="1"/>
  <c r="F51" i="68" a="1"/>
  <c r="F51" i="68" s="1"/>
  <c r="E51" i="68" a="1"/>
  <c r="E51" i="68" s="1"/>
  <c r="D51" i="68" a="1"/>
  <c r="D51" i="68" s="1"/>
  <c r="G50" i="68" a="1"/>
  <c r="G50" i="68" s="1"/>
  <c r="F50" i="68" a="1"/>
  <c r="F50" i="68" s="1"/>
  <c r="H50" i="68" s="1"/>
  <c r="E50" i="68" a="1"/>
  <c r="E50" i="68" s="1"/>
  <c r="D50" i="68" a="1"/>
  <c r="D50" i="68" s="1"/>
  <c r="G49" i="68" a="1"/>
  <c r="G49" i="68" s="1"/>
  <c r="F49" i="68" a="1"/>
  <c r="F49" i="68" s="1"/>
  <c r="E49" i="68" a="1"/>
  <c r="E49" i="68" s="1"/>
  <c r="D49" i="68" a="1"/>
  <c r="D49" i="68" s="1"/>
  <c r="G48" i="68" a="1"/>
  <c r="G48" i="68" s="1"/>
  <c r="F48" i="68" a="1"/>
  <c r="F48" i="68" s="1"/>
  <c r="E48" i="68" a="1"/>
  <c r="E48" i="68" s="1"/>
  <c r="D48" i="68" a="1"/>
  <c r="D48" i="68" s="1"/>
  <c r="D46" i="68"/>
  <c r="D46" i="68" a="1"/>
  <c r="D45" i="68" a="1"/>
  <c r="D45" i="68" s="1"/>
  <c r="E43" i="68" a="1"/>
  <c r="E43" i="68" s="1"/>
  <c r="D43" i="68" a="1"/>
  <c r="D43" i="68" s="1"/>
  <c r="E42" i="68" a="1"/>
  <c r="E42" i="68" s="1"/>
  <c r="D42" i="68" a="1"/>
  <c r="D42" i="68" s="1"/>
  <c r="E41" i="68" a="1"/>
  <c r="E41" i="68" s="1"/>
  <c r="D41" i="68" a="1"/>
  <c r="D41" i="68" s="1"/>
  <c r="E40" i="68" a="1"/>
  <c r="E40" i="68" s="1"/>
  <c r="D40" i="68" a="1"/>
  <c r="D40" i="68" s="1"/>
  <c r="E39" i="68" a="1"/>
  <c r="E39" i="68" s="1"/>
  <c r="D39" i="68" a="1"/>
  <c r="D39" i="68" s="1"/>
  <c r="E38" i="68" a="1"/>
  <c r="E38" i="68" s="1"/>
  <c r="D38" i="68" a="1"/>
  <c r="D38" i="68" s="1"/>
  <c r="E37" i="68" a="1"/>
  <c r="E37" i="68" s="1"/>
  <c r="D37" i="68" a="1"/>
  <c r="D37" i="68" s="1"/>
  <c r="D35" i="68" a="1"/>
  <c r="D35" i="68" s="1"/>
  <c r="D34" i="68" a="1"/>
  <c r="D34" i="68" s="1"/>
  <c r="D30" i="68" a="1"/>
  <c r="D30" i="68" s="1"/>
  <c r="D29" i="68" a="1"/>
  <c r="D29" i="68" s="1"/>
  <c r="D28" i="68" a="1"/>
  <c r="D28" i="68" s="1"/>
  <c r="D27" i="68" a="1"/>
  <c r="D27" i="68" s="1"/>
  <c r="D26" i="68" a="1"/>
  <c r="D26" i="68" s="1"/>
  <c r="D25" i="68" a="1"/>
  <c r="D25" i="68" s="1"/>
  <c r="D24" i="68" a="1"/>
  <c r="D24" i="68" s="1"/>
  <c r="D23" i="68" a="1"/>
  <c r="D23" i="68" s="1"/>
  <c r="D22" i="68" a="1"/>
  <c r="D22" i="68" s="1"/>
  <c r="D21" i="68" a="1"/>
  <c r="D21" i="68" s="1"/>
  <c r="D19" i="68"/>
  <c r="D19" i="68" a="1"/>
  <c r="D18" i="68" a="1"/>
  <c r="D18" i="68" s="1"/>
  <c r="F14" i="68" a="1"/>
  <c r="F14" i="68" s="1"/>
  <c r="E14" i="68" a="1"/>
  <c r="E14" i="68" s="1"/>
  <c r="D14" i="68" a="1"/>
  <c r="D14" i="68" s="1"/>
  <c r="F13" i="68" a="1"/>
  <c r="F13" i="68" s="1"/>
  <c r="E13" i="68" a="1"/>
  <c r="E13" i="68" s="1"/>
  <c r="D13" i="68" a="1"/>
  <c r="D13" i="68" s="1"/>
  <c r="F12" i="68" a="1"/>
  <c r="F12" i="68" s="1"/>
  <c r="E12" i="68" a="1"/>
  <c r="E12" i="68" s="1"/>
  <c r="D12" i="68" a="1"/>
  <c r="D12" i="68" s="1"/>
  <c r="F11" i="68" a="1"/>
  <c r="F11" i="68" s="1"/>
  <c r="E11" i="68" a="1"/>
  <c r="E11" i="68" s="1"/>
  <c r="D11" i="68" a="1"/>
  <c r="D11" i="68" s="1"/>
  <c r="F10" i="68" a="1"/>
  <c r="F10" i="68" s="1"/>
  <c r="E10" i="68" a="1"/>
  <c r="E10" i="68" s="1"/>
  <c r="D10" i="68" a="1"/>
  <c r="D10" i="68" s="1"/>
  <c r="F9" i="68" a="1"/>
  <c r="F9" i="68" s="1"/>
  <c r="E9" i="68" a="1"/>
  <c r="E9" i="68" s="1"/>
  <c r="D9" i="68" a="1"/>
  <c r="D9" i="68" s="1"/>
  <c r="F8" i="68" a="1"/>
  <c r="F8" i="68" s="1"/>
  <c r="E8" i="68" a="1"/>
  <c r="E8" i="68" s="1"/>
  <c r="D8" i="68" a="1"/>
  <c r="D8" i="68" s="1"/>
  <c r="F7" i="68" a="1"/>
  <c r="F7" i="68" s="1"/>
  <c r="E7" i="68" a="1"/>
  <c r="E7" i="68" s="1"/>
  <c r="D7" i="68" a="1"/>
  <c r="D7" i="68" s="1"/>
  <c r="D5" i="68" a="1"/>
  <c r="D5" i="68" s="1"/>
  <c r="D32" i="57"/>
  <c r="D25" i="57"/>
  <c r="F39" i="56"/>
  <c r="M39" i="56" s="1" a="1"/>
  <c r="M39" i="56" s="1"/>
  <c r="D37" i="56"/>
  <c r="D34" i="56"/>
  <c r="D33" i="56"/>
  <c r="D25" i="56"/>
  <c r="E29" i="55"/>
  <c r="J21" i="53" a="1"/>
  <c r="J21" i="53" s="1"/>
  <c r="G21" i="53" a="1"/>
  <c r="G21" i="53" s="1"/>
  <c r="J20" i="53" a="1"/>
  <c r="J20" i="53" s="1"/>
  <c r="G20" i="53" a="1"/>
  <c r="G20" i="53" s="1"/>
  <c r="J19" i="53" a="1"/>
  <c r="J19" i="53" s="1"/>
  <c r="G19" i="53" a="1"/>
  <c r="G19" i="53" s="1"/>
  <c r="J18" i="53" a="1"/>
  <c r="J18" i="53" s="1"/>
  <c r="G18" i="53" a="1"/>
  <c r="G18" i="53" s="1"/>
  <c r="J17" i="53" a="1"/>
  <c r="J17" i="53" s="1"/>
  <c r="G17" i="53" a="1"/>
  <c r="G17" i="53" s="1"/>
  <c r="D305" i="19" a="1"/>
  <c r="D305" i="19" s="1"/>
  <c r="AD237" i="19" a="1"/>
  <c r="AD237" i="19" s="1"/>
  <c r="AC237" i="19" a="1"/>
  <c r="AC237" i="19" s="1"/>
  <c r="Z237" i="19" a="1"/>
  <c r="Z237" i="19" s="1"/>
  <c r="Y237" i="19" a="1"/>
  <c r="Y237" i="19" s="1"/>
  <c r="V237" i="19" a="1"/>
  <c r="V237" i="19" s="1"/>
  <c r="U237" i="19" a="1"/>
  <c r="U237" i="19" s="1"/>
  <c r="R237" i="19" a="1"/>
  <c r="R237" i="19" s="1"/>
  <c r="Q237" i="19" a="1"/>
  <c r="Q237" i="19" s="1"/>
  <c r="D237" i="19" a="1"/>
  <c r="D237" i="19" s="1"/>
  <c r="D221" i="19" a="1"/>
  <c r="D221" i="19" s="1"/>
  <c r="H30" i="48" a="1"/>
  <c r="H30" i="48" s="1"/>
  <c r="H29" i="48" a="1"/>
  <c r="H29" i="48" s="1"/>
  <c r="H28" i="48" a="1"/>
  <c r="H28" i="48" s="1"/>
  <c r="H27" i="48" a="1"/>
  <c r="H27" i="48" s="1"/>
  <c r="H26" i="48" a="1"/>
  <c r="H26" i="48" s="1"/>
  <c r="H25" i="48" a="1"/>
  <c r="H25" i="48" s="1"/>
  <c r="H24" i="48" a="1"/>
  <c r="H24" i="48" s="1"/>
  <c r="J17" i="48" a="1"/>
  <c r="J17" i="48" s="1"/>
  <c r="J16" i="48" a="1"/>
  <c r="J16" i="48" s="1"/>
  <c r="J15" i="48" a="1"/>
  <c r="J15" i="48" s="1"/>
  <c r="J14" i="48" a="1"/>
  <c r="J14" i="48" s="1"/>
  <c r="J13" i="48" a="1"/>
  <c r="J13" i="48" s="1"/>
  <c r="J12" i="48" a="1"/>
  <c r="J12" i="48" s="1"/>
  <c r="J11" i="48" a="1"/>
  <c r="J11" i="48" s="1"/>
  <c r="J10" i="48" a="1"/>
  <c r="J10" i="48" s="1"/>
  <c r="E65" i="67" a="1"/>
  <c r="E65" i="67" s="1"/>
  <c r="D65" i="67" a="1"/>
  <c r="D65" i="67" s="1"/>
  <c r="D63" i="67" a="1"/>
  <c r="D63" i="67" s="1"/>
  <c r="D62" i="67" a="1"/>
  <c r="D62" i="67" s="1"/>
  <c r="E60" i="67" a="1"/>
  <c r="E60" i="67" s="1"/>
  <c r="D60" i="67" a="1"/>
  <c r="D60" i="67" s="1"/>
  <c r="D58" i="67" a="1"/>
  <c r="D58" i="67" s="1"/>
  <c r="D57" i="67" a="1"/>
  <c r="D57" i="67" s="1"/>
  <c r="E55" i="67" a="1"/>
  <c r="E55" i="67" s="1"/>
  <c r="D55" i="67" a="1"/>
  <c r="D55" i="67" s="1"/>
  <c r="D53" i="67" a="1"/>
  <c r="D53" i="67" s="1"/>
  <c r="D52" i="67" a="1"/>
  <c r="D52" i="67" s="1"/>
  <c r="E50" i="67" a="1"/>
  <c r="E50" i="67" s="1"/>
  <c r="D50" i="67" a="1"/>
  <c r="D50" i="67" s="1"/>
  <c r="E49" i="67" a="1"/>
  <c r="E49" i="67" s="1"/>
  <c r="D49" i="67" a="1"/>
  <c r="D49" i="67" s="1"/>
  <c r="E48" i="67" a="1"/>
  <c r="E48" i="67" s="1"/>
  <c r="D48" i="67" a="1"/>
  <c r="D48" i="67" s="1"/>
  <c r="E47" i="67" a="1"/>
  <c r="E47" i="67" s="1"/>
  <c r="D47" i="67" a="1"/>
  <c r="D47" i="67" s="1"/>
  <c r="E46" i="67" a="1"/>
  <c r="E46" i="67" s="1"/>
  <c r="D46" i="67" a="1"/>
  <c r="D46" i="67" s="1"/>
  <c r="E45" i="67" a="1"/>
  <c r="E45" i="67" s="1"/>
  <c r="D45" i="67" a="1"/>
  <c r="D45" i="67" s="1"/>
  <c r="E44" i="67" a="1"/>
  <c r="E44" i="67" s="1"/>
  <c r="D44" i="67" a="1"/>
  <c r="D44" i="67" s="1"/>
  <c r="D42" i="67" a="1"/>
  <c r="D42" i="67" s="1"/>
  <c r="D41" i="67" a="1"/>
  <c r="D41" i="67" s="1"/>
  <c r="E39" i="67" a="1"/>
  <c r="E39" i="67" s="1"/>
  <c r="D39" i="67" a="1"/>
  <c r="D39" i="67" s="1"/>
  <c r="E38" i="67" a="1"/>
  <c r="E38" i="67" s="1"/>
  <c r="D38" i="67" a="1"/>
  <c r="D38" i="67" s="1"/>
  <c r="E37" i="67" a="1"/>
  <c r="E37" i="67" s="1"/>
  <c r="D37" i="67" a="1"/>
  <c r="D37" i="67" s="1"/>
  <c r="E36" i="67" a="1"/>
  <c r="E36" i="67" s="1"/>
  <c r="D36" i="67" a="1"/>
  <c r="D36" i="67" s="1"/>
  <c r="E35" i="67" a="1"/>
  <c r="E35" i="67" s="1"/>
  <c r="D35" i="67" a="1"/>
  <c r="D35" i="67" s="1"/>
  <c r="E34" i="67" a="1"/>
  <c r="E34" i="67" s="1"/>
  <c r="D34" i="67" a="1"/>
  <c r="D34" i="67" s="1"/>
  <c r="E33" i="67" a="1"/>
  <c r="E33" i="67" s="1"/>
  <c r="D33" i="67" a="1"/>
  <c r="D33" i="67" s="1"/>
  <c r="E32" i="67" a="1"/>
  <c r="E32" i="67" s="1"/>
  <c r="D32" i="67" a="1"/>
  <c r="D32" i="67" s="1"/>
  <c r="D30" i="67" a="1"/>
  <c r="D30" i="67" s="1"/>
  <c r="D29" i="67" a="1"/>
  <c r="D29" i="67" s="1"/>
  <c r="F27" i="67" a="1"/>
  <c r="F27" i="67" s="1"/>
  <c r="E27" i="67" a="1"/>
  <c r="E27" i="67" s="1"/>
  <c r="D27" i="67" a="1"/>
  <c r="D27" i="67" s="1"/>
  <c r="F26" i="67" a="1"/>
  <c r="F26" i="67" s="1"/>
  <c r="E26" i="67" a="1"/>
  <c r="E26" i="67" s="1"/>
  <c r="D26" i="67" a="1"/>
  <c r="D26" i="67" s="1"/>
  <c r="F25" i="67" a="1"/>
  <c r="F25" i="67" s="1"/>
  <c r="E25" i="67" a="1"/>
  <c r="E25" i="67" s="1"/>
  <c r="D25" i="67" a="1"/>
  <c r="D25" i="67" s="1"/>
  <c r="F24" i="67" a="1"/>
  <c r="F24" i="67" s="1"/>
  <c r="E24" i="67" a="1"/>
  <c r="E24" i="67" s="1"/>
  <c r="D24" i="67" a="1"/>
  <c r="D24" i="67" s="1"/>
  <c r="F23" i="67" a="1"/>
  <c r="F23" i="67" s="1"/>
  <c r="E23" i="67" a="1"/>
  <c r="E23" i="67" s="1"/>
  <c r="D23" i="67" a="1"/>
  <c r="D23" i="67" s="1"/>
  <c r="F22" i="67" a="1"/>
  <c r="F22" i="67" s="1"/>
  <c r="E22" i="67" a="1"/>
  <c r="E22" i="67" s="1"/>
  <c r="D22" i="67" a="1"/>
  <c r="D22" i="67" s="1"/>
  <c r="F21" i="67" a="1"/>
  <c r="F21" i="67" s="1"/>
  <c r="E21" i="67" a="1"/>
  <c r="E21" i="67" s="1"/>
  <c r="D21" i="67" a="1"/>
  <c r="D21" i="67" s="1"/>
  <c r="F20" i="67" a="1"/>
  <c r="F20" i="67" s="1"/>
  <c r="E20" i="67" a="1"/>
  <c r="E20" i="67" s="1"/>
  <c r="D20" i="67" a="1"/>
  <c r="D20" i="67" s="1"/>
  <c r="F19" i="67" a="1"/>
  <c r="F19" i="67" s="1"/>
  <c r="E19" i="67" a="1"/>
  <c r="E19" i="67" s="1"/>
  <c r="D19" i="67" a="1"/>
  <c r="D19" i="67" s="1"/>
  <c r="F18" i="67" a="1"/>
  <c r="F18" i="67" s="1"/>
  <c r="E18" i="67" a="1"/>
  <c r="E18" i="67" s="1"/>
  <c r="D18" i="67" a="1"/>
  <c r="D18" i="67" s="1"/>
  <c r="F17" i="67" a="1"/>
  <c r="F17" i="67" s="1"/>
  <c r="E17" i="67" a="1"/>
  <c r="E17" i="67" s="1"/>
  <c r="D17" i="67" a="1"/>
  <c r="D17" i="67" s="1"/>
  <c r="F16" i="67" a="1"/>
  <c r="F16" i="67" s="1"/>
  <c r="E16" i="67" a="1"/>
  <c r="E16" i="67" s="1"/>
  <c r="D16" i="67" a="1"/>
  <c r="D16" i="67" s="1"/>
  <c r="F15" i="67" a="1"/>
  <c r="F15" i="67" s="1"/>
  <c r="E15" i="67" a="1"/>
  <c r="E15" i="67" s="1"/>
  <c r="D15" i="67" a="1"/>
  <c r="D15" i="67" s="1"/>
  <c r="F14" i="67" a="1"/>
  <c r="F14" i="67" s="1"/>
  <c r="E14" i="67" a="1"/>
  <c r="E14" i="67" s="1"/>
  <c r="D14" i="67" a="1"/>
  <c r="D14" i="67" s="1"/>
  <c r="F13" i="67" a="1"/>
  <c r="F13" i="67" s="1"/>
  <c r="E13" i="67" a="1"/>
  <c r="E13" i="67" s="1"/>
  <c r="D13" i="67" a="1"/>
  <c r="D13" i="67" s="1"/>
  <c r="F12" i="67" a="1"/>
  <c r="F12" i="67" s="1"/>
  <c r="E12" i="67" a="1"/>
  <c r="E12" i="67" s="1"/>
  <c r="D12" i="67" a="1"/>
  <c r="D12" i="67" s="1"/>
  <c r="F11" i="67" a="1"/>
  <c r="F11" i="67" s="1"/>
  <c r="E11" i="67" a="1"/>
  <c r="E11" i="67" s="1"/>
  <c r="D11" i="67" a="1"/>
  <c r="D11" i="67" s="1"/>
  <c r="F10" i="67" a="1"/>
  <c r="F10" i="67" s="1"/>
  <c r="E10" i="67" a="1"/>
  <c r="E10" i="67" s="1"/>
  <c r="D10" i="67" a="1"/>
  <c r="D10" i="67" s="1"/>
  <c r="D8" i="67" a="1"/>
  <c r="D8" i="67" s="1"/>
  <c r="D7" i="67" a="1"/>
  <c r="D7" i="67" s="1"/>
  <c r="D6" i="67" a="1"/>
  <c r="D6" i="67" s="1"/>
  <c r="E123" i="66" a="1"/>
  <c r="E123" i="66" s="1"/>
  <c r="D123" i="66" a="1"/>
  <c r="D123" i="66" s="1"/>
  <c r="E122" i="66" a="1"/>
  <c r="E122" i="66" s="1"/>
  <c r="D122" i="66" a="1"/>
  <c r="D122" i="66" s="1"/>
  <c r="E121" i="66" a="1"/>
  <c r="E121" i="66" s="1"/>
  <c r="D121" i="66" a="1"/>
  <c r="D121" i="66" s="1"/>
  <c r="E120" i="66" a="1"/>
  <c r="E120" i="66" s="1"/>
  <c r="D120" i="66" a="1"/>
  <c r="D120" i="66" s="1"/>
  <c r="D118" i="66" a="1"/>
  <c r="D118" i="66" s="1"/>
  <c r="D117" i="66" a="1"/>
  <c r="D117" i="66" s="1"/>
  <c r="F115" i="66" a="1"/>
  <c r="F115" i="66" s="1"/>
  <c r="E115" i="66" a="1"/>
  <c r="E115" i="66" s="1"/>
  <c r="D115" i="66" a="1"/>
  <c r="D115" i="66" s="1"/>
  <c r="D114" i="66" a="1"/>
  <c r="D114" i="66" s="1"/>
  <c r="D113" i="66" a="1"/>
  <c r="D113" i="66" s="1"/>
  <c r="D112" i="66" a="1"/>
  <c r="D112" i="66" s="1"/>
  <c r="E110" i="66" a="1"/>
  <c r="E110" i="66" s="1"/>
  <c r="D110" i="66" a="1"/>
  <c r="D110" i="66" s="1"/>
  <c r="D109" i="66" a="1"/>
  <c r="D109" i="66" s="1"/>
  <c r="D108" i="66" a="1"/>
  <c r="D108" i="66" s="1"/>
  <c r="F105" i="66" a="1"/>
  <c r="F105" i="66" s="1"/>
  <c r="E105" i="66" a="1"/>
  <c r="E105" i="66" s="1"/>
  <c r="D105" i="66" a="1"/>
  <c r="D105" i="66" s="1"/>
  <c r="F104" i="66" a="1"/>
  <c r="F104" i="66" s="1"/>
  <c r="E104" i="66" a="1"/>
  <c r="E104" i="66" s="1"/>
  <c r="D104" i="66" a="1"/>
  <c r="D104" i="66" s="1"/>
  <c r="F103" i="66" a="1"/>
  <c r="F103" i="66" s="1"/>
  <c r="E103" i="66" a="1"/>
  <c r="E103" i="66" s="1"/>
  <c r="D103" i="66" a="1"/>
  <c r="D103" i="66" s="1"/>
  <c r="F102" i="66" a="1"/>
  <c r="F102" i="66" s="1"/>
  <c r="E102" i="66" a="1"/>
  <c r="E102" i="66" s="1"/>
  <c r="D102" i="66" a="1"/>
  <c r="D102" i="66" s="1"/>
  <c r="F101" i="66" a="1"/>
  <c r="F101" i="66" s="1"/>
  <c r="E101" i="66" a="1"/>
  <c r="E101" i="66" s="1"/>
  <c r="D101" i="66" a="1"/>
  <c r="D101" i="66" s="1"/>
  <c r="F100" i="66" a="1"/>
  <c r="F100" i="66" s="1"/>
  <c r="E100" i="66" a="1"/>
  <c r="E100" i="66" s="1"/>
  <c r="D100" i="66" a="1"/>
  <c r="D100" i="66" s="1"/>
  <c r="F99" i="66" a="1"/>
  <c r="F99" i="66" s="1"/>
  <c r="E99" i="66" a="1"/>
  <c r="E99" i="66" s="1"/>
  <c r="D99" i="66" a="1"/>
  <c r="D99" i="66" s="1"/>
  <c r="F98" i="66" a="1"/>
  <c r="F98" i="66" s="1"/>
  <c r="E98" i="66" a="1"/>
  <c r="E98" i="66" s="1"/>
  <c r="D98" i="66" a="1"/>
  <c r="D98" i="66" s="1"/>
  <c r="D96" i="66" a="1"/>
  <c r="D96" i="66" s="1"/>
  <c r="D95" i="66" a="1"/>
  <c r="D95" i="66" s="1"/>
  <c r="D94" i="66" a="1"/>
  <c r="D94" i="66" s="1"/>
  <c r="F91" i="66" a="1"/>
  <c r="F91" i="66" s="1"/>
  <c r="E91" i="66" a="1"/>
  <c r="E91" i="66" s="1"/>
  <c r="D91" i="66" a="1"/>
  <c r="D91" i="66" s="1"/>
  <c r="F90" i="66" a="1"/>
  <c r="F90" i="66" s="1"/>
  <c r="E90" i="66" a="1"/>
  <c r="E90" i="66" s="1"/>
  <c r="D90" i="66" a="1"/>
  <c r="D90" i="66" s="1"/>
  <c r="F89" i="66" a="1"/>
  <c r="F89" i="66" s="1"/>
  <c r="E89" i="66" a="1"/>
  <c r="E89" i="66" s="1"/>
  <c r="D89" i="66" a="1"/>
  <c r="D89" i="66" s="1"/>
  <c r="F88" i="66" a="1"/>
  <c r="F88" i="66" s="1"/>
  <c r="E88" i="66" a="1"/>
  <c r="E88" i="66" s="1"/>
  <c r="D88" i="66" a="1"/>
  <c r="D88" i="66" s="1"/>
  <c r="F87" i="66" a="1"/>
  <c r="F87" i="66" s="1"/>
  <c r="E87" i="66" a="1"/>
  <c r="E87" i="66" s="1"/>
  <c r="D87" i="66" a="1"/>
  <c r="D87" i="66" s="1"/>
  <c r="F86" i="66" a="1"/>
  <c r="F86" i="66" s="1"/>
  <c r="E86" i="66" a="1"/>
  <c r="E86" i="66" s="1"/>
  <c r="D86" i="66" a="1"/>
  <c r="D86" i="66" s="1"/>
  <c r="F85" i="66" a="1"/>
  <c r="F85" i="66" s="1"/>
  <c r="E85" i="66" a="1"/>
  <c r="E85" i="66" s="1"/>
  <c r="D85" i="66" a="1"/>
  <c r="D85" i="66" s="1"/>
  <c r="D83" i="66" a="1"/>
  <c r="D83" i="66" s="1"/>
  <c r="D82" i="66" a="1"/>
  <c r="D82" i="66" s="1"/>
  <c r="D81" i="66" a="1"/>
  <c r="D81" i="66" s="1"/>
  <c r="F78" i="66" a="1"/>
  <c r="F78" i="66" s="1"/>
  <c r="E78" i="66" a="1"/>
  <c r="E78" i="66" s="1"/>
  <c r="D78" i="66" a="1"/>
  <c r="D78" i="66" s="1"/>
  <c r="F77" i="66" a="1"/>
  <c r="F77" i="66" s="1"/>
  <c r="E77" i="66" a="1"/>
  <c r="E77" i="66" s="1"/>
  <c r="D77" i="66" a="1"/>
  <c r="D77" i="66" s="1"/>
  <c r="F76" i="66" a="1"/>
  <c r="F76" i="66" s="1"/>
  <c r="E76" i="66" a="1"/>
  <c r="E76" i="66" s="1"/>
  <c r="D76" i="66" a="1"/>
  <c r="D76" i="66" s="1"/>
  <c r="D74" i="66" a="1"/>
  <c r="D74" i="66" s="1"/>
  <c r="D73" i="66" a="1"/>
  <c r="D73" i="66" s="1"/>
  <c r="D72" i="66" a="1"/>
  <c r="D72" i="66" s="1"/>
  <c r="N68" i="66" a="1"/>
  <c r="N68" i="66" s="1"/>
  <c r="M68" i="66" a="1"/>
  <c r="M68" i="66" s="1"/>
  <c r="L68" i="66" a="1"/>
  <c r="L68" i="66" s="1"/>
  <c r="K68" i="66" a="1"/>
  <c r="K68" i="66" s="1"/>
  <c r="J68" i="66" a="1"/>
  <c r="J68" i="66" s="1"/>
  <c r="I68" i="66" a="1"/>
  <c r="I68" i="66" s="1"/>
  <c r="H68" i="66" a="1"/>
  <c r="H68" i="66" s="1"/>
  <c r="G68" i="66" a="1"/>
  <c r="G68" i="66" s="1"/>
  <c r="F68" i="66" a="1"/>
  <c r="F68" i="66" s="1"/>
  <c r="E68" i="66" a="1"/>
  <c r="E68" i="66" s="1"/>
  <c r="D68" i="66" a="1"/>
  <c r="D68" i="66" s="1"/>
  <c r="N67" i="66" a="1"/>
  <c r="N67" i="66" s="1"/>
  <c r="M67" i="66" a="1"/>
  <c r="M67" i="66" s="1"/>
  <c r="L67" i="66" a="1"/>
  <c r="L67" i="66" s="1"/>
  <c r="K67" i="66" a="1"/>
  <c r="K67" i="66" s="1"/>
  <c r="J67" i="66" a="1"/>
  <c r="J67" i="66" s="1"/>
  <c r="I67" i="66" a="1"/>
  <c r="I67" i="66" s="1"/>
  <c r="H67" i="66" a="1"/>
  <c r="H67" i="66" s="1"/>
  <c r="G67" i="66" a="1"/>
  <c r="G67" i="66" s="1"/>
  <c r="F67" i="66" a="1"/>
  <c r="F67" i="66" s="1"/>
  <c r="E67" i="66" a="1"/>
  <c r="E67" i="66" s="1"/>
  <c r="D67" i="66" a="1"/>
  <c r="D67" i="66" s="1"/>
  <c r="N66" i="66" a="1"/>
  <c r="N66" i="66" s="1"/>
  <c r="M66" i="66" a="1"/>
  <c r="M66" i="66" s="1"/>
  <c r="L66" i="66" a="1"/>
  <c r="L66" i="66" s="1"/>
  <c r="K66" i="66" a="1"/>
  <c r="K66" i="66" s="1"/>
  <c r="J66" i="66" a="1"/>
  <c r="J66" i="66" s="1"/>
  <c r="I66" i="66" a="1"/>
  <c r="I66" i="66" s="1"/>
  <c r="H66" i="66" a="1"/>
  <c r="H66" i="66" s="1"/>
  <c r="G66" i="66" a="1"/>
  <c r="G66" i="66" s="1"/>
  <c r="F66" i="66" a="1"/>
  <c r="F66" i="66" s="1"/>
  <c r="E66" i="66" a="1"/>
  <c r="E66" i="66" s="1"/>
  <c r="D66" i="66" a="1"/>
  <c r="D66" i="66" s="1"/>
  <c r="N65" i="66" a="1"/>
  <c r="N65" i="66" s="1"/>
  <c r="M65" i="66" a="1"/>
  <c r="M65" i="66" s="1"/>
  <c r="L65" i="66" a="1"/>
  <c r="L65" i="66" s="1"/>
  <c r="K65" i="66" a="1"/>
  <c r="K65" i="66" s="1"/>
  <c r="J65" i="66" a="1"/>
  <c r="J65" i="66" s="1"/>
  <c r="I65" i="66" a="1"/>
  <c r="I65" i="66" s="1"/>
  <c r="H65" i="66" a="1"/>
  <c r="H65" i="66" s="1"/>
  <c r="G65" i="66" a="1"/>
  <c r="G65" i="66" s="1"/>
  <c r="F65" i="66" a="1"/>
  <c r="F65" i="66" s="1"/>
  <c r="E65" i="66" a="1"/>
  <c r="E65" i="66" s="1"/>
  <c r="D65" i="66" a="1"/>
  <c r="D65" i="66" s="1"/>
  <c r="N64" i="66" a="1"/>
  <c r="N64" i="66" s="1"/>
  <c r="M64" i="66" a="1"/>
  <c r="M64" i="66" s="1"/>
  <c r="L64" i="66" a="1"/>
  <c r="L64" i="66" s="1"/>
  <c r="K64" i="66" a="1"/>
  <c r="K64" i="66" s="1"/>
  <c r="J64" i="66" a="1"/>
  <c r="J64" i="66" s="1"/>
  <c r="I64" i="66" a="1"/>
  <c r="I64" i="66" s="1"/>
  <c r="H64" i="66" a="1"/>
  <c r="H64" i="66" s="1"/>
  <c r="G64" i="66" a="1"/>
  <c r="G64" i="66" s="1"/>
  <c r="F64" i="66" a="1"/>
  <c r="F64" i="66" s="1"/>
  <c r="E64" i="66" a="1"/>
  <c r="E64" i="66" s="1"/>
  <c r="D64" i="66" a="1"/>
  <c r="D64" i="66" s="1"/>
  <c r="N63" i="66" a="1"/>
  <c r="N63" i="66" s="1"/>
  <c r="M63" i="66" a="1"/>
  <c r="M63" i="66" s="1"/>
  <c r="L63" i="66" a="1"/>
  <c r="L63" i="66" s="1"/>
  <c r="K63" i="66" a="1"/>
  <c r="K63" i="66" s="1"/>
  <c r="J63" i="66" a="1"/>
  <c r="J63" i="66" s="1"/>
  <c r="I63" i="66" a="1"/>
  <c r="I63" i="66" s="1"/>
  <c r="H63" i="66" a="1"/>
  <c r="H63" i="66" s="1"/>
  <c r="G63" i="66" a="1"/>
  <c r="G63" i="66" s="1"/>
  <c r="F63" i="66" a="1"/>
  <c r="F63" i="66" s="1"/>
  <c r="E63" i="66" a="1"/>
  <c r="E63" i="66" s="1"/>
  <c r="D63" i="66" a="1"/>
  <c r="D63" i="66" s="1"/>
  <c r="N62" i="66" a="1"/>
  <c r="N62" i="66" s="1"/>
  <c r="M62" i="66" a="1"/>
  <c r="M62" i="66" s="1"/>
  <c r="L62" i="66" a="1"/>
  <c r="L62" i="66" s="1"/>
  <c r="K62" i="66" a="1"/>
  <c r="K62" i="66" s="1"/>
  <c r="J62" i="66" a="1"/>
  <c r="J62" i="66" s="1"/>
  <c r="I62" i="66" a="1"/>
  <c r="I62" i="66" s="1"/>
  <c r="H62" i="66" a="1"/>
  <c r="H62" i="66" s="1"/>
  <c r="G62" i="66" a="1"/>
  <c r="G62" i="66" s="1"/>
  <c r="F62" i="66" a="1"/>
  <c r="F62" i="66" s="1"/>
  <c r="E62" i="66" a="1"/>
  <c r="E62" i="66" s="1"/>
  <c r="D62" i="66" a="1"/>
  <c r="D62" i="66" s="1"/>
  <c r="N61" i="66" a="1"/>
  <c r="N61" i="66" s="1"/>
  <c r="M61" i="66" a="1"/>
  <c r="M61" i="66" s="1"/>
  <c r="L61" i="66" a="1"/>
  <c r="L61" i="66" s="1"/>
  <c r="K61" i="66" a="1"/>
  <c r="K61" i="66" s="1"/>
  <c r="J61" i="66" a="1"/>
  <c r="J61" i="66" s="1"/>
  <c r="I61" i="66" a="1"/>
  <c r="I61" i="66" s="1"/>
  <c r="H61" i="66" a="1"/>
  <c r="H61" i="66" s="1"/>
  <c r="G61" i="66" a="1"/>
  <c r="G61" i="66" s="1"/>
  <c r="F61" i="66" a="1"/>
  <c r="F61" i="66" s="1"/>
  <c r="E61" i="66" a="1"/>
  <c r="E61" i="66" s="1"/>
  <c r="D61" i="66" a="1"/>
  <c r="D61" i="66" s="1"/>
  <c r="N60" i="66" a="1"/>
  <c r="N60" i="66" s="1"/>
  <c r="M60" i="66" a="1"/>
  <c r="M60" i="66" s="1"/>
  <c r="L60" i="66" a="1"/>
  <c r="L60" i="66" s="1"/>
  <c r="K60" i="66" a="1"/>
  <c r="K60" i="66" s="1"/>
  <c r="J60" i="66" a="1"/>
  <c r="J60" i="66" s="1"/>
  <c r="I60" i="66" a="1"/>
  <c r="I60" i="66" s="1"/>
  <c r="H60" i="66" a="1"/>
  <c r="H60" i="66" s="1"/>
  <c r="G60" i="66" a="1"/>
  <c r="G60" i="66" s="1"/>
  <c r="F60" i="66" a="1"/>
  <c r="F60" i="66" s="1"/>
  <c r="E60" i="66" a="1"/>
  <c r="E60" i="66" s="1"/>
  <c r="D60" i="66" a="1"/>
  <c r="D60" i="66" s="1"/>
  <c r="D53" i="66" a="1"/>
  <c r="D53" i="66" s="1"/>
  <c r="D52" i="66" a="1"/>
  <c r="D52" i="66" s="1"/>
  <c r="D51" i="66" a="1"/>
  <c r="D51" i="66" s="1"/>
  <c r="D47" i="66" a="1"/>
  <c r="D47" i="66" s="1"/>
  <c r="D46" i="66" a="1"/>
  <c r="D46" i="66" s="1"/>
  <c r="D45" i="66" a="1"/>
  <c r="D45" i="66" s="1"/>
  <c r="E21" i="66" a="1"/>
  <c r="E21" i="66" s="1"/>
  <c r="D21" i="66" a="1"/>
  <c r="D21" i="66" s="1"/>
  <c r="E20" i="66" a="1"/>
  <c r="E20" i="66" s="1"/>
  <c r="D20" i="66" a="1"/>
  <c r="D20" i="66" s="1"/>
  <c r="D18" i="66" a="1"/>
  <c r="D18" i="66" s="1"/>
  <c r="D17" i="66" a="1"/>
  <c r="D17" i="66" s="1"/>
  <c r="H13" i="66" a="1"/>
  <c r="H13" i="66" s="1"/>
  <c r="G13" i="66" a="1"/>
  <c r="G13" i="66" s="1"/>
  <c r="F13" i="66" a="1"/>
  <c r="F13" i="66" s="1"/>
  <c r="E13" i="66" a="1"/>
  <c r="E13" i="66" s="1"/>
  <c r="D13" i="66" a="1"/>
  <c r="D13" i="66" s="1"/>
  <c r="H12" i="66" a="1"/>
  <c r="H12" i="66" s="1"/>
  <c r="G12" i="66" a="1"/>
  <c r="G12" i="66" s="1"/>
  <c r="F12" i="66" a="1"/>
  <c r="F12" i="66" s="1"/>
  <c r="E12" i="66" a="1"/>
  <c r="E12" i="66" s="1"/>
  <c r="D12" i="66" a="1"/>
  <c r="D12" i="66" s="1"/>
  <c r="H11" i="66" a="1"/>
  <c r="H11" i="66" s="1"/>
  <c r="G11" i="66" a="1"/>
  <c r="G11" i="66" s="1"/>
  <c r="F11" i="66" a="1"/>
  <c r="F11" i="66" s="1"/>
  <c r="E11" i="66" a="1"/>
  <c r="E11" i="66" s="1"/>
  <c r="D11" i="66" a="1"/>
  <c r="D11" i="66" s="1"/>
  <c r="H10" i="66" a="1"/>
  <c r="H10" i="66" s="1"/>
  <c r="G10" i="66" a="1"/>
  <c r="G10" i="66" s="1"/>
  <c r="F10" i="66" a="1"/>
  <c r="F10" i="66" s="1"/>
  <c r="E10" i="66" a="1"/>
  <c r="E10" i="66" s="1"/>
  <c r="D10" i="66" a="1"/>
  <c r="D10" i="66" s="1"/>
  <c r="H9" i="66" a="1"/>
  <c r="H9" i="66" s="1"/>
  <c r="G9" i="66" a="1"/>
  <c r="G9" i="66" s="1"/>
  <c r="F9" i="66" a="1"/>
  <c r="F9" i="66" s="1"/>
  <c r="E9" i="66" a="1"/>
  <c r="E9" i="66" s="1"/>
  <c r="D9" i="66" a="1"/>
  <c r="D9" i="66" s="1"/>
  <c r="D6" i="66" a="1"/>
  <c r="D6" i="66" s="1"/>
  <c r="D5" i="66" a="1"/>
  <c r="D5" i="66" s="1"/>
  <c r="F117" i="65" a="1"/>
  <c r="F117" i="65" s="1"/>
  <c r="E117" i="65" a="1"/>
  <c r="E117" i="65" s="1"/>
  <c r="D117" i="65" a="1"/>
  <c r="D117" i="65" s="1"/>
  <c r="F116" i="65" a="1"/>
  <c r="F116" i="65" s="1"/>
  <c r="E116" i="65" a="1"/>
  <c r="E116" i="65" s="1"/>
  <c r="D116" i="65" a="1"/>
  <c r="D116" i="65" s="1"/>
  <c r="F115" i="65" a="1"/>
  <c r="F115" i="65" s="1"/>
  <c r="E115" i="65" a="1"/>
  <c r="E115" i="65" s="1"/>
  <c r="D115" i="65" a="1"/>
  <c r="D115" i="65" s="1"/>
  <c r="F114" i="65" a="1"/>
  <c r="F114" i="65" s="1"/>
  <c r="E114" i="65" a="1"/>
  <c r="E114" i="65" s="1"/>
  <c r="D114" i="65" a="1"/>
  <c r="D114" i="65" s="1"/>
  <c r="F113" i="65" a="1"/>
  <c r="F113" i="65" s="1"/>
  <c r="E113" i="65" a="1"/>
  <c r="E113" i="65" s="1"/>
  <c r="D113" i="65" a="1"/>
  <c r="D113" i="65" s="1"/>
  <c r="F112" i="65" a="1"/>
  <c r="F112" i="65" s="1"/>
  <c r="E112" i="65" a="1"/>
  <c r="E112" i="65" s="1"/>
  <c r="D112" i="65" a="1"/>
  <c r="D112" i="65" s="1"/>
  <c r="D110" i="65" a="1"/>
  <c r="D110" i="65" s="1"/>
  <c r="D109" i="65" a="1"/>
  <c r="D109" i="65" s="1"/>
  <c r="D108" i="65" a="1"/>
  <c r="D108" i="65" s="1"/>
  <c r="F105" i="65" a="1"/>
  <c r="F105" i="65" s="1"/>
  <c r="E105" i="65" a="1"/>
  <c r="E105" i="65" s="1"/>
  <c r="D105" i="65" a="1"/>
  <c r="D105" i="65" s="1"/>
  <c r="F104" i="65" a="1"/>
  <c r="F104" i="65" s="1"/>
  <c r="E104" i="65" a="1"/>
  <c r="E104" i="65" s="1"/>
  <c r="D104" i="65" a="1"/>
  <c r="D104" i="65" s="1"/>
  <c r="F103" i="65" a="1"/>
  <c r="F103" i="65" s="1"/>
  <c r="E103" i="65" a="1"/>
  <c r="E103" i="65" s="1"/>
  <c r="D103" i="65" a="1"/>
  <c r="D103" i="65" s="1"/>
  <c r="F102" i="65" a="1"/>
  <c r="F102" i="65" s="1"/>
  <c r="E102" i="65" a="1"/>
  <c r="E102" i="65" s="1"/>
  <c r="D102" i="65" a="1"/>
  <c r="D102" i="65" s="1"/>
  <c r="F101" i="65" a="1"/>
  <c r="F101" i="65" s="1"/>
  <c r="E101" i="65" a="1"/>
  <c r="E101" i="65" s="1"/>
  <c r="D101" i="65" a="1"/>
  <c r="D101" i="65" s="1"/>
  <c r="F100" i="65" a="1"/>
  <c r="F100" i="65" s="1"/>
  <c r="E100" i="65" a="1"/>
  <c r="E100" i="65" s="1"/>
  <c r="D100" i="65" a="1"/>
  <c r="D100" i="65" s="1"/>
  <c r="D98" i="65" a="1"/>
  <c r="D98" i="65" s="1"/>
  <c r="D97" i="65" a="1"/>
  <c r="D97" i="65" s="1"/>
  <c r="D96" i="65" a="1"/>
  <c r="D96" i="65" s="1"/>
  <c r="G93" i="65" a="1"/>
  <c r="G93" i="65" s="1"/>
  <c r="F93" i="65" a="1"/>
  <c r="F93" i="65" s="1"/>
  <c r="E93" i="65" a="1"/>
  <c r="E93" i="65" s="1"/>
  <c r="D93" i="65" a="1"/>
  <c r="D93" i="65" s="1"/>
  <c r="G92" i="65" a="1"/>
  <c r="G92" i="65" s="1"/>
  <c r="F92" i="65" a="1"/>
  <c r="F92" i="65" s="1"/>
  <c r="E92" i="65" a="1"/>
  <c r="E92" i="65" s="1"/>
  <c r="D92" i="65" a="1"/>
  <c r="D92" i="65" s="1"/>
  <c r="G91" i="65" a="1"/>
  <c r="G91" i="65" s="1"/>
  <c r="F91" i="65" a="1"/>
  <c r="F91" i="65" s="1"/>
  <c r="E91" i="65" a="1"/>
  <c r="E91" i="65" s="1"/>
  <c r="D91" i="65" a="1"/>
  <c r="D91" i="65" s="1"/>
  <c r="G90" i="65" a="1"/>
  <c r="G90" i="65" s="1"/>
  <c r="F90" i="65" a="1"/>
  <c r="F90" i="65" s="1"/>
  <c r="E90" i="65" a="1"/>
  <c r="E90" i="65" s="1"/>
  <c r="D90" i="65" a="1"/>
  <c r="D90" i="65" s="1"/>
  <c r="D87" i="65" a="1"/>
  <c r="D87" i="65" s="1"/>
  <c r="D86" i="65" a="1"/>
  <c r="D86" i="65" s="1"/>
  <c r="D85" i="65" a="1"/>
  <c r="D85" i="65" s="1"/>
  <c r="E82" i="65" a="1"/>
  <c r="E82" i="65" s="1"/>
  <c r="D82" i="65" a="1"/>
  <c r="D82" i="65" s="1"/>
  <c r="E81" i="65" a="1"/>
  <c r="E81" i="65" s="1"/>
  <c r="D81" i="65" a="1"/>
  <c r="D81" i="65" s="1"/>
  <c r="E80" i="65" a="1"/>
  <c r="E80" i="65" s="1"/>
  <c r="D80" i="65" a="1"/>
  <c r="D80" i="65" s="1"/>
  <c r="E79" i="65" a="1"/>
  <c r="E79" i="65" s="1"/>
  <c r="D79" i="65" a="1"/>
  <c r="D79" i="65" s="1"/>
  <c r="D76" i="65" a="1"/>
  <c r="D76" i="65" s="1"/>
  <c r="D75" i="65" a="1"/>
  <c r="D75" i="65" s="1"/>
  <c r="D74" i="65" a="1"/>
  <c r="D74" i="65" s="1"/>
  <c r="E71" i="65" a="1"/>
  <c r="E71" i="65" s="1"/>
  <c r="D71" i="65" a="1"/>
  <c r="D71" i="65" s="1"/>
  <c r="E70" i="65" a="1"/>
  <c r="E70" i="65" s="1"/>
  <c r="D70" i="65" a="1"/>
  <c r="D70" i="65" s="1"/>
  <c r="E69" i="65" a="1"/>
  <c r="E69" i="65" s="1"/>
  <c r="D69" i="65" a="1"/>
  <c r="D69" i="65" s="1"/>
  <c r="E68" i="65" a="1"/>
  <c r="E68" i="65" s="1"/>
  <c r="D68" i="65" a="1"/>
  <c r="D68" i="65" s="1"/>
  <c r="D65" i="65" a="1"/>
  <c r="D65" i="65" s="1"/>
  <c r="D64" i="65" a="1"/>
  <c r="D64" i="65" s="1"/>
  <c r="D63" i="65" a="1"/>
  <c r="D63" i="65" s="1"/>
  <c r="G56" i="65" a="1"/>
  <c r="G56" i="65" s="1"/>
  <c r="G55" i="65" a="1"/>
  <c r="G55" i="65" s="1"/>
  <c r="G54" i="65" a="1"/>
  <c r="G54" i="65" s="1"/>
  <c r="M35" i="65" a="1"/>
  <c r="M35" i="65" s="1"/>
  <c r="L35" i="65" a="1"/>
  <c r="L35" i="65" s="1"/>
  <c r="K35" i="65" a="1"/>
  <c r="K35" i="65" s="1"/>
  <c r="J35" i="65" a="1"/>
  <c r="J35" i="65" s="1"/>
  <c r="I35" i="65" a="1"/>
  <c r="I35" i="65" s="1"/>
  <c r="H35" i="65" a="1"/>
  <c r="H35" i="65" s="1"/>
  <c r="G35" i="65" a="1"/>
  <c r="G35" i="65" s="1"/>
  <c r="F35" i="65" a="1"/>
  <c r="F35" i="65" s="1"/>
  <c r="E35" i="65" a="1"/>
  <c r="E35" i="65" s="1"/>
  <c r="D35" i="65" a="1"/>
  <c r="D35" i="65" s="1"/>
  <c r="M34" i="65" a="1"/>
  <c r="M34" i="65" s="1"/>
  <c r="L34" i="65" a="1"/>
  <c r="L34" i="65" s="1"/>
  <c r="K34" i="65" a="1"/>
  <c r="K34" i="65" s="1"/>
  <c r="J34" i="65" a="1"/>
  <c r="J34" i="65" s="1"/>
  <c r="I34" i="65" a="1"/>
  <c r="I34" i="65" s="1"/>
  <c r="H34" i="65" a="1"/>
  <c r="H34" i="65" s="1"/>
  <c r="G34" i="65" a="1"/>
  <c r="G34" i="65" s="1"/>
  <c r="F34" i="65" a="1"/>
  <c r="F34" i="65" s="1"/>
  <c r="E34" i="65" a="1"/>
  <c r="E34" i="65" s="1"/>
  <c r="D34" i="65" a="1"/>
  <c r="D34" i="65" s="1"/>
  <c r="M33" i="65" a="1"/>
  <c r="M33" i="65" s="1"/>
  <c r="L33" i="65" a="1"/>
  <c r="L33" i="65" s="1"/>
  <c r="K33" i="65" a="1"/>
  <c r="K33" i="65" s="1"/>
  <c r="J33" i="65" a="1"/>
  <c r="J33" i="65" s="1"/>
  <c r="I33" i="65" a="1"/>
  <c r="I33" i="65" s="1"/>
  <c r="H33" i="65" a="1"/>
  <c r="H33" i="65" s="1"/>
  <c r="G33" i="65" a="1"/>
  <c r="G33" i="65" s="1"/>
  <c r="F33" i="65" a="1"/>
  <c r="F33" i="65" s="1"/>
  <c r="E33" i="65" a="1"/>
  <c r="E33" i="65" s="1"/>
  <c r="D33" i="65" a="1"/>
  <c r="D33" i="65" s="1"/>
  <c r="M32" i="65" a="1"/>
  <c r="M32" i="65" s="1"/>
  <c r="L32" i="65" a="1"/>
  <c r="L32" i="65" s="1"/>
  <c r="K32" i="65" a="1"/>
  <c r="K32" i="65" s="1"/>
  <c r="J32" i="65" a="1"/>
  <c r="J32" i="65" s="1"/>
  <c r="I32" i="65" a="1"/>
  <c r="I32" i="65" s="1"/>
  <c r="H32" i="65" a="1"/>
  <c r="H32" i="65" s="1"/>
  <c r="G32" i="65" a="1"/>
  <c r="G32" i="65" s="1"/>
  <c r="F32" i="65" a="1"/>
  <c r="F32" i="65" s="1"/>
  <c r="E32" i="65" a="1"/>
  <c r="E32" i="65" s="1"/>
  <c r="D32" i="65" a="1"/>
  <c r="D32" i="65" s="1"/>
  <c r="M31" i="65" a="1"/>
  <c r="M31" i="65" s="1"/>
  <c r="L31" i="65" a="1"/>
  <c r="L31" i="65" s="1"/>
  <c r="K31" i="65" a="1"/>
  <c r="K31" i="65" s="1"/>
  <c r="J31" i="65" a="1"/>
  <c r="J31" i="65" s="1"/>
  <c r="I31" i="65" a="1"/>
  <c r="I31" i="65" s="1"/>
  <c r="H31" i="65" a="1"/>
  <c r="H31" i="65" s="1"/>
  <c r="G31" i="65" a="1"/>
  <c r="G31" i="65" s="1"/>
  <c r="F31" i="65" a="1"/>
  <c r="F31" i="65" s="1"/>
  <c r="E31" i="65" a="1"/>
  <c r="E31" i="65" s="1"/>
  <c r="D31" i="65" a="1"/>
  <c r="D31" i="65" s="1"/>
  <c r="M30" i="65" a="1"/>
  <c r="M30" i="65" s="1"/>
  <c r="L30" i="65" a="1"/>
  <c r="L30" i="65" s="1"/>
  <c r="K30" i="65" a="1"/>
  <c r="K30" i="65" s="1"/>
  <c r="J30" i="65" a="1"/>
  <c r="J30" i="65" s="1"/>
  <c r="I30" i="65" a="1"/>
  <c r="I30" i="65" s="1"/>
  <c r="H30" i="65" a="1"/>
  <c r="H30" i="65" s="1"/>
  <c r="G30" i="65" a="1"/>
  <c r="G30" i="65" s="1"/>
  <c r="F30" i="65" a="1"/>
  <c r="F30" i="65" s="1"/>
  <c r="E30" i="65" a="1"/>
  <c r="E30" i="65" s="1"/>
  <c r="D30" i="65" a="1"/>
  <c r="D30" i="65" s="1"/>
  <c r="M29" i="65" a="1"/>
  <c r="M29" i="65" s="1"/>
  <c r="L29" i="65" a="1"/>
  <c r="L29" i="65" s="1"/>
  <c r="K29" i="65" a="1"/>
  <c r="K29" i="65" s="1"/>
  <c r="J29" i="65" a="1"/>
  <c r="J29" i="65" s="1"/>
  <c r="I29" i="65" a="1"/>
  <c r="I29" i="65" s="1"/>
  <c r="H29" i="65" a="1"/>
  <c r="H29" i="65" s="1"/>
  <c r="G29" i="65" a="1"/>
  <c r="G29" i="65" s="1"/>
  <c r="F29" i="65" a="1"/>
  <c r="F29" i="65" s="1"/>
  <c r="E29" i="65" a="1"/>
  <c r="E29" i="65" s="1"/>
  <c r="D29" i="65" a="1"/>
  <c r="D29" i="65" s="1"/>
  <c r="D26" i="65" a="1"/>
  <c r="D26" i="65" s="1"/>
  <c r="D25" i="65" a="1"/>
  <c r="D25" i="65" s="1"/>
  <c r="D24" i="65" a="1"/>
  <c r="D24" i="65" s="1"/>
  <c r="F21" i="65" a="1"/>
  <c r="F21" i="65" s="1"/>
  <c r="E21" i="65" a="1"/>
  <c r="E21" i="65" s="1"/>
  <c r="D21" i="65" a="1"/>
  <c r="D21" i="65" s="1"/>
  <c r="D20" i="65" a="1"/>
  <c r="D20" i="65" s="1"/>
  <c r="D19" i="65" a="1"/>
  <c r="D19" i="65" s="1"/>
  <c r="F17" i="65" a="1"/>
  <c r="F17" i="65" s="1"/>
  <c r="E17" i="65" a="1"/>
  <c r="E17" i="65" s="1"/>
  <c r="D17" i="65" a="1"/>
  <c r="D17" i="65" s="1"/>
  <c r="D16" i="65" a="1"/>
  <c r="D16" i="65" s="1"/>
  <c r="D15" i="65" a="1"/>
  <c r="D15" i="65" s="1"/>
  <c r="D14" i="65" a="1"/>
  <c r="D14" i="65" s="1"/>
  <c r="D233" i="64" a="1"/>
  <c r="D233" i="64" s="1"/>
  <c r="D232" i="64" a="1"/>
  <c r="D232" i="64" s="1"/>
  <c r="D231" i="64" a="1"/>
  <c r="D231" i="64" s="1"/>
  <c r="D230" i="64" a="1"/>
  <c r="D230" i="64" s="1"/>
  <c r="D229" i="64" a="1"/>
  <c r="D229" i="64" s="1"/>
  <c r="D227" i="64" a="1"/>
  <c r="D227" i="64" s="1"/>
  <c r="D226" i="64" a="1"/>
  <c r="D226" i="64" s="1"/>
  <c r="D225" i="64" a="1"/>
  <c r="D225" i="64" s="1"/>
  <c r="D224" i="64" a="1"/>
  <c r="D224" i="64" s="1"/>
  <c r="D223" i="64" a="1"/>
  <c r="D223" i="64" s="1"/>
  <c r="D221" i="64" a="1"/>
  <c r="D221" i="64" s="1"/>
  <c r="D220" i="64" a="1"/>
  <c r="D220" i="64" s="1"/>
  <c r="D219" i="64" a="1"/>
  <c r="D219" i="64" s="1"/>
  <c r="D218" i="64" a="1"/>
  <c r="D218" i="64" s="1"/>
  <c r="D217" i="64" a="1"/>
  <c r="D217" i="64" s="1"/>
  <c r="D215" i="64" a="1"/>
  <c r="D215" i="64" s="1"/>
  <c r="A215" i="64"/>
  <c r="D214" i="64" a="1"/>
  <c r="D214" i="64" s="1"/>
  <c r="D213" i="64" a="1"/>
  <c r="D213" i="64" s="1"/>
  <c r="D212" i="64" a="1"/>
  <c r="D212" i="64" s="1"/>
  <c r="D211" i="64" a="1"/>
  <c r="D211" i="64" s="1"/>
  <c r="D209" i="64" a="1"/>
  <c r="D209" i="64" s="1"/>
  <c r="D208" i="64" a="1"/>
  <c r="D208" i="64" s="1"/>
  <c r="D207" i="64" a="1"/>
  <c r="D207" i="64" s="1"/>
  <c r="D206" i="64" a="1"/>
  <c r="D206" i="64" s="1"/>
  <c r="D205" i="64" a="1"/>
  <c r="D205" i="64" s="1"/>
  <c r="D202" i="64" a="1"/>
  <c r="D202" i="64" s="1"/>
  <c r="D201" i="64" a="1"/>
  <c r="D201" i="64" s="1"/>
  <c r="D200" i="64" a="1"/>
  <c r="D200" i="64" s="1"/>
  <c r="D199" i="64" a="1"/>
  <c r="D199" i="64" s="1"/>
  <c r="D198" i="64" a="1"/>
  <c r="D198" i="64" s="1"/>
  <c r="D195" i="64" a="1"/>
  <c r="D195" i="64" s="1"/>
  <c r="D194" i="64" a="1"/>
  <c r="D194" i="64" s="1"/>
  <c r="D193" i="64" a="1"/>
  <c r="D193" i="64" s="1"/>
  <c r="D192" i="64" a="1"/>
  <c r="D192" i="64" s="1"/>
  <c r="D191" i="64" a="1"/>
  <c r="D191" i="64" s="1"/>
  <c r="D188" i="64" a="1"/>
  <c r="D188" i="64" s="1"/>
  <c r="D187" i="64" a="1"/>
  <c r="D187" i="64" s="1"/>
  <c r="D186" i="64" a="1"/>
  <c r="D186" i="64" s="1"/>
  <c r="D185" i="64" a="1"/>
  <c r="D185" i="64" s="1"/>
  <c r="D184" i="64" a="1"/>
  <c r="D184" i="64" s="1"/>
  <c r="D181" i="64" a="1"/>
  <c r="D181" i="64" s="1"/>
  <c r="D180" i="64" a="1"/>
  <c r="D180" i="64" s="1"/>
  <c r="D179" i="64" a="1"/>
  <c r="D179" i="64" s="1"/>
  <c r="D178" i="64" a="1"/>
  <c r="D178" i="64" s="1"/>
  <c r="D177" i="64" a="1"/>
  <c r="D177" i="64" s="1"/>
  <c r="D174" i="64" a="1"/>
  <c r="D174" i="64" s="1"/>
  <c r="A174" i="64"/>
  <c r="D173" i="64" a="1"/>
  <c r="D173" i="64" s="1"/>
  <c r="D172" i="64" a="1"/>
  <c r="D172" i="64" s="1"/>
  <c r="D171" i="64" a="1"/>
  <c r="D171" i="64" s="1"/>
  <c r="D170" i="64" a="1"/>
  <c r="D170" i="64" s="1"/>
  <c r="D167" i="64" a="1"/>
  <c r="D167" i="64" s="1"/>
  <c r="D166" i="64" a="1"/>
  <c r="D166" i="64" s="1"/>
  <c r="D165" i="64" a="1"/>
  <c r="D165" i="64" s="1"/>
  <c r="D164" i="64" a="1"/>
  <c r="D164" i="64" s="1"/>
  <c r="D163" i="64" a="1"/>
  <c r="D163" i="64" s="1"/>
  <c r="D160" i="64" a="1"/>
  <c r="D160" i="64" s="1"/>
  <c r="D159" i="64" a="1"/>
  <c r="D159" i="64" s="1"/>
  <c r="D158" i="64" a="1"/>
  <c r="D158" i="64" s="1"/>
  <c r="D157" i="64" a="1"/>
  <c r="D157" i="64" s="1"/>
  <c r="D156" i="64" a="1"/>
  <c r="D156" i="64" s="1"/>
  <c r="D153" i="64" a="1"/>
  <c r="D153" i="64" s="1"/>
  <c r="D152" i="64" a="1"/>
  <c r="D152" i="64" s="1"/>
  <c r="D151" i="64" a="1"/>
  <c r="D151" i="64" s="1"/>
  <c r="D150" i="64" a="1"/>
  <c r="D150" i="64" s="1"/>
  <c r="D149" i="64" a="1"/>
  <c r="D149" i="64" s="1"/>
  <c r="F146" i="64" a="1"/>
  <c r="F146" i="64" s="1"/>
  <c r="E146" i="64" a="1"/>
  <c r="E146" i="64" s="1"/>
  <c r="D146" i="64" a="1"/>
  <c r="D146" i="64" s="1"/>
  <c r="F145" i="64" a="1"/>
  <c r="F145" i="64" s="1"/>
  <c r="E145" i="64" a="1"/>
  <c r="E145" i="64" s="1"/>
  <c r="D145" i="64" a="1"/>
  <c r="D145" i="64" s="1"/>
  <c r="F144" i="64" a="1"/>
  <c r="F144" i="64" s="1"/>
  <c r="E144" i="64" a="1"/>
  <c r="E144" i="64" s="1"/>
  <c r="D144" i="64" a="1"/>
  <c r="D144" i="64" s="1"/>
  <c r="F143" i="64" a="1"/>
  <c r="F143" i="64" s="1"/>
  <c r="E143" i="64" a="1"/>
  <c r="E143" i="64" s="1"/>
  <c r="D143" i="64" a="1"/>
  <c r="D143" i="64" s="1"/>
  <c r="F142" i="64" a="1"/>
  <c r="F142" i="64" s="1"/>
  <c r="E142" i="64" a="1"/>
  <c r="E142" i="64" s="1"/>
  <c r="D142" i="64" a="1"/>
  <c r="D142" i="64" s="1"/>
  <c r="D140" i="64" a="1"/>
  <c r="D140" i="64" s="1"/>
  <c r="D139" i="64" a="1"/>
  <c r="D139" i="64" s="1"/>
  <c r="D138" i="64" a="1"/>
  <c r="D138" i="64" s="1"/>
  <c r="D137" i="64" a="1"/>
  <c r="D137" i="64" s="1"/>
  <c r="D136" i="64" a="1"/>
  <c r="D136" i="64" s="1"/>
  <c r="F133" i="64" a="1"/>
  <c r="F133" i="64" s="1"/>
  <c r="E133" i="64" a="1"/>
  <c r="E133" i="64" s="1"/>
  <c r="D133" i="64" a="1"/>
  <c r="D133" i="64" s="1"/>
  <c r="F132" i="64" a="1"/>
  <c r="F132" i="64" s="1"/>
  <c r="E132" i="64" a="1"/>
  <c r="E132" i="64" s="1"/>
  <c r="D132" i="64" a="1"/>
  <c r="D132" i="64" s="1"/>
  <c r="F131" i="64" a="1"/>
  <c r="F131" i="64" s="1"/>
  <c r="E131" i="64" a="1"/>
  <c r="E131" i="64" s="1"/>
  <c r="D131" i="64" a="1"/>
  <c r="D131" i="64" s="1"/>
  <c r="F130" i="64" a="1"/>
  <c r="F130" i="64" s="1"/>
  <c r="E130" i="64" a="1"/>
  <c r="E130" i="64" s="1"/>
  <c r="D130" i="64" a="1"/>
  <c r="D130" i="64" s="1"/>
  <c r="F129" i="64" a="1"/>
  <c r="F129" i="64" s="1"/>
  <c r="E129" i="64" a="1"/>
  <c r="E129" i="64" s="1"/>
  <c r="D129" i="64" a="1"/>
  <c r="D129" i="64" s="1"/>
  <c r="D127" i="64" a="1"/>
  <c r="D127" i="64" s="1"/>
  <c r="D126" i="64" a="1"/>
  <c r="D126" i="64" s="1"/>
  <c r="D125" i="64" a="1"/>
  <c r="D125" i="64" s="1"/>
  <c r="D124" i="64" a="1"/>
  <c r="D124" i="64" s="1"/>
  <c r="D123" i="64" a="1"/>
  <c r="D123" i="64" s="1"/>
  <c r="G120" i="64" a="1"/>
  <c r="G120" i="64" s="1"/>
  <c r="F120" i="64" a="1"/>
  <c r="F120" i="64" s="1"/>
  <c r="E120" i="64" a="1"/>
  <c r="E120" i="64" s="1"/>
  <c r="D120" i="64" a="1"/>
  <c r="D120" i="64" s="1"/>
  <c r="G119" i="64" a="1"/>
  <c r="G119" i="64" s="1"/>
  <c r="F119" i="64" a="1"/>
  <c r="F119" i="64" s="1"/>
  <c r="E119" i="64" a="1"/>
  <c r="E119" i="64" s="1"/>
  <c r="D119" i="64" a="1"/>
  <c r="D119" i="64" s="1"/>
  <c r="G118" i="64" a="1"/>
  <c r="G118" i="64" s="1"/>
  <c r="F118" i="64" a="1"/>
  <c r="F118" i="64" s="1"/>
  <c r="E118" i="64" a="1"/>
  <c r="E118" i="64" s="1"/>
  <c r="D118" i="64" a="1"/>
  <c r="D118" i="64" s="1"/>
  <c r="G117" i="64" a="1"/>
  <c r="G117" i="64" s="1"/>
  <c r="F117" i="64" a="1"/>
  <c r="F117" i="64" s="1"/>
  <c r="E117" i="64" a="1"/>
  <c r="E117" i="64" s="1"/>
  <c r="D117" i="64" a="1"/>
  <c r="D117" i="64" s="1"/>
  <c r="D115" i="64" a="1"/>
  <c r="D115" i="64" s="1"/>
  <c r="D114" i="64" a="1"/>
  <c r="D114" i="64" s="1"/>
  <c r="D113" i="64" a="1"/>
  <c r="D113" i="64" s="1"/>
  <c r="D112" i="64" a="1"/>
  <c r="D112" i="64" s="1"/>
  <c r="E109" i="64" a="1"/>
  <c r="E109" i="64" s="1"/>
  <c r="D109" i="64" a="1"/>
  <c r="D109" i="64" s="1"/>
  <c r="E108" i="64" a="1"/>
  <c r="E108" i="64" s="1"/>
  <c r="D108" i="64" a="1"/>
  <c r="D108" i="64" s="1"/>
  <c r="D106" i="64" a="1"/>
  <c r="D106" i="64" s="1"/>
  <c r="D105" i="64" a="1"/>
  <c r="D105" i="64" s="1"/>
  <c r="D104" i="64" a="1"/>
  <c r="D104" i="64" s="1"/>
  <c r="D103" i="64" a="1"/>
  <c r="D103" i="64" s="1"/>
  <c r="E100" i="64" a="1"/>
  <c r="E100" i="64" s="1"/>
  <c r="D100" i="64" a="1"/>
  <c r="D100" i="64" s="1"/>
  <c r="E99" i="64" a="1"/>
  <c r="E99" i="64" s="1"/>
  <c r="D99" i="64" a="1"/>
  <c r="D99" i="64" s="1"/>
  <c r="D97" i="64" a="1"/>
  <c r="D97" i="64" s="1"/>
  <c r="D96" i="64" a="1"/>
  <c r="D96" i="64" s="1"/>
  <c r="D95" i="64" a="1"/>
  <c r="D95" i="64" s="1"/>
  <c r="D94" i="64" a="1"/>
  <c r="D94" i="64" s="1"/>
  <c r="G91" i="64" a="1"/>
  <c r="G91" i="64" s="1"/>
  <c r="F91" i="64" a="1"/>
  <c r="F91" i="64" s="1"/>
  <c r="E91" i="64" a="1"/>
  <c r="E91" i="64" s="1"/>
  <c r="D91" i="64" a="1"/>
  <c r="D91" i="64" s="1"/>
  <c r="G90" i="64" a="1"/>
  <c r="G90" i="64" s="1"/>
  <c r="F90" i="64" a="1"/>
  <c r="F90" i="64" s="1"/>
  <c r="E90" i="64" a="1"/>
  <c r="E90" i="64" s="1"/>
  <c r="D90" i="64" a="1"/>
  <c r="D90" i="64" s="1"/>
  <c r="G89" i="64" a="1"/>
  <c r="G89" i="64" s="1"/>
  <c r="F89" i="64" a="1"/>
  <c r="F89" i="64" s="1"/>
  <c r="E89" i="64" a="1"/>
  <c r="E89" i="64" s="1"/>
  <c r="D89" i="64" a="1"/>
  <c r="D89" i="64" s="1"/>
  <c r="G88" i="64" a="1"/>
  <c r="G88" i="64" s="1"/>
  <c r="F88" i="64" a="1"/>
  <c r="F88" i="64" s="1"/>
  <c r="E88" i="64" a="1"/>
  <c r="E88" i="64" s="1"/>
  <c r="D88" i="64" a="1"/>
  <c r="D88" i="64" s="1"/>
  <c r="G87" i="64" a="1"/>
  <c r="G87" i="64" s="1"/>
  <c r="F87" i="64" a="1"/>
  <c r="F87" i="64" s="1"/>
  <c r="E87" i="64" a="1"/>
  <c r="E87" i="64" s="1"/>
  <c r="D87" i="64" a="1"/>
  <c r="D87" i="64" s="1"/>
  <c r="D85" i="64" a="1"/>
  <c r="D85" i="64" s="1"/>
  <c r="D84" i="64" a="1"/>
  <c r="D84" i="64" s="1"/>
  <c r="D83" i="64" a="1"/>
  <c r="D83" i="64" s="1"/>
  <c r="D82" i="64" a="1"/>
  <c r="D82" i="64" s="1"/>
  <c r="D81" i="64" a="1"/>
  <c r="D81" i="64" s="1"/>
  <c r="M78" i="64" a="1"/>
  <c r="M78" i="64" s="1"/>
  <c r="L78" i="64" a="1"/>
  <c r="L78" i="64" s="1"/>
  <c r="K78" i="64" a="1"/>
  <c r="K78" i="64" s="1"/>
  <c r="J78" i="64" a="1"/>
  <c r="J78" i="64" s="1"/>
  <c r="I78" i="64" a="1"/>
  <c r="I78" i="64" s="1"/>
  <c r="H78" i="64" a="1"/>
  <c r="H78" i="64" s="1"/>
  <c r="G78" i="64" a="1"/>
  <c r="G78" i="64" s="1"/>
  <c r="F78" i="64" a="1"/>
  <c r="F78" i="64" s="1"/>
  <c r="E78" i="64" a="1"/>
  <c r="E78" i="64" s="1"/>
  <c r="D78" i="64" a="1"/>
  <c r="D78" i="64" s="1"/>
  <c r="M77" i="64" a="1"/>
  <c r="M77" i="64" s="1"/>
  <c r="L77" i="64" a="1"/>
  <c r="L77" i="64" s="1"/>
  <c r="K77" i="64" a="1"/>
  <c r="K77" i="64" s="1"/>
  <c r="J77" i="64" a="1"/>
  <c r="J77" i="64" s="1"/>
  <c r="I77" i="64" a="1"/>
  <c r="I77" i="64" s="1"/>
  <c r="H77" i="64" a="1"/>
  <c r="H77" i="64" s="1"/>
  <c r="G77" i="64" a="1"/>
  <c r="G77" i="64" s="1"/>
  <c r="F77" i="64" a="1"/>
  <c r="F77" i="64" s="1"/>
  <c r="E77" i="64" a="1"/>
  <c r="E77" i="64" s="1"/>
  <c r="D77" i="64" a="1"/>
  <c r="D77" i="64" s="1"/>
  <c r="M76" i="64" a="1"/>
  <c r="M76" i="64" s="1"/>
  <c r="L76" i="64" a="1"/>
  <c r="L76" i="64" s="1"/>
  <c r="K76" i="64" a="1"/>
  <c r="K76" i="64" s="1"/>
  <c r="J76" i="64" a="1"/>
  <c r="J76" i="64" s="1"/>
  <c r="I76" i="64" a="1"/>
  <c r="I76" i="64" s="1"/>
  <c r="H76" i="64" a="1"/>
  <c r="H76" i="64" s="1"/>
  <c r="G76" i="64" a="1"/>
  <c r="G76" i="64" s="1"/>
  <c r="F76" i="64" a="1"/>
  <c r="F76" i="64" s="1"/>
  <c r="E76" i="64" a="1"/>
  <c r="E76" i="64" s="1"/>
  <c r="D76" i="64" a="1"/>
  <c r="D76" i="64" s="1"/>
  <c r="M75" i="64" a="1"/>
  <c r="M75" i="64" s="1"/>
  <c r="L75" i="64" a="1"/>
  <c r="L75" i="64" s="1"/>
  <c r="K75" i="64" a="1"/>
  <c r="K75" i="64" s="1"/>
  <c r="J75" i="64" a="1"/>
  <c r="J75" i="64" s="1"/>
  <c r="I75" i="64" a="1"/>
  <c r="I75" i="64" s="1"/>
  <c r="H75" i="64" a="1"/>
  <c r="H75" i="64" s="1"/>
  <c r="G75" i="64" a="1"/>
  <c r="G75" i="64" s="1"/>
  <c r="F75" i="64" a="1"/>
  <c r="F75" i="64" s="1"/>
  <c r="E75" i="64" a="1"/>
  <c r="E75" i="64" s="1"/>
  <c r="D75" i="64" a="1"/>
  <c r="D75" i="64" s="1"/>
  <c r="M74" i="64" a="1"/>
  <c r="M74" i="64" s="1"/>
  <c r="L74" i="64" a="1"/>
  <c r="L74" i="64" s="1"/>
  <c r="K74" i="64" a="1"/>
  <c r="K74" i="64" s="1"/>
  <c r="J74" i="64" a="1"/>
  <c r="J74" i="64" s="1"/>
  <c r="I74" i="64" a="1"/>
  <c r="I74" i="64" s="1"/>
  <c r="H74" i="64" a="1"/>
  <c r="H74" i="64" s="1"/>
  <c r="G74" i="64" a="1"/>
  <c r="G74" i="64" s="1"/>
  <c r="F74" i="64" a="1"/>
  <c r="F74" i="64" s="1"/>
  <c r="E74" i="64" a="1"/>
  <c r="E74" i="64" s="1"/>
  <c r="D74" i="64" a="1"/>
  <c r="D74" i="64" s="1"/>
  <c r="M73" i="64" a="1"/>
  <c r="M73" i="64" s="1"/>
  <c r="L73" i="64" a="1"/>
  <c r="L73" i="64" s="1"/>
  <c r="K73" i="64" a="1"/>
  <c r="K73" i="64" s="1"/>
  <c r="J73" i="64" a="1"/>
  <c r="J73" i="64" s="1"/>
  <c r="I73" i="64" a="1"/>
  <c r="I73" i="64" s="1"/>
  <c r="H73" i="64" a="1"/>
  <c r="H73" i="64" s="1"/>
  <c r="G73" i="64" a="1"/>
  <c r="G73" i="64" s="1"/>
  <c r="F73" i="64" a="1"/>
  <c r="F73" i="64" s="1"/>
  <c r="E73" i="64" a="1"/>
  <c r="E73" i="64" s="1"/>
  <c r="D73" i="64" a="1"/>
  <c r="D73" i="64" s="1"/>
  <c r="D71" i="64" a="1"/>
  <c r="D71" i="64" s="1"/>
  <c r="D70" i="64" a="1"/>
  <c r="D70" i="64" s="1"/>
  <c r="D69" i="64" a="1"/>
  <c r="D69" i="64" s="1"/>
  <c r="D68" i="64" a="1"/>
  <c r="D68" i="64" s="1"/>
  <c r="D67" i="64" a="1"/>
  <c r="D67" i="64" s="1"/>
  <c r="G64" i="64" a="1"/>
  <c r="G64" i="64" s="1"/>
  <c r="F64" i="64" a="1"/>
  <c r="F64" i="64" s="1"/>
  <c r="E64" i="64" a="1"/>
  <c r="E64" i="64" s="1"/>
  <c r="D64" i="64" a="1"/>
  <c r="D64" i="64" s="1"/>
  <c r="G63" i="64" a="1"/>
  <c r="G63" i="64" s="1"/>
  <c r="F63" i="64" a="1"/>
  <c r="F63" i="64" s="1"/>
  <c r="E63" i="64" a="1"/>
  <c r="E63" i="64" s="1"/>
  <c r="D63" i="64" a="1"/>
  <c r="D63" i="64" s="1"/>
  <c r="D61" i="64" a="1"/>
  <c r="D61" i="64" s="1"/>
  <c r="D60" i="64" a="1"/>
  <c r="D60" i="64" s="1"/>
  <c r="D59" i="64" a="1"/>
  <c r="D59" i="64" s="1"/>
  <c r="D58" i="64" a="1"/>
  <c r="D58" i="64" s="1"/>
  <c r="H55" i="64" a="1"/>
  <c r="H55" i="64" s="1"/>
  <c r="G55" i="64" a="1"/>
  <c r="G55" i="64" s="1"/>
  <c r="F55" i="64" a="1"/>
  <c r="F55" i="64" s="1"/>
  <c r="E55" i="64" a="1"/>
  <c r="E55" i="64" s="1"/>
  <c r="D55" i="64" a="1"/>
  <c r="D55" i="64" s="1"/>
  <c r="D53" i="64" a="1"/>
  <c r="D53" i="64" s="1"/>
  <c r="D52" i="64" a="1"/>
  <c r="D52" i="64" s="1"/>
  <c r="D51" i="64" a="1"/>
  <c r="D51" i="64" s="1"/>
  <c r="D50" i="64" a="1"/>
  <c r="D50" i="64" s="1"/>
  <c r="H47" i="64" a="1"/>
  <c r="H47" i="64" s="1"/>
  <c r="G47" i="64" a="1"/>
  <c r="G47" i="64" s="1"/>
  <c r="F47" i="64" a="1"/>
  <c r="F47" i="64" s="1"/>
  <c r="E47" i="64" a="1"/>
  <c r="E47" i="64" s="1"/>
  <c r="D47" i="64" a="1"/>
  <c r="D47" i="64" s="1"/>
  <c r="D45" i="64" a="1"/>
  <c r="D45" i="64" s="1"/>
  <c r="D44" i="64" a="1"/>
  <c r="D44" i="64" s="1"/>
  <c r="D43" i="64" a="1"/>
  <c r="D43" i="64" s="1"/>
  <c r="D42" i="64" a="1"/>
  <c r="D42" i="64" s="1"/>
  <c r="F39" i="64" a="1"/>
  <c r="F39" i="64" s="1"/>
  <c r="E39" i="64" a="1"/>
  <c r="E39" i="64" s="1"/>
  <c r="D39" i="64" a="1"/>
  <c r="D39" i="64" s="1"/>
  <c r="D37" i="64" a="1"/>
  <c r="D37" i="64" s="1"/>
  <c r="D36" i="64" a="1"/>
  <c r="D36" i="64" s="1"/>
  <c r="D35" i="64" a="1"/>
  <c r="D35" i="64" s="1"/>
  <c r="D34" i="64" a="1"/>
  <c r="D34" i="64" s="1"/>
  <c r="G31" i="64" a="1"/>
  <c r="G31" i="64" s="1"/>
  <c r="F31" i="64" a="1"/>
  <c r="F31" i="64" s="1"/>
  <c r="E31" i="64" a="1"/>
  <c r="E31" i="64" s="1"/>
  <c r="D31" i="64" a="1"/>
  <c r="D31" i="64" s="1"/>
  <c r="G30" i="64" a="1"/>
  <c r="G30" i="64" s="1"/>
  <c r="F30" i="64" a="1"/>
  <c r="F30" i="64" s="1"/>
  <c r="E30" i="64" a="1"/>
  <c r="E30" i="64" s="1"/>
  <c r="D30" i="64" a="1"/>
  <c r="D30" i="64" s="1"/>
  <c r="G29" i="64" a="1"/>
  <c r="G29" i="64" s="1"/>
  <c r="F29" i="64" a="1"/>
  <c r="F29" i="64" s="1"/>
  <c r="E29" i="64" a="1"/>
  <c r="E29" i="64" s="1"/>
  <c r="D29" i="64" a="1"/>
  <c r="D29" i="64" s="1"/>
  <c r="G28" i="64" a="1"/>
  <c r="G28" i="64" s="1"/>
  <c r="F28" i="64" a="1"/>
  <c r="F28" i="64" s="1"/>
  <c r="E28" i="64" a="1"/>
  <c r="E28" i="64" s="1"/>
  <c r="D28" i="64" a="1"/>
  <c r="D28" i="64" s="1"/>
  <c r="G27" i="64" a="1"/>
  <c r="G27" i="64" s="1"/>
  <c r="F27" i="64" a="1"/>
  <c r="F27" i="64" s="1"/>
  <c r="E27" i="64" a="1"/>
  <c r="E27" i="64" s="1"/>
  <c r="D27" i="64" a="1"/>
  <c r="D27" i="64" s="1"/>
  <c r="G26" i="64" a="1"/>
  <c r="G26" i="64" s="1"/>
  <c r="F26" i="64" a="1"/>
  <c r="F26" i="64" s="1"/>
  <c r="E26" i="64" a="1"/>
  <c r="E26" i="64" s="1"/>
  <c r="D26" i="64" a="1"/>
  <c r="D26" i="64" s="1"/>
  <c r="G25" i="64" a="1"/>
  <c r="G25" i="64" s="1"/>
  <c r="F25" i="64" a="1"/>
  <c r="F25" i="64" s="1"/>
  <c r="E25" i="64" a="1"/>
  <c r="E25" i="64" s="1"/>
  <c r="D25" i="64" a="1"/>
  <c r="D25" i="64" s="1"/>
  <c r="G24" i="64" a="1"/>
  <c r="G24" i="64" s="1"/>
  <c r="F24" i="64" a="1"/>
  <c r="F24" i="64" s="1"/>
  <c r="E24" i="64" a="1"/>
  <c r="E24" i="64" s="1"/>
  <c r="D24" i="64" a="1"/>
  <c r="D24" i="64" s="1"/>
  <c r="G23" i="64" a="1"/>
  <c r="G23" i="64" s="1"/>
  <c r="F23" i="64" a="1"/>
  <c r="F23" i="64" s="1"/>
  <c r="E23" i="64" a="1"/>
  <c r="E23" i="64" s="1"/>
  <c r="D23" i="64" a="1"/>
  <c r="D23" i="64" s="1"/>
  <c r="G22" i="64" a="1"/>
  <c r="G22" i="64" s="1"/>
  <c r="F22" i="64" a="1"/>
  <c r="F22" i="64" s="1"/>
  <c r="E22" i="64" a="1"/>
  <c r="E22" i="64" s="1"/>
  <c r="D22" i="64" a="1"/>
  <c r="D22" i="64" s="1"/>
  <c r="D20" i="64" a="1"/>
  <c r="D20" i="64" s="1"/>
  <c r="D19" i="64" a="1"/>
  <c r="D19" i="64" s="1"/>
  <c r="D18" i="64" a="1"/>
  <c r="D18" i="64" s="1"/>
  <c r="D17" i="64" a="1"/>
  <c r="D17" i="64" s="1"/>
  <c r="D16" i="64" a="1"/>
  <c r="D16" i="64" s="1"/>
  <c r="I483" i="63" a="1"/>
  <c r="I483" i="63" s="1"/>
  <c r="H483" i="63" a="1"/>
  <c r="H483" i="63" s="1"/>
  <c r="G483" i="63" a="1"/>
  <c r="G483" i="63" s="1"/>
  <c r="F483" i="63" a="1"/>
  <c r="F483" i="63" s="1"/>
  <c r="E483" i="63" a="1"/>
  <c r="E483" i="63" s="1"/>
  <c r="D483" i="63" a="1"/>
  <c r="D483" i="63" s="1"/>
  <c r="I482" i="63" a="1"/>
  <c r="I482" i="63" s="1"/>
  <c r="H482" i="63" a="1"/>
  <c r="H482" i="63" s="1"/>
  <c r="G482" i="63" a="1"/>
  <c r="G482" i="63" s="1"/>
  <c r="F482" i="63" a="1"/>
  <c r="F482" i="63" s="1"/>
  <c r="E482" i="63" a="1"/>
  <c r="E482" i="63" s="1"/>
  <c r="D482" i="63" a="1"/>
  <c r="D482" i="63" s="1"/>
  <c r="I481" i="63" a="1"/>
  <c r="I481" i="63" s="1"/>
  <c r="H481" i="63" a="1"/>
  <c r="H481" i="63" s="1"/>
  <c r="G481" i="63" a="1"/>
  <c r="G481" i="63" s="1"/>
  <c r="F481" i="63" a="1"/>
  <c r="F481" i="63" s="1"/>
  <c r="E481" i="63" a="1"/>
  <c r="E481" i="63" s="1"/>
  <c r="D481" i="63" a="1"/>
  <c r="D481" i="63" s="1"/>
  <c r="I480" i="63" a="1"/>
  <c r="I480" i="63" s="1"/>
  <c r="H480" i="63" a="1"/>
  <c r="H480" i="63" s="1"/>
  <c r="G480" i="63" a="1"/>
  <c r="G480" i="63" s="1"/>
  <c r="F480" i="63" a="1"/>
  <c r="F480" i="63" s="1"/>
  <c r="E480" i="63" a="1"/>
  <c r="E480" i="63" s="1"/>
  <c r="D480" i="63" a="1"/>
  <c r="D480" i="63" s="1"/>
  <c r="I479" i="63" a="1"/>
  <c r="I479" i="63" s="1"/>
  <c r="H479" i="63" a="1"/>
  <c r="H479" i="63" s="1"/>
  <c r="G479" i="63" a="1"/>
  <c r="G479" i="63" s="1"/>
  <c r="F479" i="63" a="1"/>
  <c r="F479" i="63" s="1"/>
  <c r="E479" i="63" a="1"/>
  <c r="E479" i="63" s="1"/>
  <c r="D479" i="63" a="1"/>
  <c r="D479" i="63" s="1"/>
  <c r="I478" i="63" a="1"/>
  <c r="I478" i="63" s="1"/>
  <c r="H478" i="63" a="1"/>
  <c r="H478" i="63" s="1"/>
  <c r="G478" i="63" a="1"/>
  <c r="G478" i="63" s="1"/>
  <c r="F478" i="63" a="1"/>
  <c r="F478" i="63" s="1"/>
  <c r="E478" i="63" a="1"/>
  <c r="E478" i="63" s="1"/>
  <c r="D478" i="63" a="1"/>
  <c r="D478" i="63" s="1"/>
  <c r="I477" i="63" a="1"/>
  <c r="I477" i="63" s="1"/>
  <c r="H477" i="63" a="1"/>
  <c r="H477" i="63" s="1"/>
  <c r="G477" i="63" a="1"/>
  <c r="G477" i="63" s="1"/>
  <c r="F477" i="63" a="1"/>
  <c r="F477" i="63" s="1"/>
  <c r="E477" i="63" a="1"/>
  <c r="E477" i="63" s="1"/>
  <c r="D477" i="63" a="1"/>
  <c r="D477" i="63" s="1"/>
  <c r="I476" i="63" a="1"/>
  <c r="I476" i="63" s="1"/>
  <c r="H476" i="63" a="1"/>
  <c r="H476" i="63" s="1"/>
  <c r="G476" i="63" a="1"/>
  <c r="G476" i="63" s="1"/>
  <c r="F476" i="63" a="1"/>
  <c r="F476" i="63" s="1"/>
  <c r="E476" i="63" a="1"/>
  <c r="E476" i="63" s="1"/>
  <c r="D476" i="63" a="1"/>
  <c r="D476" i="63" s="1"/>
  <c r="I475" i="63" a="1"/>
  <c r="I475" i="63" s="1"/>
  <c r="H475" i="63" a="1"/>
  <c r="H475" i="63" s="1"/>
  <c r="G475" i="63" a="1"/>
  <c r="G475" i="63" s="1"/>
  <c r="F475" i="63" a="1"/>
  <c r="F475" i="63" s="1"/>
  <c r="E475" i="63" a="1"/>
  <c r="E475" i="63" s="1"/>
  <c r="D475" i="63" a="1"/>
  <c r="D475" i="63" s="1"/>
  <c r="I474" i="63" a="1"/>
  <c r="I474" i="63" s="1"/>
  <c r="H474" i="63" a="1"/>
  <c r="H474" i="63" s="1"/>
  <c r="G474" i="63" a="1"/>
  <c r="G474" i="63" s="1"/>
  <c r="F474" i="63" a="1"/>
  <c r="F474" i="63" s="1"/>
  <c r="E474" i="63" a="1"/>
  <c r="E474" i="63" s="1"/>
  <c r="D474" i="63" a="1"/>
  <c r="D474" i="63" s="1"/>
  <c r="I473" i="63" a="1"/>
  <c r="I473" i="63" s="1"/>
  <c r="H473" i="63" a="1"/>
  <c r="H473" i="63" s="1"/>
  <c r="G473" i="63" a="1"/>
  <c r="G473" i="63" s="1"/>
  <c r="F473" i="63" a="1"/>
  <c r="F473" i="63" s="1"/>
  <c r="E473" i="63" a="1"/>
  <c r="E473" i="63" s="1"/>
  <c r="D473" i="63" a="1"/>
  <c r="D473" i="63" s="1"/>
  <c r="I472" i="63" a="1"/>
  <c r="I472" i="63" s="1"/>
  <c r="H472" i="63" a="1"/>
  <c r="H472" i="63" s="1"/>
  <c r="G472" i="63" a="1"/>
  <c r="G472" i="63" s="1"/>
  <c r="F472" i="63" a="1"/>
  <c r="F472" i="63" s="1"/>
  <c r="E472" i="63" a="1"/>
  <c r="E472" i="63" s="1"/>
  <c r="D472" i="63" a="1"/>
  <c r="D472" i="63" s="1"/>
  <c r="I471" i="63" a="1"/>
  <c r="I471" i="63" s="1"/>
  <c r="H471" i="63" a="1"/>
  <c r="H471" i="63" s="1"/>
  <c r="G471" i="63" a="1"/>
  <c r="G471" i="63" s="1"/>
  <c r="F471" i="63" a="1"/>
  <c r="F471" i="63" s="1"/>
  <c r="E471" i="63" a="1"/>
  <c r="E471" i="63" s="1"/>
  <c r="D471" i="63" a="1"/>
  <c r="D471" i="63" s="1"/>
  <c r="I470" i="63" a="1"/>
  <c r="I470" i="63" s="1"/>
  <c r="H470" i="63" a="1"/>
  <c r="H470" i="63" s="1"/>
  <c r="G470" i="63" a="1"/>
  <c r="G470" i="63" s="1"/>
  <c r="F470" i="63" a="1"/>
  <c r="F470" i="63" s="1"/>
  <c r="E470" i="63" a="1"/>
  <c r="E470" i="63" s="1"/>
  <c r="D470" i="63" a="1"/>
  <c r="D470" i="63" s="1"/>
  <c r="I469" i="63" a="1"/>
  <c r="I469" i="63" s="1"/>
  <c r="H469" i="63" a="1"/>
  <c r="H469" i="63" s="1"/>
  <c r="G469" i="63" a="1"/>
  <c r="G469" i="63" s="1"/>
  <c r="F469" i="63" a="1"/>
  <c r="F469" i="63" s="1"/>
  <c r="E469" i="63" a="1"/>
  <c r="E469" i="63" s="1"/>
  <c r="D469" i="63" a="1"/>
  <c r="D469" i="63" s="1"/>
  <c r="I468" i="63" a="1"/>
  <c r="I468" i="63" s="1"/>
  <c r="H468" i="63" a="1"/>
  <c r="H468" i="63" s="1"/>
  <c r="G468" i="63" a="1"/>
  <c r="G468" i="63" s="1"/>
  <c r="F468" i="63" a="1"/>
  <c r="F468" i="63" s="1"/>
  <c r="E468" i="63" a="1"/>
  <c r="E468" i="63" s="1"/>
  <c r="D468" i="63" a="1"/>
  <c r="D468" i="63" s="1"/>
  <c r="I467" i="63" a="1"/>
  <c r="I467" i="63" s="1"/>
  <c r="H467" i="63" a="1"/>
  <c r="H467" i="63" s="1"/>
  <c r="G467" i="63" a="1"/>
  <c r="G467" i="63" s="1"/>
  <c r="F467" i="63" a="1"/>
  <c r="F467" i="63" s="1"/>
  <c r="E467" i="63" a="1"/>
  <c r="E467" i="63" s="1"/>
  <c r="D467" i="63" a="1"/>
  <c r="D467" i="63" s="1"/>
  <c r="I466" i="63" a="1"/>
  <c r="I466" i="63" s="1"/>
  <c r="H466" i="63" a="1"/>
  <c r="H466" i="63" s="1"/>
  <c r="G466" i="63" a="1"/>
  <c r="G466" i="63" s="1"/>
  <c r="F466" i="63" a="1"/>
  <c r="F466" i="63" s="1"/>
  <c r="E466" i="63" a="1"/>
  <c r="E466" i="63" s="1"/>
  <c r="D466" i="63" a="1"/>
  <c r="D466" i="63" s="1"/>
  <c r="I465" i="63" a="1"/>
  <c r="I465" i="63" s="1"/>
  <c r="H465" i="63" a="1"/>
  <c r="H465" i="63" s="1"/>
  <c r="G465" i="63" a="1"/>
  <c r="G465" i="63" s="1"/>
  <c r="F465" i="63" a="1"/>
  <c r="F465" i="63" s="1"/>
  <c r="E465" i="63" a="1"/>
  <c r="E465" i="63" s="1"/>
  <c r="D465" i="63" a="1"/>
  <c r="D465" i="63" s="1"/>
  <c r="I464" i="63" a="1"/>
  <c r="I464" i="63" s="1"/>
  <c r="H464" i="63" a="1"/>
  <c r="H464" i="63" s="1"/>
  <c r="G464" i="63" a="1"/>
  <c r="G464" i="63" s="1"/>
  <c r="F464" i="63" a="1"/>
  <c r="F464" i="63" s="1"/>
  <c r="E464" i="63" a="1"/>
  <c r="E464" i="63" s="1"/>
  <c r="D464" i="63" a="1"/>
  <c r="D464" i="63" s="1"/>
  <c r="I463" i="63" a="1"/>
  <c r="I463" i="63" s="1"/>
  <c r="H463" i="63" a="1"/>
  <c r="H463" i="63" s="1"/>
  <c r="G463" i="63" a="1"/>
  <c r="G463" i="63" s="1"/>
  <c r="F463" i="63" a="1"/>
  <c r="F463" i="63" s="1"/>
  <c r="E463" i="63" a="1"/>
  <c r="E463" i="63" s="1"/>
  <c r="D463" i="63" a="1"/>
  <c r="D463" i="63" s="1"/>
  <c r="I462" i="63" a="1"/>
  <c r="I462" i="63" s="1"/>
  <c r="H462" i="63" a="1"/>
  <c r="H462" i="63" s="1"/>
  <c r="G462" i="63" a="1"/>
  <c r="G462" i="63" s="1"/>
  <c r="F462" i="63" a="1"/>
  <c r="F462" i="63" s="1"/>
  <c r="E462" i="63" a="1"/>
  <c r="E462" i="63" s="1"/>
  <c r="D462" i="63" a="1"/>
  <c r="D462" i="63" s="1"/>
  <c r="I461" i="63" a="1"/>
  <c r="I461" i="63" s="1"/>
  <c r="H461" i="63" a="1"/>
  <c r="H461" i="63" s="1"/>
  <c r="G461" i="63" a="1"/>
  <c r="G461" i="63" s="1"/>
  <c r="F461" i="63" a="1"/>
  <c r="F461" i="63" s="1"/>
  <c r="E461" i="63" a="1"/>
  <c r="E461" i="63" s="1"/>
  <c r="D461" i="63" a="1"/>
  <c r="D461" i="63" s="1"/>
  <c r="I460" i="63" a="1"/>
  <c r="I460" i="63" s="1"/>
  <c r="H460" i="63" a="1"/>
  <c r="H460" i="63" s="1"/>
  <c r="G460" i="63" a="1"/>
  <c r="G460" i="63" s="1"/>
  <c r="F460" i="63" a="1"/>
  <c r="F460" i="63" s="1"/>
  <c r="E460" i="63" a="1"/>
  <c r="E460" i="63" s="1"/>
  <c r="D460" i="63" a="1"/>
  <c r="D460" i="63" s="1"/>
  <c r="I459" i="63" a="1"/>
  <c r="I459" i="63" s="1"/>
  <c r="H459" i="63" a="1"/>
  <c r="H459" i="63" s="1"/>
  <c r="G459" i="63" a="1"/>
  <c r="G459" i="63" s="1"/>
  <c r="F459" i="63" a="1"/>
  <c r="F459" i="63" s="1"/>
  <c r="E459" i="63" a="1"/>
  <c r="E459" i="63" s="1"/>
  <c r="D459" i="63" a="1"/>
  <c r="D459" i="63" s="1"/>
  <c r="I458" i="63" a="1"/>
  <c r="I458" i="63" s="1"/>
  <c r="H458" i="63" a="1"/>
  <c r="H458" i="63" s="1"/>
  <c r="G458" i="63" a="1"/>
  <c r="G458" i="63" s="1"/>
  <c r="F458" i="63" a="1"/>
  <c r="F458" i="63" s="1"/>
  <c r="E458" i="63" a="1"/>
  <c r="E458" i="63" s="1"/>
  <c r="D458" i="63" a="1"/>
  <c r="D458" i="63" s="1"/>
  <c r="I457" i="63" a="1"/>
  <c r="I457" i="63" s="1"/>
  <c r="H457" i="63" a="1"/>
  <c r="H457" i="63" s="1"/>
  <c r="G457" i="63" a="1"/>
  <c r="G457" i="63" s="1"/>
  <c r="F457" i="63" a="1"/>
  <c r="F457" i="63" s="1"/>
  <c r="E457" i="63" a="1"/>
  <c r="E457" i="63" s="1"/>
  <c r="D457" i="63" a="1"/>
  <c r="D457" i="63" s="1"/>
  <c r="I456" i="63" a="1"/>
  <c r="I456" i="63" s="1"/>
  <c r="H456" i="63" a="1"/>
  <c r="H456" i="63" s="1"/>
  <c r="G456" i="63" a="1"/>
  <c r="G456" i="63" s="1"/>
  <c r="F456" i="63" a="1"/>
  <c r="F456" i="63" s="1"/>
  <c r="E456" i="63" a="1"/>
  <c r="E456" i="63" s="1"/>
  <c r="D456" i="63" a="1"/>
  <c r="D456" i="63" s="1"/>
  <c r="I455" i="63" a="1"/>
  <c r="I455" i="63" s="1"/>
  <c r="H455" i="63" a="1"/>
  <c r="H455" i="63" s="1"/>
  <c r="G455" i="63" a="1"/>
  <c r="G455" i="63" s="1"/>
  <c r="F455" i="63" a="1"/>
  <c r="F455" i="63" s="1"/>
  <c r="E455" i="63" a="1"/>
  <c r="E455" i="63" s="1"/>
  <c r="D455" i="63" a="1"/>
  <c r="D455" i="63" s="1"/>
  <c r="I454" i="63" a="1"/>
  <c r="I454" i="63" s="1"/>
  <c r="H454" i="63" a="1"/>
  <c r="H454" i="63" s="1"/>
  <c r="G454" i="63" a="1"/>
  <c r="G454" i="63" s="1"/>
  <c r="F454" i="63" a="1"/>
  <c r="F454" i="63" s="1"/>
  <c r="E454" i="63" a="1"/>
  <c r="E454" i="63" s="1"/>
  <c r="D454" i="63" a="1"/>
  <c r="D454" i="63" s="1"/>
  <c r="I453" i="63" a="1"/>
  <c r="I453" i="63" s="1"/>
  <c r="H453" i="63" a="1"/>
  <c r="H453" i="63" s="1"/>
  <c r="G453" i="63" a="1"/>
  <c r="G453" i="63" s="1"/>
  <c r="F453" i="63" a="1"/>
  <c r="F453" i="63" s="1"/>
  <c r="E453" i="63" a="1"/>
  <c r="E453" i="63" s="1"/>
  <c r="D453" i="63" a="1"/>
  <c r="D453" i="63" s="1"/>
  <c r="I452" i="63" a="1"/>
  <c r="I452" i="63" s="1"/>
  <c r="H452" i="63" a="1"/>
  <c r="H452" i="63" s="1"/>
  <c r="G452" i="63" a="1"/>
  <c r="G452" i="63" s="1"/>
  <c r="F452" i="63" a="1"/>
  <c r="F452" i="63" s="1"/>
  <c r="E452" i="63" a="1"/>
  <c r="E452" i="63" s="1"/>
  <c r="D452" i="63" a="1"/>
  <c r="D452" i="63" s="1"/>
  <c r="I451" i="63" a="1"/>
  <c r="I451" i="63" s="1"/>
  <c r="H451" i="63" a="1"/>
  <c r="H451" i="63" s="1"/>
  <c r="G451" i="63" a="1"/>
  <c r="G451" i="63" s="1"/>
  <c r="F451" i="63" a="1"/>
  <c r="F451" i="63" s="1"/>
  <c r="E451" i="63" a="1"/>
  <c r="E451" i="63" s="1"/>
  <c r="D451" i="63" a="1"/>
  <c r="D451" i="63" s="1"/>
  <c r="I450" i="63" a="1"/>
  <c r="I450" i="63" s="1"/>
  <c r="H450" i="63" a="1"/>
  <c r="H450" i="63" s="1"/>
  <c r="G450" i="63" a="1"/>
  <c r="G450" i="63" s="1"/>
  <c r="F450" i="63" a="1"/>
  <c r="F450" i="63" s="1"/>
  <c r="E450" i="63" a="1"/>
  <c r="E450" i="63" s="1"/>
  <c r="D450" i="63" a="1"/>
  <c r="D450" i="63" s="1"/>
  <c r="I449" i="63" a="1"/>
  <c r="I449" i="63" s="1"/>
  <c r="H449" i="63" a="1"/>
  <c r="H449" i="63" s="1"/>
  <c r="G449" i="63" a="1"/>
  <c r="G449" i="63" s="1"/>
  <c r="F449" i="63" a="1"/>
  <c r="F449" i="63" s="1"/>
  <c r="E449" i="63" a="1"/>
  <c r="E449" i="63" s="1"/>
  <c r="D449" i="63" a="1"/>
  <c r="D449" i="63" s="1"/>
  <c r="I448" i="63" a="1"/>
  <c r="I448" i="63" s="1"/>
  <c r="H448" i="63" a="1"/>
  <c r="H448" i="63" s="1"/>
  <c r="G448" i="63" a="1"/>
  <c r="G448" i="63" s="1"/>
  <c r="F448" i="63" a="1"/>
  <c r="F448" i="63" s="1"/>
  <c r="E448" i="63" a="1"/>
  <c r="E448" i="63" s="1"/>
  <c r="D448" i="63" a="1"/>
  <c r="D448" i="63" s="1"/>
  <c r="I447" i="63" a="1"/>
  <c r="I447" i="63" s="1"/>
  <c r="H447" i="63" a="1"/>
  <c r="H447" i="63" s="1"/>
  <c r="G447" i="63" a="1"/>
  <c r="G447" i="63" s="1"/>
  <c r="F447" i="63" a="1"/>
  <c r="F447" i="63" s="1"/>
  <c r="E447" i="63" a="1"/>
  <c r="E447" i="63" s="1"/>
  <c r="D447" i="63" a="1"/>
  <c r="D447" i="63" s="1"/>
  <c r="I446" i="63" a="1"/>
  <c r="I446" i="63" s="1"/>
  <c r="H446" i="63" a="1"/>
  <c r="H446" i="63" s="1"/>
  <c r="G446" i="63" a="1"/>
  <c r="G446" i="63" s="1"/>
  <c r="F446" i="63" a="1"/>
  <c r="F446" i="63" s="1"/>
  <c r="E446" i="63" a="1"/>
  <c r="E446" i="63" s="1"/>
  <c r="D446" i="63" a="1"/>
  <c r="D446" i="63" s="1"/>
  <c r="I445" i="63" a="1"/>
  <c r="I445" i="63" s="1"/>
  <c r="H445" i="63" a="1"/>
  <c r="H445" i="63" s="1"/>
  <c r="G445" i="63" a="1"/>
  <c r="G445" i="63" s="1"/>
  <c r="F445" i="63" a="1"/>
  <c r="F445" i="63" s="1"/>
  <c r="E445" i="63" a="1"/>
  <c r="E445" i="63" s="1"/>
  <c r="D445" i="63" a="1"/>
  <c r="D445" i="63" s="1"/>
  <c r="I444" i="63" a="1"/>
  <c r="I444" i="63" s="1"/>
  <c r="H444" i="63" a="1"/>
  <c r="H444" i="63" s="1"/>
  <c r="G444" i="63" a="1"/>
  <c r="G444" i="63" s="1"/>
  <c r="F444" i="63" a="1"/>
  <c r="F444" i="63" s="1"/>
  <c r="E444" i="63" a="1"/>
  <c r="E444" i="63" s="1"/>
  <c r="D444" i="63" a="1"/>
  <c r="D444" i="63" s="1"/>
  <c r="I443" i="63" a="1"/>
  <c r="I443" i="63" s="1"/>
  <c r="H443" i="63" a="1"/>
  <c r="H443" i="63" s="1"/>
  <c r="G443" i="63" a="1"/>
  <c r="G443" i="63" s="1"/>
  <c r="F443" i="63" a="1"/>
  <c r="F443" i="63" s="1"/>
  <c r="E443" i="63" a="1"/>
  <c r="E443" i="63" s="1"/>
  <c r="D443" i="63" a="1"/>
  <c r="D443" i="63" s="1"/>
  <c r="D440" i="63" a="1"/>
  <c r="D440" i="63" s="1"/>
  <c r="D439" i="63" a="1"/>
  <c r="D439" i="63" s="1"/>
  <c r="D438" i="63" a="1"/>
  <c r="D438" i="63" s="1"/>
  <c r="D437" i="63" a="1"/>
  <c r="D437" i="63" s="1"/>
  <c r="D436" i="63" a="1"/>
  <c r="D436" i="63" s="1"/>
  <c r="D434" i="63" a="1"/>
  <c r="D434" i="63" s="1"/>
  <c r="D433" i="63" a="1"/>
  <c r="D433" i="63" s="1"/>
  <c r="D432" i="63" a="1"/>
  <c r="D432" i="63" s="1"/>
  <c r="D431" i="63" a="1"/>
  <c r="D431" i="63" s="1"/>
  <c r="D430" i="63" a="1"/>
  <c r="D430" i="63" s="1"/>
  <c r="D428" i="63" a="1"/>
  <c r="D428" i="63" s="1"/>
  <c r="D427" i="63" a="1"/>
  <c r="D427" i="63" s="1"/>
  <c r="D426" i="63" a="1"/>
  <c r="D426" i="63" s="1"/>
  <c r="D425" i="63" a="1"/>
  <c r="D425" i="63" s="1"/>
  <c r="D424" i="63" a="1"/>
  <c r="D424" i="63" s="1"/>
  <c r="D422" i="63" a="1"/>
  <c r="D422" i="63" s="1"/>
  <c r="D421" i="63" a="1"/>
  <c r="D421" i="63" s="1"/>
  <c r="D420" i="63" a="1"/>
  <c r="D420" i="63" s="1"/>
  <c r="D419" i="63" a="1"/>
  <c r="D419" i="63" s="1"/>
  <c r="D418" i="63" a="1"/>
  <c r="D418" i="63" s="1"/>
  <c r="G415" i="63" a="1"/>
  <c r="G415" i="63" s="1"/>
  <c r="F415" i="63" a="1"/>
  <c r="F415" i="63" s="1"/>
  <c r="E415" i="63" a="1"/>
  <c r="E415" i="63" s="1"/>
  <c r="D415" i="63" a="1"/>
  <c r="D415" i="63" s="1"/>
  <c r="G414" i="63" a="1"/>
  <c r="G414" i="63" s="1"/>
  <c r="F414" i="63" a="1"/>
  <c r="F414" i="63" s="1"/>
  <c r="E414" i="63" a="1"/>
  <c r="E414" i="63" s="1"/>
  <c r="D414" i="63" a="1"/>
  <c r="D414" i="63" s="1"/>
  <c r="G413" i="63" a="1"/>
  <c r="G413" i="63" s="1"/>
  <c r="F413" i="63" a="1"/>
  <c r="F413" i="63" s="1"/>
  <c r="E413" i="63" a="1"/>
  <c r="E413" i="63" s="1"/>
  <c r="D413" i="63" a="1"/>
  <c r="D413" i="63" s="1"/>
  <c r="G412" i="63" a="1"/>
  <c r="G412" i="63" s="1"/>
  <c r="F412" i="63" a="1"/>
  <c r="F412" i="63" s="1"/>
  <c r="E412" i="63" a="1"/>
  <c r="E412" i="63" s="1"/>
  <c r="D412" i="63" a="1"/>
  <c r="D412" i="63" s="1"/>
  <c r="G411" i="63" a="1"/>
  <c r="G411" i="63" s="1"/>
  <c r="F411" i="63" a="1"/>
  <c r="F411" i="63" s="1"/>
  <c r="E411" i="63" a="1"/>
  <c r="E411" i="63" s="1"/>
  <c r="D411" i="63" a="1"/>
  <c r="D411" i="63" s="1"/>
  <c r="G410" i="63" a="1"/>
  <c r="G410" i="63" s="1"/>
  <c r="F410" i="63" a="1"/>
  <c r="F410" i="63" s="1"/>
  <c r="E410" i="63" a="1"/>
  <c r="E410" i="63" s="1"/>
  <c r="D410" i="63" a="1"/>
  <c r="D410" i="63" s="1"/>
  <c r="G409" i="63" a="1"/>
  <c r="G409" i="63" s="1"/>
  <c r="F409" i="63" a="1"/>
  <c r="F409" i="63" s="1"/>
  <c r="E409" i="63" a="1"/>
  <c r="E409" i="63" s="1"/>
  <c r="D409" i="63" a="1"/>
  <c r="D409" i="63" s="1"/>
  <c r="G408" i="63" a="1"/>
  <c r="G408" i="63" s="1"/>
  <c r="F408" i="63" a="1"/>
  <c r="F408" i="63" s="1"/>
  <c r="E408" i="63" a="1"/>
  <c r="E408" i="63" s="1"/>
  <c r="D408" i="63" a="1"/>
  <c r="D408" i="63" s="1"/>
  <c r="G407" i="63" a="1"/>
  <c r="G407" i="63" s="1"/>
  <c r="F407" i="63" a="1"/>
  <c r="F407" i="63" s="1"/>
  <c r="E407" i="63" a="1"/>
  <c r="E407" i="63" s="1"/>
  <c r="D407" i="63" a="1"/>
  <c r="D407" i="63" s="1"/>
  <c r="G406" i="63" a="1"/>
  <c r="G406" i="63" s="1"/>
  <c r="F406" i="63" a="1"/>
  <c r="F406" i="63" s="1"/>
  <c r="E406" i="63" a="1"/>
  <c r="E406" i="63" s="1"/>
  <c r="D406" i="63" a="1"/>
  <c r="D406" i="63" s="1"/>
  <c r="G405" i="63" a="1"/>
  <c r="G405" i="63" s="1"/>
  <c r="F405" i="63" a="1"/>
  <c r="F405" i="63" s="1"/>
  <c r="E405" i="63" a="1"/>
  <c r="E405" i="63" s="1"/>
  <c r="D405" i="63" a="1"/>
  <c r="D405" i="63" s="1"/>
  <c r="G404" i="63" a="1"/>
  <c r="G404" i="63" s="1"/>
  <c r="F404" i="63" a="1"/>
  <c r="F404" i="63" s="1"/>
  <c r="E404" i="63" a="1"/>
  <c r="E404" i="63" s="1"/>
  <c r="D404" i="63" a="1"/>
  <c r="D404" i="63" s="1"/>
  <c r="G403" i="63" a="1"/>
  <c r="G403" i="63" s="1"/>
  <c r="F403" i="63" a="1"/>
  <c r="F403" i="63" s="1"/>
  <c r="E403" i="63" a="1"/>
  <c r="E403" i="63" s="1"/>
  <c r="D403" i="63" a="1"/>
  <c r="D403" i="63" s="1"/>
  <c r="G402" i="63" a="1"/>
  <c r="G402" i="63" s="1"/>
  <c r="F402" i="63" a="1"/>
  <c r="F402" i="63" s="1"/>
  <c r="E402" i="63" a="1"/>
  <c r="E402" i="63" s="1"/>
  <c r="D402" i="63" a="1"/>
  <c r="D402" i="63" s="1"/>
  <c r="G401" i="63" a="1"/>
  <c r="G401" i="63" s="1"/>
  <c r="F401" i="63" a="1"/>
  <c r="F401" i="63" s="1"/>
  <c r="E401" i="63" a="1"/>
  <c r="E401" i="63" s="1"/>
  <c r="D401" i="63" a="1"/>
  <c r="D401" i="63" s="1"/>
  <c r="D399" i="63" a="1"/>
  <c r="D399" i="63" s="1"/>
  <c r="D398" i="63" a="1"/>
  <c r="D398" i="63" s="1"/>
  <c r="D397" i="63" a="1"/>
  <c r="D397" i="63" s="1"/>
  <c r="D396" i="63" a="1"/>
  <c r="D396" i="63" s="1"/>
  <c r="D395" i="63" a="1"/>
  <c r="D395" i="63" s="1"/>
  <c r="G392" i="63" a="1"/>
  <c r="G392" i="63" s="1"/>
  <c r="F392" i="63" a="1"/>
  <c r="F392" i="63" s="1"/>
  <c r="E392" i="63" a="1"/>
  <c r="E392" i="63" s="1"/>
  <c r="D392" i="63" a="1"/>
  <c r="D392" i="63" s="1"/>
  <c r="G391" i="63" a="1"/>
  <c r="G391" i="63" s="1"/>
  <c r="F391" i="63" a="1"/>
  <c r="F391" i="63" s="1"/>
  <c r="E391" i="63" a="1"/>
  <c r="E391" i="63" s="1"/>
  <c r="D391" i="63" a="1"/>
  <c r="D391" i="63" s="1"/>
  <c r="G390" i="63" a="1"/>
  <c r="G390" i="63" s="1"/>
  <c r="F390" i="63" a="1"/>
  <c r="F390" i="63" s="1"/>
  <c r="E390" i="63" a="1"/>
  <c r="E390" i="63" s="1"/>
  <c r="D390" i="63" a="1"/>
  <c r="D390" i="63" s="1"/>
  <c r="G389" i="63" a="1"/>
  <c r="G389" i="63" s="1"/>
  <c r="F389" i="63" a="1"/>
  <c r="F389" i="63" s="1"/>
  <c r="E389" i="63" a="1"/>
  <c r="E389" i="63" s="1"/>
  <c r="D389" i="63" a="1"/>
  <c r="D389" i="63" s="1"/>
  <c r="G388" i="63" a="1"/>
  <c r="G388" i="63" s="1"/>
  <c r="F388" i="63" a="1"/>
  <c r="F388" i="63" s="1"/>
  <c r="E388" i="63" a="1"/>
  <c r="E388" i="63" s="1"/>
  <c r="D388" i="63" a="1"/>
  <c r="D388" i="63" s="1"/>
  <c r="G387" i="63" a="1"/>
  <c r="G387" i="63" s="1"/>
  <c r="F387" i="63" a="1"/>
  <c r="F387" i="63" s="1"/>
  <c r="E387" i="63" a="1"/>
  <c r="E387" i="63" s="1"/>
  <c r="D387" i="63" a="1"/>
  <c r="D387" i="63" s="1"/>
  <c r="G386" i="63" a="1"/>
  <c r="G386" i="63" s="1"/>
  <c r="F386" i="63" a="1"/>
  <c r="F386" i="63" s="1"/>
  <c r="E386" i="63" a="1"/>
  <c r="E386" i="63" s="1"/>
  <c r="D386" i="63" a="1"/>
  <c r="D386" i="63" s="1"/>
  <c r="G385" i="63" a="1"/>
  <c r="G385" i="63" s="1"/>
  <c r="F385" i="63" a="1"/>
  <c r="F385" i="63" s="1"/>
  <c r="E385" i="63" a="1"/>
  <c r="E385" i="63" s="1"/>
  <c r="D385" i="63" a="1"/>
  <c r="D385" i="63" s="1"/>
  <c r="G384" i="63" a="1"/>
  <c r="G384" i="63" s="1"/>
  <c r="F384" i="63" a="1"/>
  <c r="F384" i="63" s="1"/>
  <c r="E384" i="63" a="1"/>
  <c r="E384" i="63" s="1"/>
  <c r="D384" i="63" a="1"/>
  <c r="D384" i="63" s="1"/>
  <c r="G383" i="63" a="1"/>
  <c r="G383" i="63" s="1"/>
  <c r="F383" i="63" a="1"/>
  <c r="F383" i="63" s="1"/>
  <c r="E383" i="63" a="1"/>
  <c r="E383" i="63" s="1"/>
  <c r="D383" i="63" a="1"/>
  <c r="D383" i="63" s="1"/>
  <c r="G382" i="63" a="1"/>
  <c r="G382" i="63" s="1"/>
  <c r="F382" i="63" a="1"/>
  <c r="F382" i="63" s="1"/>
  <c r="E382" i="63" a="1"/>
  <c r="E382" i="63" s="1"/>
  <c r="D382" i="63" a="1"/>
  <c r="D382" i="63" s="1"/>
  <c r="G381" i="63" a="1"/>
  <c r="G381" i="63" s="1"/>
  <c r="F381" i="63" a="1"/>
  <c r="F381" i="63" s="1"/>
  <c r="E381" i="63" a="1"/>
  <c r="E381" i="63" s="1"/>
  <c r="D381" i="63" a="1"/>
  <c r="D381" i="63" s="1"/>
  <c r="G380" i="63" a="1"/>
  <c r="G380" i="63" s="1"/>
  <c r="F380" i="63" a="1"/>
  <c r="F380" i="63" s="1"/>
  <c r="E380" i="63" a="1"/>
  <c r="E380" i="63" s="1"/>
  <c r="D380" i="63" a="1"/>
  <c r="D380" i="63" s="1"/>
  <c r="G379" i="63" a="1"/>
  <c r="G379" i="63" s="1"/>
  <c r="F379" i="63" a="1"/>
  <c r="F379" i="63" s="1"/>
  <c r="E379" i="63" a="1"/>
  <c r="E379" i="63" s="1"/>
  <c r="D379" i="63" a="1"/>
  <c r="D379" i="63" s="1"/>
  <c r="G378" i="63" a="1"/>
  <c r="G378" i="63" s="1"/>
  <c r="F378" i="63" a="1"/>
  <c r="F378" i="63" s="1"/>
  <c r="E378" i="63" a="1"/>
  <c r="E378" i="63" s="1"/>
  <c r="D378" i="63" a="1"/>
  <c r="D378" i="63" s="1"/>
  <c r="D376" i="63" a="1"/>
  <c r="D376" i="63" s="1"/>
  <c r="D375" i="63" a="1"/>
  <c r="D375" i="63" s="1"/>
  <c r="D374" i="63" a="1"/>
  <c r="D374" i="63" s="1"/>
  <c r="D373" i="63" a="1"/>
  <c r="D373" i="63" s="1"/>
  <c r="D372" i="63" a="1"/>
  <c r="D372" i="63" s="1"/>
  <c r="L358" i="63" a="1"/>
  <c r="L358" i="63" s="1"/>
  <c r="O369" i="63" s="1"/>
  <c r="K358" i="63" a="1"/>
  <c r="K358" i="63" s="1"/>
  <c r="N369" i="63" s="1"/>
  <c r="J358" i="63" a="1"/>
  <c r="J358" i="63" s="1"/>
  <c r="K369" i="63" s="1"/>
  <c r="I358" i="63" a="1"/>
  <c r="I358" i="63" s="1"/>
  <c r="H358" i="63" a="1"/>
  <c r="H358" i="63" s="1"/>
  <c r="H369" i="63" s="1"/>
  <c r="G358" i="63" a="1"/>
  <c r="G358" i="63" s="1"/>
  <c r="G369" i="63" s="1"/>
  <c r="F358" i="63" a="1"/>
  <c r="F358" i="63" s="1"/>
  <c r="F369" i="63" s="1"/>
  <c r="E358" i="63" a="1"/>
  <c r="E358" i="63" s="1"/>
  <c r="E369" i="63" s="1"/>
  <c r="D358" i="63" a="1"/>
  <c r="D358" i="63" s="1"/>
  <c r="D369" i="63" s="1"/>
  <c r="L357" i="63" a="1"/>
  <c r="L357" i="63" s="1"/>
  <c r="O368" i="63" s="1"/>
  <c r="K357" i="63" a="1"/>
  <c r="K357" i="63" s="1"/>
  <c r="L368" i="63" s="1"/>
  <c r="J357" i="63" a="1"/>
  <c r="J357" i="63" s="1"/>
  <c r="K368" i="63" s="1"/>
  <c r="I357" i="63" a="1"/>
  <c r="I357" i="63" s="1"/>
  <c r="H357" i="63" a="1"/>
  <c r="H357" i="63" s="1"/>
  <c r="H368" i="63" s="1"/>
  <c r="G357" i="63" a="1"/>
  <c r="G357" i="63" s="1"/>
  <c r="G368" i="63" s="1"/>
  <c r="F357" i="63" a="1"/>
  <c r="F357" i="63" s="1"/>
  <c r="F368" i="63" s="1"/>
  <c r="E357" i="63" a="1"/>
  <c r="E357" i="63" s="1"/>
  <c r="E368" i="63" s="1"/>
  <c r="D357" i="63" a="1"/>
  <c r="D357" i="63" s="1"/>
  <c r="D368" i="63" s="1"/>
  <c r="L356" i="63" a="1"/>
  <c r="L356" i="63" s="1"/>
  <c r="O367" i="63" s="1"/>
  <c r="K356" i="63" a="1"/>
  <c r="K356" i="63" s="1"/>
  <c r="N367" i="63" s="1"/>
  <c r="J356" i="63" a="1"/>
  <c r="J356" i="63" s="1"/>
  <c r="K367" i="63" s="1"/>
  <c r="I356" i="63" a="1"/>
  <c r="I356" i="63" s="1"/>
  <c r="J367" i="63" s="1"/>
  <c r="H356" i="63" a="1"/>
  <c r="H356" i="63" s="1"/>
  <c r="H367" i="63" s="1"/>
  <c r="G356" i="63" a="1"/>
  <c r="G356" i="63" s="1"/>
  <c r="G367" i="63" s="1"/>
  <c r="F356" i="63" a="1"/>
  <c r="F356" i="63" s="1"/>
  <c r="F367" i="63" s="1"/>
  <c r="E356" i="63" a="1"/>
  <c r="E356" i="63" s="1"/>
  <c r="E367" i="63" s="1"/>
  <c r="D356" i="63" a="1"/>
  <c r="D356" i="63" s="1"/>
  <c r="D367" i="63" s="1"/>
  <c r="L355" i="63" a="1"/>
  <c r="L355" i="63" s="1"/>
  <c r="O366" i="63" s="1"/>
  <c r="K355" i="63" a="1"/>
  <c r="K355" i="63" s="1"/>
  <c r="N366" i="63" s="1"/>
  <c r="J355" i="63" a="1"/>
  <c r="J355" i="63" s="1"/>
  <c r="K366" i="63" s="1"/>
  <c r="I355" i="63" a="1"/>
  <c r="I355" i="63" s="1"/>
  <c r="I366" i="63" s="1"/>
  <c r="H355" i="63" a="1"/>
  <c r="H355" i="63" s="1"/>
  <c r="H366" i="63" s="1"/>
  <c r="G355" i="63" a="1"/>
  <c r="G355" i="63" s="1"/>
  <c r="G366" i="63" s="1"/>
  <c r="F355" i="63" a="1"/>
  <c r="F355" i="63" s="1"/>
  <c r="F366" i="63" s="1"/>
  <c r="E355" i="63" a="1"/>
  <c r="E355" i="63" s="1"/>
  <c r="E366" i="63" s="1"/>
  <c r="D355" i="63" a="1"/>
  <c r="D355" i="63" s="1"/>
  <c r="D366" i="63" s="1"/>
  <c r="L354" i="63" a="1"/>
  <c r="L354" i="63" s="1"/>
  <c r="O365" i="63" s="1"/>
  <c r="K354" i="63" a="1"/>
  <c r="K354" i="63" s="1"/>
  <c r="M365" i="63" s="1"/>
  <c r="J354" i="63" a="1"/>
  <c r="J354" i="63" s="1"/>
  <c r="K365" i="63" s="1"/>
  <c r="I354" i="63" a="1"/>
  <c r="I354" i="63" s="1"/>
  <c r="I365" i="63" s="1"/>
  <c r="H354" i="63" a="1"/>
  <c r="H354" i="63" s="1"/>
  <c r="H365" i="63" s="1"/>
  <c r="G354" i="63" a="1"/>
  <c r="G354" i="63" s="1"/>
  <c r="G365" i="63" s="1"/>
  <c r="F354" i="63" a="1"/>
  <c r="F354" i="63" s="1"/>
  <c r="F365" i="63" s="1"/>
  <c r="E354" i="63" a="1"/>
  <c r="E354" i="63" s="1"/>
  <c r="E365" i="63" s="1"/>
  <c r="D354" i="63" a="1"/>
  <c r="D354" i="63" s="1"/>
  <c r="D365" i="63" s="1"/>
  <c r="L353" i="63" a="1"/>
  <c r="L353" i="63" s="1"/>
  <c r="O364" i="63" s="1"/>
  <c r="K353" i="63" a="1"/>
  <c r="K353" i="63" s="1"/>
  <c r="M364" i="63" s="1"/>
  <c r="J353" i="63" a="1"/>
  <c r="J353" i="63" s="1"/>
  <c r="K364" i="63" s="1"/>
  <c r="I353" i="63" a="1"/>
  <c r="I353" i="63" s="1"/>
  <c r="J364" i="63" s="1"/>
  <c r="H353" i="63" a="1"/>
  <c r="H353" i="63" s="1"/>
  <c r="H364" i="63" s="1"/>
  <c r="G353" i="63" a="1"/>
  <c r="G353" i="63" s="1"/>
  <c r="G364" i="63" s="1"/>
  <c r="F353" i="63" a="1"/>
  <c r="F353" i="63" s="1"/>
  <c r="F364" i="63" s="1"/>
  <c r="E353" i="63" a="1"/>
  <c r="E353" i="63" s="1"/>
  <c r="E364" i="63" s="1"/>
  <c r="D353" i="63" a="1"/>
  <c r="D353" i="63" s="1"/>
  <c r="D364" i="63" s="1"/>
  <c r="L352" i="63" a="1"/>
  <c r="L352" i="63" s="1"/>
  <c r="O363" i="63" s="1"/>
  <c r="K352" i="63" a="1"/>
  <c r="K352" i="63" s="1"/>
  <c r="L363" i="63" s="1"/>
  <c r="J352" i="63" a="1"/>
  <c r="J352" i="63" s="1"/>
  <c r="K363" i="63" s="1"/>
  <c r="I352" i="63" a="1"/>
  <c r="I352" i="63" s="1"/>
  <c r="I363" i="63" s="1"/>
  <c r="H352" i="63" a="1"/>
  <c r="H352" i="63" s="1"/>
  <c r="H363" i="63" s="1"/>
  <c r="G352" i="63" a="1"/>
  <c r="G352" i="63" s="1"/>
  <c r="G363" i="63" s="1"/>
  <c r="F352" i="63" a="1"/>
  <c r="F352" i="63" s="1"/>
  <c r="F363" i="63" s="1"/>
  <c r="E352" i="63" a="1"/>
  <c r="E352" i="63" s="1"/>
  <c r="E363" i="63" s="1"/>
  <c r="D352" i="63" a="1"/>
  <c r="D352" i="63" s="1"/>
  <c r="D363" i="63" s="1"/>
  <c r="L351" i="63" a="1"/>
  <c r="L351" i="63" s="1"/>
  <c r="O362" i="63" s="1"/>
  <c r="K351" i="63" a="1"/>
  <c r="K351" i="63" s="1"/>
  <c r="N362" i="63" s="1"/>
  <c r="J351" i="63" a="1"/>
  <c r="J351" i="63" s="1"/>
  <c r="K362" i="63" s="1"/>
  <c r="I351" i="63" a="1"/>
  <c r="I351" i="63" s="1"/>
  <c r="I362" i="63" s="1"/>
  <c r="H351" i="63" a="1"/>
  <c r="H351" i="63" s="1"/>
  <c r="H362" i="63" s="1"/>
  <c r="G351" i="63" a="1"/>
  <c r="G351" i="63" s="1"/>
  <c r="G362" i="63" s="1"/>
  <c r="F351" i="63" a="1"/>
  <c r="F351" i="63" s="1"/>
  <c r="F362" i="63" s="1"/>
  <c r="E351" i="63" a="1"/>
  <c r="E351" i="63" s="1"/>
  <c r="E362" i="63" s="1"/>
  <c r="D351" i="63" a="1"/>
  <c r="D351" i="63" s="1"/>
  <c r="D362" i="63" s="1"/>
  <c r="D349" i="63" a="1"/>
  <c r="D349" i="63" s="1"/>
  <c r="D348" i="63" a="1"/>
  <c r="D348" i="63" s="1"/>
  <c r="D347" i="63" a="1"/>
  <c r="D347" i="63" s="1"/>
  <c r="D346" i="63" a="1"/>
  <c r="D346" i="63" s="1"/>
  <c r="D345" i="63" a="1"/>
  <c r="D345" i="63" s="1"/>
  <c r="G342" i="63" a="1"/>
  <c r="G342" i="63" s="1"/>
  <c r="F342" i="63" a="1"/>
  <c r="F342" i="63" s="1"/>
  <c r="E342" i="63" a="1"/>
  <c r="E342" i="63" s="1"/>
  <c r="D342" i="63" a="1"/>
  <c r="D342" i="63" s="1"/>
  <c r="G341" i="63" a="1"/>
  <c r="G341" i="63" s="1"/>
  <c r="L338" i="63" s="1"/>
  <c r="F341" i="63" a="1"/>
  <c r="F341" i="63" s="1"/>
  <c r="K338" i="63" s="1"/>
  <c r="E341" i="63" a="1"/>
  <c r="E341" i="63" s="1"/>
  <c r="D341" i="63" a="1"/>
  <c r="D341" i="63" s="1"/>
  <c r="I338" i="63" s="1"/>
  <c r="G340" i="63" a="1"/>
  <c r="G340" i="63" s="1"/>
  <c r="L337" i="63" s="1"/>
  <c r="F340" i="63" a="1"/>
  <c r="F340" i="63" s="1"/>
  <c r="K337" i="63" s="1"/>
  <c r="E340" i="63" a="1"/>
  <c r="E340" i="63" s="1"/>
  <c r="D340" i="63" a="1"/>
  <c r="D340" i="63" s="1"/>
  <c r="I337" i="63" s="1"/>
  <c r="G339" i="63" a="1"/>
  <c r="G339" i="63" s="1"/>
  <c r="F339" i="63" a="1"/>
  <c r="F339" i="63" s="1"/>
  <c r="E339" i="63" a="1"/>
  <c r="E339" i="63" s="1"/>
  <c r="D339" i="63" a="1"/>
  <c r="D339" i="63" s="1"/>
  <c r="G338" i="63" a="1"/>
  <c r="G338" i="63" s="1"/>
  <c r="F338" i="63" a="1"/>
  <c r="F338" i="63" s="1"/>
  <c r="E338" i="63" a="1"/>
  <c r="E338" i="63" s="1"/>
  <c r="D338" i="63" a="1"/>
  <c r="D338" i="63" s="1"/>
  <c r="G337" i="63" a="1"/>
  <c r="G337" i="63" s="1"/>
  <c r="F337" i="63" a="1"/>
  <c r="F337" i="63" s="1"/>
  <c r="E337" i="63" a="1"/>
  <c r="E337" i="63" s="1"/>
  <c r="D337" i="63" a="1"/>
  <c r="D337" i="63" s="1"/>
  <c r="G336" i="63" a="1"/>
  <c r="G336" i="63" s="1"/>
  <c r="L336" i="63" s="1"/>
  <c r="F336" i="63" a="1"/>
  <c r="F336" i="63" s="1"/>
  <c r="K336" i="63" s="1"/>
  <c r="E336" i="63" a="1"/>
  <c r="E336" i="63" s="1"/>
  <c r="D336" i="63" a="1"/>
  <c r="D336" i="63" s="1"/>
  <c r="I336" i="63" s="1"/>
  <c r="G335" i="63" a="1"/>
  <c r="G335" i="63" s="1"/>
  <c r="L335" i="63" s="1"/>
  <c r="F335" i="63" a="1"/>
  <c r="F335" i="63" s="1"/>
  <c r="K335" i="63" s="1"/>
  <c r="E335" i="63" a="1"/>
  <c r="E335" i="63" s="1"/>
  <c r="D335" i="63" a="1"/>
  <c r="D335" i="63" s="1"/>
  <c r="I335" i="63" s="1"/>
  <c r="D333" i="63" a="1"/>
  <c r="D333" i="63" s="1"/>
  <c r="D332" i="63" a="1"/>
  <c r="D332" i="63" s="1"/>
  <c r="D331" i="63" a="1"/>
  <c r="D331" i="63" s="1"/>
  <c r="I328" i="63" a="1"/>
  <c r="I328" i="63" s="1"/>
  <c r="H328" i="63" a="1"/>
  <c r="H328" i="63" s="1"/>
  <c r="G328" i="63" a="1"/>
  <c r="G328" i="63" s="1"/>
  <c r="F328" i="63" a="1"/>
  <c r="F328" i="63" s="1"/>
  <c r="E328" i="63" a="1"/>
  <c r="E328" i="63" s="1"/>
  <c r="D328" i="63" a="1"/>
  <c r="D328" i="63" s="1"/>
  <c r="I327" i="63" a="1"/>
  <c r="I327" i="63" s="1"/>
  <c r="H327" i="63" a="1"/>
  <c r="H327" i="63" s="1"/>
  <c r="G327" i="63" a="1"/>
  <c r="G327" i="63" s="1"/>
  <c r="F327" i="63" a="1"/>
  <c r="F327" i="63" s="1"/>
  <c r="E327" i="63" a="1"/>
  <c r="E327" i="63" s="1"/>
  <c r="D327" i="63" a="1"/>
  <c r="D327" i="63" s="1"/>
  <c r="I326" i="63" a="1"/>
  <c r="I326" i="63" s="1"/>
  <c r="H326" i="63" a="1"/>
  <c r="H326" i="63" s="1"/>
  <c r="G326" i="63" a="1"/>
  <c r="G326" i="63" s="1"/>
  <c r="F326" i="63" a="1"/>
  <c r="F326" i="63" s="1"/>
  <c r="E326" i="63" a="1"/>
  <c r="E326" i="63" s="1"/>
  <c r="D326" i="63" a="1"/>
  <c r="D326" i="63" s="1"/>
  <c r="I325" i="63" a="1"/>
  <c r="I325" i="63" s="1"/>
  <c r="H325" i="63" a="1"/>
  <c r="H325" i="63" s="1"/>
  <c r="G325" i="63" a="1"/>
  <c r="G325" i="63" s="1"/>
  <c r="F325" i="63" a="1"/>
  <c r="F325" i="63" s="1"/>
  <c r="E325" i="63" a="1"/>
  <c r="E325" i="63" s="1"/>
  <c r="D325" i="63" a="1"/>
  <c r="D325" i="63" s="1"/>
  <c r="I324" i="63" a="1"/>
  <c r="I324" i="63" s="1"/>
  <c r="H324" i="63" a="1"/>
  <c r="H324" i="63" s="1"/>
  <c r="G324" i="63" a="1"/>
  <c r="G324" i="63" s="1"/>
  <c r="F324" i="63" a="1"/>
  <c r="F324" i="63" s="1"/>
  <c r="E324" i="63" a="1"/>
  <c r="E324" i="63" s="1"/>
  <c r="D324" i="63" a="1"/>
  <c r="D324" i="63" s="1"/>
  <c r="I323" i="63" a="1"/>
  <c r="I323" i="63" s="1"/>
  <c r="H323" i="63" a="1"/>
  <c r="H323" i="63" s="1"/>
  <c r="G323" i="63" a="1"/>
  <c r="G323" i="63" s="1"/>
  <c r="F323" i="63" a="1"/>
  <c r="F323" i="63" s="1"/>
  <c r="E323" i="63" a="1"/>
  <c r="E323" i="63" s="1"/>
  <c r="D323" i="63" a="1"/>
  <c r="D323" i="63" s="1"/>
  <c r="I322" i="63" a="1"/>
  <c r="I322" i="63" s="1"/>
  <c r="H322" i="63" a="1"/>
  <c r="H322" i="63" s="1"/>
  <c r="G322" i="63" a="1"/>
  <c r="G322" i="63" s="1"/>
  <c r="F322" i="63" a="1"/>
  <c r="F322" i="63" s="1"/>
  <c r="E322" i="63" a="1"/>
  <c r="E322" i="63" s="1"/>
  <c r="D322" i="63" a="1"/>
  <c r="D322" i="63" s="1"/>
  <c r="I321" i="63" a="1"/>
  <c r="I321" i="63" s="1"/>
  <c r="H321" i="63" a="1"/>
  <c r="H321" i="63" s="1"/>
  <c r="G321" i="63" a="1"/>
  <c r="G321" i="63" s="1"/>
  <c r="F321" i="63" a="1"/>
  <c r="F321" i="63" s="1"/>
  <c r="E321" i="63" a="1"/>
  <c r="E321" i="63" s="1"/>
  <c r="D321" i="63" a="1"/>
  <c r="D321" i="63" s="1"/>
  <c r="I320" i="63" a="1"/>
  <c r="I320" i="63" s="1"/>
  <c r="H320" i="63" a="1"/>
  <c r="H320" i="63" s="1"/>
  <c r="G320" i="63" a="1"/>
  <c r="G320" i="63" s="1"/>
  <c r="F320" i="63" a="1"/>
  <c r="F320" i="63" s="1"/>
  <c r="E320" i="63" a="1"/>
  <c r="E320" i="63" s="1"/>
  <c r="D320" i="63" a="1"/>
  <c r="D320" i="63" s="1"/>
  <c r="I319" i="63" a="1"/>
  <c r="I319" i="63" s="1"/>
  <c r="H319" i="63" a="1"/>
  <c r="H319" i="63" s="1"/>
  <c r="G319" i="63" a="1"/>
  <c r="G319" i="63" s="1"/>
  <c r="F319" i="63" a="1"/>
  <c r="F319" i="63" s="1"/>
  <c r="E319" i="63" a="1"/>
  <c r="E319" i="63" s="1"/>
  <c r="D319" i="63" a="1"/>
  <c r="D319" i="63" s="1"/>
  <c r="I318" i="63" a="1"/>
  <c r="I318" i="63" s="1"/>
  <c r="H318" i="63" a="1"/>
  <c r="H318" i="63" s="1"/>
  <c r="G318" i="63" a="1"/>
  <c r="G318" i="63" s="1"/>
  <c r="F318" i="63" a="1"/>
  <c r="F318" i="63" s="1"/>
  <c r="E318" i="63" a="1"/>
  <c r="E318" i="63" s="1"/>
  <c r="D318" i="63" a="1"/>
  <c r="D318" i="63" s="1"/>
  <c r="I317" i="63" a="1"/>
  <c r="I317" i="63" s="1"/>
  <c r="H317" i="63" a="1"/>
  <c r="H317" i="63" s="1"/>
  <c r="G317" i="63" a="1"/>
  <c r="G317" i="63" s="1"/>
  <c r="F317" i="63" a="1"/>
  <c r="F317" i="63" s="1"/>
  <c r="E317" i="63" a="1"/>
  <c r="E317" i="63" s="1"/>
  <c r="D317" i="63" a="1"/>
  <c r="D317" i="63" s="1"/>
  <c r="I316" i="63" a="1"/>
  <c r="I316" i="63" s="1"/>
  <c r="H316" i="63" a="1"/>
  <c r="H316" i="63" s="1"/>
  <c r="G316" i="63" a="1"/>
  <c r="G316" i="63" s="1"/>
  <c r="F316" i="63" a="1"/>
  <c r="F316" i="63" s="1"/>
  <c r="E316" i="63" a="1"/>
  <c r="E316" i="63" s="1"/>
  <c r="D316" i="63" a="1"/>
  <c r="D316" i="63" s="1"/>
  <c r="I315" i="63" a="1"/>
  <c r="I315" i="63" s="1"/>
  <c r="H315" i="63" a="1"/>
  <c r="H315" i="63" s="1"/>
  <c r="G315" i="63" a="1"/>
  <c r="G315" i="63" s="1"/>
  <c r="F315" i="63" a="1"/>
  <c r="F315" i="63" s="1"/>
  <c r="E315" i="63" a="1"/>
  <c r="E315" i="63" s="1"/>
  <c r="D315" i="63" a="1"/>
  <c r="D315" i="63" s="1"/>
  <c r="I314" i="63" a="1"/>
  <c r="I314" i="63" s="1"/>
  <c r="H314" i="63" a="1"/>
  <c r="H314" i="63" s="1"/>
  <c r="G314" i="63" a="1"/>
  <c r="G314" i="63" s="1"/>
  <c r="F314" i="63" a="1"/>
  <c r="F314" i="63" s="1"/>
  <c r="E314" i="63" a="1"/>
  <c r="E314" i="63" s="1"/>
  <c r="D314" i="63" a="1"/>
  <c r="D314" i="63" s="1"/>
  <c r="D312" i="63" a="1"/>
  <c r="D312" i="63" s="1"/>
  <c r="D311" i="63" a="1"/>
  <c r="D311" i="63" s="1"/>
  <c r="D310" i="63" a="1"/>
  <c r="D310" i="63" s="1"/>
  <c r="D309" i="63" a="1"/>
  <c r="D309" i="63" s="1"/>
  <c r="D308" i="63" a="1"/>
  <c r="D308" i="63" s="1"/>
  <c r="I305" i="63" a="1"/>
  <c r="I305" i="63" s="1"/>
  <c r="H305" i="63" a="1"/>
  <c r="H305" i="63" s="1"/>
  <c r="G305" i="63" a="1"/>
  <c r="G305" i="63" s="1"/>
  <c r="F305" i="63" a="1"/>
  <c r="F305" i="63" s="1"/>
  <c r="E305" i="63" a="1"/>
  <c r="E305" i="63" s="1"/>
  <c r="D305" i="63" a="1"/>
  <c r="D305" i="63" s="1"/>
  <c r="I304" i="63" a="1"/>
  <c r="I304" i="63" s="1"/>
  <c r="H304" i="63" a="1"/>
  <c r="H304" i="63" s="1"/>
  <c r="G304" i="63" a="1"/>
  <c r="G304" i="63" s="1"/>
  <c r="F304" i="63" a="1"/>
  <c r="F304" i="63" s="1"/>
  <c r="E304" i="63" a="1"/>
  <c r="E304" i="63" s="1"/>
  <c r="D304" i="63" a="1"/>
  <c r="D304" i="63" s="1"/>
  <c r="I303" i="63" a="1"/>
  <c r="I303" i="63" s="1"/>
  <c r="H303" i="63" a="1"/>
  <c r="H303" i="63" s="1"/>
  <c r="G303" i="63" a="1"/>
  <c r="G303" i="63" s="1"/>
  <c r="F303" i="63" a="1"/>
  <c r="F303" i="63" s="1"/>
  <c r="E303" i="63" a="1"/>
  <c r="E303" i="63" s="1"/>
  <c r="D303" i="63" a="1"/>
  <c r="D303" i="63" s="1"/>
  <c r="I302" i="63" a="1"/>
  <c r="I302" i="63" s="1"/>
  <c r="H302" i="63" a="1"/>
  <c r="H302" i="63" s="1"/>
  <c r="G302" i="63" a="1"/>
  <c r="G302" i="63" s="1"/>
  <c r="F302" i="63" a="1"/>
  <c r="F302" i="63" s="1"/>
  <c r="E302" i="63" a="1"/>
  <c r="E302" i="63" s="1"/>
  <c r="D302" i="63" a="1"/>
  <c r="D302" i="63" s="1"/>
  <c r="I301" i="63" a="1"/>
  <c r="I301" i="63" s="1"/>
  <c r="H301" i="63" a="1"/>
  <c r="H301" i="63" s="1"/>
  <c r="G301" i="63" a="1"/>
  <c r="G301" i="63" s="1"/>
  <c r="F301" i="63" a="1"/>
  <c r="F301" i="63" s="1"/>
  <c r="E301" i="63" a="1"/>
  <c r="E301" i="63" s="1"/>
  <c r="D301" i="63" a="1"/>
  <c r="D301" i="63" s="1"/>
  <c r="I300" i="63" a="1"/>
  <c r="I300" i="63" s="1"/>
  <c r="H300" i="63" a="1"/>
  <c r="H300" i="63" s="1"/>
  <c r="G300" i="63" a="1"/>
  <c r="G300" i="63" s="1"/>
  <c r="F300" i="63" a="1"/>
  <c r="F300" i="63" s="1"/>
  <c r="E300" i="63" a="1"/>
  <c r="E300" i="63" s="1"/>
  <c r="D300" i="63" a="1"/>
  <c r="D300" i="63" s="1"/>
  <c r="I299" i="63" a="1"/>
  <c r="I299" i="63" s="1"/>
  <c r="H299" i="63" a="1"/>
  <c r="H299" i="63" s="1"/>
  <c r="G299" i="63" a="1"/>
  <c r="G299" i="63" s="1"/>
  <c r="F299" i="63" a="1"/>
  <c r="F299" i="63" s="1"/>
  <c r="E299" i="63" a="1"/>
  <c r="E299" i="63" s="1"/>
  <c r="D299" i="63" a="1"/>
  <c r="D299" i="63" s="1"/>
  <c r="I298" i="63" a="1"/>
  <c r="I298" i="63" s="1"/>
  <c r="H298" i="63" a="1"/>
  <c r="H298" i="63" s="1"/>
  <c r="G298" i="63" a="1"/>
  <c r="G298" i="63" s="1"/>
  <c r="F298" i="63" a="1"/>
  <c r="F298" i="63" s="1"/>
  <c r="E298" i="63" a="1"/>
  <c r="E298" i="63" s="1"/>
  <c r="D298" i="63" a="1"/>
  <c r="D298" i="63" s="1"/>
  <c r="I297" i="63" a="1"/>
  <c r="I297" i="63" s="1"/>
  <c r="H297" i="63" a="1"/>
  <c r="H297" i="63" s="1"/>
  <c r="G297" i="63" a="1"/>
  <c r="G297" i="63" s="1"/>
  <c r="F297" i="63" a="1"/>
  <c r="F297" i="63" s="1"/>
  <c r="E297" i="63" a="1"/>
  <c r="E297" i="63" s="1"/>
  <c r="D297" i="63" a="1"/>
  <c r="D297" i="63" s="1"/>
  <c r="I296" i="63" a="1"/>
  <c r="I296" i="63" s="1"/>
  <c r="H296" i="63" a="1"/>
  <c r="H296" i="63" s="1"/>
  <c r="G296" i="63" a="1"/>
  <c r="G296" i="63" s="1"/>
  <c r="F296" i="63" a="1"/>
  <c r="F296" i="63" s="1"/>
  <c r="E296" i="63" a="1"/>
  <c r="E296" i="63" s="1"/>
  <c r="D296" i="63" a="1"/>
  <c r="D296" i="63" s="1"/>
  <c r="I295" i="63" a="1"/>
  <c r="I295" i="63" s="1"/>
  <c r="H295" i="63" a="1"/>
  <c r="H295" i="63" s="1"/>
  <c r="G295" i="63" a="1"/>
  <c r="G295" i="63" s="1"/>
  <c r="F295" i="63" a="1"/>
  <c r="F295" i="63" s="1"/>
  <c r="E295" i="63" a="1"/>
  <c r="E295" i="63" s="1"/>
  <c r="D295" i="63" a="1"/>
  <c r="D295" i="63" s="1"/>
  <c r="I294" i="63" a="1"/>
  <c r="I294" i="63" s="1"/>
  <c r="H294" i="63" a="1"/>
  <c r="H294" i="63" s="1"/>
  <c r="G294" i="63" a="1"/>
  <c r="G294" i="63" s="1"/>
  <c r="F294" i="63" a="1"/>
  <c r="F294" i="63" s="1"/>
  <c r="E294" i="63" a="1"/>
  <c r="E294" i="63" s="1"/>
  <c r="D294" i="63" a="1"/>
  <c r="D294" i="63" s="1"/>
  <c r="I293" i="63" a="1"/>
  <c r="I293" i="63" s="1"/>
  <c r="H293" i="63" a="1"/>
  <c r="H293" i="63" s="1"/>
  <c r="G293" i="63" a="1"/>
  <c r="G293" i="63" s="1"/>
  <c r="F293" i="63" a="1"/>
  <c r="F293" i="63" s="1"/>
  <c r="E293" i="63" a="1"/>
  <c r="E293" i="63" s="1"/>
  <c r="D293" i="63" a="1"/>
  <c r="D293" i="63" s="1"/>
  <c r="I292" i="63" a="1"/>
  <c r="I292" i="63" s="1"/>
  <c r="H292" i="63" a="1"/>
  <c r="H292" i="63" s="1"/>
  <c r="G292" i="63" a="1"/>
  <c r="G292" i="63" s="1"/>
  <c r="F292" i="63" a="1"/>
  <c r="F292" i="63" s="1"/>
  <c r="E292" i="63" a="1"/>
  <c r="E292" i="63" s="1"/>
  <c r="D292" i="63" a="1"/>
  <c r="D292" i="63" s="1"/>
  <c r="I291" i="63" a="1"/>
  <c r="I291" i="63" s="1"/>
  <c r="H291" i="63" a="1"/>
  <c r="H291" i="63" s="1"/>
  <c r="G291" i="63" a="1"/>
  <c r="G291" i="63" s="1"/>
  <c r="F291" i="63" a="1"/>
  <c r="F291" i="63" s="1"/>
  <c r="E291" i="63" a="1"/>
  <c r="E291" i="63" s="1"/>
  <c r="D291" i="63" a="1"/>
  <c r="D291" i="63" s="1"/>
  <c r="D289" i="63" a="1"/>
  <c r="D289" i="63" s="1"/>
  <c r="D288" i="63" a="1"/>
  <c r="D288" i="63" s="1"/>
  <c r="D287" i="63" a="1"/>
  <c r="D287" i="63" s="1"/>
  <c r="D286" i="63" a="1"/>
  <c r="D286" i="63" s="1"/>
  <c r="D285" i="63" a="1"/>
  <c r="D285" i="63" s="1"/>
  <c r="P217" i="63" a="1"/>
  <c r="P217" i="63" s="1"/>
  <c r="P282" i="63" s="1"/>
  <c r="O217" i="63" a="1"/>
  <c r="O217" i="63" s="1"/>
  <c r="O282" i="63" s="1"/>
  <c r="N217" i="63" a="1"/>
  <c r="N217" i="63" s="1"/>
  <c r="N282" i="63" s="1"/>
  <c r="M217" i="63" a="1"/>
  <c r="M217" i="63" s="1"/>
  <c r="M282" i="63" s="1"/>
  <c r="L217" i="63" a="1"/>
  <c r="L217" i="63" s="1"/>
  <c r="L282" i="63" s="1"/>
  <c r="K217" i="63" a="1"/>
  <c r="K217" i="63" s="1"/>
  <c r="K282" i="63" s="1"/>
  <c r="J217" i="63" a="1"/>
  <c r="J217" i="63" s="1"/>
  <c r="J282" i="63" s="1"/>
  <c r="I217" i="63" a="1"/>
  <c r="I217" i="63" s="1"/>
  <c r="I282" i="63" s="1"/>
  <c r="H217" i="63" a="1"/>
  <c r="H217" i="63" s="1"/>
  <c r="H282" i="63" s="1"/>
  <c r="G217" i="63" a="1"/>
  <c r="G217" i="63" s="1"/>
  <c r="G282" i="63" s="1"/>
  <c r="F217" i="63" a="1"/>
  <c r="F217" i="63" s="1"/>
  <c r="F282" i="63" s="1"/>
  <c r="E217" i="63" a="1"/>
  <c r="E217" i="63" s="1"/>
  <c r="E282" i="63" s="1"/>
  <c r="D217" i="63" a="1"/>
  <c r="D217" i="63" s="1"/>
  <c r="P216" i="63" a="1"/>
  <c r="P216" i="63" s="1"/>
  <c r="P281" i="63" s="1"/>
  <c r="O216" i="63" a="1"/>
  <c r="O216" i="63" s="1"/>
  <c r="O281" i="63" s="1"/>
  <c r="N216" i="63" a="1"/>
  <c r="N216" i="63" s="1"/>
  <c r="N281" i="63" s="1"/>
  <c r="M216" i="63" a="1"/>
  <c r="M216" i="63" s="1"/>
  <c r="M281" i="63" s="1"/>
  <c r="L216" i="63" a="1"/>
  <c r="L216" i="63" s="1"/>
  <c r="L281" i="63" s="1"/>
  <c r="K216" i="63" a="1"/>
  <c r="K216" i="63" s="1"/>
  <c r="K281" i="63" s="1"/>
  <c r="J216" i="63" a="1"/>
  <c r="J216" i="63" s="1"/>
  <c r="J281" i="63" s="1"/>
  <c r="I216" i="63" a="1"/>
  <c r="I216" i="63" s="1"/>
  <c r="I281" i="63" s="1"/>
  <c r="H216" i="63" a="1"/>
  <c r="H216" i="63" s="1"/>
  <c r="H281" i="63" s="1"/>
  <c r="G216" i="63" a="1"/>
  <c r="G216" i="63" s="1"/>
  <c r="G281" i="63" s="1"/>
  <c r="F216" i="63" a="1"/>
  <c r="F216" i="63" s="1"/>
  <c r="F281" i="63" s="1"/>
  <c r="E216" i="63" a="1"/>
  <c r="E216" i="63" s="1"/>
  <c r="E281" i="63" s="1"/>
  <c r="D216" i="63" a="1"/>
  <c r="D216" i="63" s="1"/>
  <c r="P215" i="63" a="1"/>
  <c r="P215" i="63" s="1"/>
  <c r="P280" i="63" s="1"/>
  <c r="O215" i="63" a="1"/>
  <c r="O215" i="63" s="1"/>
  <c r="O280" i="63" s="1"/>
  <c r="N215" i="63" a="1"/>
  <c r="N215" i="63" s="1"/>
  <c r="N280" i="63" s="1"/>
  <c r="M215" i="63" a="1"/>
  <c r="M215" i="63" s="1"/>
  <c r="M280" i="63" s="1"/>
  <c r="L215" i="63" a="1"/>
  <c r="L215" i="63" s="1"/>
  <c r="L280" i="63" s="1"/>
  <c r="K215" i="63" a="1"/>
  <c r="K215" i="63" s="1"/>
  <c r="K280" i="63" s="1"/>
  <c r="J215" i="63" a="1"/>
  <c r="J215" i="63" s="1"/>
  <c r="J280" i="63" s="1"/>
  <c r="I215" i="63" a="1"/>
  <c r="I215" i="63" s="1"/>
  <c r="I280" i="63" s="1"/>
  <c r="H215" i="63" a="1"/>
  <c r="H215" i="63" s="1"/>
  <c r="H280" i="63" s="1"/>
  <c r="G215" i="63" a="1"/>
  <c r="G215" i="63" s="1"/>
  <c r="G280" i="63" s="1"/>
  <c r="F215" i="63" a="1"/>
  <c r="F215" i="63" s="1"/>
  <c r="F280" i="63" s="1"/>
  <c r="E215" i="63" a="1"/>
  <c r="E215" i="63" s="1"/>
  <c r="E280" i="63" s="1"/>
  <c r="D215" i="63" a="1"/>
  <c r="D215" i="63" s="1"/>
  <c r="P214" i="63" a="1"/>
  <c r="P214" i="63" s="1"/>
  <c r="P279" i="63" s="1"/>
  <c r="O214" i="63" a="1"/>
  <c r="O214" i="63" s="1"/>
  <c r="O279" i="63" s="1"/>
  <c r="N214" i="63" a="1"/>
  <c r="N214" i="63" s="1"/>
  <c r="N279" i="63" s="1"/>
  <c r="M214" i="63" a="1"/>
  <c r="M214" i="63" s="1"/>
  <c r="M279" i="63" s="1"/>
  <c r="L214" i="63" a="1"/>
  <c r="L214" i="63" s="1"/>
  <c r="L279" i="63" s="1"/>
  <c r="K214" i="63" a="1"/>
  <c r="K214" i="63" s="1"/>
  <c r="K279" i="63" s="1"/>
  <c r="J214" i="63" a="1"/>
  <c r="J214" i="63" s="1"/>
  <c r="J279" i="63" s="1"/>
  <c r="I214" i="63" a="1"/>
  <c r="I214" i="63" s="1"/>
  <c r="I279" i="63" s="1"/>
  <c r="H214" i="63" a="1"/>
  <c r="H214" i="63" s="1"/>
  <c r="H279" i="63" s="1"/>
  <c r="G214" i="63" a="1"/>
  <c r="G214" i="63" s="1"/>
  <c r="G279" i="63" s="1"/>
  <c r="F214" i="63" a="1"/>
  <c r="F214" i="63" s="1"/>
  <c r="F279" i="63" s="1"/>
  <c r="E214" i="63" a="1"/>
  <c r="E214" i="63" s="1"/>
  <c r="E279" i="63" s="1"/>
  <c r="D214" i="63" a="1"/>
  <c r="D214" i="63" s="1"/>
  <c r="P213" i="63" a="1"/>
  <c r="P213" i="63" s="1"/>
  <c r="P278" i="63" s="1"/>
  <c r="O213" i="63" a="1"/>
  <c r="O213" i="63" s="1"/>
  <c r="O278" i="63" s="1"/>
  <c r="N213" i="63" a="1"/>
  <c r="N213" i="63" s="1"/>
  <c r="N278" i="63" s="1"/>
  <c r="M213" i="63" a="1"/>
  <c r="M213" i="63" s="1"/>
  <c r="M278" i="63" s="1"/>
  <c r="L213" i="63" a="1"/>
  <c r="L213" i="63" s="1"/>
  <c r="L278" i="63" s="1"/>
  <c r="K213" i="63" a="1"/>
  <c r="K213" i="63" s="1"/>
  <c r="K278" i="63" s="1"/>
  <c r="J213" i="63" a="1"/>
  <c r="J213" i="63" s="1"/>
  <c r="J278" i="63" s="1"/>
  <c r="I213" i="63" a="1"/>
  <c r="I213" i="63" s="1"/>
  <c r="I278" i="63" s="1"/>
  <c r="H213" i="63" a="1"/>
  <c r="H213" i="63" s="1"/>
  <c r="H278" i="63" s="1"/>
  <c r="G213" i="63" a="1"/>
  <c r="G213" i="63" s="1"/>
  <c r="G278" i="63" s="1"/>
  <c r="F213" i="63" a="1"/>
  <c r="F213" i="63" s="1"/>
  <c r="F278" i="63" s="1"/>
  <c r="E213" i="63" a="1"/>
  <c r="E213" i="63" s="1"/>
  <c r="E278" i="63" s="1"/>
  <c r="D213" i="63" a="1"/>
  <c r="D213" i="63" s="1"/>
  <c r="P212" i="63" a="1"/>
  <c r="P212" i="63" s="1"/>
  <c r="P277" i="63" s="1"/>
  <c r="O212" i="63" a="1"/>
  <c r="O212" i="63" s="1"/>
  <c r="O277" i="63" s="1"/>
  <c r="N212" i="63" a="1"/>
  <c r="N212" i="63" s="1"/>
  <c r="N277" i="63" s="1"/>
  <c r="M212" i="63" a="1"/>
  <c r="M212" i="63" s="1"/>
  <c r="M277" i="63" s="1"/>
  <c r="L212" i="63" a="1"/>
  <c r="L212" i="63" s="1"/>
  <c r="L277" i="63" s="1"/>
  <c r="K212" i="63" a="1"/>
  <c r="K212" i="63" s="1"/>
  <c r="K277" i="63" s="1"/>
  <c r="J212" i="63" a="1"/>
  <c r="J212" i="63" s="1"/>
  <c r="J277" i="63" s="1"/>
  <c r="I212" i="63" a="1"/>
  <c r="I212" i="63" s="1"/>
  <c r="I277" i="63" s="1"/>
  <c r="H212" i="63" a="1"/>
  <c r="H212" i="63" s="1"/>
  <c r="H277" i="63" s="1"/>
  <c r="G212" i="63" a="1"/>
  <c r="G212" i="63" s="1"/>
  <c r="G277" i="63" s="1"/>
  <c r="F212" i="63" a="1"/>
  <c r="F212" i="63" s="1"/>
  <c r="F277" i="63" s="1"/>
  <c r="E212" i="63" a="1"/>
  <c r="E212" i="63" s="1"/>
  <c r="E277" i="63" s="1"/>
  <c r="D212" i="63" a="1"/>
  <c r="D212" i="63" s="1"/>
  <c r="P211" i="63" a="1"/>
  <c r="P211" i="63" s="1"/>
  <c r="P276" i="63" s="1"/>
  <c r="O211" i="63" a="1"/>
  <c r="O211" i="63" s="1"/>
  <c r="O276" i="63" s="1"/>
  <c r="N211" i="63" a="1"/>
  <c r="N211" i="63" s="1"/>
  <c r="N276" i="63" s="1"/>
  <c r="M211" i="63" a="1"/>
  <c r="M211" i="63" s="1"/>
  <c r="M276" i="63" s="1"/>
  <c r="L211" i="63" a="1"/>
  <c r="L211" i="63" s="1"/>
  <c r="L276" i="63" s="1"/>
  <c r="K211" i="63" a="1"/>
  <c r="K211" i="63" s="1"/>
  <c r="K276" i="63" s="1"/>
  <c r="J211" i="63" a="1"/>
  <c r="J211" i="63" s="1"/>
  <c r="J276" i="63" s="1"/>
  <c r="I211" i="63" a="1"/>
  <c r="I211" i="63" s="1"/>
  <c r="I276" i="63" s="1"/>
  <c r="H211" i="63" a="1"/>
  <c r="H211" i="63" s="1"/>
  <c r="H276" i="63" s="1"/>
  <c r="G211" i="63" a="1"/>
  <c r="G211" i="63" s="1"/>
  <c r="G276" i="63" s="1"/>
  <c r="F211" i="63" a="1"/>
  <c r="F211" i="63" s="1"/>
  <c r="F276" i="63" s="1"/>
  <c r="E211" i="63" a="1"/>
  <c r="E211" i="63" s="1"/>
  <c r="E276" i="63" s="1"/>
  <c r="D211" i="63" a="1"/>
  <c r="D211" i="63" s="1"/>
  <c r="P210" i="63" a="1"/>
  <c r="P210" i="63" s="1"/>
  <c r="P275" i="63" s="1"/>
  <c r="O210" i="63" a="1"/>
  <c r="O210" i="63" s="1"/>
  <c r="O275" i="63" s="1"/>
  <c r="N210" i="63" a="1"/>
  <c r="N210" i="63" s="1"/>
  <c r="N275" i="63" s="1"/>
  <c r="M210" i="63" a="1"/>
  <c r="M210" i="63" s="1"/>
  <c r="M275" i="63" s="1"/>
  <c r="L210" i="63" a="1"/>
  <c r="L210" i="63" s="1"/>
  <c r="L275" i="63" s="1"/>
  <c r="K210" i="63" a="1"/>
  <c r="K210" i="63" s="1"/>
  <c r="K275" i="63" s="1"/>
  <c r="J210" i="63" a="1"/>
  <c r="J210" i="63" s="1"/>
  <c r="J275" i="63" s="1"/>
  <c r="I210" i="63" a="1"/>
  <c r="I210" i="63" s="1"/>
  <c r="I275" i="63" s="1"/>
  <c r="H210" i="63" a="1"/>
  <c r="H210" i="63" s="1"/>
  <c r="H275" i="63" s="1"/>
  <c r="G210" i="63" a="1"/>
  <c r="G210" i="63" s="1"/>
  <c r="G275" i="63" s="1"/>
  <c r="F210" i="63" a="1"/>
  <c r="F210" i="63" s="1"/>
  <c r="F275" i="63" s="1"/>
  <c r="E210" i="63" a="1"/>
  <c r="E210" i="63" s="1"/>
  <c r="E275" i="63" s="1"/>
  <c r="D210" i="63" a="1"/>
  <c r="D210" i="63" s="1"/>
  <c r="P209" i="63" a="1"/>
  <c r="P209" i="63" s="1"/>
  <c r="P274" i="63" s="1"/>
  <c r="O209" i="63" a="1"/>
  <c r="O209" i="63" s="1"/>
  <c r="O274" i="63" s="1"/>
  <c r="N209" i="63" a="1"/>
  <c r="N209" i="63" s="1"/>
  <c r="N274" i="63" s="1"/>
  <c r="M209" i="63" a="1"/>
  <c r="M209" i="63" s="1"/>
  <c r="M274" i="63" s="1"/>
  <c r="L209" i="63" a="1"/>
  <c r="L209" i="63" s="1"/>
  <c r="L274" i="63" s="1"/>
  <c r="K209" i="63" a="1"/>
  <c r="K209" i="63" s="1"/>
  <c r="K274" i="63" s="1"/>
  <c r="J209" i="63" a="1"/>
  <c r="J209" i="63" s="1"/>
  <c r="J274" i="63" s="1"/>
  <c r="I209" i="63" a="1"/>
  <c r="I209" i="63" s="1"/>
  <c r="I274" i="63" s="1"/>
  <c r="H209" i="63" a="1"/>
  <c r="H209" i="63" s="1"/>
  <c r="H274" i="63" s="1"/>
  <c r="G209" i="63" a="1"/>
  <c r="G209" i="63" s="1"/>
  <c r="G274" i="63" s="1"/>
  <c r="F209" i="63" a="1"/>
  <c r="F209" i="63" s="1"/>
  <c r="F274" i="63" s="1"/>
  <c r="E209" i="63" a="1"/>
  <c r="E209" i="63" s="1"/>
  <c r="E274" i="63" s="1"/>
  <c r="D209" i="63" a="1"/>
  <c r="D209" i="63" s="1"/>
  <c r="P208" i="63" a="1"/>
  <c r="P208" i="63" s="1"/>
  <c r="P273" i="63" s="1"/>
  <c r="O208" i="63" a="1"/>
  <c r="O208" i="63" s="1"/>
  <c r="O273" i="63" s="1"/>
  <c r="N208" i="63" a="1"/>
  <c r="N208" i="63" s="1"/>
  <c r="N273" i="63" s="1"/>
  <c r="M208" i="63" a="1"/>
  <c r="M208" i="63" s="1"/>
  <c r="M273" i="63" s="1"/>
  <c r="L208" i="63" a="1"/>
  <c r="L208" i="63" s="1"/>
  <c r="L273" i="63" s="1"/>
  <c r="K208" i="63" a="1"/>
  <c r="K208" i="63" s="1"/>
  <c r="K273" i="63" s="1"/>
  <c r="J208" i="63" a="1"/>
  <c r="J208" i="63" s="1"/>
  <c r="J273" i="63" s="1"/>
  <c r="I208" i="63" a="1"/>
  <c r="I208" i="63" s="1"/>
  <c r="I273" i="63" s="1"/>
  <c r="H208" i="63" a="1"/>
  <c r="H208" i="63" s="1"/>
  <c r="H273" i="63" s="1"/>
  <c r="G208" i="63" a="1"/>
  <c r="G208" i="63" s="1"/>
  <c r="G273" i="63" s="1"/>
  <c r="F208" i="63" a="1"/>
  <c r="F208" i="63" s="1"/>
  <c r="F273" i="63" s="1"/>
  <c r="E208" i="63" a="1"/>
  <c r="E208" i="63" s="1"/>
  <c r="E273" i="63" s="1"/>
  <c r="D208" i="63" a="1"/>
  <c r="D208" i="63" s="1"/>
  <c r="P207" i="63" a="1"/>
  <c r="P207" i="63" s="1"/>
  <c r="P272" i="63" s="1"/>
  <c r="O207" i="63" a="1"/>
  <c r="O207" i="63" s="1"/>
  <c r="O272" i="63" s="1"/>
  <c r="N207" i="63" a="1"/>
  <c r="N207" i="63" s="1"/>
  <c r="N272" i="63" s="1"/>
  <c r="M207" i="63" a="1"/>
  <c r="M207" i="63" s="1"/>
  <c r="M272" i="63" s="1"/>
  <c r="L207" i="63" a="1"/>
  <c r="L207" i="63" s="1"/>
  <c r="L272" i="63" s="1"/>
  <c r="K207" i="63" a="1"/>
  <c r="K207" i="63" s="1"/>
  <c r="K272" i="63" s="1"/>
  <c r="J207" i="63" a="1"/>
  <c r="J207" i="63" s="1"/>
  <c r="J272" i="63" s="1"/>
  <c r="I207" i="63" a="1"/>
  <c r="I207" i="63" s="1"/>
  <c r="I272" i="63" s="1"/>
  <c r="H207" i="63" a="1"/>
  <c r="H207" i="63" s="1"/>
  <c r="H272" i="63" s="1"/>
  <c r="G207" i="63" a="1"/>
  <c r="G207" i="63" s="1"/>
  <c r="G272" i="63" s="1"/>
  <c r="F207" i="63" a="1"/>
  <c r="F207" i="63" s="1"/>
  <c r="F272" i="63" s="1"/>
  <c r="E207" i="63" a="1"/>
  <c r="E207" i="63" s="1"/>
  <c r="E272" i="63" s="1"/>
  <c r="D207" i="63" a="1"/>
  <c r="D207" i="63" s="1"/>
  <c r="P206" i="63" a="1"/>
  <c r="P206" i="63" s="1"/>
  <c r="P271" i="63" s="1"/>
  <c r="O206" i="63" a="1"/>
  <c r="O206" i="63" s="1"/>
  <c r="O271" i="63" s="1"/>
  <c r="N206" i="63" a="1"/>
  <c r="N206" i="63" s="1"/>
  <c r="N271" i="63" s="1"/>
  <c r="M206" i="63" a="1"/>
  <c r="M206" i="63" s="1"/>
  <c r="M271" i="63" s="1"/>
  <c r="L206" i="63" a="1"/>
  <c r="L206" i="63" s="1"/>
  <c r="L271" i="63" s="1"/>
  <c r="K206" i="63" a="1"/>
  <c r="K206" i="63" s="1"/>
  <c r="K271" i="63" s="1"/>
  <c r="J206" i="63" a="1"/>
  <c r="J206" i="63" s="1"/>
  <c r="J271" i="63" s="1"/>
  <c r="I206" i="63" a="1"/>
  <c r="I206" i="63" s="1"/>
  <c r="I271" i="63" s="1"/>
  <c r="H206" i="63" a="1"/>
  <c r="H206" i="63" s="1"/>
  <c r="H271" i="63" s="1"/>
  <c r="G206" i="63" a="1"/>
  <c r="G206" i="63" s="1"/>
  <c r="G271" i="63" s="1"/>
  <c r="F206" i="63" a="1"/>
  <c r="F206" i="63" s="1"/>
  <c r="F271" i="63" s="1"/>
  <c r="E206" i="63" a="1"/>
  <c r="E206" i="63" s="1"/>
  <c r="E271" i="63" s="1"/>
  <c r="D206" i="63" a="1"/>
  <c r="D206" i="63" s="1"/>
  <c r="P205" i="63" a="1"/>
  <c r="P205" i="63" s="1"/>
  <c r="P270" i="63" s="1"/>
  <c r="O205" i="63" a="1"/>
  <c r="O205" i="63" s="1"/>
  <c r="O270" i="63" s="1"/>
  <c r="N205" i="63" a="1"/>
  <c r="N205" i="63" s="1"/>
  <c r="N270" i="63" s="1"/>
  <c r="M205" i="63" a="1"/>
  <c r="M205" i="63" s="1"/>
  <c r="M270" i="63" s="1"/>
  <c r="L205" i="63" a="1"/>
  <c r="L205" i="63" s="1"/>
  <c r="L270" i="63" s="1"/>
  <c r="K205" i="63" a="1"/>
  <c r="K205" i="63" s="1"/>
  <c r="K270" i="63" s="1"/>
  <c r="J205" i="63" a="1"/>
  <c r="J205" i="63" s="1"/>
  <c r="J270" i="63" s="1"/>
  <c r="I205" i="63" a="1"/>
  <c r="I205" i="63" s="1"/>
  <c r="I270" i="63" s="1"/>
  <c r="H205" i="63" a="1"/>
  <c r="H205" i="63" s="1"/>
  <c r="H270" i="63" s="1"/>
  <c r="G205" i="63" a="1"/>
  <c r="G205" i="63" s="1"/>
  <c r="G270" i="63" s="1"/>
  <c r="F205" i="63" a="1"/>
  <c r="F205" i="63" s="1"/>
  <c r="F270" i="63" s="1"/>
  <c r="E205" i="63" a="1"/>
  <c r="E205" i="63" s="1"/>
  <c r="E270" i="63" s="1"/>
  <c r="D205" i="63" a="1"/>
  <c r="D205" i="63" s="1"/>
  <c r="P204" i="63" a="1"/>
  <c r="P204" i="63" s="1"/>
  <c r="P269" i="63" s="1"/>
  <c r="O204" i="63" a="1"/>
  <c r="O204" i="63" s="1"/>
  <c r="O269" i="63" s="1"/>
  <c r="N204" i="63" a="1"/>
  <c r="N204" i="63" s="1"/>
  <c r="N269" i="63" s="1"/>
  <c r="M204" i="63" a="1"/>
  <c r="M204" i="63" s="1"/>
  <c r="M269" i="63" s="1"/>
  <c r="L204" i="63" a="1"/>
  <c r="L204" i="63" s="1"/>
  <c r="L269" i="63" s="1"/>
  <c r="K204" i="63" a="1"/>
  <c r="K204" i="63" s="1"/>
  <c r="K269" i="63" s="1"/>
  <c r="J204" i="63" a="1"/>
  <c r="J204" i="63" s="1"/>
  <c r="J269" i="63" s="1"/>
  <c r="I204" i="63" a="1"/>
  <c r="I204" i="63" s="1"/>
  <c r="I269" i="63" s="1"/>
  <c r="H204" i="63" a="1"/>
  <c r="H204" i="63" s="1"/>
  <c r="H269" i="63" s="1"/>
  <c r="G204" i="63" a="1"/>
  <c r="G204" i="63" s="1"/>
  <c r="G269" i="63" s="1"/>
  <c r="F204" i="63" a="1"/>
  <c r="F204" i="63" s="1"/>
  <c r="F269" i="63" s="1"/>
  <c r="E204" i="63" a="1"/>
  <c r="E204" i="63" s="1"/>
  <c r="E269" i="63" s="1"/>
  <c r="D204" i="63" a="1"/>
  <c r="D204" i="63" s="1"/>
  <c r="P203" i="63" a="1"/>
  <c r="P203" i="63" s="1"/>
  <c r="P268" i="63" s="1"/>
  <c r="O203" i="63" a="1"/>
  <c r="O203" i="63" s="1"/>
  <c r="O268" i="63" s="1"/>
  <c r="N203" i="63" a="1"/>
  <c r="N203" i="63" s="1"/>
  <c r="N268" i="63" s="1"/>
  <c r="M203" i="63" a="1"/>
  <c r="M203" i="63" s="1"/>
  <c r="M268" i="63" s="1"/>
  <c r="L203" i="63" a="1"/>
  <c r="L203" i="63" s="1"/>
  <c r="L268" i="63" s="1"/>
  <c r="K203" i="63" a="1"/>
  <c r="K203" i="63" s="1"/>
  <c r="K268" i="63" s="1"/>
  <c r="J203" i="63" a="1"/>
  <c r="J203" i="63" s="1"/>
  <c r="J268" i="63" s="1"/>
  <c r="I203" i="63" a="1"/>
  <c r="I203" i="63" s="1"/>
  <c r="I268" i="63" s="1"/>
  <c r="H203" i="63" a="1"/>
  <c r="H203" i="63" s="1"/>
  <c r="H268" i="63" s="1"/>
  <c r="G203" i="63" a="1"/>
  <c r="G203" i="63" s="1"/>
  <c r="G268" i="63" s="1"/>
  <c r="F203" i="63" a="1"/>
  <c r="F203" i="63" s="1"/>
  <c r="F268" i="63" s="1"/>
  <c r="E203" i="63" a="1"/>
  <c r="E203" i="63" s="1"/>
  <c r="E268" i="63" s="1"/>
  <c r="D203" i="63" a="1"/>
  <c r="D203" i="63" s="1"/>
  <c r="P202" i="63" a="1"/>
  <c r="P202" i="63" s="1"/>
  <c r="P267" i="63" s="1"/>
  <c r="O202" i="63" a="1"/>
  <c r="O202" i="63" s="1"/>
  <c r="O267" i="63" s="1"/>
  <c r="N202" i="63" a="1"/>
  <c r="N202" i="63" s="1"/>
  <c r="N267" i="63" s="1"/>
  <c r="M202" i="63" a="1"/>
  <c r="M202" i="63" s="1"/>
  <c r="M267" i="63" s="1"/>
  <c r="L202" i="63" a="1"/>
  <c r="L202" i="63" s="1"/>
  <c r="L267" i="63" s="1"/>
  <c r="K202" i="63" a="1"/>
  <c r="K202" i="63" s="1"/>
  <c r="K267" i="63" s="1"/>
  <c r="J202" i="63" a="1"/>
  <c r="J202" i="63" s="1"/>
  <c r="J267" i="63" s="1"/>
  <c r="I202" i="63" a="1"/>
  <c r="I202" i="63" s="1"/>
  <c r="I267" i="63" s="1"/>
  <c r="H202" i="63" a="1"/>
  <c r="H202" i="63" s="1"/>
  <c r="H267" i="63" s="1"/>
  <c r="G202" i="63" a="1"/>
  <c r="G202" i="63" s="1"/>
  <c r="G267" i="63" s="1"/>
  <c r="F202" i="63" a="1"/>
  <c r="F202" i="63" s="1"/>
  <c r="F267" i="63" s="1"/>
  <c r="E202" i="63" a="1"/>
  <c r="E202" i="63" s="1"/>
  <c r="E267" i="63" s="1"/>
  <c r="D202" i="63" a="1"/>
  <c r="D202" i="63" s="1"/>
  <c r="P201" i="63" a="1"/>
  <c r="P201" i="63" s="1"/>
  <c r="P266" i="63" s="1"/>
  <c r="O201" i="63" a="1"/>
  <c r="O201" i="63" s="1"/>
  <c r="O266" i="63" s="1"/>
  <c r="N201" i="63" a="1"/>
  <c r="N201" i="63" s="1"/>
  <c r="N266" i="63" s="1"/>
  <c r="M201" i="63" a="1"/>
  <c r="M201" i="63" s="1"/>
  <c r="M266" i="63" s="1"/>
  <c r="L201" i="63" a="1"/>
  <c r="L201" i="63" s="1"/>
  <c r="L266" i="63" s="1"/>
  <c r="K201" i="63" a="1"/>
  <c r="K201" i="63" s="1"/>
  <c r="K266" i="63" s="1"/>
  <c r="J201" i="63" a="1"/>
  <c r="J201" i="63" s="1"/>
  <c r="J266" i="63" s="1"/>
  <c r="I201" i="63" a="1"/>
  <c r="I201" i="63" s="1"/>
  <c r="I266" i="63" s="1"/>
  <c r="H201" i="63" a="1"/>
  <c r="H201" i="63" s="1"/>
  <c r="H266" i="63" s="1"/>
  <c r="G201" i="63" a="1"/>
  <c r="G201" i="63" s="1"/>
  <c r="G266" i="63" s="1"/>
  <c r="F201" i="63" a="1"/>
  <c r="F201" i="63" s="1"/>
  <c r="F266" i="63" s="1"/>
  <c r="E201" i="63" a="1"/>
  <c r="E201" i="63" s="1"/>
  <c r="E266" i="63" s="1"/>
  <c r="D201" i="63" a="1"/>
  <c r="D201" i="63" s="1"/>
  <c r="P200" i="63" a="1"/>
  <c r="P200" i="63" s="1"/>
  <c r="P265" i="63" s="1"/>
  <c r="O200" i="63" a="1"/>
  <c r="O200" i="63" s="1"/>
  <c r="O265" i="63" s="1"/>
  <c r="N200" i="63" a="1"/>
  <c r="N200" i="63" s="1"/>
  <c r="N265" i="63" s="1"/>
  <c r="M200" i="63" a="1"/>
  <c r="M200" i="63" s="1"/>
  <c r="M265" i="63" s="1"/>
  <c r="L200" i="63" a="1"/>
  <c r="L200" i="63" s="1"/>
  <c r="L265" i="63" s="1"/>
  <c r="K200" i="63" a="1"/>
  <c r="K200" i="63" s="1"/>
  <c r="K265" i="63" s="1"/>
  <c r="J200" i="63" a="1"/>
  <c r="J200" i="63" s="1"/>
  <c r="J265" i="63" s="1"/>
  <c r="I200" i="63" a="1"/>
  <c r="I200" i="63" s="1"/>
  <c r="I265" i="63" s="1"/>
  <c r="H200" i="63" a="1"/>
  <c r="H200" i="63" s="1"/>
  <c r="H265" i="63" s="1"/>
  <c r="G200" i="63" a="1"/>
  <c r="G200" i="63" s="1"/>
  <c r="G265" i="63" s="1"/>
  <c r="F200" i="63" a="1"/>
  <c r="F200" i="63" s="1"/>
  <c r="F265" i="63" s="1"/>
  <c r="E200" i="63" a="1"/>
  <c r="E200" i="63" s="1"/>
  <c r="E265" i="63" s="1"/>
  <c r="D200" i="63" a="1"/>
  <c r="D200" i="63" s="1"/>
  <c r="P199" i="63" a="1"/>
  <c r="P199" i="63" s="1"/>
  <c r="P264" i="63" s="1"/>
  <c r="O199" i="63" a="1"/>
  <c r="O199" i="63" s="1"/>
  <c r="O264" i="63" s="1"/>
  <c r="N199" i="63" a="1"/>
  <c r="N199" i="63" s="1"/>
  <c r="N264" i="63" s="1"/>
  <c r="M199" i="63" a="1"/>
  <c r="M199" i="63" s="1"/>
  <c r="M264" i="63" s="1"/>
  <c r="L199" i="63" a="1"/>
  <c r="L199" i="63" s="1"/>
  <c r="L264" i="63" s="1"/>
  <c r="K199" i="63" a="1"/>
  <c r="K199" i="63" s="1"/>
  <c r="K264" i="63" s="1"/>
  <c r="J199" i="63" a="1"/>
  <c r="J199" i="63" s="1"/>
  <c r="J264" i="63" s="1"/>
  <c r="I199" i="63" a="1"/>
  <c r="I199" i="63" s="1"/>
  <c r="I264" i="63" s="1"/>
  <c r="H199" i="63" a="1"/>
  <c r="H199" i="63" s="1"/>
  <c r="H264" i="63" s="1"/>
  <c r="G199" i="63" a="1"/>
  <c r="G199" i="63" s="1"/>
  <c r="G264" i="63" s="1"/>
  <c r="F199" i="63" a="1"/>
  <c r="F199" i="63" s="1"/>
  <c r="F264" i="63" s="1"/>
  <c r="E199" i="63" a="1"/>
  <c r="E199" i="63" s="1"/>
  <c r="E264" i="63" s="1"/>
  <c r="D199" i="63" a="1"/>
  <c r="D199" i="63" s="1"/>
  <c r="P198" i="63" a="1"/>
  <c r="P198" i="63" s="1"/>
  <c r="P263" i="63" s="1"/>
  <c r="O198" i="63" a="1"/>
  <c r="O198" i="63" s="1"/>
  <c r="O263" i="63" s="1"/>
  <c r="N198" i="63" a="1"/>
  <c r="N198" i="63" s="1"/>
  <c r="N263" i="63" s="1"/>
  <c r="M198" i="63" a="1"/>
  <c r="M198" i="63" s="1"/>
  <c r="M263" i="63" s="1"/>
  <c r="L198" i="63" a="1"/>
  <c r="L198" i="63" s="1"/>
  <c r="L263" i="63" s="1"/>
  <c r="K198" i="63" a="1"/>
  <c r="K198" i="63" s="1"/>
  <c r="K263" i="63" s="1"/>
  <c r="J198" i="63" a="1"/>
  <c r="J198" i="63" s="1"/>
  <c r="J263" i="63" s="1"/>
  <c r="I198" i="63" a="1"/>
  <c r="I198" i="63" s="1"/>
  <c r="I263" i="63" s="1"/>
  <c r="H198" i="63" a="1"/>
  <c r="H198" i="63" s="1"/>
  <c r="H263" i="63" s="1"/>
  <c r="G198" i="63" a="1"/>
  <c r="G198" i="63" s="1"/>
  <c r="G263" i="63" s="1"/>
  <c r="F198" i="63" a="1"/>
  <c r="F198" i="63" s="1"/>
  <c r="F263" i="63" s="1"/>
  <c r="E198" i="63" a="1"/>
  <c r="E198" i="63" s="1"/>
  <c r="E263" i="63" s="1"/>
  <c r="D198" i="63" a="1"/>
  <c r="D198" i="63" s="1"/>
  <c r="P197" i="63" a="1"/>
  <c r="P197" i="63" s="1"/>
  <c r="P262" i="63" s="1"/>
  <c r="O197" i="63" a="1"/>
  <c r="O197" i="63" s="1"/>
  <c r="O262" i="63" s="1"/>
  <c r="N197" i="63" a="1"/>
  <c r="N197" i="63" s="1"/>
  <c r="N262" i="63" s="1"/>
  <c r="M197" i="63" a="1"/>
  <c r="M197" i="63" s="1"/>
  <c r="M262" i="63" s="1"/>
  <c r="L197" i="63" a="1"/>
  <c r="L197" i="63" s="1"/>
  <c r="L262" i="63" s="1"/>
  <c r="K197" i="63" a="1"/>
  <c r="K197" i="63" s="1"/>
  <c r="K262" i="63" s="1"/>
  <c r="J197" i="63" a="1"/>
  <c r="J197" i="63" s="1"/>
  <c r="J262" i="63" s="1"/>
  <c r="I197" i="63" a="1"/>
  <c r="I197" i="63" s="1"/>
  <c r="I262" i="63" s="1"/>
  <c r="H197" i="63" a="1"/>
  <c r="H197" i="63" s="1"/>
  <c r="H262" i="63" s="1"/>
  <c r="G197" i="63" a="1"/>
  <c r="G197" i="63" s="1"/>
  <c r="G262" i="63" s="1"/>
  <c r="F197" i="63" a="1"/>
  <c r="F197" i="63" s="1"/>
  <c r="F262" i="63" s="1"/>
  <c r="E197" i="63" a="1"/>
  <c r="E197" i="63" s="1"/>
  <c r="E262" i="63" s="1"/>
  <c r="D197" i="63" a="1"/>
  <c r="D197" i="63" s="1"/>
  <c r="P196" i="63" a="1"/>
  <c r="P196" i="63" s="1"/>
  <c r="P261" i="63" s="1"/>
  <c r="O196" i="63" a="1"/>
  <c r="O196" i="63" s="1"/>
  <c r="O261" i="63" s="1"/>
  <c r="N196" i="63" a="1"/>
  <c r="N196" i="63" s="1"/>
  <c r="N261" i="63" s="1"/>
  <c r="M196" i="63" a="1"/>
  <c r="M196" i="63" s="1"/>
  <c r="M261" i="63" s="1"/>
  <c r="L196" i="63" a="1"/>
  <c r="L196" i="63" s="1"/>
  <c r="L261" i="63" s="1"/>
  <c r="K196" i="63" a="1"/>
  <c r="K196" i="63" s="1"/>
  <c r="K261" i="63" s="1"/>
  <c r="J196" i="63" a="1"/>
  <c r="J196" i="63" s="1"/>
  <c r="J261" i="63" s="1"/>
  <c r="I196" i="63" a="1"/>
  <c r="I196" i="63" s="1"/>
  <c r="I261" i="63" s="1"/>
  <c r="H196" i="63" a="1"/>
  <c r="H196" i="63" s="1"/>
  <c r="H261" i="63" s="1"/>
  <c r="G196" i="63" a="1"/>
  <c r="G196" i="63" s="1"/>
  <c r="G261" i="63" s="1"/>
  <c r="F196" i="63" a="1"/>
  <c r="F196" i="63" s="1"/>
  <c r="F261" i="63" s="1"/>
  <c r="E196" i="63" a="1"/>
  <c r="E196" i="63" s="1"/>
  <c r="E261" i="63" s="1"/>
  <c r="D196" i="63" a="1"/>
  <c r="D196" i="63" s="1"/>
  <c r="P195" i="63" a="1"/>
  <c r="P195" i="63" s="1"/>
  <c r="P260" i="63" s="1"/>
  <c r="O195" i="63" a="1"/>
  <c r="O195" i="63" s="1"/>
  <c r="O260" i="63" s="1"/>
  <c r="N195" i="63" a="1"/>
  <c r="N195" i="63" s="1"/>
  <c r="N260" i="63" s="1"/>
  <c r="M195" i="63" a="1"/>
  <c r="M195" i="63" s="1"/>
  <c r="M260" i="63" s="1"/>
  <c r="L195" i="63" a="1"/>
  <c r="L195" i="63" s="1"/>
  <c r="L260" i="63" s="1"/>
  <c r="K195" i="63" a="1"/>
  <c r="K195" i="63" s="1"/>
  <c r="K260" i="63" s="1"/>
  <c r="J195" i="63" a="1"/>
  <c r="J195" i="63" s="1"/>
  <c r="J260" i="63" s="1"/>
  <c r="I195" i="63" a="1"/>
  <c r="I195" i="63" s="1"/>
  <c r="I260" i="63" s="1"/>
  <c r="H195" i="63" a="1"/>
  <c r="H195" i="63" s="1"/>
  <c r="H260" i="63" s="1"/>
  <c r="G195" i="63" a="1"/>
  <c r="G195" i="63" s="1"/>
  <c r="G260" i="63" s="1"/>
  <c r="F195" i="63" a="1"/>
  <c r="F195" i="63" s="1"/>
  <c r="F260" i="63" s="1"/>
  <c r="E195" i="63" a="1"/>
  <c r="E195" i="63" s="1"/>
  <c r="E260" i="63" s="1"/>
  <c r="D195" i="63" a="1"/>
  <c r="D195" i="63" s="1"/>
  <c r="P194" i="63" a="1"/>
  <c r="P194" i="63" s="1"/>
  <c r="P259" i="63" s="1"/>
  <c r="O194" i="63" a="1"/>
  <c r="O194" i="63" s="1"/>
  <c r="O259" i="63" s="1"/>
  <c r="N194" i="63" a="1"/>
  <c r="N194" i="63" s="1"/>
  <c r="N259" i="63" s="1"/>
  <c r="M194" i="63" a="1"/>
  <c r="M194" i="63" s="1"/>
  <c r="M259" i="63" s="1"/>
  <c r="L194" i="63" a="1"/>
  <c r="L194" i="63" s="1"/>
  <c r="L259" i="63" s="1"/>
  <c r="K194" i="63" a="1"/>
  <c r="K194" i="63" s="1"/>
  <c r="K259" i="63" s="1"/>
  <c r="J194" i="63" a="1"/>
  <c r="J194" i="63" s="1"/>
  <c r="J259" i="63" s="1"/>
  <c r="I194" i="63" a="1"/>
  <c r="I194" i="63" s="1"/>
  <c r="I259" i="63" s="1"/>
  <c r="H194" i="63" a="1"/>
  <c r="H194" i="63" s="1"/>
  <c r="H259" i="63" s="1"/>
  <c r="G194" i="63" a="1"/>
  <c r="G194" i="63" s="1"/>
  <c r="G259" i="63" s="1"/>
  <c r="F194" i="63" a="1"/>
  <c r="F194" i="63" s="1"/>
  <c r="F259" i="63" s="1"/>
  <c r="E194" i="63" a="1"/>
  <c r="E194" i="63" s="1"/>
  <c r="E259" i="63" s="1"/>
  <c r="D194" i="63" a="1"/>
  <c r="D194" i="63" s="1"/>
  <c r="P193" i="63" a="1"/>
  <c r="P193" i="63" s="1"/>
  <c r="P258" i="63" s="1"/>
  <c r="O193" i="63" a="1"/>
  <c r="O193" i="63" s="1"/>
  <c r="O258" i="63" s="1"/>
  <c r="N193" i="63" a="1"/>
  <c r="N193" i="63" s="1"/>
  <c r="N258" i="63" s="1"/>
  <c r="M193" i="63" a="1"/>
  <c r="M193" i="63" s="1"/>
  <c r="M258" i="63" s="1"/>
  <c r="L193" i="63" a="1"/>
  <c r="L193" i="63" s="1"/>
  <c r="L258" i="63" s="1"/>
  <c r="K193" i="63" a="1"/>
  <c r="K193" i="63" s="1"/>
  <c r="K258" i="63" s="1"/>
  <c r="J193" i="63" a="1"/>
  <c r="J193" i="63" s="1"/>
  <c r="J258" i="63" s="1"/>
  <c r="I193" i="63" a="1"/>
  <c r="I193" i="63" s="1"/>
  <c r="I258" i="63" s="1"/>
  <c r="H193" i="63" a="1"/>
  <c r="H193" i="63" s="1"/>
  <c r="H258" i="63" s="1"/>
  <c r="G193" i="63" a="1"/>
  <c r="G193" i="63" s="1"/>
  <c r="G258" i="63" s="1"/>
  <c r="F193" i="63" a="1"/>
  <c r="F193" i="63" s="1"/>
  <c r="F258" i="63" s="1"/>
  <c r="E193" i="63" a="1"/>
  <c r="E193" i="63" s="1"/>
  <c r="E258" i="63" s="1"/>
  <c r="D193" i="63" a="1"/>
  <c r="D193" i="63" s="1"/>
  <c r="P192" i="63" a="1"/>
  <c r="P192" i="63" s="1"/>
  <c r="P257" i="63" s="1"/>
  <c r="O192" i="63" a="1"/>
  <c r="O192" i="63" s="1"/>
  <c r="O257" i="63" s="1"/>
  <c r="N192" i="63" a="1"/>
  <c r="N192" i="63" s="1"/>
  <c r="N257" i="63" s="1"/>
  <c r="M192" i="63" a="1"/>
  <c r="M192" i="63" s="1"/>
  <c r="M257" i="63" s="1"/>
  <c r="L192" i="63" a="1"/>
  <c r="L192" i="63" s="1"/>
  <c r="L257" i="63" s="1"/>
  <c r="K192" i="63" a="1"/>
  <c r="K192" i="63" s="1"/>
  <c r="K257" i="63" s="1"/>
  <c r="J192" i="63" a="1"/>
  <c r="J192" i="63" s="1"/>
  <c r="J257" i="63" s="1"/>
  <c r="I192" i="63" a="1"/>
  <c r="I192" i="63" s="1"/>
  <c r="I257" i="63" s="1"/>
  <c r="H192" i="63" a="1"/>
  <c r="H192" i="63" s="1"/>
  <c r="H257" i="63" s="1"/>
  <c r="G192" i="63" a="1"/>
  <c r="G192" i="63" s="1"/>
  <c r="G257" i="63" s="1"/>
  <c r="F192" i="63" a="1"/>
  <c r="F192" i="63" s="1"/>
  <c r="F257" i="63" s="1"/>
  <c r="E192" i="63" a="1"/>
  <c r="E192" i="63" s="1"/>
  <c r="E257" i="63" s="1"/>
  <c r="D192" i="63" a="1"/>
  <c r="D192" i="63" s="1"/>
  <c r="P191" i="63" a="1"/>
  <c r="P191" i="63" s="1"/>
  <c r="P256" i="63" s="1"/>
  <c r="O191" i="63" a="1"/>
  <c r="O191" i="63" s="1"/>
  <c r="O256" i="63" s="1"/>
  <c r="N191" i="63" a="1"/>
  <c r="N191" i="63" s="1"/>
  <c r="N256" i="63" s="1"/>
  <c r="M191" i="63" a="1"/>
  <c r="M191" i="63" s="1"/>
  <c r="M256" i="63" s="1"/>
  <c r="L191" i="63" a="1"/>
  <c r="L191" i="63" s="1"/>
  <c r="L256" i="63" s="1"/>
  <c r="K191" i="63" a="1"/>
  <c r="K191" i="63" s="1"/>
  <c r="K256" i="63" s="1"/>
  <c r="J191" i="63" a="1"/>
  <c r="J191" i="63" s="1"/>
  <c r="J256" i="63" s="1"/>
  <c r="I191" i="63" a="1"/>
  <c r="I191" i="63" s="1"/>
  <c r="I256" i="63" s="1"/>
  <c r="H191" i="63" a="1"/>
  <c r="H191" i="63" s="1"/>
  <c r="H256" i="63" s="1"/>
  <c r="G191" i="63" a="1"/>
  <c r="G191" i="63" s="1"/>
  <c r="G256" i="63" s="1"/>
  <c r="F191" i="63" a="1"/>
  <c r="F191" i="63" s="1"/>
  <c r="F256" i="63" s="1"/>
  <c r="E191" i="63" a="1"/>
  <c r="E191" i="63" s="1"/>
  <c r="E256" i="63" s="1"/>
  <c r="D191" i="63" a="1"/>
  <c r="D191" i="63" s="1"/>
  <c r="P190" i="63" a="1"/>
  <c r="P190" i="63" s="1"/>
  <c r="P255" i="63" s="1"/>
  <c r="O190" i="63" a="1"/>
  <c r="O190" i="63" s="1"/>
  <c r="O255" i="63" s="1"/>
  <c r="N190" i="63" a="1"/>
  <c r="N190" i="63" s="1"/>
  <c r="N255" i="63" s="1"/>
  <c r="M190" i="63" a="1"/>
  <c r="M190" i="63" s="1"/>
  <c r="M255" i="63" s="1"/>
  <c r="L190" i="63" a="1"/>
  <c r="L190" i="63" s="1"/>
  <c r="L255" i="63" s="1"/>
  <c r="K190" i="63" a="1"/>
  <c r="K190" i="63" s="1"/>
  <c r="K255" i="63" s="1"/>
  <c r="J190" i="63" a="1"/>
  <c r="J190" i="63" s="1"/>
  <c r="J255" i="63" s="1"/>
  <c r="I190" i="63" a="1"/>
  <c r="I190" i="63" s="1"/>
  <c r="I255" i="63" s="1"/>
  <c r="H190" i="63" a="1"/>
  <c r="H190" i="63" s="1"/>
  <c r="H255" i="63" s="1"/>
  <c r="G190" i="63" a="1"/>
  <c r="G190" i="63" s="1"/>
  <c r="G255" i="63" s="1"/>
  <c r="F190" i="63" a="1"/>
  <c r="F190" i="63" s="1"/>
  <c r="F255" i="63" s="1"/>
  <c r="E190" i="63" a="1"/>
  <c r="E190" i="63" s="1"/>
  <c r="E255" i="63" s="1"/>
  <c r="D190" i="63" a="1"/>
  <c r="D190" i="63" s="1"/>
  <c r="D188" i="63" a="1"/>
  <c r="D188" i="63" s="1"/>
  <c r="D187" i="63" a="1"/>
  <c r="D187" i="63" s="1"/>
  <c r="D186" i="63" a="1"/>
  <c r="D186" i="63" s="1"/>
  <c r="D185" i="63" a="1"/>
  <c r="D185" i="63" s="1"/>
  <c r="M182" i="63" a="1"/>
  <c r="M182" i="63" s="1"/>
  <c r="L182" i="63" a="1"/>
  <c r="L182" i="63" s="1"/>
  <c r="M254" i="63" s="1"/>
  <c r="K182" i="63" a="1"/>
  <c r="K182" i="63" s="1"/>
  <c r="J182" i="63" a="1"/>
  <c r="J182" i="63" s="1"/>
  <c r="J254" i="63" s="1"/>
  <c r="I182" i="63" a="1"/>
  <c r="I182" i="63" s="1"/>
  <c r="I254" i="63" s="1"/>
  <c r="H182" i="63" a="1"/>
  <c r="H182" i="63" s="1"/>
  <c r="H254" i="63" s="1"/>
  <c r="G182" i="63" a="1"/>
  <c r="G182" i="63" s="1"/>
  <c r="G254" i="63" s="1"/>
  <c r="F182" i="63" a="1"/>
  <c r="F182" i="63" s="1"/>
  <c r="F254" i="63" s="1"/>
  <c r="E182" i="63" a="1"/>
  <c r="E182" i="63" s="1"/>
  <c r="E254" i="63" s="1"/>
  <c r="D182" i="63" a="1"/>
  <c r="D182" i="63" s="1"/>
  <c r="M181" i="63" a="1"/>
  <c r="M181" i="63" s="1"/>
  <c r="L181" i="63" a="1"/>
  <c r="L181" i="63" s="1"/>
  <c r="M253" i="63" s="1"/>
  <c r="K181" i="63" a="1"/>
  <c r="K181" i="63" s="1"/>
  <c r="J181" i="63" a="1"/>
  <c r="J181" i="63" s="1"/>
  <c r="J253" i="63" s="1"/>
  <c r="I181" i="63" a="1"/>
  <c r="I181" i="63" s="1"/>
  <c r="I253" i="63" s="1"/>
  <c r="H181" i="63" a="1"/>
  <c r="H181" i="63" s="1"/>
  <c r="H253" i="63" s="1"/>
  <c r="G181" i="63" a="1"/>
  <c r="G181" i="63" s="1"/>
  <c r="G253" i="63" s="1"/>
  <c r="F181" i="63" a="1"/>
  <c r="F181" i="63" s="1"/>
  <c r="F253" i="63" s="1"/>
  <c r="E181" i="63" a="1"/>
  <c r="E181" i="63" s="1"/>
  <c r="E253" i="63" s="1"/>
  <c r="D181" i="63" a="1"/>
  <c r="D181" i="63" s="1"/>
  <c r="M180" i="63" a="1"/>
  <c r="M180" i="63" s="1"/>
  <c r="L180" i="63" a="1"/>
  <c r="L180" i="63" s="1"/>
  <c r="M252" i="63" s="1"/>
  <c r="K180" i="63" a="1"/>
  <c r="K180" i="63" s="1"/>
  <c r="J180" i="63" a="1"/>
  <c r="J180" i="63" s="1"/>
  <c r="J252" i="63" s="1"/>
  <c r="I180" i="63" a="1"/>
  <c r="I180" i="63" s="1"/>
  <c r="I252" i="63" s="1"/>
  <c r="H180" i="63" a="1"/>
  <c r="H180" i="63" s="1"/>
  <c r="H252" i="63" s="1"/>
  <c r="G180" i="63" a="1"/>
  <c r="G180" i="63" s="1"/>
  <c r="G252" i="63" s="1"/>
  <c r="F180" i="63" a="1"/>
  <c r="F180" i="63" s="1"/>
  <c r="F252" i="63" s="1"/>
  <c r="E180" i="63" a="1"/>
  <c r="E180" i="63" s="1"/>
  <c r="E252" i="63" s="1"/>
  <c r="D180" i="63" a="1"/>
  <c r="D180" i="63" s="1"/>
  <c r="M179" i="63" a="1"/>
  <c r="M179" i="63" s="1"/>
  <c r="L179" i="63" a="1"/>
  <c r="L179" i="63" s="1"/>
  <c r="M251" i="63" s="1"/>
  <c r="K179" i="63" a="1"/>
  <c r="K179" i="63" s="1"/>
  <c r="J179" i="63" a="1"/>
  <c r="J179" i="63" s="1"/>
  <c r="J251" i="63" s="1"/>
  <c r="I179" i="63" a="1"/>
  <c r="I179" i="63" s="1"/>
  <c r="I251" i="63" s="1"/>
  <c r="H179" i="63" a="1"/>
  <c r="H179" i="63" s="1"/>
  <c r="H251" i="63" s="1"/>
  <c r="G179" i="63" a="1"/>
  <c r="G179" i="63" s="1"/>
  <c r="G251" i="63" s="1"/>
  <c r="F179" i="63" a="1"/>
  <c r="F179" i="63" s="1"/>
  <c r="F251" i="63" s="1"/>
  <c r="E179" i="63" a="1"/>
  <c r="E179" i="63" s="1"/>
  <c r="E251" i="63" s="1"/>
  <c r="D179" i="63" a="1"/>
  <c r="D179" i="63" s="1"/>
  <c r="M178" i="63" a="1"/>
  <c r="M178" i="63" s="1"/>
  <c r="L178" i="63" a="1"/>
  <c r="L178" i="63" s="1"/>
  <c r="M250" i="63" s="1"/>
  <c r="K178" i="63" a="1"/>
  <c r="K178" i="63" s="1"/>
  <c r="J178" i="63" a="1"/>
  <c r="J178" i="63" s="1"/>
  <c r="J250" i="63" s="1"/>
  <c r="I178" i="63" a="1"/>
  <c r="I178" i="63" s="1"/>
  <c r="I250" i="63" s="1"/>
  <c r="H178" i="63" a="1"/>
  <c r="H178" i="63" s="1"/>
  <c r="H250" i="63" s="1"/>
  <c r="G178" i="63" a="1"/>
  <c r="G178" i="63" s="1"/>
  <c r="G250" i="63" s="1"/>
  <c r="F178" i="63" a="1"/>
  <c r="F178" i="63" s="1"/>
  <c r="F250" i="63" s="1"/>
  <c r="E178" i="63" a="1"/>
  <c r="E178" i="63" s="1"/>
  <c r="E250" i="63" s="1"/>
  <c r="D178" i="63" a="1"/>
  <c r="D178" i="63" s="1"/>
  <c r="M177" i="63" a="1"/>
  <c r="M177" i="63" s="1"/>
  <c r="L177" i="63" a="1"/>
  <c r="L177" i="63" s="1"/>
  <c r="M249" i="63" s="1"/>
  <c r="K177" i="63" a="1"/>
  <c r="K177" i="63" s="1"/>
  <c r="J177" i="63" a="1"/>
  <c r="J177" i="63" s="1"/>
  <c r="J249" i="63" s="1"/>
  <c r="I177" i="63" a="1"/>
  <c r="I177" i="63" s="1"/>
  <c r="I249" i="63" s="1"/>
  <c r="H177" i="63" a="1"/>
  <c r="H177" i="63" s="1"/>
  <c r="H249" i="63" s="1"/>
  <c r="G177" i="63" a="1"/>
  <c r="G177" i="63" s="1"/>
  <c r="G249" i="63" s="1"/>
  <c r="F177" i="63" a="1"/>
  <c r="F177" i="63" s="1"/>
  <c r="F249" i="63" s="1"/>
  <c r="E177" i="63" a="1"/>
  <c r="E177" i="63" s="1"/>
  <c r="E249" i="63" s="1"/>
  <c r="D177" i="63" a="1"/>
  <c r="D177" i="63" s="1"/>
  <c r="M176" i="63" a="1"/>
  <c r="M176" i="63" s="1"/>
  <c r="L176" i="63" a="1"/>
  <c r="L176" i="63" s="1"/>
  <c r="M248" i="63" s="1"/>
  <c r="K176" i="63" a="1"/>
  <c r="K176" i="63" s="1"/>
  <c r="J176" i="63" a="1"/>
  <c r="J176" i="63" s="1"/>
  <c r="J248" i="63" s="1"/>
  <c r="I176" i="63" a="1"/>
  <c r="I176" i="63" s="1"/>
  <c r="I248" i="63" s="1"/>
  <c r="H176" i="63" a="1"/>
  <c r="H176" i="63" s="1"/>
  <c r="H248" i="63" s="1"/>
  <c r="G176" i="63" a="1"/>
  <c r="G176" i="63" s="1"/>
  <c r="G248" i="63" s="1"/>
  <c r="F176" i="63" a="1"/>
  <c r="F176" i="63" s="1"/>
  <c r="F248" i="63" s="1"/>
  <c r="E176" i="63" a="1"/>
  <c r="E176" i="63" s="1"/>
  <c r="E248" i="63" s="1"/>
  <c r="D176" i="63" a="1"/>
  <c r="D176" i="63" s="1"/>
  <c r="M175" i="63" a="1"/>
  <c r="M175" i="63" s="1"/>
  <c r="L175" i="63" a="1"/>
  <c r="L175" i="63" s="1"/>
  <c r="M247" i="63" s="1"/>
  <c r="K175" i="63" a="1"/>
  <c r="K175" i="63" s="1"/>
  <c r="J175" i="63" a="1"/>
  <c r="J175" i="63" s="1"/>
  <c r="J247" i="63" s="1"/>
  <c r="I175" i="63" a="1"/>
  <c r="I175" i="63" s="1"/>
  <c r="I247" i="63" s="1"/>
  <c r="H175" i="63" a="1"/>
  <c r="H175" i="63" s="1"/>
  <c r="H247" i="63" s="1"/>
  <c r="G175" i="63" a="1"/>
  <c r="G175" i="63" s="1"/>
  <c r="G247" i="63" s="1"/>
  <c r="F175" i="63" a="1"/>
  <c r="F175" i="63" s="1"/>
  <c r="F247" i="63" s="1"/>
  <c r="E175" i="63" a="1"/>
  <c r="E175" i="63" s="1"/>
  <c r="E247" i="63" s="1"/>
  <c r="D175" i="63" a="1"/>
  <c r="D175" i="63" s="1"/>
  <c r="M174" i="63" a="1"/>
  <c r="M174" i="63" s="1"/>
  <c r="L174" i="63" a="1"/>
  <c r="L174" i="63" s="1"/>
  <c r="M246" i="63" s="1"/>
  <c r="K174" i="63" a="1"/>
  <c r="K174" i="63" s="1"/>
  <c r="J174" i="63" a="1"/>
  <c r="J174" i="63" s="1"/>
  <c r="J246" i="63" s="1"/>
  <c r="I174" i="63" a="1"/>
  <c r="I174" i="63" s="1"/>
  <c r="I246" i="63" s="1"/>
  <c r="H174" i="63" a="1"/>
  <c r="H174" i="63" s="1"/>
  <c r="H246" i="63" s="1"/>
  <c r="G174" i="63" a="1"/>
  <c r="G174" i="63" s="1"/>
  <c r="G246" i="63" s="1"/>
  <c r="F174" i="63" a="1"/>
  <c r="F174" i="63" s="1"/>
  <c r="F246" i="63" s="1"/>
  <c r="E174" i="63" a="1"/>
  <c r="E174" i="63" s="1"/>
  <c r="E246" i="63" s="1"/>
  <c r="D174" i="63" a="1"/>
  <c r="D174" i="63" s="1"/>
  <c r="M173" i="63" a="1"/>
  <c r="M173" i="63" s="1"/>
  <c r="L173" i="63" a="1"/>
  <c r="L173" i="63" s="1"/>
  <c r="M245" i="63" s="1"/>
  <c r="K173" i="63" a="1"/>
  <c r="K173" i="63" s="1"/>
  <c r="J173" i="63" a="1"/>
  <c r="J173" i="63" s="1"/>
  <c r="J245" i="63" s="1"/>
  <c r="I173" i="63" a="1"/>
  <c r="I173" i="63" s="1"/>
  <c r="I245" i="63" s="1"/>
  <c r="H173" i="63" a="1"/>
  <c r="H173" i="63" s="1"/>
  <c r="H245" i="63" s="1"/>
  <c r="G173" i="63" a="1"/>
  <c r="G173" i="63" s="1"/>
  <c r="G245" i="63" s="1"/>
  <c r="F173" i="63" a="1"/>
  <c r="F173" i="63" s="1"/>
  <c r="F245" i="63" s="1"/>
  <c r="E173" i="63" a="1"/>
  <c r="E173" i="63" s="1"/>
  <c r="E245" i="63" s="1"/>
  <c r="D173" i="63" a="1"/>
  <c r="D173" i="63" s="1"/>
  <c r="M172" i="63" a="1"/>
  <c r="M172" i="63" s="1"/>
  <c r="L172" i="63" a="1"/>
  <c r="L172" i="63" s="1"/>
  <c r="M244" i="63" s="1"/>
  <c r="K172" i="63" a="1"/>
  <c r="K172" i="63" s="1"/>
  <c r="J172" i="63" a="1"/>
  <c r="J172" i="63" s="1"/>
  <c r="J244" i="63" s="1"/>
  <c r="I172" i="63" a="1"/>
  <c r="I172" i="63" s="1"/>
  <c r="I244" i="63" s="1"/>
  <c r="H172" i="63" a="1"/>
  <c r="H172" i="63" s="1"/>
  <c r="H244" i="63" s="1"/>
  <c r="G172" i="63" a="1"/>
  <c r="G172" i="63" s="1"/>
  <c r="G244" i="63" s="1"/>
  <c r="F172" i="63" a="1"/>
  <c r="F172" i="63" s="1"/>
  <c r="F244" i="63" s="1"/>
  <c r="E172" i="63" a="1"/>
  <c r="E172" i="63" s="1"/>
  <c r="E244" i="63" s="1"/>
  <c r="D172" i="63" a="1"/>
  <c r="D172" i="63" s="1"/>
  <c r="M171" i="63" a="1"/>
  <c r="M171" i="63" s="1"/>
  <c r="L171" i="63" a="1"/>
  <c r="L171" i="63" s="1"/>
  <c r="M243" i="63" s="1"/>
  <c r="K171" i="63" a="1"/>
  <c r="K171" i="63" s="1"/>
  <c r="J171" i="63" a="1"/>
  <c r="J171" i="63" s="1"/>
  <c r="J243" i="63" s="1"/>
  <c r="I171" i="63" a="1"/>
  <c r="I171" i="63" s="1"/>
  <c r="I243" i="63" s="1"/>
  <c r="H171" i="63" a="1"/>
  <c r="H171" i="63" s="1"/>
  <c r="H243" i="63" s="1"/>
  <c r="G171" i="63" a="1"/>
  <c r="G171" i="63" s="1"/>
  <c r="G243" i="63" s="1"/>
  <c r="F171" i="63" a="1"/>
  <c r="F171" i="63" s="1"/>
  <c r="F243" i="63" s="1"/>
  <c r="E171" i="63" a="1"/>
  <c r="E171" i="63" s="1"/>
  <c r="E243" i="63" s="1"/>
  <c r="D171" i="63" a="1"/>
  <c r="D171" i="63" s="1"/>
  <c r="M170" i="63" a="1"/>
  <c r="M170" i="63" s="1"/>
  <c r="L170" i="63" a="1"/>
  <c r="L170" i="63" s="1"/>
  <c r="M242" i="63" s="1"/>
  <c r="K170" i="63" a="1"/>
  <c r="K170" i="63" s="1"/>
  <c r="J170" i="63" a="1"/>
  <c r="J170" i="63" s="1"/>
  <c r="J242" i="63" s="1"/>
  <c r="I170" i="63" a="1"/>
  <c r="I170" i="63" s="1"/>
  <c r="I242" i="63" s="1"/>
  <c r="H170" i="63" a="1"/>
  <c r="H170" i="63" s="1"/>
  <c r="H242" i="63" s="1"/>
  <c r="G170" i="63" a="1"/>
  <c r="G170" i="63" s="1"/>
  <c r="G242" i="63" s="1"/>
  <c r="F170" i="63" a="1"/>
  <c r="F170" i="63" s="1"/>
  <c r="F242" i="63" s="1"/>
  <c r="E170" i="63" a="1"/>
  <c r="E170" i="63" s="1"/>
  <c r="D170" i="63" a="1"/>
  <c r="D170" i="63" s="1"/>
  <c r="M169" i="63" a="1"/>
  <c r="M169" i="63" s="1"/>
  <c r="L169" i="63" a="1"/>
  <c r="L169" i="63" s="1"/>
  <c r="M241" i="63" s="1"/>
  <c r="K169" i="63" a="1"/>
  <c r="K169" i="63" s="1"/>
  <c r="J169" i="63" a="1"/>
  <c r="J169" i="63" s="1"/>
  <c r="J241" i="63" s="1"/>
  <c r="I169" i="63" a="1"/>
  <c r="I169" i="63" s="1"/>
  <c r="I241" i="63" s="1"/>
  <c r="H169" i="63" a="1"/>
  <c r="H169" i="63" s="1"/>
  <c r="H241" i="63" s="1"/>
  <c r="G169" i="63" a="1"/>
  <c r="G169" i="63" s="1"/>
  <c r="G241" i="63" s="1"/>
  <c r="F169" i="63" a="1"/>
  <c r="F169" i="63" s="1"/>
  <c r="F241" i="63" s="1"/>
  <c r="E169" i="63" a="1"/>
  <c r="E169" i="63" s="1"/>
  <c r="D169" i="63" a="1"/>
  <c r="D169" i="63" s="1"/>
  <c r="M168" i="63" a="1"/>
  <c r="M168" i="63" s="1"/>
  <c r="L168" i="63" a="1"/>
  <c r="L168" i="63" s="1"/>
  <c r="M240" i="63" s="1"/>
  <c r="K168" i="63" a="1"/>
  <c r="K168" i="63" s="1"/>
  <c r="J168" i="63" a="1"/>
  <c r="J168" i="63" s="1"/>
  <c r="J240" i="63" s="1"/>
  <c r="I168" i="63" a="1"/>
  <c r="I168" i="63" s="1"/>
  <c r="I240" i="63" s="1"/>
  <c r="H168" i="63" a="1"/>
  <c r="H168" i="63" s="1"/>
  <c r="H240" i="63" s="1"/>
  <c r="G168" i="63" a="1"/>
  <c r="G168" i="63" s="1"/>
  <c r="G240" i="63" s="1"/>
  <c r="F168" i="63" a="1"/>
  <c r="F168" i="63" s="1"/>
  <c r="F240" i="63" s="1"/>
  <c r="E168" i="63" a="1"/>
  <c r="E168" i="63" s="1"/>
  <c r="D168" i="63" a="1"/>
  <c r="D168" i="63" s="1"/>
  <c r="M167" i="63" a="1"/>
  <c r="M167" i="63" s="1"/>
  <c r="L167" i="63" a="1"/>
  <c r="L167" i="63" s="1"/>
  <c r="M239" i="63" s="1"/>
  <c r="K167" i="63" a="1"/>
  <c r="K167" i="63" s="1"/>
  <c r="J167" i="63" a="1"/>
  <c r="J167" i="63" s="1"/>
  <c r="J239" i="63" s="1"/>
  <c r="I167" i="63" a="1"/>
  <c r="I167" i="63" s="1"/>
  <c r="I239" i="63" s="1"/>
  <c r="H167" i="63" a="1"/>
  <c r="H167" i="63" s="1"/>
  <c r="H239" i="63" s="1"/>
  <c r="G167" i="63" a="1"/>
  <c r="G167" i="63" s="1"/>
  <c r="G239" i="63" s="1"/>
  <c r="F167" i="63" a="1"/>
  <c r="F167" i="63" s="1"/>
  <c r="F239" i="63" s="1"/>
  <c r="E167" i="63" a="1"/>
  <c r="E167" i="63" s="1"/>
  <c r="D167" i="63" a="1"/>
  <c r="D167" i="63" s="1"/>
  <c r="M166" i="63" a="1"/>
  <c r="M166" i="63" s="1"/>
  <c r="L166" i="63" a="1"/>
  <c r="L166" i="63" s="1"/>
  <c r="M238" i="63" s="1"/>
  <c r="K166" i="63" a="1"/>
  <c r="K166" i="63" s="1"/>
  <c r="J166" i="63" a="1"/>
  <c r="J166" i="63" s="1"/>
  <c r="J238" i="63" s="1"/>
  <c r="I166" i="63" a="1"/>
  <c r="I166" i="63" s="1"/>
  <c r="I238" i="63" s="1"/>
  <c r="H166" i="63" a="1"/>
  <c r="H166" i="63" s="1"/>
  <c r="H238" i="63" s="1"/>
  <c r="G166" i="63" a="1"/>
  <c r="G166" i="63" s="1"/>
  <c r="G238" i="63" s="1"/>
  <c r="F166" i="63" a="1"/>
  <c r="F166" i="63" s="1"/>
  <c r="F238" i="63" s="1"/>
  <c r="E166" i="63" a="1"/>
  <c r="E166" i="63" s="1"/>
  <c r="D166" i="63" a="1"/>
  <c r="D166" i="63" s="1"/>
  <c r="M165" i="63" a="1"/>
  <c r="M165" i="63" s="1"/>
  <c r="L165" i="63" a="1"/>
  <c r="L165" i="63" s="1"/>
  <c r="M237" i="63" s="1"/>
  <c r="K165" i="63" a="1"/>
  <c r="K165" i="63" s="1"/>
  <c r="J165" i="63" a="1"/>
  <c r="J165" i="63" s="1"/>
  <c r="J237" i="63" s="1"/>
  <c r="I165" i="63" a="1"/>
  <c r="I165" i="63" s="1"/>
  <c r="I237" i="63" s="1"/>
  <c r="H165" i="63" a="1"/>
  <c r="H165" i="63" s="1"/>
  <c r="H237" i="63" s="1"/>
  <c r="G165" i="63" a="1"/>
  <c r="G165" i="63" s="1"/>
  <c r="G237" i="63" s="1"/>
  <c r="F165" i="63" a="1"/>
  <c r="F165" i="63" s="1"/>
  <c r="F237" i="63" s="1"/>
  <c r="E165" i="63" a="1"/>
  <c r="E165" i="63" s="1"/>
  <c r="D165" i="63" a="1"/>
  <c r="D165" i="63" s="1"/>
  <c r="M164" i="63" a="1"/>
  <c r="M164" i="63" s="1"/>
  <c r="L164" i="63" a="1"/>
  <c r="L164" i="63" s="1"/>
  <c r="M236" i="63" s="1"/>
  <c r="K164" i="63" a="1"/>
  <c r="K164" i="63" s="1"/>
  <c r="J164" i="63" a="1"/>
  <c r="J164" i="63" s="1"/>
  <c r="J236" i="63" s="1"/>
  <c r="I164" i="63" a="1"/>
  <c r="I164" i="63" s="1"/>
  <c r="I236" i="63" s="1"/>
  <c r="H164" i="63" a="1"/>
  <c r="H164" i="63" s="1"/>
  <c r="H236" i="63" s="1"/>
  <c r="G164" i="63" a="1"/>
  <c r="G164" i="63" s="1"/>
  <c r="G236" i="63" s="1"/>
  <c r="F164" i="63" a="1"/>
  <c r="F164" i="63" s="1"/>
  <c r="F236" i="63" s="1"/>
  <c r="E164" i="63" a="1"/>
  <c r="E164" i="63" s="1"/>
  <c r="D164" i="63" a="1"/>
  <c r="D164" i="63" s="1"/>
  <c r="M163" i="63" a="1"/>
  <c r="M163" i="63" s="1"/>
  <c r="L163" i="63" a="1"/>
  <c r="L163" i="63" s="1"/>
  <c r="M235" i="63" s="1"/>
  <c r="K163" i="63" a="1"/>
  <c r="K163" i="63" s="1"/>
  <c r="J163" i="63" a="1"/>
  <c r="J163" i="63" s="1"/>
  <c r="J235" i="63" s="1"/>
  <c r="I163" i="63" a="1"/>
  <c r="I163" i="63" s="1"/>
  <c r="I235" i="63" s="1"/>
  <c r="H163" i="63" a="1"/>
  <c r="H163" i="63" s="1"/>
  <c r="H235" i="63" s="1"/>
  <c r="G163" i="63" a="1"/>
  <c r="G163" i="63" s="1"/>
  <c r="G235" i="63" s="1"/>
  <c r="F163" i="63" a="1"/>
  <c r="F163" i="63" s="1"/>
  <c r="F235" i="63" s="1"/>
  <c r="E163" i="63" a="1"/>
  <c r="E163" i="63" s="1"/>
  <c r="D163" i="63" a="1"/>
  <c r="D163" i="63" s="1"/>
  <c r="M162" i="63" a="1"/>
  <c r="M162" i="63" s="1"/>
  <c r="L162" i="63" a="1"/>
  <c r="L162" i="63" s="1"/>
  <c r="M234" i="63" s="1"/>
  <c r="K162" i="63" a="1"/>
  <c r="K162" i="63" s="1"/>
  <c r="J162" i="63" a="1"/>
  <c r="J162" i="63" s="1"/>
  <c r="J234" i="63" s="1"/>
  <c r="I162" i="63" a="1"/>
  <c r="I162" i="63" s="1"/>
  <c r="I234" i="63" s="1"/>
  <c r="H162" i="63" a="1"/>
  <c r="H162" i="63" s="1"/>
  <c r="H234" i="63" s="1"/>
  <c r="G162" i="63" a="1"/>
  <c r="G162" i="63" s="1"/>
  <c r="G234" i="63" s="1"/>
  <c r="F162" i="63" a="1"/>
  <c r="F162" i="63" s="1"/>
  <c r="F234" i="63" s="1"/>
  <c r="E162" i="63" a="1"/>
  <c r="E162" i="63" s="1"/>
  <c r="D162" i="63" a="1"/>
  <c r="D162" i="63" s="1"/>
  <c r="M161" i="63" a="1"/>
  <c r="M161" i="63" s="1"/>
  <c r="L161" i="63" a="1"/>
  <c r="L161" i="63" s="1"/>
  <c r="M233" i="63" s="1"/>
  <c r="K161" i="63" a="1"/>
  <c r="K161" i="63" s="1"/>
  <c r="J161" i="63" a="1"/>
  <c r="J161" i="63" s="1"/>
  <c r="J233" i="63" s="1"/>
  <c r="I161" i="63" a="1"/>
  <c r="I161" i="63" s="1"/>
  <c r="I233" i="63" s="1"/>
  <c r="H161" i="63" a="1"/>
  <c r="H161" i="63" s="1"/>
  <c r="H233" i="63" s="1"/>
  <c r="G161" i="63" a="1"/>
  <c r="G161" i="63" s="1"/>
  <c r="G233" i="63" s="1"/>
  <c r="F161" i="63" a="1"/>
  <c r="F161" i="63" s="1"/>
  <c r="F233" i="63" s="1"/>
  <c r="E161" i="63" a="1"/>
  <c r="E161" i="63" s="1"/>
  <c r="D161" i="63" a="1"/>
  <c r="D161" i="63" s="1"/>
  <c r="M160" i="63" a="1"/>
  <c r="M160" i="63" s="1"/>
  <c r="L160" i="63" a="1"/>
  <c r="L160" i="63" s="1"/>
  <c r="M232" i="63" s="1"/>
  <c r="K160" i="63" a="1"/>
  <c r="K160" i="63" s="1"/>
  <c r="J160" i="63" a="1"/>
  <c r="J160" i="63" s="1"/>
  <c r="J232" i="63" s="1"/>
  <c r="I160" i="63" a="1"/>
  <c r="I160" i="63" s="1"/>
  <c r="I232" i="63" s="1"/>
  <c r="H160" i="63" a="1"/>
  <c r="H160" i="63" s="1"/>
  <c r="H232" i="63" s="1"/>
  <c r="G160" i="63" a="1"/>
  <c r="G160" i="63" s="1"/>
  <c r="G232" i="63" s="1"/>
  <c r="F160" i="63" a="1"/>
  <c r="F160" i="63" s="1"/>
  <c r="F232" i="63" s="1"/>
  <c r="E160" i="63" a="1"/>
  <c r="E160" i="63" s="1"/>
  <c r="D160" i="63" a="1"/>
  <c r="D160" i="63" s="1"/>
  <c r="M159" i="63" a="1"/>
  <c r="M159" i="63" s="1"/>
  <c r="L159" i="63" a="1"/>
  <c r="L159" i="63" s="1"/>
  <c r="M231" i="63" s="1"/>
  <c r="K159" i="63" a="1"/>
  <c r="K159" i="63" s="1"/>
  <c r="J159" i="63" a="1"/>
  <c r="J159" i="63" s="1"/>
  <c r="J231" i="63" s="1"/>
  <c r="I159" i="63" a="1"/>
  <c r="I159" i="63" s="1"/>
  <c r="I231" i="63" s="1"/>
  <c r="H159" i="63" a="1"/>
  <c r="H159" i="63" s="1"/>
  <c r="H231" i="63" s="1"/>
  <c r="G159" i="63" a="1"/>
  <c r="G159" i="63" s="1"/>
  <c r="G231" i="63" s="1"/>
  <c r="F159" i="63" a="1"/>
  <c r="F159" i="63" s="1"/>
  <c r="F231" i="63" s="1"/>
  <c r="E159" i="63" a="1"/>
  <c r="E159" i="63" s="1"/>
  <c r="D159" i="63" a="1"/>
  <c r="D159" i="63" s="1"/>
  <c r="M158" i="63" a="1"/>
  <c r="M158" i="63" s="1"/>
  <c r="L158" i="63" a="1"/>
  <c r="L158" i="63" s="1"/>
  <c r="K158" i="63" a="1"/>
  <c r="K158" i="63" s="1"/>
  <c r="J158" i="63" a="1"/>
  <c r="J158" i="63" s="1"/>
  <c r="I158" i="63" a="1"/>
  <c r="I158" i="63" s="1"/>
  <c r="H158" i="63" a="1"/>
  <c r="H158" i="63" s="1"/>
  <c r="G158" i="63" a="1"/>
  <c r="G158" i="63" s="1"/>
  <c r="F158" i="63" a="1"/>
  <c r="F158" i="63" s="1"/>
  <c r="E158" i="63" a="1"/>
  <c r="E158" i="63" s="1"/>
  <c r="D158" i="63" a="1"/>
  <c r="D158" i="63" s="1"/>
  <c r="M157" i="63" a="1"/>
  <c r="M157" i="63" s="1"/>
  <c r="L157" i="63" a="1"/>
  <c r="L157" i="63" s="1"/>
  <c r="K157" i="63" a="1"/>
  <c r="K157" i="63" s="1"/>
  <c r="J157" i="63" a="1"/>
  <c r="J157" i="63" s="1"/>
  <c r="I157" i="63" a="1"/>
  <c r="I157" i="63" s="1"/>
  <c r="H157" i="63" a="1"/>
  <c r="H157" i="63" s="1"/>
  <c r="G157" i="63" a="1"/>
  <c r="G157" i="63" s="1"/>
  <c r="F157" i="63" a="1"/>
  <c r="F157" i="63" s="1"/>
  <c r="E157" i="63" a="1"/>
  <c r="E157" i="63" s="1"/>
  <c r="D157" i="63" a="1"/>
  <c r="D157" i="63" s="1"/>
  <c r="M156" i="63" a="1"/>
  <c r="M156" i="63" s="1"/>
  <c r="L156" i="63" a="1"/>
  <c r="L156" i="63" s="1"/>
  <c r="K156" i="63" a="1"/>
  <c r="K156" i="63" s="1"/>
  <c r="J156" i="63" a="1"/>
  <c r="J156" i="63" s="1"/>
  <c r="I156" i="63" a="1"/>
  <c r="I156" i="63" s="1"/>
  <c r="H156" i="63" a="1"/>
  <c r="H156" i="63" s="1"/>
  <c r="G156" i="63" a="1"/>
  <c r="G156" i="63" s="1"/>
  <c r="F156" i="63" a="1"/>
  <c r="F156" i="63" s="1"/>
  <c r="E156" i="63" a="1"/>
  <c r="E156" i="63" s="1"/>
  <c r="D156" i="63" a="1"/>
  <c r="D156" i="63" s="1"/>
  <c r="M155" i="63" a="1"/>
  <c r="M155" i="63" s="1"/>
  <c r="L155" i="63" a="1"/>
  <c r="L155" i="63" s="1"/>
  <c r="K155" i="63" a="1"/>
  <c r="K155" i="63" s="1"/>
  <c r="J155" i="63" a="1"/>
  <c r="J155" i="63" s="1"/>
  <c r="I155" i="63" a="1"/>
  <c r="I155" i="63" s="1"/>
  <c r="H155" i="63" a="1"/>
  <c r="H155" i="63" s="1"/>
  <c r="G155" i="63" a="1"/>
  <c r="G155" i="63" s="1"/>
  <c r="F155" i="63" a="1"/>
  <c r="F155" i="63" s="1"/>
  <c r="E155" i="63" a="1"/>
  <c r="E155" i="63" s="1"/>
  <c r="D155" i="63" a="1"/>
  <c r="D155" i="63" s="1"/>
  <c r="D153" i="63" a="1"/>
  <c r="D153" i="63" s="1"/>
  <c r="D152" i="63" a="1"/>
  <c r="D152" i="63" s="1"/>
  <c r="D151" i="63" a="1"/>
  <c r="D151" i="63" s="1"/>
  <c r="D150" i="63" a="1"/>
  <c r="D150" i="63" s="1"/>
  <c r="P81" i="63" a="1"/>
  <c r="P81" i="63" s="1"/>
  <c r="P145" i="63" s="1"/>
  <c r="O81" i="63" a="1"/>
  <c r="O81" i="63" s="1"/>
  <c r="O145" i="63" s="1"/>
  <c r="N81" i="63" a="1"/>
  <c r="N81" i="63" s="1"/>
  <c r="N145" i="63" s="1"/>
  <c r="M81" i="63" a="1"/>
  <c r="M81" i="63" s="1"/>
  <c r="M145" i="63" s="1"/>
  <c r="L81" i="63" a="1"/>
  <c r="L81" i="63" s="1"/>
  <c r="L145" i="63" s="1"/>
  <c r="K81" i="63" a="1"/>
  <c r="K81" i="63" s="1"/>
  <c r="K145" i="63" s="1"/>
  <c r="J81" i="63" a="1"/>
  <c r="J81" i="63" s="1"/>
  <c r="J145" i="63" s="1"/>
  <c r="I81" i="63" a="1"/>
  <c r="I81" i="63" s="1"/>
  <c r="I145" i="63" s="1"/>
  <c r="H81" i="63" a="1"/>
  <c r="H81" i="63" s="1"/>
  <c r="H145" i="63" s="1"/>
  <c r="G81" i="63" a="1"/>
  <c r="G81" i="63" s="1"/>
  <c r="G145" i="63" s="1"/>
  <c r="F81" i="63" a="1"/>
  <c r="F81" i="63" s="1"/>
  <c r="F145" i="63" s="1"/>
  <c r="F149" i="63" s="1"/>
  <c r="E81" i="63" a="1"/>
  <c r="E81" i="63" s="1"/>
  <c r="E145" i="63" s="1"/>
  <c r="D81" i="63" a="1"/>
  <c r="D81" i="63" s="1"/>
  <c r="P80" i="63" a="1"/>
  <c r="P80" i="63" s="1"/>
  <c r="P144" i="63" s="1"/>
  <c r="O80" i="63" a="1"/>
  <c r="O80" i="63" s="1"/>
  <c r="O144" i="63" s="1"/>
  <c r="N80" i="63" a="1"/>
  <c r="N80" i="63" s="1"/>
  <c r="N144" i="63" s="1"/>
  <c r="M80" i="63" a="1"/>
  <c r="M80" i="63" s="1"/>
  <c r="M144" i="63" s="1"/>
  <c r="L80" i="63" a="1"/>
  <c r="L80" i="63" s="1"/>
  <c r="L144" i="63" s="1"/>
  <c r="K80" i="63" a="1"/>
  <c r="K80" i="63" s="1"/>
  <c r="K144" i="63" s="1"/>
  <c r="J80" i="63" a="1"/>
  <c r="J80" i="63" s="1"/>
  <c r="J144" i="63" s="1"/>
  <c r="I80" i="63" a="1"/>
  <c r="I80" i="63" s="1"/>
  <c r="I144" i="63" s="1"/>
  <c r="H80" i="63" a="1"/>
  <c r="H80" i="63" s="1"/>
  <c r="H144" i="63" s="1"/>
  <c r="G80" i="63" a="1"/>
  <c r="G80" i="63" s="1"/>
  <c r="G144" i="63" s="1"/>
  <c r="F80" i="63" a="1"/>
  <c r="F80" i="63" s="1"/>
  <c r="F144" i="63" s="1"/>
  <c r="F148" i="63" s="1"/>
  <c r="E80" i="63" a="1"/>
  <c r="E80" i="63" s="1"/>
  <c r="E144" i="63" s="1"/>
  <c r="D80" i="63" a="1"/>
  <c r="D80" i="63" s="1"/>
  <c r="P79" i="63" a="1"/>
  <c r="P79" i="63" s="1"/>
  <c r="P143" i="63" s="1"/>
  <c r="O79" i="63" a="1"/>
  <c r="O79" i="63" s="1"/>
  <c r="O143" i="63" s="1"/>
  <c r="N79" i="63" a="1"/>
  <c r="N79" i="63" s="1"/>
  <c r="N143" i="63" s="1"/>
  <c r="M79" i="63" a="1"/>
  <c r="M79" i="63" s="1"/>
  <c r="M143" i="63" s="1"/>
  <c r="L79" i="63" a="1"/>
  <c r="L79" i="63" s="1"/>
  <c r="L143" i="63" s="1"/>
  <c r="K79" i="63" a="1"/>
  <c r="K79" i="63" s="1"/>
  <c r="K143" i="63" s="1"/>
  <c r="J79" i="63" a="1"/>
  <c r="J79" i="63" s="1"/>
  <c r="J143" i="63" s="1"/>
  <c r="I79" i="63" a="1"/>
  <c r="I79" i="63" s="1"/>
  <c r="I143" i="63" s="1"/>
  <c r="H79" i="63" a="1"/>
  <c r="H79" i="63" s="1"/>
  <c r="H143" i="63" s="1"/>
  <c r="G79" i="63" a="1"/>
  <c r="G79" i="63" s="1"/>
  <c r="G143" i="63" s="1"/>
  <c r="F79" i="63" a="1"/>
  <c r="F79" i="63" s="1"/>
  <c r="F143" i="63" s="1"/>
  <c r="F147" i="63" s="1"/>
  <c r="E79" i="63" a="1"/>
  <c r="E79" i="63" s="1"/>
  <c r="E143" i="63" s="1"/>
  <c r="D79" i="63" a="1"/>
  <c r="D79" i="63" s="1"/>
  <c r="P78" i="63" a="1"/>
  <c r="P78" i="63" s="1"/>
  <c r="P142" i="63" s="1"/>
  <c r="O78" i="63" a="1"/>
  <c r="O78" i="63" s="1"/>
  <c r="O142" i="63" s="1"/>
  <c r="N78" i="63" a="1"/>
  <c r="N78" i="63" s="1"/>
  <c r="N142" i="63" s="1"/>
  <c r="M78" i="63" a="1"/>
  <c r="M78" i="63" s="1"/>
  <c r="M142" i="63" s="1"/>
  <c r="L78" i="63" a="1"/>
  <c r="L78" i="63" s="1"/>
  <c r="L142" i="63" s="1"/>
  <c r="K78" i="63" a="1"/>
  <c r="K78" i="63" s="1"/>
  <c r="K142" i="63" s="1"/>
  <c r="J78" i="63" a="1"/>
  <c r="J78" i="63" s="1"/>
  <c r="J142" i="63" s="1"/>
  <c r="I78" i="63" a="1"/>
  <c r="I78" i="63" s="1"/>
  <c r="I142" i="63" s="1"/>
  <c r="H78" i="63" a="1"/>
  <c r="H78" i="63" s="1"/>
  <c r="H142" i="63" s="1"/>
  <c r="G78" i="63" a="1"/>
  <c r="G78" i="63" s="1"/>
  <c r="G142" i="63" s="1"/>
  <c r="F78" i="63" a="1"/>
  <c r="F78" i="63" s="1"/>
  <c r="F142" i="63" s="1"/>
  <c r="F146" i="63" s="1"/>
  <c r="E78" i="63" a="1"/>
  <c r="E78" i="63" s="1"/>
  <c r="E142" i="63" s="1"/>
  <c r="D78" i="63" a="1"/>
  <c r="D78" i="63" s="1"/>
  <c r="P77" i="63" a="1"/>
  <c r="P77" i="63" s="1"/>
  <c r="P141" i="63" s="1"/>
  <c r="O77" i="63" a="1"/>
  <c r="O77" i="63" s="1"/>
  <c r="O141" i="63" s="1"/>
  <c r="N77" i="63" a="1"/>
  <c r="N77" i="63" s="1"/>
  <c r="N141" i="63" s="1"/>
  <c r="M77" i="63" a="1"/>
  <c r="M77" i="63" s="1"/>
  <c r="M141" i="63" s="1"/>
  <c r="L77" i="63" a="1"/>
  <c r="L77" i="63" s="1"/>
  <c r="L141" i="63" s="1"/>
  <c r="K77" i="63" a="1"/>
  <c r="K77" i="63" s="1"/>
  <c r="K141" i="63" s="1"/>
  <c r="J77" i="63" a="1"/>
  <c r="J77" i="63" s="1"/>
  <c r="J141" i="63" s="1"/>
  <c r="I77" i="63" a="1"/>
  <c r="I77" i="63" s="1"/>
  <c r="I141" i="63" s="1"/>
  <c r="H77" i="63" a="1"/>
  <c r="H77" i="63" s="1"/>
  <c r="H141" i="63" s="1"/>
  <c r="G77" i="63" a="1"/>
  <c r="G77" i="63" s="1"/>
  <c r="G141" i="63" s="1"/>
  <c r="F77" i="63" a="1"/>
  <c r="F77" i="63" s="1"/>
  <c r="F141" i="63" s="1"/>
  <c r="E77" i="63" a="1"/>
  <c r="E77" i="63" s="1"/>
  <c r="E141" i="63" s="1"/>
  <c r="D77" i="63" a="1"/>
  <c r="D77" i="63" s="1"/>
  <c r="P76" i="63" a="1"/>
  <c r="P76" i="63" s="1"/>
  <c r="P140" i="63" s="1"/>
  <c r="O76" i="63" a="1"/>
  <c r="O76" i="63" s="1"/>
  <c r="O140" i="63" s="1"/>
  <c r="N76" i="63" a="1"/>
  <c r="N76" i="63" s="1"/>
  <c r="N140" i="63" s="1"/>
  <c r="M76" i="63" a="1"/>
  <c r="M76" i="63" s="1"/>
  <c r="M140" i="63" s="1"/>
  <c r="L76" i="63" a="1"/>
  <c r="L76" i="63" s="1"/>
  <c r="L140" i="63" s="1"/>
  <c r="K76" i="63" a="1"/>
  <c r="K76" i="63" s="1"/>
  <c r="K140" i="63" s="1"/>
  <c r="J76" i="63" a="1"/>
  <c r="J76" i="63" s="1"/>
  <c r="J140" i="63" s="1"/>
  <c r="I76" i="63" a="1"/>
  <c r="I76" i="63" s="1"/>
  <c r="I140" i="63" s="1"/>
  <c r="H76" i="63" a="1"/>
  <c r="H76" i="63" s="1"/>
  <c r="H140" i="63" s="1"/>
  <c r="G76" i="63" a="1"/>
  <c r="G76" i="63" s="1"/>
  <c r="G140" i="63" s="1"/>
  <c r="F76" i="63" a="1"/>
  <c r="F76" i="63" s="1"/>
  <c r="F140" i="63" s="1"/>
  <c r="E76" i="63" a="1"/>
  <c r="E76" i="63" s="1"/>
  <c r="E140" i="63" s="1"/>
  <c r="D76" i="63" a="1"/>
  <c r="D76" i="63" s="1"/>
  <c r="P75" i="63" a="1"/>
  <c r="P75" i="63" s="1"/>
  <c r="P139" i="63" s="1"/>
  <c r="O75" i="63" a="1"/>
  <c r="O75" i="63" s="1"/>
  <c r="O139" i="63" s="1"/>
  <c r="N75" i="63" a="1"/>
  <c r="N75" i="63" s="1"/>
  <c r="N139" i="63" s="1"/>
  <c r="M75" i="63" a="1"/>
  <c r="M75" i="63" s="1"/>
  <c r="M139" i="63" s="1"/>
  <c r="L75" i="63" a="1"/>
  <c r="L75" i="63" s="1"/>
  <c r="L139" i="63" s="1"/>
  <c r="K75" i="63" a="1"/>
  <c r="K75" i="63" s="1"/>
  <c r="K139" i="63" s="1"/>
  <c r="J75" i="63" a="1"/>
  <c r="J75" i="63" s="1"/>
  <c r="J139" i="63" s="1"/>
  <c r="I75" i="63" a="1"/>
  <c r="I75" i="63" s="1"/>
  <c r="I139" i="63" s="1"/>
  <c r="H75" i="63" a="1"/>
  <c r="H75" i="63" s="1"/>
  <c r="H139" i="63" s="1"/>
  <c r="G75" i="63" a="1"/>
  <c r="G75" i="63" s="1"/>
  <c r="G139" i="63" s="1"/>
  <c r="F75" i="63" a="1"/>
  <c r="F75" i="63" s="1"/>
  <c r="F139" i="63" s="1"/>
  <c r="E75" i="63" a="1"/>
  <c r="E75" i="63" s="1"/>
  <c r="E139" i="63" s="1"/>
  <c r="D75" i="63" a="1"/>
  <c r="D75" i="63" s="1"/>
  <c r="P74" i="63" a="1"/>
  <c r="P74" i="63" s="1"/>
  <c r="P138" i="63" s="1"/>
  <c r="O74" i="63" a="1"/>
  <c r="O74" i="63" s="1"/>
  <c r="O138" i="63" s="1"/>
  <c r="N74" i="63" a="1"/>
  <c r="N74" i="63" s="1"/>
  <c r="N138" i="63" s="1"/>
  <c r="M74" i="63" a="1"/>
  <c r="M74" i="63" s="1"/>
  <c r="M138" i="63" s="1"/>
  <c r="L74" i="63" a="1"/>
  <c r="L74" i="63" s="1"/>
  <c r="L138" i="63" s="1"/>
  <c r="K74" i="63" a="1"/>
  <c r="K74" i="63" s="1"/>
  <c r="K138" i="63" s="1"/>
  <c r="J74" i="63" a="1"/>
  <c r="J74" i="63" s="1"/>
  <c r="J138" i="63" s="1"/>
  <c r="I74" i="63" a="1"/>
  <c r="I74" i="63" s="1"/>
  <c r="I138" i="63" s="1"/>
  <c r="H74" i="63" a="1"/>
  <c r="H74" i="63" s="1"/>
  <c r="H138" i="63" s="1"/>
  <c r="G74" i="63" a="1"/>
  <c r="G74" i="63" s="1"/>
  <c r="G138" i="63" s="1"/>
  <c r="F74" i="63" a="1"/>
  <c r="F74" i="63" s="1"/>
  <c r="F138" i="63" s="1"/>
  <c r="E74" i="63" a="1"/>
  <c r="E74" i="63" s="1"/>
  <c r="E138" i="63" s="1"/>
  <c r="D74" i="63" a="1"/>
  <c r="D74" i="63" s="1"/>
  <c r="P73" i="63" a="1"/>
  <c r="P73" i="63" s="1"/>
  <c r="P137" i="63" s="1"/>
  <c r="O73" i="63" a="1"/>
  <c r="O73" i="63" s="1"/>
  <c r="O137" i="63" s="1"/>
  <c r="N73" i="63" a="1"/>
  <c r="N73" i="63" s="1"/>
  <c r="N137" i="63" s="1"/>
  <c r="M73" i="63" a="1"/>
  <c r="M73" i="63" s="1"/>
  <c r="M137" i="63" s="1"/>
  <c r="L73" i="63" a="1"/>
  <c r="L73" i="63" s="1"/>
  <c r="L137" i="63" s="1"/>
  <c r="K73" i="63" a="1"/>
  <c r="K73" i="63" s="1"/>
  <c r="K137" i="63" s="1"/>
  <c r="J73" i="63" a="1"/>
  <c r="J73" i="63" s="1"/>
  <c r="J137" i="63" s="1"/>
  <c r="I73" i="63" a="1"/>
  <c r="I73" i="63" s="1"/>
  <c r="I137" i="63" s="1"/>
  <c r="H73" i="63" a="1"/>
  <c r="H73" i="63" s="1"/>
  <c r="H137" i="63" s="1"/>
  <c r="G73" i="63" a="1"/>
  <c r="G73" i="63" s="1"/>
  <c r="G137" i="63" s="1"/>
  <c r="F73" i="63" a="1"/>
  <c r="F73" i="63" s="1"/>
  <c r="F137" i="63" s="1"/>
  <c r="E73" i="63" a="1"/>
  <c r="E73" i="63" s="1"/>
  <c r="E137" i="63" s="1"/>
  <c r="D73" i="63" a="1"/>
  <c r="D73" i="63" s="1"/>
  <c r="P72" i="63" a="1"/>
  <c r="P72" i="63" s="1"/>
  <c r="P136" i="63" s="1"/>
  <c r="O72" i="63" a="1"/>
  <c r="O72" i="63" s="1"/>
  <c r="O136" i="63" s="1"/>
  <c r="N72" i="63" a="1"/>
  <c r="N72" i="63" s="1"/>
  <c r="N136" i="63" s="1"/>
  <c r="M72" i="63" a="1"/>
  <c r="M72" i="63" s="1"/>
  <c r="M136" i="63" s="1"/>
  <c r="L72" i="63" a="1"/>
  <c r="L72" i="63" s="1"/>
  <c r="L136" i="63" s="1"/>
  <c r="K72" i="63" a="1"/>
  <c r="K72" i="63" s="1"/>
  <c r="K136" i="63" s="1"/>
  <c r="J72" i="63" a="1"/>
  <c r="J72" i="63" s="1"/>
  <c r="J136" i="63" s="1"/>
  <c r="I72" i="63" a="1"/>
  <c r="I72" i="63" s="1"/>
  <c r="I136" i="63" s="1"/>
  <c r="H72" i="63" a="1"/>
  <c r="H72" i="63" s="1"/>
  <c r="H136" i="63" s="1"/>
  <c r="G72" i="63" a="1"/>
  <c r="G72" i="63" s="1"/>
  <c r="G136" i="63" s="1"/>
  <c r="F72" i="63" a="1"/>
  <c r="F72" i="63" s="1"/>
  <c r="F136" i="63" s="1"/>
  <c r="E72" i="63" a="1"/>
  <c r="E72" i="63" s="1"/>
  <c r="E136" i="63" s="1"/>
  <c r="D72" i="63" a="1"/>
  <c r="D72" i="63" s="1"/>
  <c r="P71" i="63" a="1"/>
  <c r="P71" i="63" s="1"/>
  <c r="P135" i="63" s="1"/>
  <c r="O71" i="63" a="1"/>
  <c r="O71" i="63" s="1"/>
  <c r="O135" i="63" s="1"/>
  <c r="N71" i="63" a="1"/>
  <c r="N71" i="63" s="1"/>
  <c r="N135" i="63" s="1"/>
  <c r="M71" i="63" a="1"/>
  <c r="M71" i="63" s="1"/>
  <c r="M135" i="63" s="1"/>
  <c r="L71" i="63" a="1"/>
  <c r="L71" i="63" s="1"/>
  <c r="L135" i="63" s="1"/>
  <c r="K71" i="63" a="1"/>
  <c r="K71" i="63" s="1"/>
  <c r="K135" i="63" s="1"/>
  <c r="J71" i="63" a="1"/>
  <c r="J71" i="63" s="1"/>
  <c r="J135" i="63" s="1"/>
  <c r="I71" i="63" a="1"/>
  <c r="I71" i="63" s="1"/>
  <c r="I135" i="63" s="1"/>
  <c r="H71" i="63" a="1"/>
  <c r="H71" i="63" s="1"/>
  <c r="H135" i="63" s="1"/>
  <c r="G71" i="63" a="1"/>
  <c r="G71" i="63" s="1"/>
  <c r="G135" i="63" s="1"/>
  <c r="F71" i="63" a="1"/>
  <c r="F71" i="63" s="1"/>
  <c r="F135" i="63" s="1"/>
  <c r="E71" i="63" a="1"/>
  <c r="E71" i="63" s="1"/>
  <c r="E135" i="63" s="1"/>
  <c r="D71" i="63" a="1"/>
  <c r="D71" i="63" s="1"/>
  <c r="P70" i="63" a="1"/>
  <c r="P70" i="63" s="1"/>
  <c r="P134" i="63" s="1"/>
  <c r="O70" i="63" a="1"/>
  <c r="O70" i="63" s="1"/>
  <c r="O134" i="63" s="1"/>
  <c r="N70" i="63" a="1"/>
  <c r="N70" i="63" s="1"/>
  <c r="N134" i="63" s="1"/>
  <c r="M70" i="63" a="1"/>
  <c r="M70" i="63" s="1"/>
  <c r="M134" i="63" s="1"/>
  <c r="L70" i="63" a="1"/>
  <c r="L70" i="63" s="1"/>
  <c r="L134" i="63" s="1"/>
  <c r="K70" i="63" a="1"/>
  <c r="K70" i="63" s="1"/>
  <c r="K134" i="63" s="1"/>
  <c r="J70" i="63" a="1"/>
  <c r="J70" i="63" s="1"/>
  <c r="J134" i="63" s="1"/>
  <c r="I70" i="63" a="1"/>
  <c r="I70" i="63" s="1"/>
  <c r="I134" i="63" s="1"/>
  <c r="H70" i="63" a="1"/>
  <c r="H70" i="63" s="1"/>
  <c r="H134" i="63" s="1"/>
  <c r="G70" i="63" a="1"/>
  <c r="G70" i="63" s="1"/>
  <c r="G134" i="63" s="1"/>
  <c r="F70" i="63" a="1"/>
  <c r="F70" i="63" s="1"/>
  <c r="F134" i="63" s="1"/>
  <c r="E70" i="63" a="1"/>
  <c r="E70" i="63" s="1"/>
  <c r="E134" i="63" s="1"/>
  <c r="D70" i="63" a="1"/>
  <c r="D70" i="63" s="1"/>
  <c r="P69" i="63" a="1"/>
  <c r="P69" i="63" s="1"/>
  <c r="P133" i="63" s="1"/>
  <c r="O69" i="63" a="1"/>
  <c r="O69" i="63" s="1"/>
  <c r="O133" i="63" s="1"/>
  <c r="N69" i="63" a="1"/>
  <c r="N69" i="63" s="1"/>
  <c r="N133" i="63" s="1"/>
  <c r="M69" i="63" a="1"/>
  <c r="M69" i="63" s="1"/>
  <c r="M133" i="63" s="1"/>
  <c r="L69" i="63" a="1"/>
  <c r="L69" i="63" s="1"/>
  <c r="L133" i="63" s="1"/>
  <c r="K69" i="63" a="1"/>
  <c r="K69" i="63" s="1"/>
  <c r="K133" i="63" s="1"/>
  <c r="J69" i="63" a="1"/>
  <c r="J69" i="63" s="1"/>
  <c r="J133" i="63" s="1"/>
  <c r="I69" i="63" a="1"/>
  <c r="I69" i="63" s="1"/>
  <c r="I133" i="63" s="1"/>
  <c r="H69" i="63" a="1"/>
  <c r="H69" i="63" s="1"/>
  <c r="H133" i="63" s="1"/>
  <c r="G69" i="63" a="1"/>
  <c r="G69" i="63" s="1"/>
  <c r="G133" i="63" s="1"/>
  <c r="F69" i="63" a="1"/>
  <c r="F69" i="63" s="1"/>
  <c r="F133" i="63" s="1"/>
  <c r="E69" i="63" a="1"/>
  <c r="E69" i="63" s="1"/>
  <c r="E133" i="63" s="1"/>
  <c r="D69" i="63" a="1"/>
  <c r="D69" i="63" s="1"/>
  <c r="P68" i="63" a="1"/>
  <c r="P68" i="63" s="1"/>
  <c r="P132" i="63" s="1"/>
  <c r="O68" i="63" a="1"/>
  <c r="O68" i="63" s="1"/>
  <c r="O132" i="63" s="1"/>
  <c r="N68" i="63" a="1"/>
  <c r="N68" i="63" s="1"/>
  <c r="N132" i="63" s="1"/>
  <c r="M68" i="63" a="1"/>
  <c r="M68" i="63" s="1"/>
  <c r="M132" i="63" s="1"/>
  <c r="L68" i="63" a="1"/>
  <c r="L68" i="63" s="1"/>
  <c r="L132" i="63" s="1"/>
  <c r="K68" i="63" a="1"/>
  <c r="K68" i="63" s="1"/>
  <c r="K132" i="63" s="1"/>
  <c r="J68" i="63" a="1"/>
  <c r="J68" i="63" s="1"/>
  <c r="J132" i="63" s="1"/>
  <c r="I68" i="63" a="1"/>
  <c r="I68" i="63" s="1"/>
  <c r="I132" i="63" s="1"/>
  <c r="H68" i="63" a="1"/>
  <c r="H68" i="63" s="1"/>
  <c r="H132" i="63" s="1"/>
  <c r="G68" i="63" a="1"/>
  <c r="G68" i="63" s="1"/>
  <c r="G132" i="63" s="1"/>
  <c r="F68" i="63" a="1"/>
  <c r="F68" i="63" s="1"/>
  <c r="F132" i="63" s="1"/>
  <c r="E68" i="63" a="1"/>
  <c r="E68" i="63" s="1"/>
  <c r="E132" i="63" s="1"/>
  <c r="D68" i="63" a="1"/>
  <c r="D68" i="63" s="1"/>
  <c r="P67" i="63" a="1"/>
  <c r="P67" i="63" s="1"/>
  <c r="P131" i="63" s="1"/>
  <c r="O67" i="63" a="1"/>
  <c r="O67" i="63" s="1"/>
  <c r="O131" i="63" s="1"/>
  <c r="N67" i="63" a="1"/>
  <c r="N67" i="63" s="1"/>
  <c r="N131" i="63" s="1"/>
  <c r="M67" i="63" a="1"/>
  <c r="M67" i="63" s="1"/>
  <c r="M131" i="63" s="1"/>
  <c r="L67" i="63" a="1"/>
  <c r="L67" i="63" s="1"/>
  <c r="L131" i="63" s="1"/>
  <c r="K67" i="63" a="1"/>
  <c r="K67" i="63" s="1"/>
  <c r="K131" i="63" s="1"/>
  <c r="J67" i="63" a="1"/>
  <c r="J67" i="63" s="1"/>
  <c r="J131" i="63" s="1"/>
  <c r="I67" i="63" a="1"/>
  <c r="I67" i="63" s="1"/>
  <c r="I131" i="63" s="1"/>
  <c r="H67" i="63" a="1"/>
  <c r="H67" i="63" s="1"/>
  <c r="H131" i="63" s="1"/>
  <c r="G67" i="63" a="1"/>
  <c r="G67" i="63" s="1"/>
  <c r="G131" i="63" s="1"/>
  <c r="F67" i="63" a="1"/>
  <c r="F67" i="63" s="1"/>
  <c r="F131" i="63" s="1"/>
  <c r="E67" i="63" a="1"/>
  <c r="E67" i="63" s="1"/>
  <c r="E131" i="63" s="1"/>
  <c r="D67" i="63" a="1"/>
  <c r="D67" i="63" s="1"/>
  <c r="P66" i="63" a="1"/>
  <c r="P66" i="63" s="1"/>
  <c r="P130" i="63" s="1"/>
  <c r="O66" i="63" a="1"/>
  <c r="O66" i="63" s="1"/>
  <c r="O130" i="63" s="1"/>
  <c r="N66" i="63" a="1"/>
  <c r="N66" i="63" s="1"/>
  <c r="N130" i="63" s="1"/>
  <c r="M66" i="63" a="1"/>
  <c r="M66" i="63" s="1"/>
  <c r="M130" i="63" s="1"/>
  <c r="L66" i="63" a="1"/>
  <c r="L66" i="63" s="1"/>
  <c r="L130" i="63" s="1"/>
  <c r="K66" i="63" a="1"/>
  <c r="K66" i="63" s="1"/>
  <c r="K130" i="63" s="1"/>
  <c r="J66" i="63" a="1"/>
  <c r="J66" i="63" s="1"/>
  <c r="J130" i="63" s="1"/>
  <c r="I66" i="63" a="1"/>
  <c r="I66" i="63" s="1"/>
  <c r="I130" i="63" s="1"/>
  <c r="H66" i="63" a="1"/>
  <c r="H66" i="63" s="1"/>
  <c r="H130" i="63" s="1"/>
  <c r="G66" i="63" a="1"/>
  <c r="G66" i="63" s="1"/>
  <c r="G130" i="63" s="1"/>
  <c r="F66" i="63" a="1"/>
  <c r="F66" i="63" s="1"/>
  <c r="F130" i="63" s="1"/>
  <c r="E66" i="63" a="1"/>
  <c r="E66" i="63" s="1"/>
  <c r="E130" i="63" s="1"/>
  <c r="D66" i="63" a="1"/>
  <c r="D66" i="63" s="1"/>
  <c r="P65" i="63" a="1"/>
  <c r="P65" i="63" s="1"/>
  <c r="P129" i="63" s="1"/>
  <c r="O65" i="63" a="1"/>
  <c r="O65" i="63" s="1"/>
  <c r="O129" i="63" s="1"/>
  <c r="N65" i="63" a="1"/>
  <c r="N65" i="63" s="1"/>
  <c r="N129" i="63" s="1"/>
  <c r="M65" i="63" a="1"/>
  <c r="M65" i="63" s="1"/>
  <c r="M129" i="63" s="1"/>
  <c r="L65" i="63" a="1"/>
  <c r="L65" i="63" s="1"/>
  <c r="L129" i="63" s="1"/>
  <c r="K65" i="63" a="1"/>
  <c r="K65" i="63" s="1"/>
  <c r="K129" i="63" s="1"/>
  <c r="J65" i="63" a="1"/>
  <c r="J65" i="63" s="1"/>
  <c r="J129" i="63" s="1"/>
  <c r="I65" i="63" a="1"/>
  <c r="I65" i="63" s="1"/>
  <c r="I129" i="63" s="1"/>
  <c r="H65" i="63" a="1"/>
  <c r="H65" i="63" s="1"/>
  <c r="H129" i="63" s="1"/>
  <c r="G65" i="63" a="1"/>
  <c r="G65" i="63" s="1"/>
  <c r="G129" i="63" s="1"/>
  <c r="F65" i="63" a="1"/>
  <c r="F65" i="63" s="1"/>
  <c r="F129" i="63" s="1"/>
  <c r="E65" i="63" a="1"/>
  <c r="E65" i="63" s="1"/>
  <c r="E129" i="63" s="1"/>
  <c r="D65" i="63" a="1"/>
  <c r="D65" i="63" s="1"/>
  <c r="P64" i="63" a="1"/>
  <c r="P64" i="63" s="1"/>
  <c r="P128" i="63" s="1"/>
  <c r="O64" i="63" a="1"/>
  <c r="O64" i="63" s="1"/>
  <c r="O128" i="63" s="1"/>
  <c r="N64" i="63" a="1"/>
  <c r="N64" i="63" s="1"/>
  <c r="N128" i="63" s="1"/>
  <c r="M64" i="63" a="1"/>
  <c r="M64" i="63" s="1"/>
  <c r="M128" i="63" s="1"/>
  <c r="L64" i="63" a="1"/>
  <c r="L64" i="63" s="1"/>
  <c r="L128" i="63" s="1"/>
  <c r="K64" i="63" a="1"/>
  <c r="K64" i="63" s="1"/>
  <c r="K128" i="63" s="1"/>
  <c r="J64" i="63" a="1"/>
  <c r="J64" i="63" s="1"/>
  <c r="J128" i="63" s="1"/>
  <c r="I64" i="63" a="1"/>
  <c r="I64" i="63" s="1"/>
  <c r="I128" i="63" s="1"/>
  <c r="H64" i="63" a="1"/>
  <c r="H64" i="63" s="1"/>
  <c r="H128" i="63" s="1"/>
  <c r="G64" i="63" a="1"/>
  <c r="G64" i="63" s="1"/>
  <c r="G128" i="63" s="1"/>
  <c r="F64" i="63" a="1"/>
  <c r="F64" i="63" s="1"/>
  <c r="F128" i="63" s="1"/>
  <c r="E64" i="63" a="1"/>
  <c r="E64" i="63" s="1"/>
  <c r="E128" i="63" s="1"/>
  <c r="D64" i="63" a="1"/>
  <c r="D64" i="63" s="1"/>
  <c r="P63" i="63" a="1"/>
  <c r="P63" i="63" s="1"/>
  <c r="P127" i="63" s="1"/>
  <c r="O63" i="63" a="1"/>
  <c r="O63" i="63" s="1"/>
  <c r="O127" i="63" s="1"/>
  <c r="N63" i="63" a="1"/>
  <c r="N63" i="63" s="1"/>
  <c r="N127" i="63" s="1"/>
  <c r="M63" i="63" a="1"/>
  <c r="M63" i="63" s="1"/>
  <c r="M127" i="63" s="1"/>
  <c r="L63" i="63" a="1"/>
  <c r="L63" i="63" s="1"/>
  <c r="L127" i="63" s="1"/>
  <c r="K63" i="63" a="1"/>
  <c r="K63" i="63" s="1"/>
  <c r="K127" i="63" s="1"/>
  <c r="J63" i="63" a="1"/>
  <c r="J63" i="63" s="1"/>
  <c r="J127" i="63" s="1"/>
  <c r="I63" i="63" a="1"/>
  <c r="I63" i="63" s="1"/>
  <c r="I127" i="63" s="1"/>
  <c r="H63" i="63" a="1"/>
  <c r="H63" i="63" s="1"/>
  <c r="H127" i="63" s="1"/>
  <c r="G63" i="63" a="1"/>
  <c r="G63" i="63" s="1"/>
  <c r="G127" i="63" s="1"/>
  <c r="F63" i="63" a="1"/>
  <c r="F63" i="63" s="1"/>
  <c r="F127" i="63" s="1"/>
  <c r="E63" i="63" a="1"/>
  <c r="E63" i="63" s="1"/>
  <c r="E127" i="63" s="1"/>
  <c r="D63" i="63" a="1"/>
  <c r="D63" i="63" s="1"/>
  <c r="P62" i="63" a="1"/>
  <c r="P62" i="63" s="1"/>
  <c r="P126" i="63" s="1"/>
  <c r="O62" i="63" a="1"/>
  <c r="O62" i="63" s="1"/>
  <c r="O126" i="63" s="1"/>
  <c r="N62" i="63" a="1"/>
  <c r="N62" i="63" s="1"/>
  <c r="N126" i="63" s="1"/>
  <c r="M62" i="63" a="1"/>
  <c r="M62" i="63" s="1"/>
  <c r="M126" i="63" s="1"/>
  <c r="L62" i="63" a="1"/>
  <c r="L62" i="63" s="1"/>
  <c r="L126" i="63" s="1"/>
  <c r="K62" i="63" a="1"/>
  <c r="K62" i="63" s="1"/>
  <c r="K126" i="63" s="1"/>
  <c r="J62" i="63" a="1"/>
  <c r="J62" i="63" s="1"/>
  <c r="J126" i="63" s="1"/>
  <c r="I62" i="63" a="1"/>
  <c r="I62" i="63" s="1"/>
  <c r="I126" i="63" s="1"/>
  <c r="H62" i="63" a="1"/>
  <c r="H62" i="63" s="1"/>
  <c r="H126" i="63" s="1"/>
  <c r="G62" i="63" a="1"/>
  <c r="G62" i="63" s="1"/>
  <c r="G126" i="63" s="1"/>
  <c r="F62" i="63" a="1"/>
  <c r="F62" i="63" s="1"/>
  <c r="F126" i="63" s="1"/>
  <c r="E62" i="63" a="1"/>
  <c r="E62" i="63" s="1"/>
  <c r="E126" i="63" s="1"/>
  <c r="D62" i="63" a="1"/>
  <c r="D62" i="63" s="1"/>
  <c r="P61" i="63" a="1"/>
  <c r="P61" i="63" s="1"/>
  <c r="P125" i="63" s="1"/>
  <c r="O61" i="63" a="1"/>
  <c r="O61" i="63" s="1"/>
  <c r="O125" i="63" s="1"/>
  <c r="N61" i="63" a="1"/>
  <c r="N61" i="63" s="1"/>
  <c r="N125" i="63" s="1"/>
  <c r="M61" i="63" a="1"/>
  <c r="M61" i="63" s="1"/>
  <c r="M125" i="63" s="1"/>
  <c r="L61" i="63" a="1"/>
  <c r="L61" i="63" s="1"/>
  <c r="L125" i="63" s="1"/>
  <c r="K61" i="63" a="1"/>
  <c r="K61" i="63" s="1"/>
  <c r="K125" i="63" s="1"/>
  <c r="J61" i="63" a="1"/>
  <c r="J61" i="63" s="1"/>
  <c r="J125" i="63" s="1"/>
  <c r="I61" i="63" a="1"/>
  <c r="I61" i="63" s="1"/>
  <c r="I125" i="63" s="1"/>
  <c r="H61" i="63" a="1"/>
  <c r="H61" i="63" s="1"/>
  <c r="H125" i="63" s="1"/>
  <c r="G61" i="63" a="1"/>
  <c r="G61" i="63" s="1"/>
  <c r="G125" i="63" s="1"/>
  <c r="F61" i="63" a="1"/>
  <c r="F61" i="63" s="1"/>
  <c r="F125" i="63" s="1"/>
  <c r="E61" i="63" a="1"/>
  <c r="E61" i="63" s="1"/>
  <c r="E125" i="63" s="1"/>
  <c r="D61" i="63" a="1"/>
  <c r="D61" i="63" s="1"/>
  <c r="P60" i="63" a="1"/>
  <c r="P60" i="63" s="1"/>
  <c r="P124" i="63" s="1"/>
  <c r="O60" i="63" a="1"/>
  <c r="O60" i="63" s="1"/>
  <c r="O124" i="63" s="1"/>
  <c r="N60" i="63" a="1"/>
  <c r="N60" i="63" s="1"/>
  <c r="N124" i="63" s="1"/>
  <c r="M60" i="63" a="1"/>
  <c r="M60" i="63" s="1"/>
  <c r="M124" i="63" s="1"/>
  <c r="L60" i="63" a="1"/>
  <c r="L60" i="63" s="1"/>
  <c r="L124" i="63" s="1"/>
  <c r="K60" i="63" a="1"/>
  <c r="K60" i="63" s="1"/>
  <c r="K124" i="63" s="1"/>
  <c r="J60" i="63" a="1"/>
  <c r="J60" i="63" s="1"/>
  <c r="J124" i="63" s="1"/>
  <c r="I60" i="63" a="1"/>
  <c r="I60" i="63" s="1"/>
  <c r="I124" i="63" s="1"/>
  <c r="H60" i="63" a="1"/>
  <c r="H60" i="63" s="1"/>
  <c r="H124" i="63" s="1"/>
  <c r="G60" i="63" a="1"/>
  <c r="G60" i="63" s="1"/>
  <c r="G124" i="63" s="1"/>
  <c r="F60" i="63" a="1"/>
  <c r="F60" i="63" s="1"/>
  <c r="F124" i="63" s="1"/>
  <c r="E60" i="63" a="1"/>
  <c r="E60" i="63" s="1"/>
  <c r="E124" i="63" s="1"/>
  <c r="D60" i="63" a="1"/>
  <c r="D60" i="63" s="1"/>
  <c r="P59" i="63" a="1"/>
  <c r="P59" i="63" s="1"/>
  <c r="P123" i="63" s="1"/>
  <c r="O59" i="63" a="1"/>
  <c r="O59" i="63" s="1"/>
  <c r="O123" i="63" s="1"/>
  <c r="N59" i="63" a="1"/>
  <c r="N59" i="63" s="1"/>
  <c r="N123" i="63" s="1"/>
  <c r="M59" i="63" a="1"/>
  <c r="M59" i="63" s="1"/>
  <c r="M123" i="63" s="1"/>
  <c r="L59" i="63" a="1"/>
  <c r="L59" i="63" s="1"/>
  <c r="L123" i="63" s="1"/>
  <c r="K59" i="63" a="1"/>
  <c r="K59" i="63" s="1"/>
  <c r="K123" i="63" s="1"/>
  <c r="J59" i="63" a="1"/>
  <c r="J59" i="63" s="1"/>
  <c r="J123" i="63" s="1"/>
  <c r="I59" i="63" a="1"/>
  <c r="I59" i="63" s="1"/>
  <c r="I123" i="63" s="1"/>
  <c r="H59" i="63" a="1"/>
  <c r="H59" i="63" s="1"/>
  <c r="H123" i="63" s="1"/>
  <c r="G59" i="63" a="1"/>
  <c r="G59" i="63" s="1"/>
  <c r="G123" i="63" s="1"/>
  <c r="F59" i="63" a="1"/>
  <c r="F59" i="63" s="1"/>
  <c r="F123" i="63" s="1"/>
  <c r="E59" i="63" a="1"/>
  <c r="E59" i="63" s="1"/>
  <c r="E123" i="63" s="1"/>
  <c r="D59" i="63" a="1"/>
  <c r="D59" i="63" s="1"/>
  <c r="P58" i="63" a="1"/>
  <c r="P58" i="63" s="1"/>
  <c r="P122" i="63" s="1"/>
  <c r="O58" i="63" a="1"/>
  <c r="O58" i="63" s="1"/>
  <c r="O122" i="63" s="1"/>
  <c r="N58" i="63" a="1"/>
  <c r="N58" i="63" s="1"/>
  <c r="N122" i="63" s="1"/>
  <c r="M58" i="63" a="1"/>
  <c r="M58" i="63" s="1"/>
  <c r="M122" i="63" s="1"/>
  <c r="L58" i="63" a="1"/>
  <c r="L58" i="63" s="1"/>
  <c r="L122" i="63" s="1"/>
  <c r="K58" i="63" a="1"/>
  <c r="K58" i="63" s="1"/>
  <c r="K122" i="63" s="1"/>
  <c r="J58" i="63" a="1"/>
  <c r="J58" i="63" s="1"/>
  <c r="J122" i="63" s="1"/>
  <c r="I58" i="63" a="1"/>
  <c r="I58" i="63" s="1"/>
  <c r="I122" i="63" s="1"/>
  <c r="H58" i="63" a="1"/>
  <c r="H58" i="63" s="1"/>
  <c r="H122" i="63" s="1"/>
  <c r="G58" i="63" a="1"/>
  <c r="G58" i="63" s="1"/>
  <c r="G122" i="63" s="1"/>
  <c r="F58" i="63" a="1"/>
  <c r="F58" i="63" s="1"/>
  <c r="F122" i="63" s="1"/>
  <c r="E58" i="63" a="1"/>
  <c r="E58" i="63" s="1"/>
  <c r="E122" i="63" s="1"/>
  <c r="D58" i="63" a="1"/>
  <c r="D58" i="63" s="1"/>
  <c r="P57" i="63" a="1"/>
  <c r="P57" i="63" s="1"/>
  <c r="P121" i="63" s="1"/>
  <c r="O57" i="63" a="1"/>
  <c r="O57" i="63" s="1"/>
  <c r="O121" i="63" s="1"/>
  <c r="N57" i="63" a="1"/>
  <c r="N57" i="63" s="1"/>
  <c r="N121" i="63" s="1"/>
  <c r="M57" i="63" a="1"/>
  <c r="M57" i="63" s="1"/>
  <c r="M121" i="63" s="1"/>
  <c r="L57" i="63" a="1"/>
  <c r="L57" i="63" s="1"/>
  <c r="L121" i="63" s="1"/>
  <c r="K57" i="63" a="1"/>
  <c r="K57" i="63" s="1"/>
  <c r="K121" i="63" s="1"/>
  <c r="J57" i="63" a="1"/>
  <c r="J57" i="63" s="1"/>
  <c r="J121" i="63" s="1"/>
  <c r="I57" i="63" a="1"/>
  <c r="I57" i="63" s="1"/>
  <c r="I121" i="63" s="1"/>
  <c r="H57" i="63" a="1"/>
  <c r="H57" i="63" s="1"/>
  <c r="H121" i="63" s="1"/>
  <c r="G57" i="63" a="1"/>
  <c r="G57" i="63" s="1"/>
  <c r="G121" i="63" s="1"/>
  <c r="F57" i="63" a="1"/>
  <c r="F57" i="63" s="1"/>
  <c r="F121" i="63" s="1"/>
  <c r="E57" i="63" a="1"/>
  <c r="E57" i="63" s="1"/>
  <c r="E121" i="63" s="1"/>
  <c r="D57" i="63" a="1"/>
  <c r="D57" i="63" s="1"/>
  <c r="P56" i="63" a="1"/>
  <c r="P56" i="63" s="1"/>
  <c r="P120" i="63" s="1"/>
  <c r="O56" i="63" a="1"/>
  <c r="O56" i="63" s="1"/>
  <c r="O120" i="63" s="1"/>
  <c r="N56" i="63" a="1"/>
  <c r="N56" i="63" s="1"/>
  <c r="N120" i="63" s="1"/>
  <c r="M56" i="63" a="1"/>
  <c r="M56" i="63" s="1"/>
  <c r="M120" i="63" s="1"/>
  <c r="L56" i="63" a="1"/>
  <c r="L56" i="63" s="1"/>
  <c r="L120" i="63" s="1"/>
  <c r="K56" i="63" a="1"/>
  <c r="K56" i="63" s="1"/>
  <c r="K120" i="63" s="1"/>
  <c r="J56" i="63" a="1"/>
  <c r="J56" i="63" s="1"/>
  <c r="J120" i="63" s="1"/>
  <c r="I56" i="63" a="1"/>
  <c r="I56" i="63" s="1"/>
  <c r="I120" i="63" s="1"/>
  <c r="H56" i="63" a="1"/>
  <c r="H56" i="63" s="1"/>
  <c r="H120" i="63" s="1"/>
  <c r="G56" i="63" a="1"/>
  <c r="G56" i="63" s="1"/>
  <c r="G120" i="63" s="1"/>
  <c r="F56" i="63" a="1"/>
  <c r="F56" i="63" s="1"/>
  <c r="F120" i="63" s="1"/>
  <c r="E56" i="63" a="1"/>
  <c r="E56" i="63" s="1"/>
  <c r="E120" i="63" s="1"/>
  <c r="D56" i="63" a="1"/>
  <c r="D56" i="63" s="1"/>
  <c r="P55" i="63" a="1"/>
  <c r="P55" i="63" s="1"/>
  <c r="P119" i="63" s="1"/>
  <c r="O55" i="63" a="1"/>
  <c r="O55" i="63" s="1"/>
  <c r="O119" i="63" s="1"/>
  <c r="N55" i="63" a="1"/>
  <c r="N55" i="63" s="1"/>
  <c r="N119" i="63" s="1"/>
  <c r="M55" i="63" a="1"/>
  <c r="M55" i="63" s="1"/>
  <c r="M119" i="63" s="1"/>
  <c r="L55" i="63" a="1"/>
  <c r="L55" i="63" s="1"/>
  <c r="L119" i="63" s="1"/>
  <c r="K55" i="63" a="1"/>
  <c r="K55" i="63" s="1"/>
  <c r="K119" i="63" s="1"/>
  <c r="J55" i="63" a="1"/>
  <c r="J55" i="63" s="1"/>
  <c r="J119" i="63" s="1"/>
  <c r="I55" i="63" a="1"/>
  <c r="I55" i="63" s="1"/>
  <c r="I119" i="63" s="1"/>
  <c r="H55" i="63" a="1"/>
  <c r="H55" i="63" s="1"/>
  <c r="H119" i="63" s="1"/>
  <c r="G55" i="63" a="1"/>
  <c r="G55" i="63" s="1"/>
  <c r="G119" i="63" s="1"/>
  <c r="F55" i="63" a="1"/>
  <c r="F55" i="63" s="1"/>
  <c r="F119" i="63" s="1"/>
  <c r="E55" i="63" a="1"/>
  <c r="E55" i="63" s="1"/>
  <c r="E119" i="63" s="1"/>
  <c r="D55" i="63" a="1"/>
  <c r="D55" i="63" s="1"/>
  <c r="P54" i="63" a="1"/>
  <c r="P54" i="63" s="1"/>
  <c r="P118" i="63" s="1"/>
  <c r="O54" i="63" a="1"/>
  <c r="O54" i="63" s="1"/>
  <c r="O118" i="63" s="1"/>
  <c r="N54" i="63" a="1"/>
  <c r="N54" i="63" s="1"/>
  <c r="N118" i="63" s="1"/>
  <c r="M54" i="63" a="1"/>
  <c r="M54" i="63" s="1"/>
  <c r="M118" i="63" s="1"/>
  <c r="L54" i="63" a="1"/>
  <c r="L54" i="63" s="1"/>
  <c r="L118" i="63" s="1"/>
  <c r="K54" i="63" a="1"/>
  <c r="K54" i="63" s="1"/>
  <c r="K118" i="63" s="1"/>
  <c r="J54" i="63" a="1"/>
  <c r="J54" i="63" s="1"/>
  <c r="J118" i="63" s="1"/>
  <c r="I54" i="63" a="1"/>
  <c r="I54" i="63" s="1"/>
  <c r="I118" i="63" s="1"/>
  <c r="H54" i="63" a="1"/>
  <c r="H54" i="63" s="1"/>
  <c r="H118" i="63" s="1"/>
  <c r="G54" i="63" a="1"/>
  <c r="G54" i="63" s="1"/>
  <c r="G118" i="63" s="1"/>
  <c r="F54" i="63" a="1"/>
  <c r="F54" i="63" s="1"/>
  <c r="F118" i="63" s="1"/>
  <c r="E54" i="63" a="1"/>
  <c r="E54" i="63" s="1"/>
  <c r="E118" i="63" s="1"/>
  <c r="D54" i="63" a="1"/>
  <c r="D54" i="63" s="1"/>
  <c r="D52" i="63" a="1"/>
  <c r="D52" i="63" s="1"/>
  <c r="D51" i="63" a="1"/>
  <c r="D51" i="63" s="1"/>
  <c r="D50" i="63" a="1"/>
  <c r="D50" i="63" s="1"/>
  <c r="D49" i="63" a="1"/>
  <c r="D49" i="63" s="1"/>
  <c r="M46" i="63" a="1"/>
  <c r="M46" i="63" s="1"/>
  <c r="L46" i="63" a="1"/>
  <c r="L46" i="63" s="1"/>
  <c r="M117" i="63" s="1"/>
  <c r="K46" i="63" a="1"/>
  <c r="K46" i="63" s="1"/>
  <c r="L117" i="63" s="1"/>
  <c r="J46" i="63" a="1"/>
  <c r="J46" i="63" s="1"/>
  <c r="J117" i="63" s="1"/>
  <c r="I46" i="63" a="1"/>
  <c r="I46" i="63" s="1"/>
  <c r="I117" i="63" s="1"/>
  <c r="H46" i="63" a="1"/>
  <c r="H46" i="63" s="1"/>
  <c r="H117" i="63" s="1"/>
  <c r="G46" i="63" a="1"/>
  <c r="G46" i="63" s="1"/>
  <c r="G117" i="63" s="1"/>
  <c r="F46" i="63" a="1"/>
  <c r="F46" i="63" s="1"/>
  <c r="F117" i="63" s="1"/>
  <c r="E46" i="63" a="1"/>
  <c r="E46" i="63" s="1"/>
  <c r="E117" i="63" s="1"/>
  <c r="D46" i="63" a="1"/>
  <c r="D46" i="63" s="1"/>
  <c r="M45" i="63" a="1"/>
  <c r="M45" i="63" s="1"/>
  <c r="O116" i="63" s="1"/>
  <c r="L45" i="63" a="1"/>
  <c r="L45" i="63" s="1"/>
  <c r="M116" i="63" s="1"/>
  <c r="K45" i="63" a="1"/>
  <c r="K45" i="63" s="1"/>
  <c r="J45" i="63" a="1"/>
  <c r="J45" i="63" s="1"/>
  <c r="J116" i="63" s="1"/>
  <c r="I45" i="63" a="1"/>
  <c r="I45" i="63" s="1"/>
  <c r="I116" i="63" s="1"/>
  <c r="H45" i="63" a="1"/>
  <c r="H45" i="63" s="1"/>
  <c r="H116" i="63" s="1"/>
  <c r="G45" i="63" a="1"/>
  <c r="G45" i="63" s="1"/>
  <c r="G116" i="63" s="1"/>
  <c r="F45" i="63" a="1"/>
  <c r="F45" i="63" s="1"/>
  <c r="F116" i="63" s="1"/>
  <c r="E45" i="63" a="1"/>
  <c r="E45" i="63" s="1"/>
  <c r="E116" i="63" s="1"/>
  <c r="D45" i="63" a="1"/>
  <c r="D45" i="63" s="1"/>
  <c r="M44" i="63" a="1"/>
  <c r="M44" i="63" s="1"/>
  <c r="L44" i="63" a="1"/>
  <c r="L44" i="63" s="1"/>
  <c r="M115" i="63" s="1"/>
  <c r="K44" i="63" a="1"/>
  <c r="K44" i="63" s="1"/>
  <c r="J44" i="63" a="1"/>
  <c r="J44" i="63" s="1"/>
  <c r="J115" i="63" s="1"/>
  <c r="I44" i="63" a="1"/>
  <c r="I44" i="63" s="1"/>
  <c r="I115" i="63" s="1"/>
  <c r="H44" i="63" a="1"/>
  <c r="H44" i="63" s="1"/>
  <c r="H115" i="63" s="1"/>
  <c r="G44" i="63" a="1"/>
  <c r="G44" i="63" s="1"/>
  <c r="G115" i="63" s="1"/>
  <c r="F44" i="63" a="1"/>
  <c r="F44" i="63" s="1"/>
  <c r="F115" i="63" s="1"/>
  <c r="E44" i="63" a="1"/>
  <c r="E44" i="63" s="1"/>
  <c r="E115" i="63" s="1"/>
  <c r="D44" i="63" a="1"/>
  <c r="D44" i="63" s="1"/>
  <c r="M43" i="63" a="1"/>
  <c r="M43" i="63" s="1"/>
  <c r="O114" i="63" s="1"/>
  <c r="L43" i="63" a="1"/>
  <c r="L43" i="63" s="1"/>
  <c r="M114" i="63" s="1"/>
  <c r="K43" i="63" a="1"/>
  <c r="K43" i="63" s="1"/>
  <c r="J43" i="63" a="1"/>
  <c r="J43" i="63" s="1"/>
  <c r="J114" i="63" s="1"/>
  <c r="I43" i="63" a="1"/>
  <c r="I43" i="63" s="1"/>
  <c r="I114" i="63" s="1"/>
  <c r="H43" i="63" a="1"/>
  <c r="H43" i="63" s="1"/>
  <c r="H114" i="63" s="1"/>
  <c r="G43" i="63" a="1"/>
  <c r="G43" i="63" s="1"/>
  <c r="G114" i="63" s="1"/>
  <c r="F43" i="63" a="1"/>
  <c r="F43" i="63" s="1"/>
  <c r="F114" i="63" s="1"/>
  <c r="E43" i="63" a="1"/>
  <c r="E43" i="63" s="1"/>
  <c r="E114" i="63" s="1"/>
  <c r="D43" i="63" a="1"/>
  <c r="D43" i="63" s="1"/>
  <c r="M42" i="63" a="1"/>
  <c r="M42" i="63" s="1"/>
  <c r="L42" i="63" a="1"/>
  <c r="L42" i="63" s="1"/>
  <c r="M113" i="63" s="1"/>
  <c r="K42" i="63" a="1"/>
  <c r="K42" i="63" s="1"/>
  <c r="J42" i="63" a="1"/>
  <c r="J42" i="63" s="1"/>
  <c r="J113" i="63" s="1"/>
  <c r="I42" i="63" a="1"/>
  <c r="I42" i="63" s="1"/>
  <c r="I113" i="63" s="1"/>
  <c r="H42" i="63" a="1"/>
  <c r="H42" i="63" s="1"/>
  <c r="H113" i="63" s="1"/>
  <c r="G42" i="63" a="1"/>
  <c r="G42" i="63" s="1"/>
  <c r="G113" i="63" s="1"/>
  <c r="F42" i="63" a="1"/>
  <c r="F42" i="63" s="1"/>
  <c r="F113" i="63" s="1"/>
  <c r="E42" i="63" a="1"/>
  <c r="E42" i="63" s="1"/>
  <c r="E113" i="63" s="1"/>
  <c r="D42" i="63" a="1"/>
  <c r="D42" i="63" s="1"/>
  <c r="M41" i="63" a="1"/>
  <c r="M41" i="63" s="1"/>
  <c r="L41" i="63" a="1"/>
  <c r="L41" i="63" s="1"/>
  <c r="M112" i="63" s="1"/>
  <c r="K41" i="63" a="1"/>
  <c r="K41" i="63" s="1"/>
  <c r="L112" i="63" s="1"/>
  <c r="J41" i="63" a="1"/>
  <c r="J41" i="63" s="1"/>
  <c r="J112" i="63" s="1"/>
  <c r="I41" i="63" a="1"/>
  <c r="I41" i="63" s="1"/>
  <c r="I112" i="63" s="1"/>
  <c r="H41" i="63" a="1"/>
  <c r="H41" i="63" s="1"/>
  <c r="H112" i="63" s="1"/>
  <c r="G41" i="63" a="1"/>
  <c r="G41" i="63" s="1"/>
  <c r="G112" i="63" s="1"/>
  <c r="F41" i="63" a="1"/>
  <c r="F41" i="63" s="1"/>
  <c r="F112" i="63" s="1"/>
  <c r="E41" i="63" a="1"/>
  <c r="E41" i="63" s="1"/>
  <c r="E112" i="63" s="1"/>
  <c r="D41" i="63" a="1"/>
  <c r="D41" i="63" s="1"/>
  <c r="M40" i="63" a="1"/>
  <c r="M40" i="63" s="1"/>
  <c r="L40" i="63" a="1"/>
  <c r="L40" i="63" s="1"/>
  <c r="M111" i="63" s="1"/>
  <c r="K40" i="63" a="1"/>
  <c r="K40" i="63" s="1"/>
  <c r="J40" i="63" a="1"/>
  <c r="J40" i="63" s="1"/>
  <c r="J111" i="63" s="1"/>
  <c r="I40" i="63" a="1"/>
  <c r="I40" i="63" s="1"/>
  <c r="I111" i="63" s="1"/>
  <c r="H40" i="63" a="1"/>
  <c r="H40" i="63" s="1"/>
  <c r="H111" i="63" s="1"/>
  <c r="G40" i="63" a="1"/>
  <c r="G40" i="63" s="1"/>
  <c r="G111" i="63" s="1"/>
  <c r="F40" i="63" a="1"/>
  <c r="F40" i="63" s="1"/>
  <c r="F111" i="63" s="1"/>
  <c r="E40" i="63" a="1"/>
  <c r="E40" i="63" s="1"/>
  <c r="E111" i="63" s="1"/>
  <c r="D40" i="63" a="1"/>
  <c r="D40" i="63" s="1"/>
  <c r="M39" i="63" a="1"/>
  <c r="M39" i="63" s="1"/>
  <c r="L39" i="63" a="1"/>
  <c r="L39" i="63" s="1"/>
  <c r="M110" i="63" s="1"/>
  <c r="K39" i="63" a="1"/>
  <c r="K39" i="63" s="1"/>
  <c r="L110" i="63" s="1"/>
  <c r="J39" i="63" a="1"/>
  <c r="J39" i="63" s="1"/>
  <c r="J110" i="63" s="1"/>
  <c r="I39" i="63" a="1"/>
  <c r="I39" i="63" s="1"/>
  <c r="I110" i="63" s="1"/>
  <c r="H39" i="63" a="1"/>
  <c r="H39" i="63" s="1"/>
  <c r="H110" i="63" s="1"/>
  <c r="G39" i="63" a="1"/>
  <c r="G39" i="63" s="1"/>
  <c r="G110" i="63" s="1"/>
  <c r="F39" i="63" a="1"/>
  <c r="F39" i="63" s="1"/>
  <c r="F110" i="63" s="1"/>
  <c r="E39" i="63" a="1"/>
  <c r="E39" i="63" s="1"/>
  <c r="E110" i="63" s="1"/>
  <c r="D39" i="63" a="1"/>
  <c r="D39" i="63" s="1"/>
  <c r="M38" i="63" a="1"/>
  <c r="M38" i="63" s="1"/>
  <c r="O109" i="63" s="1"/>
  <c r="L38" i="63" a="1"/>
  <c r="L38" i="63" s="1"/>
  <c r="M109" i="63" s="1"/>
  <c r="K38" i="63" a="1"/>
  <c r="K38" i="63" s="1"/>
  <c r="L109" i="63" s="1"/>
  <c r="J38" i="63" a="1"/>
  <c r="J38" i="63" s="1"/>
  <c r="J109" i="63" s="1"/>
  <c r="I38" i="63" a="1"/>
  <c r="I38" i="63" s="1"/>
  <c r="I109" i="63" s="1"/>
  <c r="H38" i="63" a="1"/>
  <c r="H38" i="63" s="1"/>
  <c r="H109" i="63" s="1"/>
  <c r="G38" i="63" a="1"/>
  <c r="G38" i="63" s="1"/>
  <c r="G109" i="63" s="1"/>
  <c r="F38" i="63" a="1"/>
  <c r="F38" i="63" s="1"/>
  <c r="F109" i="63" s="1"/>
  <c r="E38" i="63" a="1"/>
  <c r="E38" i="63" s="1"/>
  <c r="E109" i="63" s="1"/>
  <c r="D38" i="63" a="1"/>
  <c r="D38" i="63" s="1"/>
  <c r="M37" i="63" a="1"/>
  <c r="M37" i="63" s="1"/>
  <c r="L37" i="63" a="1"/>
  <c r="L37" i="63" s="1"/>
  <c r="M108" i="63" s="1"/>
  <c r="K37" i="63" a="1"/>
  <c r="K37" i="63" s="1"/>
  <c r="J37" i="63" a="1"/>
  <c r="J37" i="63" s="1"/>
  <c r="J108" i="63" s="1"/>
  <c r="I37" i="63" a="1"/>
  <c r="I37" i="63" s="1"/>
  <c r="I108" i="63" s="1"/>
  <c r="H37" i="63" a="1"/>
  <c r="H37" i="63" s="1"/>
  <c r="H108" i="63" s="1"/>
  <c r="G37" i="63" a="1"/>
  <c r="G37" i="63" s="1"/>
  <c r="G108" i="63" s="1"/>
  <c r="F37" i="63" a="1"/>
  <c r="F37" i="63" s="1"/>
  <c r="F108" i="63" s="1"/>
  <c r="E37" i="63" a="1"/>
  <c r="E37" i="63" s="1"/>
  <c r="E108" i="63" s="1"/>
  <c r="D37" i="63" a="1"/>
  <c r="D37" i="63" s="1"/>
  <c r="M36" i="63" a="1"/>
  <c r="M36" i="63" s="1"/>
  <c r="L36" i="63" a="1"/>
  <c r="L36" i="63" s="1"/>
  <c r="M107" i="63" s="1"/>
  <c r="K36" i="63" a="1"/>
  <c r="K36" i="63" s="1"/>
  <c r="J36" i="63" a="1"/>
  <c r="J36" i="63" s="1"/>
  <c r="J107" i="63" s="1"/>
  <c r="I36" i="63" a="1"/>
  <c r="I36" i="63" s="1"/>
  <c r="I107" i="63" s="1"/>
  <c r="H36" i="63" a="1"/>
  <c r="H36" i="63" s="1"/>
  <c r="H107" i="63" s="1"/>
  <c r="G36" i="63" a="1"/>
  <c r="G36" i="63" s="1"/>
  <c r="G107" i="63" s="1"/>
  <c r="F36" i="63" a="1"/>
  <c r="F36" i="63" s="1"/>
  <c r="F107" i="63" s="1"/>
  <c r="E36" i="63" a="1"/>
  <c r="E36" i="63" s="1"/>
  <c r="E107" i="63" s="1"/>
  <c r="D36" i="63" a="1"/>
  <c r="D36" i="63" s="1"/>
  <c r="M35" i="63" a="1"/>
  <c r="M35" i="63" s="1"/>
  <c r="O106" i="63" s="1"/>
  <c r="L35" i="63" a="1"/>
  <c r="L35" i="63" s="1"/>
  <c r="M106" i="63" s="1"/>
  <c r="K35" i="63" a="1"/>
  <c r="K35" i="63" s="1"/>
  <c r="J35" i="63" a="1"/>
  <c r="J35" i="63" s="1"/>
  <c r="J106" i="63" s="1"/>
  <c r="I35" i="63" a="1"/>
  <c r="I35" i="63" s="1"/>
  <c r="I106" i="63" s="1"/>
  <c r="H35" i="63" a="1"/>
  <c r="H35" i="63" s="1"/>
  <c r="H106" i="63" s="1"/>
  <c r="G35" i="63" a="1"/>
  <c r="G35" i="63" s="1"/>
  <c r="G106" i="63" s="1"/>
  <c r="F35" i="63" a="1"/>
  <c r="F35" i="63" s="1"/>
  <c r="E35" i="63" a="1"/>
  <c r="E35" i="63" s="1"/>
  <c r="E106" i="63" s="1"/>
  <c r="D35" i="63" a="1"/>
  <c r="D35" i="63" s="1"/>
  <c r="M34" i="63" a="1"/>
  <c r="M34" i="63" s="1"/>
  <c r="L34" i="63" a="1"/>
  <c r="L34" i="63" s="1"/>
  <c r="M105" i="63" s="1"/>
  <c r="K34" i="63" a="1"/>
  <c r="K34" i="63" s="1"/>
  <c r="L105" i="63" s="1"/>
  <c r="J34" i="63" a="1"/>
  <c r="J34" i="63" s="1"/>
  <c r="J105" i="63" s="1"/>
  <c r="I34" i="63" a="1"/>
  <c r="I34" i="63" s="1"/>
  <c r="I105" i="63" s="1"/>
  <c r="H34" i="63" a="1"/>
  <c r="H34" i="63" s="1"/>
  <c r="H105" i="63" s="1"/>
  <c r="G34" i="63" a="1"/>
  <c r="G34" i="63" s="1"/>
  <c r="G105" i="63" s="1"/>
  <c r="F34" i="63" a="1"/>
  <c r="F34" i="63" s="1"/>
  <c r="E34" i="63" a="1"/>
  <c r="E34" i="63" s="1"/>
  <c r="D34" i="63" a="1"/>
  <c r="D34" i="63" s="1"/>
  <c r="M33" i="63" a="1"/>
  <c r="M33" i="63" s="1"/>
  <c r="L33" i="63" a="1"/>
  <c r="L33" i="63" s="1"/>
  <c r="M104" i="63" s="1"/>
  <c r="K33" i="63" a="1"/>
  <c r="K33" i="63" s="1"/>
  <c r="J33" i="63" a="1"/>
  <c r="J33" i="63" s="1"/>
  <c r="J104" i="63" s="1"/>
  <c r="I33" i="63" a="1"/>
  <c r="I33" i="63" s="1"/>
  <c r="I104" i="63" s="1"/>
  <c r="H33" i="63" a="1"/>
  <c r="H33" i="63" s="1"/>
  <c r="H104" i="63" s="1"/>
  <c r="G33" i="63" a="1"/>
  <c r="G33" i="63" s="1"/>
  <c r="G104" i="63" s="1"/>
  <c r="F33" i="63" a="1"/>
  <c r="F33" i="63" s="1"/>
  <c r="E33" i="63" a="1"/>
  <c r="E33" i="63" s="1"/>
  <c r="D33" i="63" a="1"/>
  <c r="D33" i="63" s="1"/>
  <c r="M32" i="63" a="1"/>
  <c r="M32" i="63" s="1"/>
  <c r="L32" i="63" a="1"/>
  <c r="L32" i="63" s="1"/>
  <c r="M103" i="63" s="1"/>
  <c r="K32" i="63" a="1"/>
  <c r="K32" i="63" s="1"/>
  <c r="J32" i="63" a="1"/>
  <c r="J32" i="63" s="1"/>
  <c r="J103" i="63" s="1"/>
  <c r="I32" i="63" a="1"/>
  <c r="I32" i="63" s="1"/>
  <c r="I103" i="63" s="1"/>
  <c r="H32" i="63" a="1"/>
  <c r="H32" i="63" s="1"/>
  <c r="H103" i="63" s="1"/>
  <c r="G32" i="63" a="1"/>
  <c r="G32" i="63" s="1"/>
  <c r="G103" i="63" s="1"/>
  <c r="F32" i="63" a="1"/>
  <c r="F32" i="63" s="1"/>
  <c r="E32" i="63" a="1"/>
  <c r="E32" i="63" s="1"/>
  <c r="D32" i="63" a="1"/>
  <c r="D32" i="63" s="1"/>
  <c r="M31" i="63" a="1"/>
  <c r="M31" i="63" s="1"/>
  <c r="L31" i="63" a="1"/>
  <c r="L31" i="63" s="1"/>
  <c r="M102" i="63" s="1"/>
  <c r="K31" i="63" a="1"/>
  <c r="K31" i="63" s="1"/>
  <c r="L102" i="63" s="1"/>
  <c r="J31" i="63" a="1"/>
  <c r="J31" i="63" s="1"/>
  <c r="J102" i="63" s="1"/>
  <c r="I31" i="63" a="1"/>
  <c r="I31" i="63" s="1"/>
  <c r="I102" i="63" s="1"/>
  <c r="H31" i="63" a="1"/>
  <c r="H31" i="63" s="1"/>
  <c r="H102" i="63" s="1"/>
  <c r="G31" i="63" a="1"/>
  <c r="G31" i="63" s="1"/>
  <c r="G102" i="63" s="1"/>
  <c r="F31" i="63" a="1"/>
  <c r="F31" i="63" s="1"/>
  <c r="F98" i="63" s="1"/>
  <c r="E31" i="63" a="1"/>
  <c r="E31" i="63" s="1"/>
  <c r="D31" i="63" a="1"/>
  <c r="D31" i="63" s="1"/>
  <c r="M30" i="63" a="1"/>
  <c r="M30" i="63" s="1"/>
  <c r="L30" i="63" a="1"/>
  <c r="L30" i="63" s="1"/>
  <c r="M101" i="63" s="1"/>
  <c r="K30" i="63" a="1"/>
  <c r="K30" i="63" s="1"/>
  <c r="J30" i="63" a="1"/>
  <c r="J30" i="63" s="1"/>
  <c r="J101" i="63" s="1"/>
  <c r="I30" i="63" a="1"/>
  <c r="I30" i="63" s="1"/>
  <c r="I101" i="63" s="1"/>
  <c r="H30" i="63" a="1"/>
  <c r="H30" i="63" s="1"/>
  <c r="H101" i="63" s="1"/>
  <c r="G30" i="63" a="1"/>
  <c r="G30" i="63" s="1"/>
  <c r="G101" i="63" s="1"/>
  <c r="F30" i="63" a="1"/>
  <c r="F30" i="63" s="1"/>
  <c r="E30" i="63" a="1"/>
  <c r="E30" i="63" s="1"/>
  <c r="D30" i="63" a="1"/>
  <c r="D30" i="63" s="1"/>
  <c r="M29" i="63" a="1"/>
  <c r="M29" i="63" s="1"/>
  <c r="L29" i="63" a="1"/>
  <c r="L29" i="63" s="1"/>
  <c r="M100" i="63" s="1"/>
  <c r="K29" i="63" a="1"/>
  <c r="K29" i="63" s="1"/>
  <c r="J29" i="63" a="1"/>
  <c r="J29" i="63" s="1"/>
  <c r="J100" i="63" s="1"/>
  <c r="I29" i="63" a="1"/>
  <c r="I29" i="63" s="1"/>
  <c r="I100" i="63" s="1"/>
  <c r="H29" i="63" a="1"/>
  <c r="H29" i="63" s="1"/>
  <c r="H100" i="63" s="1"/>
  <c r="G29" i="63" a="1"/>
  <c r="G29" i="63" s="1"/>
  <c r="G100" i="63" s="1"/>
  <c r="F29" i="63" a="1"/>
  <c r="F29" i="63" s="1"/>
  <c r="E29" i="63" a="1"/>
  <c r="E29" i="63" s="1"/>
  <c r="D29" i="63" a="1"/>
  <c r="D29" i="63" s="1"/>
  <c r="M28" i="63" a="1"/>
  <c r="M28" i="63" s="1"/>
  <c r="O99" i="63" s="1"/>
  <c r="L28" i="63" a="1"/>
  <c r="L28" i="63" s="1"/>
  <c r="M99" i="63" s="1"/>
  <c r="K28" i="63" a="1"/>
  <c r="K28" i="63" s="1"/>
  <c r="K99" i="63" s="1"/>
  <c r="J28" i="63" a="1"/>
  <c r="J28" i="63" s="1"/>
  <c r="J99" i="63" s="1"/>
  <c r="I28" i="63" a="1"/>
  <c r="I28" i="63" s="1"/>
  <c r="I99" i="63" s="1"/>
  <c r="H28" i="63" a="1"/>
  <c r="H28" i="63" s="1"/>
  <c r="H99" i="63" s="1"/>
  <c r="G28" i="63" a="1"/>
  <c r="G28" i="63" s="1"/>
  <c r="G99" i="63" s="1"/>
  <c r="F28" i="63" a="1"/>
  <c r="F28" i="63" s="1"/>
  <c r="E28" i="63" a="1"/>
  <c r="E28" i="63" s="1"/>
  <c r="D28" i="63" a="1"/>
  <c r="D28" i="63" s="1"/>
  <c r="M27" i="63" a="1"/>
  <c r="M27" i="63" s="1"/>
  <c r="L27" i="63" a="1"/>
  <c r="L27" i="63" s="1"/>
  <c r="M98" i="63" s="1"/>
  <c r="K27" i="63" a="1"/>
  <c r="K27" i="63" s="1"/>
  <c r="L98" i="63" s="1"/>
  <c r="J27" i="63" a="1"/>
  <c r="J27" i="63" s="1"/>
  <c r="J98" i="63" s="1"/>
  <c r="I27" i="63" a="1"/>
  <c r="I27" i="63" s="1"/>
  <c r="I98" i="63" s="1"/>
  <c r="H27" i="63" a="1"/>
  <c r="H27" i="63" s="1"/>
  <c r="H98" i="63" s="1"/>
  <c r="G27" i="63" a="1"/>
  <c r="G27" i="63" s="1"/>
  <c r="G98" i="63" s="1"/>
  <c r="F27" i="63" a="1"/>
  <c r="F27" i="63" s="1"/>
  <c r="F94" i="63" s="1"/>
  <c r="E27" i="63" a="1"/>
  <c r="E27" i="63" s="1"/>
  <c r="D27" i="63" a="1"/>
  <c r="D27" i="63" s="1"/>
  <c r="M26" i="63" a="1"/>
  <c r="M26" i="63" s="1"/>
  <c r="L26" i="63" a="1"/>
  <c r="L26" i="63" s="1"/>
  <c r="M97" i="63" s="1"/>
  <c r="K26" i="63" a="1"/>
  <c r="K26" i="63" s="1"/>
  <c r="J26" i="63" a="1"/>
  <c r="J26" i="63" s="1"/>
  <c r="J97" i="63" s="1"/>
  <c r="I26" i="63" a="1"/>
  <c r="I26" i="63" s="1"/>
  <c r="I97" i="63" s="1"/>
  <c r="H26" i="63" a="1"/>
  <c r="H26" i="63" s="1"/>
  <c r="H97" i="63" s="1"/>
  <c r="G26" i="63" a="1"/>
  <c r="G26" i="63" s="1"/>
  <c r="G97" i="63" s="1"/>
  <c r="F26" i="63" a="1"/>
  <c r="F26" i="63" s="1"/>
  <c r="E26" i="63" a="1"/>
  <c r="E26" i="63" s="1"/>
  <c r="D26" i="63" a="1"/>
  <c r="D26" i="63" s="1"/>
  <c r="M25" i="63" a="1"/>
  <c r="M25" i="63" s="1"/>
  <c r="O96" i="63" s="1"/>
  <c r="L25" i="63" a="1"/>
  <c r="L25" i="63" s="1"/>
  <c r="M96" i="63" s="1"/>
  <c r="K25" i="63" a="1"/>
  <c r="K25" i="63" s="1"/>
  <c r="J25" i="63" a="1"/>
  <c r="J25" i="63" s="1"/>
  <c r="J96" i="63" s="1"/>
  <c r="I25" i="63" a="1"/>
  <c r="I25" i="63" s="1"/>
  <c r="I96" i="63" s="1"/>
  <c r="H25" i="63" a="1"/>
  <c r="H25" i="63" s="1"/>
  <c r="H96" i="63" s="1"/>
  <c r="G25" i="63" a="1"/>
  <c r="G25" i="63" s="1"/>
  <c r="G96" i="63" s="1"/>
  <c r="F25" i="63" a="1"/>
  <c r="F25" i="63" s="1"/>
  <c r="E25" i="63" a="1"/>
  <c r="E25" i="63" s="1"/>
  <c r="D25" i="63" a="1"/>
  <c r="D25" i="63" s="1"/>
  <c r="M24" i="63" a="1"/>
  <c r="M24" i="63" s="1"/>
  <c r="O95" i="63" s="1"/>
  <c r="L24" i="63" a="1"/>
  <c r="L24" i="63" s="1"/>
  <c r="M95" i="63" s="1"/>
  <c r="K24" i="63" a="1"/>
  <c r="K24" i="63" s="1"/>
  <c r="K95" i="63" s="1"/>
  <c r="J24" i="63" a="1"/>
  <c r="J24" i="63" s="1"/>
  <c r="J95" i="63" s="1"/>
  <c r="I24" i="63" a="1"/>
  <c r="I24" i="63" s="1"/>
  <c r="I95" i="63" s="1"/>
  <c r="H24" i="63" a="1"/>
  <c r="H24" i="63" s="1"/>
  <c r="H95" i="63" s="1"/>
  <c r="G24" i="63" a="1"/>
  <c r="G24" i="63" s="1"/>
  <c r="G95" i="63" s="1"/>
  <c r="F24" i="63" a="1"/>
  <c r="F24" i="63" s="1"/>
  <c r="E24" i="63" a="1"/>
  <c r="E24" i="63" s="1"/>
  <c r="D24" i="63" a="1"/>
  <c r="D24" i="63" s="1"/>
  <c r="M23" i="63" a="1"/>
  <c r="M23" i="63" s="1"/>
  <c r="L23" i="63" a="1"/>
  <c r="L23" i="63" s="1"/>
  <c r="M94" i="63" s="1"/>
  <c r="K23" i="63" a="1"/>
  <c r="K23" i="63" s="1"/>
  <c r="J23" i="63" a="1"/>
  <c r="J23" i="63" s="1"/>
  <c r="J94" i="63" s="1"/>
  <c r="I23" i="63" a="1"/>
  <c r="I23" i="63" s="1"/>
  <c r="I94" i="63" s="1"/>
  <c r="H23" i="63" a="1"/>
  <c r="H23" i="63" s="1"/>
  <c r="H94" i="63" s="1"/>
  <c r="G23" i="63" a="1"/>
  <c r="G23" i="63" s="1"/>
  <c r="G94" i="63" s="1"/>
  <c r="F23" i="63" a="1"/>
  <c r="F23" i="63" s="1"/>
  <c r="F90" i="63" s="1"/>
  <c r="E23" i="63" a="1"/>
  <c r="E23" i="63" s="1"/>
  <c r="D23" i="63" a="1"/>
  <c r="D23" i="63" s="1"/>
  <c r="M22" i="63" a="1"/>
  <c r="M22" i="63" s="1"/>
  <c r="L22" i="63" a="1"/>
  <c r="L22" i="63" s="1"/>
  <c r="K22" i="63" a="1"/>
  <c r="K22" i="63" s="1"/>
  <c r="J22" i="63" a="1"/>
  <c r="J22" i="63" s="1"/>
  <c r="I22" i="63" a="1"/>
  <c r="I22" i="63" s="1"/>
  <c r="H22" i="63" a="1"/>
  <c r="H22" i="63" s="1"/>
  <c r="G22" i="63" a="1"/>
  <c r="G22" i="63" s="1"/>
  <c r="F22" i="63" a="1"/>
  <c r="F22" i="63" s="1"/>
  <c r="E22" i="63" a="1"/>
  <c r="E22" i="63" s="1"/>
  <c r="D22" i="63" a="1"/>
  <c r="D22" i="63" s="1"/>
  <c r="M21" i="63" a="1"/>
  <c r="M21" i="63" s="1"/>
  <c r="L21" i="63" a="1"/>
  <c r="L21" i="63" s="1"/>
  <c r="M88" i="63" s="1"/>
  <c r="K21" i="63" a="1"/>
  <c r="K21" i="63" s="1"/>
  <c r="K88" i="63" s="1"/>
  <c r="J21" i="63" a="1"/>
  <c r="J21" i="63" s="1"/>
  <c r="I21" i="63" a="1"/>
  <c r="I21" i="63" s="1"/>
  <c r="H21" i="63" a="1"/>
  <c r="H21" i="63" s="1"/>
  <c r="H88" i="63" s="1"/>
  <c r="G21" i="63" a="1"/>
  <c r="G21" i="63" s="1"/>
  <c r="F21" i="63" a="1"/>
  <c r="F21" i="63" s="1"/>
  <c r="E21" i="63" a="1"/>
  <c r="E21" i="63" s="1"/>
  <c r="D21" i="63" a="1"/>
  <c r="D21" i="63" s="1"/>
  <c r="M20" i="63" a="1"/>
  <c r="M20" i="63" s="1"/>
  <c r="L20" i="63" a="1"/>
  <c r="L20" i="63" s="1"/>
  <c r="K20" i="63" a="1"/>
  <c r="K20" i="63" s="1"/>
  <c r="L91" i="63" s="1"/>
  <c r="J20" i="63" a="1"/>
  <c r="J20" i="63" s="1"/>
  <c r="I20" i="63" a="1"/>
  <c r="I20" i="63" s="1"/>
  <c r="H20" i="63" a="1"/>
  <c r="H20" i="63" s="1"/>
  <c r="G20" i="63" a="1"/>
  <c r="G20" i="63" s="1"/>
  <c r="F20" i="63" a="1"/>
  <c r="F20" i="63" s="1"/>
  <c r="E20" i="63" a="1"/>
  <c r="E20" i="63" s="1"/>
  <c r="D20" i="63" a="1"/>
  <c r="D20" i="63" s="1"/>
  <c r="M19" i="63" a="1"/>
  <c r="M19" i="63" s="1"/>
  <c r="L19" i="63" a="1"/>
  <c r="L19" i="63" s="1"/>
  <c r="K19" i="63" a="1"/>
  <c r="K19" i="63" s="1"/>
  <c r="J19" i="63" a="1"/>
  <c r="J19" i="63" s="1"/>
  <c r="I19" i="63" a="1"/>
  <c r="I19" i="63" s="1"/>
  <c r="I90" i="63" s="1"/>
  <c r="H19" i="63" a="1"/>
  <c r="H19" i="63" s="1"/>
  <c r="G19" i="63" a="1"/>
  <c r="G19" i="63" s="1"/>
  <c r="F19" i="63" a="1"/>
  <c r="F19" i="63" s="1"/>
  <c r="F86" i="63" s="1"/>
  <c r="E19" i="63" a="1"/>
  <c r="E19" i="63" s="1"/>
  <c r="D19" i="63" a="1"/>
  <c r="D19" i="63" s="1"/>
  <c r="D17" i="63" a="1"/>
  <c r="D17" i="63" s="1"/>
  <c r="D16" i="63" a="1"/>
  <c r="D16" i="63" s="1"/>
  <c r="D15" i="63" a="1"/>
  <c r="D15" i="63" s="1"/>
  <c r="D14" i="63" a="1"/>
  <c r="D14" i="63" s="1"/>
  <c r="H25" i="62" a="1"/>
  <c r="H25" i="62" s="1"/>
  <c r="G25" i="62" a="1"/>
  <c r="G25" i="62" s="1"/>
  <c r="I552" i="19" s="1" a="1"/>
  <c r="I552" i="19" s="1"/>
  <c r="F25" i="62" a="1"/>
  <c r="F25" i="62" s="1"/>
  <c r="E25" i="62" a="1"/>
  <c r="E25" i="62" s="1"/>
  <c r="D25" i="62" a="1"/>
  <c r="D25" i="62" s="1"/>
  <c r="D22" i="62" a="1"/>
  <c r="D22" i="62" s="1"/>
  <c r="D21" i="62" a="1"/>
  <c r="D21" i="62" s="1"/>
  <c r="F19" i="62" a="1"/>
  <c r="F19" i="62" s="1"/>
  <c r="E19" i="62" a="1"/>
  <c r="E19" i="62" s="1"/>
  <c r="D19" i="62" a="1"/>
  <c r="D19" i="62" s="1"/>
  <c r="F18" i="62" a="1"/>
  <c r="F18" i="62" s="1"/>
  <c r="E18" i="62" a="1"/>
  <c r="E18" i="62" s="1"/>
  <c r="D18" i="62" a="1"/>
  <c r="D18" i="62" s="1"/>
  <c r="F17" i="62" a="1"/>
  <c r="F17" i="62" s="1"/>
  <c r="E17" i="62" a="1"/>
  <c r="E17" i="62" s="1"/>
  <c r="D17" i="62" a="1"/>
  <c r="D17" i="62" s="1"/>
  <c r="F16" i="62" a="1"/>
  <c r="F16" i="62" s="1"/>
  <c r="E16" i="62" a="1"/>
  <c r="E16" i="62" s="1"/>
  <c r="D16" i="62" a="1"/>
  <c r="D16" i="62" s="1"/>
  <c r="F15" i="62" a="1"/>
  <c r="F15" i="62" s="1"/>
  <c r="E15" i="62" a="1"/>
  <c r="E15" i="62" s="1"/>
  <c r="D15" i="62" a="1"/>
  <c r="D15" i="62" s="1"/>
  <c r="F14" i="62" a="1"/>
  <c r="F14" i="62" s="1"/>
  <c r="E14" i="62" a="1"/>
  <c r="E14" i="62" s="1"/>
  <c r="D14" i="62" a="1"/>
  <c r="D14" i="62" s="1"/>
  <c r="F13" i="62" a="1"/>
  <c r="F13" i="62" s="1"/>
  <c r="E13" i="62" a="1"/>
  <c r="E13" i="62" s="1"/>
  <c r="D13" i="62" a="1"/>
  <c r="D13" i="62" s="1"/>
  <c r="F12" i="62" a="1"/>
  <c r="F12" i="62" s="1"/>
  <c r="E12" i="62" a="1"/>
  <c r="E12" i="62" s="1"/>
  <c r="D12" i="62" a="1"/>
  <c r="D12" i="62" s="1"/>
  <c r="F11" i="62" a="1"/>
  <c r="F11" i="62" s="1"/>
  <c r="E11" i="62" a="1"/>
  <c r="E11" i="62" s="1"/>
  <c r="D11" i="62" a="1"/>
  <c r="D11" i="62" s="1"/>
  <c r="F10" i="62" a="1"/>
  <c r="F10" i="62" s="1"/>
  <c r="E10" i="62" a="1"/>
  <c r="E10" i="62" s="1"/>
  <c r="D10" i="62" a="1"/>
  <c r="D10" i="62" s="1"/>
  <c r="D7" i="62" a="1"/>
  <c r="D7" i="62" s="1"/>
  <c r="D6" i="62" a="1"/>
  <c r="D6" i="62" s="1"/>
  <c r="D5" i="62" a="1"/>
  <c r="D5" i="62" s="1"/>
  <c r="AE153" i="61" a="1"/>
  <c r="AE153" i="61" s="1"/>
  <c r="AD153" i="61" a="1"/>
  <c r="AD153" i="61" s="1"/>
  <c r="AC153" i="61" a="1"/>
  <c r="AC153" i="61" s="1"/>
  <c r="AB153" i="61" a="1"/>
  <c r="AB153" i="61" s="1"/>
  <c r="AA153" i="61" a="1"/>
  <c r="AA153" i="61" s="1"/>
  <c r="Z153" i="61" a="1"/>
  <c r="Z153" i="61" s="1"/>
  <c r="Y153" i="61" a="1"/>
  <c r="Y153" i="61" s="1"/>
  <c r="X153" i="61" a="1"/>
  <c r="X153" i="61" s="1"/>
  <c r="W153" i="61" a="1"/>
  <c r="W153" i="61" s="1"/>
  <c r="V153" i="61" a="1"/>
  <c r="V153" i="61" s="1"/>
  <c r="U153" i="61" a="1"/>
  <c r="U153" i="61" s="1"/>
  <c r="T153" i="61" a="1"/>
  <c r="T153" i="61" s="1"/>
  <c r="S153" i="61" a="1"/>
  <c r="S153" i="61" s="1"/>
  <c r="R153" i="61" a="1"/>
  <c r="R153" i="61" s="1"/>
  <c r="Q153" i="61" a="1"/>
  <c r="Q153" i="61" s="1"/>
  <c r="P153" i="61" a="1"/>
  <c r="P153" i="61" s="1"/>
  <c r="O153" i="61" a="1"/>
  <c r="O153" i="61" s="1"/>
  <c r="N153" i="61" a="1"/>
  <c r="N153" i="61" s="1"/>
  <c r="M153" i="61" a="1"/>
  <c r="M153" i="61" s="1"/>
  <c r="L153" i="61" a="1"/>
  <c r="L153" i="61" s="1"/>
  <c r="K153" i="61" a="1"/>
  <c r="K153" i="61" s="1"/>
  <c r="J153" i="61" a="1"/>
  <c r="J153" i="61" s="1"/>
  <c r="I153" i="61" a="1"/>
  <c r="I153" i="61" s="1"/>
  <c r="H153" i="61" a="1"/>
  <c r="H153" i="61" s="1"/>
  <c r="G153" i="61" a="1"/>
  <c r="G153" i="61" s="1"/>
  <c r="F153" i="61" a="1"/>
  <c r="F153" i="61" s="1"/>
  <c r="E153" i="61" a="1"/>
  <c r="E153" i="61" s="1"/>
  <c r="D153" i="61" a="1"/>
  <c r="D153" i="61" s="1"/>
  <c r="AE152" i="61" a="1"/>
  <c r="AE152" i="61" s="1"/>
  <c r="AD152" i="61" a="1"/>
  <c r="AD152" i="61" s="1"/>
  <c r="AC152" i="61" a="1"/>
  <c r="AC152" i="61" s="1"/>
  <c r="AB152" i="61" a="1"/>
  <c r="AB152" i="61" s="1"/>
  <c r="AA152" i="61" a="1"/>
  <c r="AA152" i="61" s="1"/>
  <c r="Z152" i="61" a="1"/>
  <c r="Z152" i="61" s="1"/>
  <c r="Y152" i="61" a="1"/>
  <c r="Y152" i="61" s="1"/>
  <c r="X152" i="61" a="1"/>
  <c r="X152" i="61" s="1"/>
  <c r="W152" i="61" a="1"/>
  <c r="W152" i="61" s="1"/>
  <c r="V152" i="61" a="1"/>
  <c r="V152" i="61" s="1"/>
  <c r="U152" i="61" a="1"/>
  <c r="U152" i="61" s="1"/>
  <c r="T152" i="61" a="1"/>
  <c r="T152" i="61" s="1"/>
  <c r="S152" i="61" a="1"/>
  <c r="S152" i="61" s="1"/>
  <c r="R152" i="61" a="1"/>
  <c r="R152" i="61" s="1"/>
  <c r="Q152" i="61" a="1"/>
  <c r="Q152" i="61" s="1"/>
  <c r="P152" i="61" a="1"/>
  <c r="P152" i="61" s="1"/>
  <c r="O152" i="61" a="1"/>
  <c r="O152" i="61" s="1"/>
  <c r="N152" i="61" a="1"/>
  <c r="N152" i="61" s="1"/>
  <c r="M152" i="61" a="1"/>
  <c r="M152" i="61" s="1"/>
  <c r="L152" i="61" a="1"/>
  <c r="L152" i="61" s="1"/>
  <c r="K152" i="61" a="1"/>
  <c r="K152" i="61" s="1"/>
  <c r="J152" i="61" a="1"/>
  <c r="J152" i="61" s="1"/>
  <c r="I152" i="61" a="1"/>
  <c r="I152" i="61" s="1"/>
  <c r="H152" i="61" a="1"/>
  <c r="H152" i="61" s="1"/>
  <c r="G152" i="61" a="1"/>
  <c r="G152" i="61" s="1"/>
  <c r="F152" i="61" a="1"/>
  <c r="F152" i="61" s="1"/>
  <c r="E152" i="61" a="1"/>
  <c r="E152" i="61" s="1"/>
  <c r="D152" i="61" a="1"/>
  <c r="D152" i="61" s="1"/>
  <c r="AE151" i="61" a="1"/>
  <c r="AE151" i="61" s="1"/>
  <c r="AD151" i="61" a="1"/>
  <c r="AD151" i="61" s="1"/>
  <c r="AC151" i="61" a="1"/>
  <c r="AC151" i="61" s="1"/>
  <c r="AB151" i="61" a="1"/>
  <c r="AB151" i="61" s="1"/>
  <c r="AA151" i="61" a="1"/>
  <c r="AA151" i="61" s="1"/>
  <c r="Z151" i="61" a="1"/>
  <c r="Z151" i="61" s="1"/>
  <c r="Y151" i="61" a="1"/>
  <c r="Y151" i="61" s="1"/>
  <c r="X151" i="61" a="1"/>
  <c r="X151" i="61" s="1"/>
  <c r="W151" i="61" a="1"/>
  <c r="W151" i="61" s="1"/>
  <c r="V151" i="61" a="1"/>
  <c r="V151" i="61" s="1"/>
  <c r="U151" i="61" a="1"/>
  <c r="U151" i="61" s="1"/>
  <c r="T151" i="61" a="1"/>
  <c r="T151" i="61" s="1"/>
  <c r="S151" i="61" a="1"/>
  <c r="S151" i="61" s="1"/>
  <c r="R151" i="61" a="1"/>
  <c r="R151" i="61" s="1"/>
  <c r="Q151" i="61" a="1"/>
  <c r="Q151" i="61" s="1"/>
  <c r="P151" i="61" a="1"/>
  <c r="P151" i="61" s="1"/>
  <c r="O151" i="61" a="1"/>
  <c r="O151" i="61" s="1"/>
  <c r="N151" i="61" a="1"/>
  <c r="N151" i="61" s="1"/>
  <c r="M151" i="61" a="1"/>
  <c r="M151" i="61" s="1"/>
  <c r="L151" i="61" a="1"/>
  <c r="L151" i="61" s="1"/>
  <c r="K151" i="61" a="1"/>
  <c r="K151" i="61" s="1"/>
  <c r="J151" i="61" a="1"/>
  <c r="J151" i="61" s="1"/>
  <c r="I151" i="61" a="1"/>
  <c r="I151" i="61" s="1"/>
  <c r="H151" i="61" a="1"/>
  <c r="H151" i="61" s="1"/>
  <c r="G151" i="61" a="1"/>
  <c r="G151" i="61" s="1"/>
  <c r="F151" i="61" a="1"/>
  <c r="F151" i="61" s="1"/>
  <c r="E151" i="61" a="1"/>
  <c r="E151" i="61" s="1"/>
  <c r="D151" i="61" a="1"/>
  <c r="D151" i="61" s="1"/>
  <c r="AE150" i="61" a="1"/>
  <c r="AE150" i="61" s="1"/>
  <c r="AD150" i="61" a="1"/>
  <c r="AD150" i="61" s="1"/>
  <c r="AC150" i="61" a="1"/>
  <c r="AC150" i="61" s="1"/>
  <c r="AB150" i="61" a="1"/>
  <c r="AB150" i="61" s="1"/>
  <c r="AA150" i="61" a="1"/>
  <c r="AA150" i="61" s="1"/>
  <c r="Z150" i="61" a="1"/>
  <c r="Z150" i="61" s="1"/>
  <c r="Y150" i="61" a="1"/>
  <c r="Y150" i="61" s="1"/>
  <c r="X150" i="61" a="1"/>
  <c r="X150" i="61" s="1"/>
  <c r="W150" i="61" a="1"/>
  <c r="W150" i="61" s="1"/>
  <c r="V150" i="61" a="1"/>
  <c r="V150" i="61" s="1"/>
  <c r="U150" i="61" a="1"/>
  <c r="U150" i="61" s="1"/>
  <c r="T150" i="61" a="1"/>
  <c r="T150" i="61" s="1"/>
  <c r="S150" i="61" a="1"/>
  <c r="S150" i="61" s="1"/>
  <c r="R150" i="61" a="1"/>
  <c r="R150" i="61" s="1"/>
  <c r="Q150" i="61" a="1"/>
  <c r="Q150" i="61" s="1"/>
  <c r="P150" i="61" a="1"/>
  <c r="P150" i="61" s="1"/>
  <c r="O150" i="61" a="1"/>
  <c r="O150" i="61" s="1"/>
  <c r="N150" i="61" a="1"/>
  <c r="N150" i="61" s="1"/>
  <c r="M150" i="61" a="1"/>
  <c r="M150" i="61" s="1"/>
  <c r="L150" i="61" a="1"/>
  <c r="L150" i="61" s="1"/>
  <c r="K150" i="61" a="1"/>
  <c r="K150" i="61" s="1"/>
  <c r="J150" i="61" a="1"/>
  <c r="J150" i="61" s="1"/>
  <c r="I150" i="61" a="1"/>
  <c r="I150" i="61" s="1"/>
  <c r="H150" i="61" a="1"/>
  <c r="H150" i="61" s="1"/>
  <c r="G150" i="61" a="1"/>
  <c r="G150" i="61" s="1"/>
  <c r="F150" i="61" a="1"/>
  <c r="F150" i="61" s="1"/>
  <c r="E150" i="61" a="1"/>
  <c r="E150" i="61" s="1"/>
  <c r="D150" i="61" a="1"/>
  <c r="D150" i="61" s="1"/>
  <c r="AE149" i="61" a="1"/>
  <c r="AE149" i="61" s="1"/>
  <c r="AD149" i="61" a="1"/>
  <c r="AD149" i="61" s="1"/>
  <c r="AC149" i="61" a="1"/>
  <c r="AC149" i="61" s="1"/>
  <c r="AB149" i="61" a="1"/>
  <c r="AB149" i="61" s="1"/>
  <c r="AA149" i="61" a="1"/>
  <c r="AA149" i="61" s="1"/>
  <c r="Z149" i="61" a="1"/>
  <c r="Z149" i="61" s="1"/>
  <c r="Y149" i="61" a="1"/>
  <c r="Y149" i="61" s="1"/>
  <c r="X149" i="61" a="1"/>
  <c r="X149" i="61" s="1"/>
  <c r="W149" i="61" a="1"/>
  <c r="W149" i="61" s="1"/>
  <c r="V149" i="61" a="1"/>
  <c r="V149" i="61" s="1"/>
  <c r="U149" i="61" a="1"/>
  <c r="U149" i="61" s="1"/>
  <c r="T149" i="61" a="1"/>
  <c r="T149" i="61" s="1"/>
  <c r="S149" i="61" a="1"/>
  <c r="S149" i="61" s="1"/>
  <c r="R149" i="61" a="1"/>
  <c r="R149" i="61" s="1"/>
  <c r="Q149" i="61" a="1"/>
  <c r="Q149" i="61" s="1"/>
  <c r="P149" i="61" a="1"/>
  <c r="P149" i="61" s="1"/>
  <c r="O149" i="61" a="1"/>
  <c r="O149" i="61" s="1"/>
  <c r="N149" i="61" a="1"/>
  <c r="N149" i="61" s="1"/>
  <c r="M149" i="61" a="1"/>
  <c r="M149" i="61" s="1"/>
  <c r="L149" i="61" a="1"/>
  <c r="L149" i="61" s="1"/>
  <c r="K149" i="61" a="1"/>
  <c r="K149" i="61" s="1"/>
  <c r="J149" i="61" a="1"/>
  <c r="J149" i="61" s="1"/>
  <c r="I149" i="61" a="1"/>
  <c r="I149" i="61" s="1"/>
  <c r="H149" i="61" a="1"/>
  <c r="H149" i="61" s="1"/>
  <c r="G149" i="61" a="1"/>
  <c r="G149" i="61" s="1"/>
  <c r="F149" i="61" a="1"/>
  <c r="F149" i="61" s="1"/>
  <c r="E149" i="61" a="1"/>
  <c r="E149" i="61" s="1"/>
  <c r="D149" i="61" a="1"/>
  <c r="D149" i="61" s="1"/>
  <c r="AE148" i="61" a="1"/>
  <c r="AE148" i="61" s="1"/>
  <c r="AD148" i="61" a="1"/>
  <c r="AD148" i="61" s="1"/>
  <c r="AC148" i="61" a="1"/>
  <c r="AC148" i="61" s="1"/>
  <c r="AB148" i="61" a="1"/>
  <c r="AB148" i="61" s="1"/>
  <c r="AA148" i="61" a="1"/>
  <c r="AA148" i="61" s="1"/>
  <c r="Z148" i="61" a="1"/>
  <c r="Z148" i="61" s="1"/>
  <c r="Y148" i="61" a="1"/>
  <c r="Y148" i="61" s="1"/>
  <c r="X148" i="61" a="1"/>
  <c r="X148" i="61" s="1"/>
  <c r="W148" i="61" a="1"/>
  <c r="W148" i="61" s="1"/>
  <c r="V148" i="61" a="1"/>
  <c r="V148" i="61" s="1"/>
  <c r="U148" i="61" a="1"/>
  <c r="U148" i="61" s="1"/>
  <c r="T148" i="61" a="1"/>
  <c r="T148" i="61" s="1"/>
  <c r="S148" i="61" a="1"/>
  <c r="S148" i="61" s="1"/>
  <c r="R148" i="61" a="1"/>
  <c r="R148" i="61" s="1"/>
  <c r="Q148" i="61" a="1"/>
  <c r="Q148" i="61" s="1"/>
  <c r="P148" i="61" a="1"/>
  <c r="P148" i="61" s="1"/>
  <c r="O148" i="61" a="1"/>
  <c r="O148" i="61" s="1"/>
  <c r="N148" i="61" a="1"/>
  <c r="N148" i="61" s="1"/>
  <c r="M148" i="61" a="1"/>
  <c r="M148" i="61" s="1"/>
  <c r="L148" i="61" a="1"/>
  <c r="L148" i="61" s="1"/>
  <c r="K148" i="61" a="1"/>
  <c r="K148" i="61" s="1"/>
  <c r="J148" i="61" a="1"/>
  <c r="J148" i="61" s="1"/>
  <c r="I148" i="61" a="1"/>
  <c r="I148" i="61" s="1"/>
  <c r="H148" i="61" a="1"/>
  <c r="H148" i="61" s="1"/>
  <c r="G148" i="61" a="1"/>
  <c r="G148" i="61" s="1"/>
  <c r="F148" i="61" a="1"/>
  <c r="F148" i="61" s="1"/>
  <c r="E148" i="61" a="1"/>
  <c r="E148" i="61" s="1"/>
  <c r="D148" i="61" a="1"/>
  <c r="D148" i="61" s="1"/>
  <c r="AE147" i="61" a="1"/>
  <c r="AE147" i="61" s="1"/>
  <c r="AD147" i="61" a="1"/>
  <c r="AD147" i="61" s="1"/>
  <c r="AC147" i="61" a="1"/>
  <c r="AC147" i="61" s="1"/>
  <c r="AB147" i="61" a="1"/>
  <c r="AB147" i="61" s="1"/>
  <c r="AA147" i="61" a="1"/>
  <c r="AA147" i="61" s="1"/>
  <c r="Z147" i="61" a="1"/>
  <c r="Z147" i="61" s="1"/>
  <c r="Y147" i="61" a="1"/>
  <c r="Y147" i="61" s="1"/>
  <c r="X147" i="61" a="1"/>
  <c r="X147" i="61" s="1"/>
  <c r="W147" i="61" a="1"/>
  <c r="W147" i="61" s="1"/>
  <c r="V147" i="61" a="1"/>
  <c r="V147" i="61" s="1"/>
  <c r="U147" i="61" a="1"/>
  <c r="U147" i="61" s="1"/>
  <c r="T147" i="61" a="1"/>
  <c r="T147" i="61" s="1"/>
  <c r="S147" i="61" a="1"/>
  <c r="S147" i="61" s="1"/>
  <c r="R147" i="61" a="1"/>
  <c r="R147" i="61" s="1"/>
  <c r="Q147" i="61" a="1"/>
  <c r="Q147" i="61" s="1"/>
  <c r="P147" i="61" a="1"/>
  <c r="P147" i="61" s="1"/>
  <c r="O147" i="61" a="1"/>
  <c r="O147" i="61" s="1"/>
  <c r="N147" i="61" a="1"/>
  <c r="N147" i="61" s="1"/>
  <c r="M147" i="61" a="1"/>
  <c r="M147" i="61" s="1"/>
  <c r="L147" i="61" a="1"/>
  <c r="L147" i="61" s="1"/>
  <c r="K147" i="61" a="1"/>
  <c r="K147" i="61" s="1"/>
  <c r="J147" i="61" a="1"/>
  <c r="J147" i="61" s="1"/>
  <c r="I147" i="61" a="1"/>
  <c r="I147" i="61" s="1"/>
  <c r="H147" i="61" a="1"/>
  <c r="H147" i="61" s="1"/>
  <c r="G147" i="61" a="1"/>
  <c r="G147" i="61" s="1"/>
  <c r="F147" i="61" a="1"/>
  <c r="F147" i="61" s="1"/>
  <c r="E147" i="61" a="1"/>
  <c r="E147" i="61" s="1"/>
  <c r="D147" i="61" a="1"/>
  <c r="D147" i="61" s="1"/>
  <c r="AE146" i="61" a="1"/>
  <c r="AE146" i="61" s="1"/>
  <c r="AD146" i="61" a="1"/>
  <c r="AD146" i="61" s="1"/>
  <c r="AC146" i="61" a="1"/>
  <c r="AC146" i="61" s="1"/>
  <c r="AB146" i="61" a="1"/>
  <c r="AB146" i="61" s="1"/>
  <c r="AA146" i="61" a="1"/>
  <c r="AA146" i="61" s="1"/>
  <c r="Z146" i="61" a="1"/>
  <c r="Z146" i="61" s="1"/>
  <c r="Y146" i="61" a="1"/>
  <c r="Y146" i="61" s="1"/>
  <c r="X146" i="61" a="1"/>
  <c r="X146" i="61" s="1"/>
  <c r="W146" i="61" a="1"/>
  <c r="W146" i="61" s="1"/>
  <c r="V146" i="61" a="1"/>
  <c r="V146" i="61" s="1"/>
  <c r="U146" i="61" a="1"/>
  <c r="U146" i="61" s="1"/>
  <c r="T146" i="61" a="1"/>
  <c r="T146" i="61" s="1"/>
  <c r="S146" i="61" a="1"/>
  <c r="S146" i="61" s="1"/>
  <c r="R146" i="61" a="1"/>
  <c r="R146" i="61" s="1"/>
  <c r="Q146" i="61" a="1"/>
  <c r="Q146" i="61" s="1"/>
  <c r="P146" i="61" a="1"/>
  <c r="P146" i="61" s="1"/>
  <c r="O146" i="61" a="1"/>
  <c r="O146" i="61" s="1"/>
  <c r="N146" i="61" a="1"/>
  <c r="N146" i="61" s="1"/>
  <c r="M146" i="61" a="1"/>
  <c r="M146" i="61" s="1"/>
  <c r="L146" i="61" a="1"/>
  <c r="L146" i="61" s="1"/>
  <c r="K146" i="61" a="1"/>
  <c r="K146" i="61" s="1"/>
  <c r="J146" i="61" a="1"/>
  <c r="J146" i="61" s="1"/>
  <c r="I146" i="61" a="1"/>
  <c r="I146" i="61" s="1"/>
  <c r="H146" i="61" a="1"/>
  <c r="H146" i="61" s="1"/>
  <c r="G146" i="61" a="1"/>
  <c r="G146" i="61" s="1"/>
  <c r="F146" i="61" a="1"/>
  <c r="F146" i="61" s="1"/>
  <c r="E146" i="61" a="1"/>
  <c r="E146" i="61" s="1"/>
  <c r="D146" i="61" a="1"/>
  <c r="D146" i="61" s="1"/>
  <c r="AE145" i="61" a="1"/>
  <c r="AE145" i="61" s="1"/>
  <c r="AD145" i="61" a="1"/>
  <c r="AD145" i="61" s="1"/>
  <c r="AC145" i="61" a="1"/>
  <c r="AC145" i="61" s="1"/>
  <c r="AB145" i="61" a="1"/>
  <c r="AB145" i="61" s="1"/>
  <c r="AA145" i="61" a="1"/>
  <c r="AA145" i="61" s="1"/>
  <c r="Z145" i="61" a="1"/>
  <c r="Z145" i="61" s="1"/>
  <c r="Y145" i="61" a="1"/>
  <c r="Y145" i="61" s="1"/>
  <c r="X145" i="61" a="1"/>
  <c r="X145" i="61" s="1"/>
  <c r="W145" i="61" a="1"/>
  <c r="W145" i="61" s="1"/>
  <c r="V145" i="61" a="1"/>
  <c r="V145" i="61" s="1"/>
  <c r="U145" i="61" a="1"/>
  <c r="U145" i="61" s="1"/>
  <c r="T145" i="61" a="1"/>
  <c r="T145" i="61" s="1"/>
  <c r="S145" i="61" a="1"/>
  <c r="S145" i="61" s="1"/>
  <c r="R145" i="61" a="1"/>
  <c r="R145" i="61" s="1"/>
  <c r="Q145" i="61" a="1"/>
  <c r="Q145" i="61" s="1"/>
  <c r="P145" i="61" a="1"/>
  <c r="P145" i="61" s="1"/>
  <c r="O145" i="61" a="1"/>
  <c r="O145" i="61" s="1"/>
  <c r="N145" i="61" a="1"/>
  <c r="N145" i="61" s="1"/>
  <c r="M145" i="61" a="1"/>
  <c r="M145" i="61" s="1"/>
  <c r="L145" i="61" a="1"/>
  <c r="L145" i="61" s="1"/>
  <c r="K145" i="61" a="1"/>
  <c r="K145" i="61" s="1"/>
  <c r="J145" i="61" a="1"/>
  <c r="J145" i="61" s="1"/>
  <c r="I145" i="61" a="1"/>
  <c r="I145" i="61" s="1"/>
  <c r="H145" i="61" a="1"/>
  <c r="H145" i="61" s="1"/>
  <c r="G145" i="61" a="1"/>
  <c r="G145" i="61" s="1"/>
  <c r="F145" i="61" a="1"/>
  <c r="F145" i="61" s="1"/>
  <c r="E145" i="61" a="1"/>
  <c r="E145" i="61" s="1"/>
  <c r="D145" i="61" a="1"/>
  <c r="D145" i="61" s="1"/>
  <c r="AE144" i="61" a="1"/>
  <c r="AE144" i="61" s="1"/>
  <c r="AD144" i="61" a="1"/>
  <c r="AD144" i="61" s="1"/>
  <c r="AC144" i="61" a="1"/>
  <c r="AC144" i="61" s="1"/>
  <c r="AB144" i="61" a="1"/>
  <c r="AB144" i="61" s="1"/>
  <c r="AA144" i="61" a="1"/>
  <c r="AA144" i="61" s="1"/>
  <c r="Z144" i="61" a="1"/>
  <c r="Z144" i="61" s="1"/>
  <c r="Y144" i="61" a="1"/>
  <c r="Y144" i="61" s="1"/>
  <c r="X144" i="61" a="1"/>
  <c r="X144" i="61" s="1"/>
  <c r="W144" i="61" a="1"/>
  <c r="W144" i="61" s="1"/>
  <c r="V144" i="61" a="1"/>
  <c r="V144" i="61" s="1"/>
  <c r="U144" i="61" a="1"/>
  <c r="U144" i="61" s="1"/>
  <c r="T144" i="61" a="1"/>
  <c r="T144" i="61" s="1"/>
  <c r="S144" i="61" a="1"/>
  <c r="S144" i="61" s="1"/>
  <c r="R144" i="61" a="1"/>
  <c r="R144" i="61" s="1"/>
  <c r="Q144" i="61" a="1"/>
  <c r="Q144" i="61" s="1"/>
  <c r="P144" i="61" a="1"/>
  <c r="P144" i="61" s="1"/>
  <c r="O144" i="61" a="1"/>
  <c r="O144" i="61" s="1"/>
  <c r="N144" i="61" a="1"/>
  <c r="N144" i="61" s="1"/>
  <c r="M144" i="61" a="1"/>
  <c r="M144" i="61" s="1"/>
  <c r="L144" i="61" a="1"/>
  <c r="L144" i="61" s="1"/>
  <c r="K144" i="61" a="1"/>
  <c r="K144" i="61" s="1"/>
  <c r="J144" i="61" a="1"/>
  <c r="J144" i="61" s="1"/>
  <c r="I144" i="61" a="1"/>
  <c r="I144" i="61" s="1"/>
  <c r="H144" i="61" a="1"/>
  <c r="H144" i="61" s="1"/>
  <c r="G144" i="61" a="1"/>
  <c r="G144" i="61" s="1"/>
  <c r="F144" i="61" a="1"/>
  <c r="F144" i="61" s="1"/>
  <c r="E144" i="61" a="1"/>
  <c r="E144" i="61" s="1"/>
  <c r="D144" i="61" a="1"/>
  <c r="D144" i="61" s="1"/>
  <c r="AE143" i="61" a="1"/>
  <c r="AE143" i="61" s="1"/>
  <c r="AD143" i="61" a="1"/>
  <c r="AD143" i="61" s="1"/>
  <c r="AC143" i="61" a="1"/>
  <c r="AC143" i="61" s="1"/>
  <c r="AB143" i="61" a="1"/>
  <c r="AB143" i="61" s="1"/>
  <c r="AA143" i="61" a="1"/>
  <c r="AA143" i="61" s="1"/>
  <c r="Z143" i="61" a="1"/>
  <c r="Z143" i="61" s="1"/>
  <c r="Y143" i="61" a="1"/>
  <c r="Y143" i="61" s="1"/>
  <c r="X143" i="61" a="1"/>
  <c r="X143" i="61" s="1"/>
  <c r="W143" i="61" a="1"/>
  <c r="W143" i="61" s="1"/>
  <c r="V143" i="61" a="1"/>
  <c r="V143" i="61" s="1"/>
  <c r="U143" i="61" a="1"/>
  <c r="U143" i="61" s="1"/>
  <c r="T143" i="61" a="1"/>
  <c r="T143" i="61" s="1"/>
  <c r="S143" i="61" a="1"/>
  <c r="S143" i="61" s="1"/>
  <c r="R143" i="61" a="1"/>
  <c r="R143" i="61" s="1"/>
  <c r="Q143" i="61" a="1"/>
  <c r="Q143" i="61" s="1"/>
  <c r="P143" i="61" a="1"/>
  <c r="P143" i="61" s="1"/>
  <c r="O143" i="61" a="1"/>
  <c r="O143" i="61" s="1"/>
  <c r="N143" i="61" a="1"/>
  <c r="N143" i="61" s="1"/>
  <c r="M143" i="61" a="1"/>
  <c r="M143" i="61" s="1"/>
  <c r="L143" i="61" a="1"/>
  <c r="L143" i="61" s="1"/>
  <c r="K143" i="61" a="1"/>
  <c r="K143" i="61" s="1"/>
  <c r="J143" i="61" a="1"/>
  <c r="J143" i="61" s="1"/>
  <c r="I143" i="61" a="1"/>
  <c r="I143" i="61" s="1"/>
  <c r="H143" i="61" a="1"/>
  <c r="H143" i="61" s="1"/>
  <c r="G143" i="61" a="1"/>
  <c r="G143" i="61" s="1"/>
  <c r="F143" i="61" a="1"/>
  <c r="F143" i="61" s="1"/>
  <c r="E143" i="61" a="1"/>
  <c r="E143" i="61" s="1"/>
  <c r="D143" i="61" a="1"/>
  <c r="D143" i="61" s="1"/>
  <c r="AE142" i="61" a="1"/>
  <c r="AE142" i="61" s="1"/>
  <c r="AD142" i="61" a="1"/>
  <c r="AD142" i="61" s="1"/>
  <c r="AC142" i="61" a="1"/>
  <c r="AC142" i="61" s="1"/>
  <c r="AB142" i="61" a="1"/>
  <c r="AB142" i="61" s="1"/>
  <c r="AA142" i="61" a="1"/>
  <c r="AA142" i="61" s="1"/>
  <c r="Z142" i="61" a="1"/>
  <c r="Z142" i="61" s="1"/>
  <c r="Y142" i="61" a="1"/>
  <c r="Y142" i="61" s="1"/>
  <c r="X142" i="61" a="1"/>
  <c r="X142" i="61" s="1"/>
  <c r="W142" i="61" a="1"/>
  <c r="W142" i="61" s="1"/>
  <c r="V142" i="61" a="1"/>
  <c r="V142" i="61" s="1"/>
  <c r="U142" i="61" a="1"/>
  <c r="U142" i="61" s="1"/>
  <c r="T142" i="61" a="1"/>
  <c r="T142" i="61" s="1"/>
  <c r="S142" i="61" a="1"/>
  <c r="S142" i="61" s="1"/>
  <c r="R142" i="61" a="1"/>
  <c r="R142" i="61" s="1"/>
  <c r="Q142" i="61" a="1"/>
  <c r="Q142" i="61" s="1"/>
  <c r="P142" i="61" a="1"/>
  <c r="P142" i="61" s="1"/>
  <c r="O142" i="61" a="1"/>
  <c r="O142" i="61" s="1"/>
  <c r="N142" i="61" a="1"/>
  <c r="N142" i="61" s="1"/>
  <c r="M142" i="61" a="1"/>
  <c r="M142" i="61" s="1"/>
  <c r="L142" i="61" a="1"/>
  <c r="L142" i="61" s="1"/>
  <c r="K142" i="61" a="1"/>
  <c r="K142" i="61" s="1"/>
  <c r="J142" i="61" a="1"/>
  <c r="J142" i="61" s="1"/>
  <c r="I142" i="61" a="1"/>
  <c r="I142" i="61" s="1"/>
  <c r="H142" i="61" a="1"/>
  <c r="H142" i="61" s="1"/>
  <c r="G142" i="61" a="1"/>
  <c r="G142" i="61" s="1"/>
  <c r="F142" i="61" a="1"/>
  <c r="F142" i="61" s="1"/>
  <c r="E142" i="61" a="1"/>
  <c r="E142" i="61" s="1"/>
  <c r="D142" i="61" a="1"/>
  <c r="D142" i="61" s="1"/>
  <c r="AE141" i="61" a="1"/>
  <c r="AE141" i="61" s="1"/>
  <c r="AD141" i="61" a="1"/>
  <c r="AD141" i="61" s="1"/>
  <c r="AC141" i="61" a="1"/>
  <c r="AC141" i="61" s="1"/>
  <c r="AB141" i="61" a="1"/>
  <c r="AB141" i="61" s="1"/>
  <c r="AA141" i="61" a="1"/>
  <c r="AA141" i="61" s="1"/>
  <c r="Z141" i="61" a="1"/>
  <c r="Z141" i="61" s="1"/>
  <c r="Y141" i="61" a="1"/>
  <c r="Y141" i="61" s="1"/>
  <c r="X141" i="61" a="1"/>
  <c r="X141" i="61" s="1"/>
  <c r="W141" i="61" a="1"/>
  <c r="W141" i="61" s="1"/>
  <c r="V141" i="61" a="1"/>
  <c r="V141" i="61" s="1"/>
  <c r="U141" i="61" a="1"/>
  <c r="U141" i="61" s="1"/>
  <c r="T141" i="61" a="1"/>
  <c r="T141" i="61" s="1"/>
  <c r="S141" i="61" a="1"/>
  <c r="S141" i="61" s="1"/>
  <c r="R141" i="61" a="1"/>
  <c r="R141" i="61" s="1"/>
  <c r="Q141" i="61" a="1"/>
  <c r="Q141" i="61" s="1"/>
  <c r="P141" i="61" a="1"/>
  <c r="P141" i="61" s="1"/>
  <c r="O141" i="61" a="1"/>
  <c r="O141" i="61" s="1"/>
  <c r="N141" i="61" a="1"/>
  <c r="N141" i="61" s="1"/>
  <c r="M141" i="61" a="1"/>
  <c r="M141" i="61" s="1"/>
  <c r="L141" i="61" a="1"/>
  <c r="L141" i="61" s="1"/>
  <c r="K141" i="61" a="1"/>
  <c r="K141" i="61" s="1"/>
  <c r="J141" i="61" a="1"/>
  <c r="J141" i="61" s="1"/>
  <c r="I141" i="61" a="1"/>
  <c r="I141" i="61" s="1"/>
  <c r="H141" i="61" a="1"/>
  <c r="H141" i="61" s="1"/>
  <c r="G141" i="61" a="1"/>
  <c r="G141" i="61" s="1"/>
  <c r="F141" i="61" a="1"/>
  <c r="F141" i="61" s="1"/>
  <c r="E141" i="61" a="1"/>
  <c r="E141" i="61" s="1"/>
  <c r="D141" i="61" a="1"/>
  <c r="D141" i="61" s="1"/>
  <c r="AE140" i="61" a="1"/>
  <c r="AE140" i="61" s="1"/>
  <c r="AD140" i="61" a="1"/>
  <c r="AD140" i="61" s="1"/>
  <c r="AC140" i="61" a="1"/>
  <c r="AC140" i="61" s="1"/>
  <c r="AB140" i="61" a="1"/>
  <c r="AB140" i="61" s="1"/>
  <c r="AA140" i="61" a="1"/>
  <c r="AA140" i="61" s="1"/>
  <c r="Z140" i="61" a="1"/>
  <c r="Z140" i="61" s="1"/>
  <c r="Y140" i="61" a="1"/>
  <c r="Y140" i="61" s="1"/>
  <c r="X140" i="61" a="1"/>
  <c r="X140" i="61" s="1"/>
  <c r="W140" i="61" a="1"/>
  <c r="W140" i="61" s="1"/>
  <c r="V140" i="61" a="1"/>
  <c r="V140" i="61" s="1"/>
  <c r="U140" i="61" a="1"/>
  <c r="U140" i="61" s="1"/>
  <c r="T140" i="61" a="1"/>
  <c r="T140" i="61" s="1"/>
  <c r="S140" i="61" a="1"/>
  <c r="S140" i="61" s="1"/>
  <c r="R140" i="61" a="1"/>
  <c r="R140" i="61" s="1"/>
  <c r="Q140" i="61" a="1"/>
  <c r="Q140" i="61" s="1"/>
  <c r="P140" i="61" a="1"/>
  <c r="P140" i="61" s="1"/>
  <c r="O140" i="61" a="1"/>
  <c r="O140" i="61" s="1"/>
  <c r="N140" i="61" a="1"/>
  <c r="N140" i="61" s="1"/>
  <c r="M140" i="61" a="1"/>
  <c r="M140" i="61" s="1"/>
  <c r="L140" i="61" a="1"/>
  <c r="L140" i="61" s="1"/>
  <c r="K140" i="61" a="1"/>
  <c r="K140" i="61" s="1"/>
  <c r="J140" i="61" a="1"/>
  <c r="J140" i="61" s="1"/>
  <c r="I140" i="61" a="1"/>
  <c r="I140" i="61" s="1"/>
  <c r="H140" i="61" a="1"/>
  <c r="H140" i="61" s="1"/>
  <c r="G140" i="61" a="1"/>
  <c r="G140" i="61" s="1"/>
  <c r="F140" i="61" a="1"/>
  <c r="F140" i="61" s="1"/>
  <c r="E140" i="61" a="1"/>
  <c r="E140" i="61" s="1"/>
  <c r="D140" i="61" a="1"/>
  <c r="D140" i="61" s="1"/>
  <c r="AE139" i="61" a="1"/>
  <c r="AE139" i="61" s="1"/>
  <c r="AD139" i="61" a="1"/>
  <c r="AD139" i="61" s="1"/>
  <c r="AC139" i="61" a="1"/>
  <c r="AC139" i="61" s="1"/>
  <c r="AB139" i="61" a="1"/>
  <c r="AB139" i="61" s="1"/>
  <c r="AA139" i="61" a="1"/>
  <c r="AA139" i="61" s="1"/>
  <c r="Z139" i="61" a="1"/>
  <c r="Z139" i="61" s="1"/>
  <c r="Y139" i="61" a="1"/>
  <c r="Y139" i="61" s="1"/>
  <c r="X139" i="61" a="1"/>
  <c r="X139" i="61" s="1"/>
  <c r="W139" i="61" a="1"/>
  <c r="W139" i="61" s="1"/>
  <c r="V139" i="61" a="1"/>
  <c r="V139" i="61" s="1"/>
  <c r="U139" i="61" a="1"/>
  <c r="U139" i="61" s="1"/>
  <c r="T139" i="61" a="1"/>
  <c r="T139" i="61" s="1"/>
  <c r="S139" i="61" a="1"/>
  <c r="S139" i="61" s="1"/>
  <c r="R139" i="61" a="1"/>
  <c r="R139" i="61" s="1"/>
  <c r="Q139" i="61" a="1"/>
  <c r="Q139" i="61" s="1"/>
  <c r="P139" i="61" a="1"/>
  <c r="P139" i="61" s="1"/>
  <c r="O139" i="61" a="1"/>
  <c r="O139" i="61" s="1"/>
  <c r="N139" i="61" a="1"/>
  <c r="N139" i="61" s="1"/>
  <c r="M139" i="61" a="1"/>
  <c r="M139" i="61" s="1"/>
  <c r="L139" i="61" a="1"/>
  <c r="L139" i="61" s="1"/>
  <c r="K139" i="61" a="1"/>
  <c r="K139" i="61" s="1"/>
  <c r="J139" i="61" a="1"/>
  <c r="J139" i="61" s="1"/>
  <c r="I139" i="61" a="1"/>
  <c r="I139" i="61" s="1"/>
  <c r="H139" i="61" a="1"/>
  <c r="H139" i="61" s="1"/>
  <c r="G139" i="61" a="1"/>
  <c r="G139" i="61" s="1"/>
  <c r="F139" i="61" a="1"/>
  <c r="F139" i="61" s="1"/>
  <c r="E139" i="61" a="1"/>
  <c r="E139" i="61" s="1"/>
  <c r="D139" i="61" a="1"/>
  <c r="D139" i="61" s="1"/>
  <c r="AE138" i="61" a="1"/>
  <c r="AE138" i="61" s="1"/>
  <c r="AD138" i="61" a="1"/>
  <c r="AD138" i="61" s="1"/>
  <c r="AC138" i="61" a="1"/>
  <c r="AC138" i="61" s="1"/>
  <c r="AB138" i="61" a="1"/>
  <c r="AB138" i="61" s="1"/>
  <c r="AA138" i="61" a="1"/>
  <c r="AA138" i="61" s="1"/>
  <c r="Z138" i="61" a="1"/>
  <c r="Z138" i="61" s="1"/>
  <c r="Y138" i="61" a="1"/>
  <c r="Y138" i="61" s="1"/>
  <c r="X138" i="61" a="1"/>
  <c r="X138" i="61" s="1"/>
  <c r="W138" i="61" a="1"/>
  <c r="W138" i="61" s="1"/>
  <c r="V138" i="61" a="1"/>
  <c r="V138" i="61" s="1"/>
  <c r="U138" i="61" a="1"/>
  <c r="U138" i="61" s="1"/>
  <c r="T138" i="61" a="1"/>
  <c r="T138" i="61" s="1"/>
  <c r="S138" i="61" a="1"/>
  <c r="S138" i="61" s="1"/>
  <c r="R138" i="61" a="1"/>
  <c r="R138" i="61" s="1"/>
  <c r="Q138" i="61" a="1"/>
  <c r="Q138" i="61" s="1"/>
  <c r="P138" i="61" a="1"/>
  <c r="P138" i="61" s="1"/>
  <c r="O138" i="61" a="1"/>
  <c r="O138" i="61" s="1"/>
  <c r="N138" i="61" a="1"/>
  <c r="N138" i="61" s="1"/>
  <c r="M138" i="61" a="1"/>
  <c r="M138" i="61" s="1"/>
  <c r="L138" i="61" a="1"/>
  <c r="L138" i="61" s="1"/>
  <c r="K138" i="61" a="1"/>
  <c r="K138" i="61" s="1"/>
  <c r="J138" i="61" a="1"/>
  <c r="J138" i="61" s="1"/>
  <c r="I138" i="61" a="1"/>
  <c r="I138" i="61" s="1"/>
  <c r="H138" i="61" a="1"/>
  <c r="H138" i="61" s="1"/>
  <c r="G138" i="61" a="1"/>
  <c r="G138" i="61" s="1"/>
  <c r="F138" i="61" a="1"/>
  <c r="F138" i="61" s="1"/>
  <c r="E138" i="61" a="1"/>
  <c r="E138" i="61" s="1"/>
  <c r="D138" i="61" a="1"/>
  <c r="D138" i="61" s="1"/>
  <c r="AE137" i="61" a="1"/>
  <c r="AE137" i="61" s="1"/>
  <c r="AD137" i="61" a="1"/>
  <c r="AD137" i="61" s="1"/>
  <c r="AC137" i="61" a="1"/>
  <c r="AC137" i="61" s="1"/>
  <c r="AB137" i="61" a="1"/>
  <c r="AB137" i="61" s="1"/>
  <c r="AA137" i="61" a="1"/>
  <c r="AA137" i="61" s="1"/>
  <c r="Z137" i="61" a="1"/>
  <c r="Z137" i="61" s="1"/>
  <c r="Y137" i="61" a="1"/>
  <c r="Y137" i="61" s="1"/>
  <c r="X137" i="61" a="1"/>
  <c r="X137" i="61" s="1"/>
  <c r="W137" i="61" a="1"/>
  <c r="W137" i="61" s="1"/>
  <c r="V137" i="61" a="1"/>
  <c r="V137" i="61" s="1"/>
  <c r="U137" i="61" a="1"/>
  <c r="U137" i="61" s="1"/>
  <c r="T137" i="61" a="1"/>
  <c r="T137" i="61" s="1"/>
  <c r="S137" i="61" a="1"/>
  <c r="S137" i="61" s="1"/>
  <c r="R137" i="61" a="1"/>
  <c r="R137" i="61" s="1"/>
  <c r="Q137" i="61" a="1"/>
  <c r="Q137" i="61" s="1"/>
  <c r="P137" i="61" a="1"/>
  <c r="P137" i="61" s="1"/>
  <c r="O137" i="61" a="1"/>
  <c r="O137" i="61" s="1"/>
  <c r="N137" i="61" a="1"/>
  <c r="N137" i="61" s="1"/>
  <c r="M137" i="61" a="1"/>
  <c r="M137" i="61" s="1"/>
  <c r="L137" i="61" a="1"/>
  <c r="L137" i="61" s="1"/>
  <c r="K137" i="61" a="1"/>
  <c r="K137" i="61" s="1"/>
  <c r="J137" i="61" a="1"/>
  <c r="J137" i="61" s="1"/>
  <c r="I137" i="61" a="1"/>
  <c r="I137" i="61" s="1"/>
  <c r="H137" i="61" a="1"/>
  <c r="H137" i="61" s="1"/>
  <c r="G137" i="61" a="1"/>
  <c r="G137" i="61" s="1"/>
  <c r="F137" i="61" a="1"/>
  <c r="F137" i="61" s="1"/>
  <c r="E137" i="61" a="1"/>
  <c r="E137" i="61" s="1"/>
  <c r="D137" i="61" a="1"/>
  <c r="D137" i="61" s="1"/>
  <c r="AE136" i="61" a="1"/>
  <c r="AE136" i="61" s="1"/>
  <c r="AD136" i="61" a="1"/>
  <c r="AD136" i="61" s="1"/>
  <c r="AC136" i="61" a="1"/>
  <c r="AC136" i="61" s="1"/>
  <c r="AB136" i="61" a="1"/>
  <c r="AB136" i="61" s="1"/>
  <c r="AA136" i="61" a="1"/>
  <c r="AA136" i="61" s="1"/>
  <c r="Z136" i="61" a="1"/>
  <c r="Z136" i="61" s="1"/>
  <c r="Y136" i="61" a="1"/>
  <c r="Y136" i="61" s="1"/>
  <c r="X136" i="61" a="1"/>
  <c r="X136" i="61" s="1"/>
  <c r="W136" i="61" a="1"/>
  <c r="W136" i="61" s="1"/>
  <c r="V136" i="61" a="1"/>
  <c r="V136" i="61" s="1"/>
  <c r="U136" i="61" a="1"/>
  <c r="U136" i="61" s="1"/>
  <c r="T136" i="61" a="1"/>
  <c r="T136" i="61" s="1"/>
  <c r="S136" i="61" a="1"/>
  <c r="S136" i="61" s="1"/>
  <c r="R136" i="61" a="1"/>
  <c r="R136" i="61" s="1"/>
  <c r="Q136" i="61" a="1"/>
  <c r="Q136" i="61" s="1"/>
  <c r="P136" i="61" a="1"/>
  <c r="P136" i="61" s="1"/>
  <c r="O136" i="61" a="1"/>
  <c r="O136" i="61" s="1"/>
  <c r="N136" i="61" a="1"/>
  <c r="N136" i="61" s="1"/>
  <c r="M136" i="61" a="1"/>
  <c r="M136" i="61" s="1"/>
  <c r="L136" i="61" a="1"/>
  <c r="L136" i="61" s="1"/>
  <c r="K136" i="61" a="1"/>
  <c r="K136" i="61" s="1"/>
  <c r="J136" i="61" a="1"/>
  <c r="J136" i="61" s="1"/>
  <c r="I136" i="61" a="1"/>
  <c r="I136" i="61" s="1"/>
  <c r="H136" i="61" a="1"/>
  <c r="H136" i="61" s="1"/>
  <c r="G136" i="61" a="1"/>
  <c r="G136" i="61" s="1"/>
  <c r="F136" i="61" a="1"/>
  <c r="F136" i="61" s="1"/>
  <c r="E136" i="61" a="1"/>
  <c r="E136" i="61" s="1"/>
  <c r="D136" i="61" a="1"/>
  <c r="D136" i="61" s="1"/>
  <c r="AE135" i="61" a="1"/>
  <c r="AE135" i="61" s="1"/>
  <c r="AD135" i="61" a="1"/>
  <c r="AD135" i="61" s="1"/>
  <c r="AC135" i="61" a="1"/>
  <c r="AC135" i="61" s="1"/>
  <c r="AB135" i="61" a="1"/>
  <c r="AB135" i="61" s="1"/>
  <c r="AA135" i="61" a="1"/>
  <c r="AA135" i="61" s="1"/>
  <c r="Z135" i="61" a="1"/>
  <c r="Z135" i="61" s="1"/>
  <c r="Y135" i="61" a="1"/>
  <c r="Y135" i="61" s="1"/>
  <c r="X135" i="61" a="1"/>
  <c r="X135" i="61" s="1"/>
  <c r="W135" i="61" a="1"/>
  <c r="W135" i="61" s="1"/>
  <c r="V135" i="61" a="1"/>
  <c r="V135" i="61" s="1"/>
  <c r="U135" i="61" a="1"/>
  <c r="U135" i="61" s="1"/>
  <c r="T135" i="61" a="1"/>
  <c r="T135" i="61" s="1"/>
  <c r="S135" i="61" a="1"/>
  <c r="S135" i="61" s="1"/>
  <c r="R135" i="61" a="1"/>
  <c r="R135" i="61" s="1"/>
  <c r="Q135" i="61" a="1"/>
  <c r="Q135" i="61" s="1"/>
  <c r="P135" i="61" a="1"/>
  <c r="P135" i="61" s="1"/>
  <c r="O135" i="61" a="1"/>
  <c r="O135" i="61" s="1"/>
  <c r="N135" i="61" a="1"/>
  <c r="N135" i="61" s="1"/>
  <c r="M135" i="61" a="1"/>
  <c r="M135" i="61" s="1"/>
  <c r="L135" i="61" a="1"/>
  <c r="L135" i="61" s="1"/>
  <c r="K135" i="61" a="1"/>
  <c r="K135" i="61" s="1"/>
  <c r="J135" i="61" a="1"/>
  <c r="J135" i="61" s="1"/>
  <c r="I135" i="61" a="1"/>
  <c r="I135" i="61" s="1"/>
  <c r="H135" i="61" a="1"/>
  <c r="H135" i="61" s="1"/>
  <c r="G135" i="61" a="1"/>
  <c r="G135" i="61" s="1"/>
  <c r="F135" i="61" a="1"/>
  <c r="F135" i="61" s="1"/>
  <c r="E135" i="61" a="1"/>
  <c r="E135" i="61" s="1"/>
  <c r="D135" i="61" a="1"/>
  <c r="D135" i="61" s="1"/>
  <c r="AE134" i="61" a="1"/>
  <c r="AE134" i="61" s="1"/>
  <c r="AD134" i="61" a="1"/>
  <c r="AD134" i="61" s="1"/>
  <c r="AC134" i="61" a="1"/>
  <c r="AC134" i="61" s="1"/>
  <c r="AB134" i="61" a="1"/>
  <c r="AB134" i="61" s="1"/>
  <c r="AA134" i="61" a="1"/>
  <c r="AA134" i="61" s="1"/>
  <c r="Z134" i="61" a="1"/>
  <c r="Z134" i="61" s="1"/>
  <c r="Y134" i="61" a="1"/>
  <c r="Y134" i="61" s="1"/>
  <c r="X134" i="61" a="1"/>
  <c r="X134" i="61" s="1"/>
  <c r="W134" i="61" a="1"/>
  <c r="W134" i="61" s="1"/>
  <c r="V134" i="61" a="1"/>
  <c r="V134" i="61" s="1"/>
  <c r="U134" i="61" a="1"/>
  <c r="U134" i="61" s="1"/>
  <c r="T134" i="61" a="1"/>
  <c r="T134" i="61" s="1"/>
  <c r="S134" i="61" a="1"/>
  <c r="S134" i="61" s="1"/>
  <c r="R134" i="61" a="1"/>
  <c r="R134" i="61" s="1"/>
  <c r="Q134" i="61" a="1"/>
  <c r="Q134" i="61" s="1"/>
  <c r="P134" i="61" a="1"/>
  <c r="P134" i="61" s="1"/>
  <c r="O134" i="61" a="1"/>
  <c r="O134" i="61" s="1"/>
  <c r="N134" i="61" a="1"/>
  <c r="N134" i="61" s="1"/>
  <c r="M134" i="61" a="1"/>
  <c r="M134" i="61" s="1"/>
  <c r="L134" i="61" a="1"/>
  <c r="L134" i="61" s="1"/>
  <c r="K134" i="61" a="1"/>
  <c r="K134" i="61" s="1"/>
  <c r="J134" i="61" a="1"/>
  <c r="J134" i="61" s="1"/>
  <c r="I134" i="61" a="1"/>
  <c r="I134" i="61" s="1"/>
  <c r="H134" i="61" a="1"/>
  <c r="H134" i="61" s="1"/>
  <c r="G134" i="61" a="1"/>
  <c r="G134" i="61" s="1"/>
  <c r="F134" i="61" a="1"/>
  <c r="F134" i="61" s="1"/>
  <c r="E134" i="61" a="1"/>
  <c r="E134" i="61" s="1"/>
  <c r="D134" i="61" a="1"/>
  <c r="D134" i="61" s="1"/>
  <c r="AE133" i="61" a="1"/>
  <c r="AE133" i="61" s="1"/>
  <c r="AD133" i="61" a="1"/>
  <c r="AD133" i="61" s="1"/>
  <c r="AC133" i="61" a="1"/>
  <c r="AC133" i="61" s="1"/>
  <c r="AB133" i="61" a="1"/>
  <c r="AB133" i="61" s="1"/>
  <c r="AA133" i="61" a="1"/>
  <c r="AA133" i="61" s="1"/>
  <c r="Z133" i="61" a="1"/>
  <c r="Z133" i="61" s="1"/>
  <c r="Y133" i="61" a="1"/>
  <c r="Y133" i="61" s="1"/>
  <c r="X133" i="61" a="1"/>
  <c r="X133" i="61" s="1"/>
  <c r="W133" i="61" a="1"/>
  <c r="W133" i="61" s="1"/>
  <c r="V133" i="61" a="1"/>
  <c r="V133" i="61" s="1"/>
  <c r="U133" i="61" a="1"/>
  <c r="U133" i="61" s="1"/>
  <c r="T133" i="61" a="1"/>
  <c r="T133" i="61" s="1"/>
  <c r="S133" i="61" a="1"/>
  <c r="S133" i="61" s="1"/>
  <c r="R133" i="61" a="1"/>
  <c r="R133" i="61" s="1"/>
  <c r="Q133" i="61" a="1"/>
  <c r="Q133" i="61" s="1"/>
  <c r="P133" i="61" a="1"/>
  <c r="P133" i="61" s="1"/>
  <c r="O133" i="61" a="1"/>
  <c r="O133" i="61" s="1"/>
  <c r="N133" i="61" a="1"/>
  <c r="N133" i="61" s="1"/>
  <c r="M133" i="61" a="1"/>
  <c r="M133" i="61" s="1"/>
  <c r="L133" i="61" a="1"/>
  <c r="L133" i="61" s="1"/>
  <c r="K133" i="61" a="1"/>
  <c r="K133" i="61" s="1"/>
  <c r="J133" i="61" a="1"/>
  <c r="J133" i="61" s="1"/>
  <c r="I133" i="61" a="1"/>
  <c r="I133" i="61" s="1"/>
  <c r="H133" i="61" a="1"/>
  <c r="H133" i="61" s="1"/>
  <c r="G133" i="61" a="1"/>
  <c r="G133" i="61" s="1"/>
  <c r="F133" i="61" a="1"/>
  <c r="F133" i="61" s="1"/>
  <c r="E133" i="61" a="1"/>
  <c r="E133" i="61" s="1"/>
  <c r="D133" i="61" a="1"/>
  <c r="D133" i="61" s="1"/>
  <c r="AE132" i="61" a="1"/>
  <c r="AE132" i="61" s="1"/>
  <c r="AD132" i="61" a="1"/>
  <c r="AD132" i="61" s="1"/>
  <c r="AC132" i="61" a="1"/>
  <c r="AC132" i="61" s="1"/>
  <c r="AB132" i="61" a="1"/>
  <c r="AB132" i="61" s="1"/>
  <c r="AA132" i="61" a="1"/>
  <c r="AA132" i="61" s="1"/>
  <c r="Z132" i="61" a="1"/>
  <c r="Z132" i="61" s="1"/>
  <c r="Y132" i="61" a="1"/>
  <c r="Y132" i="61" s="1"/>
  <c r="X132" i="61" a="1"/>
  <c r="X132" i="61" s="1"/>
  <c r="W132" i="61" a="1"/>
  <c r="W132" i="61" s="1"/>
  <c r="V132" i="61" a="1"/>
  <c r="V132" i="61" s="1"/>
  <c r="U132" i="61" a="1"/>
  <c r="U132" i="61" s="1"/>
  <c r="T132" i="61" a="1"/>
  <c r="T132" i="61" s="1"/>
  <c r="S132" i="61" a="1"/>
  <c r="S132" i="61" s="1"/>
  <c r="R132" i="61" a="1"/>
  <c r="R132" i="61" s="1"/>
  <c r="Q132" i="61" a="1"/>
  <c r="Q132" i="61" s="1"/>
  <c r="P132" i="61" a="1"/>
  <c r="P132" i="61" s="1"/>
  <c r="O132" i="61" a="1"/>
  <c r="O132" i="61" s="1"/>
  <c r="N132" i="61" a="1"/>
  <c r="N132" i="61" s="1"/>
  <c r="M132" i="61" a="1"/>
  <c r="M132" i="61" s="1"/>
  <c r="L132" i="61" a="1"/>
  <c r="L132" i="61" s="1"/>
  <c r="K132" i="61" a="1"/>
  <c r="K132" i="61" s="1"/>
  <c r="J132" i="61" a="1"/>
  <c r="J132" i="61" s="1"/>
  <c r="I132" i="61" a="1"/>
  <c r="I132" i="61" s="1"/>
  <c r="H132" i="61" a="1"/>
  <c r="H132" i="61" s="1"/>
  <c r="G132" i="61" a="1"/>
  <c r="G132" i="61" s="1"/>
  <c r="F132" i="61" a="1"/>
  <c r="F132" i="61" s="1"/>
  <c r="E132" i="61" a="1"/>
  <c r="E132" i="61" s="1"/>
  <c r="D132" i="61" a="1"/>
  <c r="D132" i="61" s="1"/>
  <c r="AE131" i="61" a="1"/>
  <c r="AE131" i="61" s="1"/>
  <c r="AD131" i="61" a="1"/>
  <c r="AD131" i="61" s="1"/>
  <c r="AC131" i="61" a="1"/>
  <c r="AC131" i="61" s="1"/>
  <c r="AB131" i="61" a="1"/>
  <c r="AB131" i="61" s="1"/>
  <c r="AA131" i="61" a="1"/>
  <c r="AA131" i="61" s="1"/>
  <c r="Z131" i="61" a="1"/>
  <c r="Z131" i="61" s="1"/>
  <c r="Y131" i="61" a="1"/>
  <c r="Y131" i="61" s="1"/>
  <c r="X131" i="61" a="1"/>
  <c r="X131" i="61" s="1"/>
  <c r="W131" i="61" a="1"/>
  <c r="W131" i="61" s="1"/>
  <c r="V131" i="61" a="1"/>
  <c r="V131" i="61" s="1"/>
  <c r="U131" i="61" a="1"/>
  <c r="U131" i="61" s="1"/>
  <c r="T131" i="61" a="1"/>
  <c r="T131" i="61" s="1"/>
  <c r="S131" i="61" a="1"/>
  <c r="S131" i="61" s="1"/>
  <c r="R131" i="61" a="1"/>
  <c r="R131" i="61" s="1"/>
  <c r="Q131" i="61" a="1"/>
  <c r="Q131" i="61" s="1"/>
  <c r="P131" i="61" a="1"/>
  <c r="P131" i="61" s="1"/>
  <c r="O131" i="61" a="1"/>
  <c r="O131" i="61" s="1"/>
  <c r="N131" i="61" a="1"/>
  <c r="N131" i="61" s="1"/>
  <c r="M131" i="61" a="1"/>
  <c r="M131" i="61" s="1"/>
  <c r="L131" i="61" a="1"/>
  <c r="L131" i="61" s="1"/>
  <c r="K131" i="61" a="1"/>
  <c r="K131" i="61" s="1"/>
  <c r="J131" i="61" a="1"/>
  <c r="J131" i="61" s="1"/>
  <c r="I131" i="61" a="1"/>
  <c r="I131" i="61" s="1"/>
  <c r="H131" i="61" a="1"/>
  <c r="H131" i="61" s="1"/>
  <c r="G131" i="61" a="1"/>
  <c r="G131" i="61" s="1"/>
  <c r="F131" i="61" a="1"/>
  <c r="F131" i="61" s="1"/>
  <c r="E131" i="61" a="1"/>
  <c r="E131" i="61" s="1"/>
  <c r="D131" i="61" a="1"/>
  <c r="D131" i="61" s="1"/>
  <c r="AE130" i="61" a="1"/>
  <c r="AE130" i="61" s="1"/>
  <c r="AD130" i="61" a="1"/>
  <c r="AD130" i="61" s="1"/>
  <c r="AC130" i="61" a="1"/>
  <c r="AC130" i="61" s="1"/>
  <c r="AB130" i="61" a="1"/>
  <c r="AB130" i="61" s="1"/>
  <c r="AA130" i="61" a="1"/>
  <c r="AA130" i="61" s="1"/>
  <c r="Z130" i="61" a="1"/>
  <c r="Z130" i="61" s="1"/>
  <c r="Y130" i="61" a="1"/>
  <c r="Y130" i="61" s="1"/>
  <c r="X130" i="61" a="1"/>
  <c r="X130" i="61" s="1"/>
  <c r="W130" i="61" a="1"/>
  <c r="W130" i="61" s="1"/>
  <c r="V130" i="61" a="1"/>
  <c r="V130" i="61" s="1"/>
  <c r="U130" i="61" a="1"/>
  <c r="U130" i="61" s="1"/>
  <c r="T130" i="61" a="1"/>
  <c r="T130" i="61" s="1"/>
  <c r="S130" i="61" a="1"/>
  <c r="S130" i="61" s="1"/>
  <c r="R130" i="61" a="1"/>
  <c r="R130" i="61" s="1"/>
  <c r="Q130" i="61" a="1"/>
  <c r="Q130" i="61" s="1"/>
  <c r="P130" i="61" a="1"/>
  <c r="P130" i="61" s="1"/>
  <c r="O130" i="61" a="1"/>
  <c r="O130" i="61" s="1"/>
  <c r="N130" i="61" a="1"/>
  <c r="N130" i="61" s="1"/>
  <c r="M130" i="61" a="1"/>
  <c r="M130" i="61" s="1"/>
  <c r="L130" i="61" a="1"/>
  <c r="L130" i="61" s="1"/>
  <c r="K130" i="61" a="1"/>
  <c r="K130" i="61" s="1"/>
  <c r="J130" i="61" a="1"/>
  <c r="J130" i="61" s="1"/>
  <c r="I130" i="61" a="1"/>
  <c r="I130" i="61" s="1"/>
  <c r="H130" i="61" a="1"/>
  <c r="H130" i="61" s="1"/>
  <c r="G130" i="61" a="1"/>
  <c r="G130" i="61" s="1"/>
  <c r="F130" i="61" a="1"/>
  <c r="F130" i="61" s="1"/>
  <c r="E130" i="61" a="1"/>
  <c r="E130" i="61" s="1"/>
  <c r="D130" i="61" a="1"/>
  <c r="D130" i="61" s="1"/>
  <c r="AE129" i="61" a="1"/>
  <c r="AE129" i="61" s="1"/>
  <c r="AD129" i="61" a="1"/>
  <c r="AD129" i="61" s="1"/>
  <c r="AC129" i="61" a="1"/>
  <c r="AC129" i="61" s="1"/>
  <c r="AB129" i="61" a="1"/>
  <c r="AB129" i="61" s="1"/>
  <c r="AA129" i="61" a="1"/>
  <c r="AA129" i="61" s="1"/>
  <c r="Z129" i="61" a="1"/>
  <c r="Z129" i="61" s="1"/>
  <c r="Y129" i="61" a="1"/>
  <c r="Y129" i="61" s="1"/>
  <c r="X129" i="61" a="1"/>
  <c r="X129" i="61" s="1"/>
  <c r="W129" i="61" a="1"/>
  <c r="W129" i="61" s="1"/>
  <c r="V129" i="61" a="1"/>
  <c r="V129" i="61" s="1"/>
  <c r="U129" i="61" a="1"/>
  <c r="U129" i="61" s="1"/>
  <c r="T129" i="61" a="1"/>
  <c r="T129" i="61" s="1"/>
  <c r="S129" i="61" a="1"/>
  <c r="S129" i="61" s="1"/>
  <c r="R129" i="61" a="1"/>
  <c r="R129" i="61" s="1"/>
  <c r="Q129" i="61" a="1"/>
  <c r="Q129" i="61" s="1"/>
  <c r="P129" i="61" a="1"/>
  <c r="P129" i="61" s="1"/>
  <c r="O129" i="61" a="1"/>
  <c r="O129" i="61" s="1"/>
  <c r="N129" i="61" a="1"/>
  <c r="N129" i="61" s="1"/>
  <c r="M129" i="61" a="1"/>
  <c r="M129" i="61" s="1"/>
  <c r="L129" i="61" a="1"/>
  <c r="L129" i="61" s="1"/>
  <c r="K129" i="61" a="1"/>
  <c r="K129" i="61" s="1"/>
  <c r="J129" i="61" a="1"/>
  <c r="J129" i="61" s="1"/>
  <c r="I129" i="61" a="1"/>
  <c r="I129" i="61" s="1"/>
  <c r="H129" i="61" a="1"/>
  <c r="H129" i="61" s="1"/>
  <c r="G129" i="61" a="1"/>
  <c r="G129" i="61" s="1"/>
  <c r="F129" i="61" a="1"/>
  <c r="F129" i="61" s="1"/>
  <c r="E129" i="61" a="1"/>
  <c r="E129" i="61" s="1"/>
  <c r="D129" i="61" a="1"/>
  <c r="D129" i="61" s="1"/>
  <c r="AE128" i="61" a="1"/>
  <c r="AE128" i="61" s="1"/>
  <c r="AD128" i="61" a="1"/>
  <c r="AD128" i="61" s="1"/>
  <c r="AC128" i="61" a="1"/>
  <c r="AC128" i="61" s="1"/>
  <c r="AB128" i="61" a="1"/>
  <c r="AB128" i="61" s="1"/>
  <c r="AA128" i="61" a="1"/>
  <c r="AA128" i="61" s="1"/>
  <c r="Z128" i="61" a="1"/>
  <c r="Z128" i="61" s="1"/>
  <c r="Y128" i="61" a="1"/>
  <c r="Y128" i="61" s="1"/>
  <c r="X128" i="61" a="1"/>
  <c r="X128" i="61" s="1"/>
  <c r="W128" i="61" a="1"/>
  <c r="W128" i="61" s="1"/>
  <c r="V128" i="61" a="1"/>
  <c r="V128" i="61" s="1"/>
  <c r="U128" i="61" a="1"/>
  <c r="U128" i="61" s="1"/>
  <c r="T128" i="61" a="1"/>
  <c r="T128" i="61" s="1"/>
  <c r="S128" i="61" a="1"/>
  <c r="S128" i="61" s="1"/>
  <c r="R128" i="61" a="1"/>
  <c r="R128" i="61" s="1"/>
  <c r="Q128" i="61" a="1"/>
  <c r="Q128" i="61" s="1"/>
  <c r="P128" i="61" a="1"/>
  <c r="P128" i="61" s="1"/>
  <c r="O128" i="61" a="1"/>
  <c r="O128" i="61" s="1"/>
  <c r="N128" i="61" a="1"/>
  <c r="N128" i="61" s="1"/>
  <c r="M128" i="61" a="1"/>
  <c r="M128" i="61" s="1"/>
  <c r="L128" i="61" a="1"/>
  <c r="L128" i="61" s="1"/>
  <c r="K128" i="61" a="1"/>
  <c r="K128" i="61" s="1"/>
  <c r="J128" i="61" a="1"/>
  <c r="J128" i="61" s="1"/>
  <c r="I128" i="61" a="1"/>
  <c r="I128" i="61" s="1"/>
  <c r="H128" i="61" a="1"/>
  <c r="H128" i="61" s="1"/>
  <c r="G128" i="61" a="1"/>
  <c r="G128" i="61" s="1"/>
  <c r="F128" i="61" a="1"/>
  <c r="F128" i="61" s="1"/>
  <c r="E128" i="61" a="1"/>
  <c r="E128" i="61" s="1"/>
  <c r="D128" i="61" a="1"/>
  <c r="D128" i="61" s="1"/>
  <c r="AE127" i="61" a="1"/>
  <c r="AE127" i="61" s="1"/>
  <c r="AD127" i="61" a="1"/>
  <c r="AD127" i="61" s="1"/>
  <c r="AC127" i="61" a="1"/>
  <c r="AC127" i="61" s="1"/>
  <c r="AB127" i="61" a="1"/>
  <c r="AB127" i="61" s="1"/>
  <c r="AA127" i="61" a="1"/>
  <c r="AA127" i="61" s="1"/>
  <c r="Z127" i="61" a="1"/>
  <c r="Z127" i="61" s="1"/>
  <c r="Y127" i="61" a="1"/>
  <c r="Y127" i="61" s="1"/>
  <c r="X127" i="61" a="1"/>
  <c r="X127" i="61" s="1"/>
  <c r="W127" i="61" a="1"/>
  <c r="W127" i="61" s="1"/>
  <c r="V127" i="61" a="1"/>
  <c r="V127" i="61" s="1"/>
  <c r="U127" i="61" a="1"/>
  <c r="U127" i="61" s="1"/>
  <c r="T127" i="61" a="1"/>
  <c r="T127" i="61" s="1"/>
  <c r="S127" i="61" a="1"/>
  <c r="S127" i="61" s="1"/>
  <c r="R127" i="61" a="1"/>
  <c r="R127" i="61" s="1"/>
  <c r="Q127" i="61" a="1"/>
  <c r="Q127" i="61" s="1"/>
  <c r="P127" i="61" a="1"/>
  <c r="P127" i="61" s="1"/>
  <c r="O127" i="61" a="1"/>
  <c r="O127" i="61" s="1"/>
  <c r="N127" i="61" a="1"/>
  <c r="N127" i="61" s="1"/>
  <c r="M127" i="61" a="1"/>
  <c r="M127" i="61" s="1"/>
  <c r="L127" i="61" a="1"/>
  <c r="L127" i="61" s="1"/>
  <c r="K127" i="61" a="1"/>
  <c r="K127" i="61" s="1"/>
  <c r="J127" i="61" a="1"/>
  <c r="J127" i="61" s="1"/>
  <c r="I127" i="61" a="1"/>
  <c r="I127" i="61" s="1"/>
  <c r="H127" i="61" a="1"/>
  <c r="H127" i="61" s="1"/>
  <c r="G127" i="61" a="1"/>
  <c r="G127" i="61" s="1"/>
  <c r="F127" i="61" a="1"/>
  <c r="F127" i="61" s="1"/>
  <c r="E127" i="61" a="1"/>
  <c r="E127" i="61" s="1"/>
  <c r="D127" i="61" a="1"/>
  <c r="D127" i="61" s="1"/>
  <c r="AE126" i="61" a="1"/>
  <c r="AE126" i="61" s="1"/>
  <c r="AD126" i="61" a="1"/>
  <c r="AD126" i="61" s="1"/>
  <c r="AC126" i="61" a="1"/>
  <c r="AC126" i="61" s="1"/>
  <c r="AB126" i="61" a="1"/>
  <c r="AB126" i="61" s="1"/>
  <c r="AA126" i="61" a="1"/>
  <c r="AA126" i="61" s="1"/>
  <c r="Z126" i="61" a="1"/>
  <c r="Z126" i="61" s="1"/>
  <c r="Y126" i="61" a="1"/>
  <c r="Y126" i="61" s="1"/>
  <c r="X126" i="61" a="1"/>
  <c r="X126" i="61" s="1"/>
  <c r="W126" i="61" a="1"/>
  <c r="W126" i="61" s="1"/>
  <c r="V126" i="61" a="1"/>
  <c r="V126" i="61" s="1"/>
  <c r="U126" i="61" a="1"/>
  <c r="U126" i="61" s="1"/>
  <c r="T126" i="61" a="1"/>
  <c r="T126" i="61" s="1"/>
  <c r="S126" i="61" a="1"/>
  <c r="S126" i="61" s="1"/>
  <c r="R126" i="61" a="1"/>
  <c r="R126" i="61" s="1"/>
  <c r="Q126" i="61" a="1"/>
  <c r="Q126" i="61" s="1"/>
  <c r="P126" i="61" a="1"/>
  <c r="P126" i="61" s="1"/>
  <c r="O126" i="61" a="1"/>
  <c r="O126" i="61" s="1"/>
  <c r="N126" i="61" a="1"/>
  <c r="N126" i="61" s="1"/>
  <c r="M126" i="61" a="1"/>
  <c r="M126" i="61" s="1"/>
  <c r="L126" i="61" a="1"/>
  <c r="L126" i="61" s="1"/>
  <c r="K126" i="61" a="1"/>
  <c r="K126" i="61" s="1"/>
  <c r="J126" i="61" a="1"/>
  <c r="J126" i="61" s="1"/>
  <c r="I126" i="61" a="1"/>
  <c r="I126" i="61" s="1"/>
  <c r="H126" i="61" a="1"/>
  <c r="H126" i="61" s="1"/>
  <c r="G126" i="61" a="1"/>
  <c r="G126" i="61" s="1"/>
  <c r="F126" i="61" a="1"/>
  <c r="F126" i="61" s="1"/>
  <c r="E126" i="61" a="1"/>
  <c r="E126" i="61" s="1"/>
  <c r="D126" i="61" a="1"/>
  <c r="D126" i="61" s="1"/>
  <c r="AE125" i="61" a="1"/>
  <c r="AE125" i="61" s="1"/>
  <c r="AD125" i="61" a="1"/>
  <c r="AD125" i="61" s="1"/>
  <c r="AC125" i="61" a="1"/>
  <c r="AC125" i="61" s="1"/>
  <c r="AB125" i="61" a="1"/>
  <c r="AB125" i="61" s="1"/>
  <c r="AA125" i="61" a="1"/>
  <c r="AA125" i="61" s="1"/>
  <c r="Z125" i="61" a="1"/>
  <c r="Z125" i="61" s="1"/>
  <c r="Y125" i="61" a="1"/>
  <c r="Y125" i="61" s="1"/>
  <c r="X125" i="61" a="1"/>
  <c r="X125" i="61" s="1"/>
  <c r="W125" i="61" a="1"/>
  <c r="W125" i="61" s="1"/>
  <c r="V125" i="61" a="1"/>
  <c r="V125" i="61" s="1"/>
  <c r="U125" i="61" a="1"/>
  <c r="U125" i="61" s="1"/>
  <c r="T125" i="61" a="1"/>
  <c r="T125" i="61" s="1"/>
  <c r="S125" i="61" a="1"/>
  <c r="S125" i="61" s="1"/>
  <c r="R125" i="61" a="1"/>
  <c r="R125" i="61" s="1"/>
  <c r="Q125" i="61" a="1"/>
  <c r="Q125" i="61" s="1"/>
  <c r="P125" i="61" a="1"/>
  <c r="P125" i="61" s="1"/>
  <c r="O125" i="61" a="1"/>
  <c r="O125" i="61" s="1"/>
  <c r="N125" i="61" a="1"/>
  <c r="N125" i="61" s="1"/>
  <c r="M125" i="61" a="1"/>
  <c r="M125" i="61" s="1"/>
  <c r="L125" i="61" a="1"/>
  <c r="L125" i="61" s="1"/>
  <c r="K125" i="61" a="1"/>
  <c r="K125" i="61" s="1"/>
  <c r="J125" i="61" a="1"/>
  <c r="J125" i="61" s="1"/>
  <c r="I125" i="61" a="1"/>
  <c r="I125" i="61" s="1"/>
  <c r="H125" i="61" a="1"/>
  <c r="H125" i="61" s="1"/>
  <c r="G125" i="61" a="1"/>
  <c r="G125" i="61" s="1"/>
  <c r="F125" i="61" a="1"/>
  <c r="F125" i="61" s="1"/>
  <c r="E125" i="61" a="1"/>
  <c r="E125" i="61" s="1"/>
  <c r="D125" i="61" a="1"/>
  <c r="D125" i="61" s="1"/>
  <c r="AE124" i="61" a="1"/>
  <c r="AE124" i="61" s="1"/>
  <c r="AD124" i="61" a="1"/>
  <c r="AD124" i="61" s="1"/>
  <c r="AC124" i="61" a="1"/>
  <c r="AC124" i="61" s="1"/>
  <c r="AB124" i="61" a="1"/>
  <c r="AB124" i="61" s="1"/>
  <c r="AA124" i="61" a="1"/>
  <c r="AA124" i="61" s="1"/>
  <c r="Z124" i="61" a="1"/>
  <c r="Z124" i="61" s="1"/>
  <c r="Y124" i="61" a="1"/>
  <c r="Y124" i="61" s="1"/>
  <c r="X124" i="61" a="1"/>
  <c r="X124" i="61" s="1"/>
  <c r="W124" i="61" a="1"/>
  <c r="W124" i="61" s="1"/>
  <c r="V124" i="61" a="1"/>
  <c r="V124" i="61" s="1"/>
  <c r="U124" i="61" a="1"/>
  <c r="U124" i="61" s="1"/>
  <c r="T124" i="61" a="1"/>
  <c r="T124" i="61" s="1"/>
  <c r="S124" i="61" a="1"/>
  <c r="S124" i="61" s="1"/>
  <c r="R124" i="61" a="1"/>
  <c r="R124" i="61" s="1"/>
  <c r="Q124" i="61" a="1"/>
  <c r="Q124" i="61" s="1"/>
  <c r="P124" i="61" a="1"/>
  <c r="P124" i="61" s="1"/>
  <c r="O124" i="61" a="1"/>
  <c r="O124" i="61" s="1"/>
  <c r="N124" i="61" a="1"/>
  <c r="N124" i="61" s="1"/>
  <c r="M124" i="61" a="1"/>
  <c r="M124" i="61" s="1"/>
  <c r="L124" i="61" a="1"/>
  <c r="L124" i="61" s="1"/>
  <c r="K124" i="61" a="1"/>
  <c r="K124" i="61" s="1"/>
  <c r="J124" i="61" a="1"/>
  <c r="J124" i="61" s="1"/>
  <c r="I124" i="61" a="1"/>
  <c r="I124" i="61" s="1"/>
  <c r="H124" i="61" a="1"/>
  <c r="H124" i="61" s="1"/>
  <c r="G124" i="61" a="1"/>
  <c r="G124" i="61" s="1"/>
  <c r="F124" i="61" a="1"/>
  <c r="F124" i="61" s="1"/>
  <c r="E124" i="61" a="1"/>
  <c r="E124" i="61" s="1"/>
  <c r="D124" i="61" a="1"/>
  <c r="D124" i="61" s="1"/>
  <c r="AE123" i="61" a="1"/>
  <c r="AE123" i="61" s="1"/>
  <c r="AD123" i="61" a="1"/>
  <c r="AD123" i="61" s="1"/>
  <c r="AC123" i="61" a="1"/>
  <c r="AC123" i="61" s="1"/>
  <c r="AB123" i="61" a="1"/>
  <c r="AB123" i="61" s="1"/>
  <c r="AA123" i="61" a="1"/>
  <c r="AA123" i="61" s="1"/>
  <c r="Z123" i="61" a="1"/>
  <c r="Z123" i="61" s="1"/>
  <c r="Y123" i="61" a="1"/>
  <c r="Y123" i="61" s="1"/>
  <c r="X123" i="61" a="1"/>
  <c r="X123" i="61" s="1"/>
  <c r="W123" i="61" a="1"/>
  <c r="W123" i="61" s="1"/>
  <c r="V123" i="61" a="1"/>
  <c r="V123" i="61" s="1"/>
  <c r="U123" i="61" a="1"/>
  <c r="U123" i="61" s="1"/>
  <c r="T123" i="61" a="1"/>
  <c r="T123" i="61" s="1"/>
  <c r="S123" i="61" a="1"/>
  <c r="S123" i="61" s="1"/>
  <c r="R123" i="61" a="1"/>
  <c r="R123" i="61" s="1"/>
  <c r="Q123" i="61" a="1"/>
  <c r="Q123" i="61" s="1"/>
  <c r="P123" i="61" a="1"/>
  <c r="P123" i="61" s="1"/>
  <c r="O123" i="61" a="1"/>
  <c r="O123" i="61" s="1"/>
  <c r="N123" i="61" a="1"/>
  <c r="N123" i="61" s="1"/>
  <c r="M123" i="61" a="1"/>
  <c r="M123" i="61" s="1"/>
  <c r="L123" i="61" a="1"/>
  <c r="L123" i="61" s="1"/>
  <c r="K123" i="61" a="1"/>
  <c r="K123" i="61" s="1"/>
  <c r="J123" i="61" a="1"/>
  <c r="J123" i="61" s="1"/>
  <c r="I123" i="61" a="1"/>
  <c r="I123" i="61" s="1"/>
  <c r="H123" i="61" a="1"/>
  <c r="H123" i="61" s="1"/>
  <c r="G123" i="61" a="1"/>
  <c r="G123" i="61" s="1"/>
  <c r="F123" i="61" a="1"/>
  <c r="F123" i="61" s="1"/>
  <c r="E123" i="61" a="1"/>
  <c r="E123" i="61" s="1"/>
  <c r="D123" i="61" a="1"/>
  <c r="D123" i="61" s="1"/>
  <c r="AE122" i="61" a="1"/>
  <c r="AE122" i="61" s="1"/>
  <c r="AD122" i="61" a="1"/>
  <c r="AD122" i="61" s="1"/>
  <c r="AC122" i="61" a="1"/>
  <c r="AC122" i="61" s="1"/>
  <c r="AB122" i="61" a="1"/>
  <c r="AB122" i="61" s="1"/>
  <c r="AA122" i="61" a="1"/>
  <c r="AA122" i="61" s="1"/>
  <c r="Z122" i="61" a="1"/>
  <c r="Z122" i="61" s="1"/>
  <c r="Y122" i="61" a="1"/>
  <c r="Y122" i="61" s="1"/>
  <c r="X122" i="61" a="1"/>
  <c r="X122" i="61" s="1"/>
  <c r="W122" i="61" a="1"/>
  <c r="W122" i="61" s="1"/>
  <c r="V122" i="61" a="1"/>
  <c r="V122" i="61" s="1"/>
  <c r="U122" i="61" a="1"/>
  <c r="U122" i="61" s="1"/>
  <c r="T122" i="61" a="1"/>
  <c r="T122" i="61" s="1"/>
  <c r="S122" i="61" a="1"/>
  <c r="S122" i="61" s="1"/>
  <c r="R122" i="61" a="1"/>
  <c r="R122" i="61" s="1"/>
  <c r="Q122" i="61" a="1"/>
  <c r="Q122" i="61" s="1"/>
  <c r="P122" i="61" a="1"/>
  <c r="P122" i="61" s="1"/>
  <c r="O122" i="61" a="1"/>
  <c r="O122" i="61" s="1"/>
  <c r="N122" i="61" a="1"/>
  <c r="N122" i="61" s="1"/>
  <c r="M122" i="61" a="1"/>
  <c r="M122" i="61" s="1"/>
  <c r="L122" i="61" a="1"/>
  <c r="L122" i="61" s="1"/>
  <c r="K122" i="61" a="1"/>
  <c r="K122" i="61" s="1"/>
  <c r="J122" i="61" a="1"/>
  <c r="J122" i="61" s="1"/>
  <c r="I122" i="61" a="1"/>
  <c r="I122" i="61" s="1"/>
  <c r="H122" i="61" a="1"/>
  <c r="H122" i="61" s="1"/>
  <c r="G122" i="61" a="1"/>
  <c r="G122" i="61" s="1"/>
  <c r="F122" i="61" a="1"/>
  <c r="F122" i="61" s="1"/>
  <c r="E122" i="61" a="1"/>
  <c r="E122" i="61" s="1"/>
  <c r="D122" i="61" a="1"/>
  <c r="D122" i="61" s="1"/>
  <c r="AE121" i="61" a="1"/>
  <c r="AE121" i="61" s="1"/>
  <c r="AD121" i="61" a="1"/>
  <c r="AD121" i="61" s="1"/>
  <c r="AC121" i="61" a="1"/>
  <c r="AC121" i="61" s="1"/>
  <c r="AB121" i="61" a="1"/>
  <c r="AB121" i="61" s="1"/>
  <c r="AA121" i="61" a="1"/>
  <c r="AA121" i="61" s="1"/>
  <c r="Z121" i="61" a="1"/>
  <c r="Z121" i="61" s="1"/>
  <c r="Y121" i="61" a="1"/>
  <c r="Y121" i="61" s="1"/>
  <c r="X121" i="61" a="1"/>
  <c r="X121" i="61" s="1"/>
  <c r="W121" i="61" a="1"/>
  <c r="W121" i="61" s="1"/>
  <c r="V121" i="61" a="1"/>
  <c r="V121" i="61" s="1"/>
  <c r="U121" i="61" a="1"/>
  <c r="U121" i="61" s="1"/>
  <c r="T121" i="61" a="1"/>
  <c r="T121" i="61" s="1"/>
  <c r="S121" i="61" a="1"/>
  <c r="S121" i="61" s="1"/>
  <c r="R121" i="61" a="1"/>
  <c r="R121" i="61" s="1"/>
  <c r="Q121" i="61" a="1"/>
  <c r="Q121" i="61" s="1"/>
  <c r="P121" i="61" a="1"/>
  <c r="P121" i="61" s="1"/>
  <c r="O121" i="61" a="1"/>
  <c r="O121" i="61" s="1"/>
  <c r="N121" i="61" a="1"/>
  <c r="N121" i="61" s="1"/>
  <c r="M121" i="61" a="1"/>
  <c r="M121" i="61" s="1"/>
  <c r="L121" i="61" a="1"/>
  <c r="L121" i="61" s="1"/>
  <c r="K121" i="61" a="1"/>
  <c r="K121" i="61" s="1"/>
  <c r="J121" i="61" a="1"/>
  <c r="J121" i="61" s="1"/>
  <c r="I121" i="61" a="1"/>
  <c r="I121" i="61" s="1"/>
  <c r="H121" i="61" a="1"/>
  <c r="H121" i="61" s="1"/>
  <c r="G121" i="61" a="1"/>
  <c r="G121" i="61" s="1"/>
  <c r="F121" i="61" a="1"/>
  <c r="F121" i="61" s="1"/>
  <c r="E121" i="61" a="1"/>
  <c r="E121" i="61" s="1"/>
  <c r="D121" i="61" a="1"/>
  <c r="D121" i="61" s="1"/>
  <c r="AE120" i="61" a="1"/>
  <c r="AE120" i="61" s="1"/>
  <c r="AD120" i="61" a="1"/>
  <c r="AD120" i="61" s="1"/>
  <c r="AC120" i="61" a="1"/>
  <c r="AC120" i="61" s="1"/>
  <c r="AB120" i="61" a="1"/>
  <c r="AB120" i="61" s="1"/>
  <c r="AA120" i="61" a="1"/>
  <c r="AA120" i="61" s="1"/>
  <c r="Z120" i="61" a="1"/>
  <c r="Z120" i="61" s="1"/>
  <c r="Y120" i="61" a="1"/>
  <c r="Y120" i="61" s="1"/>
  <c r="X120" i="61" a="1"/>
  <c r="X120" i="61" s="1"/>
  <c r="W120" i="61" a="1"/>
  <c r="W120" i="61" s="1"/>
  <c r="V120" i="61" a="1"/>
  <c r="V120" i="61" s="1"/>
  <c r="U120" i="61" a="1"/>
  <c r="U120" i="61" s="1"/>
  <c r="T120" i="61" a="1"/>
  <c r="T120" i="61" s="1"/>
  <c r="S120" i="61" a="1"/>
  <c r="S120" i="61" s="1"/>
  <c r="R120" i="61" a="1"/>
  <c r="R120" i="61" s="1"/>
  <c r="Q120" i="61" a="1"/>
  <c r="Q120" i="61" s="1"/>
  <c r="P120" i="61" a="1"/>
  <c r="P120" i="61" s="1"/>
  <c r="O120" i="61" a="1"/>
  <c r="O120" i="61" s="1"/>
  <c r="N120" i="61" a="1"/>
  <c r="N120" i="61" s="1"/>
  <c r="M120" i="61" a="1"/>
  <c r="M120" i="61" s="1"/>
  <c r="L120" i="61" a="1"/>
  <c r="L120" i="61" s="1"/>
  <c r="K120" i="61" a="1"/>
  <c r="K120" i="61" s="1"/>
  <c r="J120" i="61" a="1"/>
  <c r="J120" i="61" s="1"/>
  <c r="I120" i="61" a="1"/>
  <c r="I120" i="61" s="1"/>
  <c r="H120" i="61" a="1"/>
  <c r="H120" i="61" s="1"/>
  <c r="G120" i="61" a="1"/>
  <c r="G120" i="61" s="1"/>
  <c r="F120" i="61" a="1"/>
  <c r="F120" i="61" s="1"/>
  <c r="E120" i="61" a="1"/>
  <c r="E120" i="61" s="1"/>
  <c r="D120" i="61" a="1"/>
  <c r="D120" i="61" s="1"/>
  <c r="AE119" i="61" a="1"/>
  <c r="AE119" i="61" s="1"/>
  <c r="AD119" i="61" a="1"/>
  <c r="AD119" i="61" s="1"/>
  <c r="AC119" i="61" a="1"/>
  <c r="AC119" i="61" s="1"/>
  <c r="AB119" i="61" a="1"/>
  <c r="AB119" i="61" s="1"/>
  <c r="AA119" i="61" a="1"/>
  <c r="AA119" i="61" s="1"/>
  <c r="Z119" i="61" a="1"/>
  <c r="Z119" i="61" s="1"/>
  <c r="Y119" i="61" a="1"/>
  <c r="Y119" i="61" s="1"/>
  <c r="X119" i="61" a="1"/>
  <c r="X119" i="61" s="1"/>
  <c r="W119" i="61" a="1"/>
  <c r="W119" i="61" s="1"/>
  <c r="V119" i="61" a="1"/>
  <c r="V119" i="61" s="1"/>
  <c r="U119" i="61" a="1"/>
  <c r="U119" i="61" s="1"/>
  <c r="T119" i="61" a="1"/>
  <c r="T119" i="61" s="1"/>
  <c r="S119" i="61" a="1"/>
  <c r="S119" i="61" s="1"/>
  <c r="R119" i="61" a="1"/>
  <c r="R119" i="61" s="1"/>
  <c r="Q119" i="61" a="1"/>
  <c r="Q119" i="61" s="1"/>
  <c r="P119" i="61" a="1"/>
  <c r="P119" i="61" s="1"/>
  <c r="O119" i="61" a="1"/>
  <c r="O119" i="61" s="1"/>
  <c r="N119" i="61" a="1"/>
  <c r="N119" i="61" s="1"/>
  <c r="M119" i="61" a="1"/>
  <c r="M119" i="61" s="1"/>
  <c r="L119" i="61" a="1"/>
  <c r="L119" i="61" s="1"/>
  <c r="K119" i="61" a="1"/>
  <c r="K119" i="61" s="1"/>
  <c r="J119" i="61" a="1"/>
  <c r="J119" i="61" s="1"/>
  <c r="I119" i="61" a="1"/>
  <c r="I119" i="61" s="1"/>
  <c r="H119" i="61" a="1"/>
  <c r="H119" i="61" s="1"/>
  <c r="G119" i="61" a="1"/>
  <c r="G119" i="61" s="1"/>
  <c r="F119" i="61" a="1"/>
  <c r="F119" i="61" s="1"/>
  <c r="E119" i="61" a="1"/>
  <c r="E119" i="61" s="1"/>
  <c r="D119" i="61" a="1"/>
  <c r="D119" i="61" s="1"/>
  <c r="AE118" i="61" a="1"/>
  <c r="AE118" i="61" s="1"/>
  <c r="AD118" i="61" a="1"/>
  <c r="AD118" i="61" s="1"/>
  <c r="AC118" i="61" a="1"/>
  <c r="AC118" i="61" s="1"/>
  <c r="AB118" i="61" a="1"/>
  <c r="AB118" i="61" s="1"/>
  <c r="AA118" i="61" a="1"/>
  <c r="AA118" i="61" s="1"/>
  <c r="Z118" i="61" a="1"/>
  <c r="Z118" i="61" s="1"/>
  <c r="Y118" i="61" a="1"/>
  <c r="Y118" i="61" s="1"/>
  <c r="X118" i="61" a="1"/>
  <c r="X118" i="61" s="1"/>
  <c r="W118" i="61" a="1"/>
  <c r="W118" i="61" s="1"/>
  <c r="V118" i="61" a="1"/>
  <c r="V118" i="61" s="1"/>
  <c r="U118" i="61" a="1"/>
  <c r="U118" i="61" s="1"/>
  <c r="T118" i="61" a="1"/>
  <c r="T118" i="61" s="1"/>
  <c r="S118" i="61" a="1"/>
  <c r="S118" i="61" s="1"/>
  <c r="R118" i="61" a="1"/>
  <c r="R118" i="61" s="1"/>
  <c r="Q118" i="61" a="1"/>
  <c r="Q118" i="61" s="1"/>
  <c r="P118" i="61" a="1"/>
  <c r="P118" i="61" s="1"/>
  <c r="O118" i="61" a="1"/>
  <c r="O118" i="61" s="1"/>
  <c r="N118" i="61" a="1"/>
  <c r="N118" i="61" s="1"/>
  <c r="M118" i="61" a="1"/>
  <c r="M118" i="61" s="1"/>
  <c r="L118" i="61" a="1"/>
  <c r="L118" i="61" s="1"/>
  <c r="K118" i="61" a="1"/>
  <c r="K118" i="61" s="1"/>
  <c r="J118" i="61" a="1"/>
  <c r="J118" i="61" s="1"/>
  <c r="I118" i="61" a="1"/>
  <c r="I118" i="61" s="1"/>
  <c r="H118" i="61" a="1"/>
  <c r="H118" i="61" s="1"/>
  <c r="G118" i="61" a="1"/>
  <c r="G118" i="61" s="1"/>
  <c r="F118" i="61" a="1"/>
  <c r="F118" i="61" s="1"/>
  <c r="E118" i="61" a="1"/>
  <c r="E118" i="61" s="1"/>
  <c r="D118" i="61" a="1"/>
  <c r="D118" i="61" s="1"/>
  <c r="AE117" i="61" a="1"/>
  <c r="AE117" i="61" s="1"/>
  <c r="AD117" i="61" a="1"/>
  <c r="AD117" i="61" s="1"/>
  <c r="AC117" i="61" a="1"/>
  <c r="AC117" i="61" s="1"/>
  <c r="AB117" i="61" a="1"/>
  <c r="AB117" i="61" s="1"/>
  <c r="AA117" i="61" a="1"/>
  <c r="AA117" i="61" s="1"/>
  <c r="Z117" i="61" a="1"/>
  <c r="Z117" i="61" s="1"/>
  <c r="Y117" i="61" a="1"/>
  <c r="Y117" i="61" s="1"/>
  <c r="X117" i="61" a="1"/>
  <c r="X117" i="61" s="1"/>
  <c r="W117" i="61" a="1"/>
  <c r="W117" i="61" s="1"/>
  <c r="V117" i="61" a="1"/>
  <c r="V117" i="61" s="1"/>
  <c r="U117" i="61" a="1"/>
  <c r="U117" i="61" s="1"/>
  <c r="T117" i="61" a="1"/>
  <c r="T117" i="61" s="1"/>
  <c r="S117" i="61" a="1"/>
  <c r="S117" i="61" s="1"/>
  <c r="R117" i="61" a="1"/>
  <c r="R117" i="61" s="1"/>
  <c r="Q117" i="61" a="1"/>
  <c r="Q117" i="61" s="1"/>
  <c r="P117" i="61" a="1"/>
  <c r="P117" i="61" s="1"/>
  <c r="O117" i="61" a="1"/>
  <c r="O117" i="61" s="1"/>
  <c r="N117" i="61" a="1"/>
  <c r="N117" i="61" s="1"/>
  <c r="M117" i="61" a="1"/>
  <c r="M117" i="61" s="1"/>
  <c r="L117" i="61" a="1"/>
  <c r="L117" i="61" s="1"/>
  <c r="K117" i="61" a="1"/>
  <c r="K117" i="61" s="1"/>
  <c r="J117" i="61" a="1"/>
  <c r="J117" i="61" s="1"/>
  <c r="I117" i="61" a="1"/>
  <c r="I117" i="61" s="1"/>
  <c r="H117" i="61" a="1"/>
  <c r="H117" i="61" s="1"/>
  <c r="G117" i="61" a="1"/>
  <c r="G117" i="61" s="1"/>
  <c r="F117" i="61" a="1"/>
  <c r="F117" i="61" s="1"/>
  <c r="E117" i="61" a="1"/>
  <c r="E117" i="61" s="1"/>
  <c r="D117" i="61" a="1"/>
  <c r="D117" i="61" s="1"/>
  <c r="AE116" i="61" a="1"/>
  <c r="AE116" i="61" s="1"/>
  <c r="AD116" i="61" a="1"/>
  <c r="AD116" i="61" s="1"/>
  <c r="AC116" i="61" a="1"/>
  <c r="AC116" i="61" s="1"/>
  <c r="AB116" i="61" a="1"/>
  <c r="AB116" i="61" s="1"/>
  <c r="AA116" i="61" a="1"/>
  <c r="AA116" i="61" s="1"/>
  <c r="Z116" i="61" a="1"/>
  <c r="Z116" i="61" s="1"/>
  <c r="Y116" i="61" a="1"/>
  <c r="Y116" i="61" s="1"/>
  <c r="X116" i="61" a="1"/>
  <c r="X116" i="61" s="1"/>
  <c r="W116" i="61" a="1"/>
  <c r="W116" i="61" s="1"/>
  <c r="V116" i="61" a="1"/>
  <c r="V116" i="61" s="1"/>
  <c r="U116" i="61" a="1"/>
  <c r="U116" i="61" s="1"/>
  <c r="T116" i="61" a="1"/>
  <c r="T116" i="61" s="1"/>
  <c r="S116" i="61" a="1"/>
  <c r="S116" i="61" s="1"/>
  <c r="R116" i="61" a="1"/>
  <c r="R116" i="61" s="1"/>
  <c r="Q116" i="61" a="1"/>
  <c r="Q116" i="61" s="1"/>
  <c r="P116" i="61" a="1"/>
  <c r="P116" i="61" s="1"/>
  <c r="O116" i="61" a="1"/>
  <c r="O116" i="61" s="1"/>
  <c r="N116" i="61" a="1"/>
  <c r="N116" i="61" s="1"/>
  <c r="M116" i="61" a="1"/>
  <c r="M116" i="61" s="1"/>
  <c r="L116" i="61" a="1"/>
  <c r="L116" i="61" s="1"/>
  <c r="K116" i="61" a="1"/>
  <c r="K116" i="61" s="1"/>
  <c r="J116" i="61" a="1"/>
  <c r="J116" i="61" s="1"/>
  <c r="I116" i="61" a="1"/>
  <c r="I116" i="61" s="1"/>
  <c r="H116" i="61" a="1"/>
  <c r="H116" i="61" s="1"/>
  <c r="G116" i="61" a="1"/>
  <c r="G116" i="61" s="1"/>
  <c r="F116" i="61" a="1"/>
  <c r="F116" i="61" s="1"/>
  <c r="E116" i="61" a="1"/>
  <c r="E116" i="61" s="1"/>
  <c r="D116" i="61" a="1"/>
  <c r="D116" i="61" s="1"/>
  <c r="AE115" i="61" a="1"/>
  <c r="AE115" i="61" s="1"/>
  <c r="AD115" i="61" a="1"/>
  <c r="AD115" i="61" s="1"/>
  <c r="AC115" i="61" a="1"/>
  <c r="AC115" i="61" s="1"/>
  <c r="AB115" i="61" a="1"/>
  <c r="AB115" i="61" s="1"/>
  <c r="AA115" i="61" a="1"/>
  <c r="AA115" i="61" s="1"/>
  <c r="Z115" i="61" a="1"/>
  <c r="Z115" i="61" s="1"/>
  <c r="Y115" i="61" a="1"/>
  <c r="Y115" i="61" s="1"/>
  <c r="X115" i="61" a="1"/>
  <c r="X115" i="61" s="1"/>
  <c r="W115" i="61" a="1"/>
  <c r="W115" i="61" s="1"/>
  <c r="V115" i="61" a="1"/>
  <c r="V115" i="61" s="1"/>
  <c r="U115" i="61" a="1"/>
  <c r="U115" i="61" s="1"/>
  <c r="T115" i="61" a="1"/>
  <c r="T115" i="61" s="1"/>
  <c r="S115" i="61" a="1"/>
  <c r="S115" i="61" s="1"/>
  <c r="R115" i="61" a="1"/>
  <c r="R115" i="61" s="1"/>
  <c r="Q115" i="61" a="1"/>
  <c r="Q115" i="61" s="1"/>
  <c r="P115" i="61" a="1"/>
  <c r="P115" i="61" s="1"/>
  <c r="O115" i="61" a="1"/>
  <c r="O115" i="61" s="1"/>
  <c r="N115" i="61" a="1"/>
  <c r="N115" i="61" s="1"/>
  <c r="M115" i="61" a="1"/>
  <c r="M115" i="61" s="1"/>
  <c r="L115" i="61" a="1"/>
  <c r="L115" i="61" s="1"/>
  <c r="K115" i="61" a="1"/>
  <c r="K115" i="61" s="1"/>
  <c r="J115" i="61" a="1"/>
  <c r="J115" i="61" s="1"/>
  <c r="I115" i="61" a="1"/>
  <c r="I115" i="61" s="1"/>
  <c r="H115" i="61" a="1"/>
  <c r="H115" i="61" s="1"/>
  <c r="G115" i="61" a="1"/>
  <c r="G115" i="61" s="1"/>
  <c r="F115" i="61" a="1"/>
  <c r="F115" i="61" s="1"/>
  <c r="E115" i="61" a="1"/>
  <c r="E115" i="61" s="1"/>
  <c r="D115" i="61" a="1"/>
  <c r="D115" i="61" s="1"/>
  <c r="AE114" i="61" a="1"/>
  <c r="AE114" i="61" s="1"/>
  <c r="AD114" i="61" a="1"/>
  <c r="AD114" i="61" s="1"/>
  <c r="AC114" i="61" a="1"/>
  <c r="AC114" i="61" s="1"/>
  <c r="AB114" i="61" a="1"/>
  <c r="AB114" i="61" s="1"/>
  <c r="AA114" i="61" a="1"/>
  <c r="AA114" i="61" s="1"/>
  <c r="Z114" i="61" a="1"/>
  <c r="Z114" i="61" s="1"/>
  <c r="Y114" i="61" a="1"/>
  <c r="Y114" i="61" s="1"/>
  <c r="X114" i="61" a="1"/>
  <c r="X114" i="61" s="1"/>
  <c r="W114" i="61" a="1"/>
  <c r="W114" i="61" s="1"/>
  <c r="V114" i="61" a="1"/>
  <c r="V114" i="61" s="1"/>
  <c r="U114" i="61" a="1"/>
  <c r="U114" i="61" s="1"/>
  <c r="T114" i="61" a="1"/>
  <c r="T114" i="61" s="1"/>
  <c r="S114" i="61" a="1"/>
  <c r="S114" i="61" s="1"/>
  <c r="R114" i="61" a="1"/>
  <c r="R114" i="61" s="1"/>
  <c r="Q114" i="61" a="1"/>
  <c r="Q114" i="61" s="1"/>
  <c r="P114" i="61" a="1"/>
  <c r="P114" i="61" s="1"/>
  <c r="O114" i="61" a="1"/>
  <c r="O114" i="61" s="1"/>
  <c r="N114" i="61" a="1"/>
  <c r="N114" i="61" s="1"/>
  <c r="M114" i="61" a="1"/>
  <c r="M114" i="61" s="1"/>
  <c r="L114" i="61" a="1"/>
  <c r="L114" i="61" s="1"/>
  <c r="K114" i="61" a="1"/>
  <c r="K114" i="61" s="1"/>
  <c r="J114" i="61" a="1"/>
  <c r="J114" i="61" s="1"/>
  <c r="I114" i="61" a="1"/>
  <c r="I114" i="61" s="1"/>
  <c r="H114" i="61" a="1"/>
  <c r="H114" i="61" s="1"/>
  <c r="G114" i="61" a="1"/>
  <c r="G114" i="61" s="1"/>
  <c r="F114" i="61" a="1"/>
  <c r="F114" i="61" s="1"/>
  <c r="E114" i="61" a="1"/>
  <c r="E114" i="61" s="1"/>
  <c r="D114" i="61" a="1"/>
  <c r="D114" i="61" s="1"/>
  <c r="AE113" i="61" a="1"/>
  <c r="AE113" i="61" s="1"/>
  <c r="AD113" i="61" a="1"/>
  <c r="AD113" i="61" s="1"/>
  <c r="AC113" i="61" a="1"/>
  <c r="AC113" i="61" s="1"/>
  <c r="AB113" i="61" a="1"/>
  <c r="AB113" i="61" s="1"/>
  <c r="AA113" i="61" a="1"/>
  <c r="AA113" i="61" s="1"/>
  <c r="Z113" i="61" a="1"/>
  <c r="Z113" i="61" s="1"/>
  <c r="Y113" i="61" a="1"/>
  <c r="Y113" i="61" s="1"/>
  <c r="X113" i="61" a="1"/>
  <c r="X113" i="61" s="1"/>
  <c r="W113" i="61" a="1"/>
  <c r="W113" i="61" s="1"/>
  <c r="V113" i="61" a="1"/>
  <c r="V113" i="61" s="1"/>
  <c r="U113" i="61" a="1"/>
  <c r="U113" i="61" s="1"/>
  <c r="T113" i="61" a="1"/>
  <c r="T113" i="61" s="1"/>
  <c r="S113" i="61" a="1"/>
  <c r="S113" i="61" s="1"/>
  <c r="R113" i="61" a="1"/>
  <c r="R113" i="61" s="1"/>
  <c r="Q113" i="61" a="1"/>
  <c r="Q113" i="61" s="1"/>
  <c r="P113" i="61" a="1"/>
  <c r="P113" i="61" s="1"/>
  <c r="O113" i="61" a="1"/>
  <c r="O113" i="61" s="1"/>
  <c r="N113" i="61" a="1"/>
  <c r="N113" i="61" s="1"/>
  <c r="M113" i="61" a="1"/>
  <c r="M113" i="61" s="1"/>
  <c r="L113" i="61" a="1"/>
  <c r="L113" i="61" s="1"/>
  <c r="K113" i="61" a="1"/>
  <c r="K113" i="61" s="1"/>
  <c r="J113" i="61" a="1"/>
  <c r="J113" i="61" s="1"/>
  <c r="I113" i="61" a="1"/>
  <c r="I113" i="61" s="1"/>
  <c r="H113" i="61" a="1"/>
  <c r="H113" i="61" s="1"/>
  <c r="G113" i="61" a="1"/>
  <c r="G113" i="61" s="1"/>
  <c r="F113" i="61" a="1"/>
  <c r="F113" i="61" s="1"/>
  <c r="E113" i="61" a="1"/>
  <c r="E113" i="61" s="1"/>
  <c r="D113" i="61" a="1"/>
  <c r="D113" i="61" s="1"/>
  <c r="AE112" i="61" a="1"/>
  <c r="AE112" i="61" s="1"/>
  <c r="AD112" i="61" a="1"/>
  <c r="AD112" i="61" s="1"/>
  <c r="AC112" i="61" a="1"/>
  <c r="AC112" i="61" s="1"/>
  <c r="AB112" i="61" a="1"/>
  <c r="AB112" i="61" s="1"/>
  <c r="AA112" i="61" a="1"/>
  <c r="AA112" i="61" s="1"/>
  <c r="Z112" i="61" a="1"/>
  <c r="Z112" i="61" s="1"/>
  <c r="Y112" i="61" a="1"/>
  <c r="Y112" i="61" s="1"/>
  <c r="X112" i="61" a="1"/>
  <c r="X112" i="61" s="1"/>
  <c r="W112" i="61" a="1"/>
  <c r="W112" i="61" s="1"/>
  <c r="V112" i="61" a="1"/>
  <c r="V112" i="61" s="1"/>
  <c r="U112" i="61" a="1"/>
  <c r="U112" i="61" s="1"/>
  <c r="T112" i="61" a="1"/>
  <c r="T112" i="61" s="1"/>
  <c r="S112" i="61" a="1"/>
  <c r="S112" i="61" s="1"/>
  <c r="R112" i="61" a="1"/>
  <c r="R112" i="61" s="1"/>
  <c r="Q112" i="61" a="1"/>
  <c r="Q112" i="61" s="1"/>
  <c r="P112" i="61" a="1"/>
  <c r="P112" i="61" s="1"/>
  <c r="O112" i="61" a="1"/>
  <c r="O112" i="61" s="1"/>
  <c r="N112" i="61" a="1"/>
  <c r="N112" i="61" s="1"/>
  <c r="M112" i="61" a="1"/>
  <c r="M112" i="61" s="1"/>
  <c r="L112" i="61" a="1"/>
  <c r="L112" i="61" s="1"/>
  <c r="K112" i="61" a="1"/>
  <c r="K112" i="61" s="1"/>
  <c r="J112" i="61" a="1"/>
  <c r="J112" i="61" s="1"/>
  <c r="I112" i="61" a="1"/>
  <c r="I112" i="61" s="1"/>
  <c r="H112" i="61" a="1"/>
  <c r="H112" i="61" s="1"/>
  <c r="G112" i="61" a="1"/>
  <c r="G112" i="61" s="1"/>
  <c r="F112" i="61" a="1"/>
  <c r="F112" i="61" s="1"/>
  <c r="E112" i="61" a="1"/>
  <c r="E112" i="61" s="1"/>
  <c r="D112" i="61" a="1"/>
  <c r="D112" i="61" s="1"/>
  <c r="AE111" i="61" a="1"/>
  <c r="AE111" i="61" s="1"/>
  <c r="AD111" i="61" a="1"/>
  <c r="AD111" i="61" s="1"/>
  <c r="AC111" i="61" a="1"/>
  <c r="AC111" i="61" s="1"/>
  <c r="AB111" i="61" a="1"/>
  <c r="AB111" i="61" s="1"/>
  <c r="AA111" i="61" a="1"/>
  <c r="AA111" i="61" s="1"/>
  <c r="Z111" i="61" a="1"/>
  <c r="Z111" i="61" s="1"/>
  <c r="Y111" i="61" a="1"/>
  <c r="Y111" i="61" s="1"/>
  <c r="X111" i="61" a="1"/>
  <c r="X111" i="61" s="1"/>
  <c r="W111" i="61" a="1"/>
  <c r="W111" i="61" s="1"/>
  <c r="V111" i="61" a="1"/>
  <c r="V111" i="61" s="1"/>
  <c r="U111" i="61" a="1"/>
  <c r="U111" i="61" s="1"/>
  <c r="T111" i="61" a="1"/>
  <c r="T111" i="61" s="1"/>
  <c r="S111" i="61" a="1"/>
  <c r="S111" i="61" s="1"/>
  <c r="R111" i="61" a="1"/>
  <c r="R111" i="61" s="1"/>
  <c r="Q111" i="61" a="1"/>
  <c r="Q111" i="61" s="1"/>
  <c r="P111" i="61" a="1"/>
  <c r="P111" i="61" s="1"/>
  <c r="O111" i="61" a="1"/>
  <c r="O111" i="61" s="1"/>
  <c r="N111" i="61" a="1"/>
  <c r="N111" i="61" s="1"/>
  <c r="M111" i="61" a="1"/>
  <c r="M111" i="61" s="1"/>
  <c r="L111" i="61" a="1"/>
  <c r="L111" i="61" s="1"/>
  <c r="K111" i="61" a="1"/>
  <c r="K111" i="61" s="1"/>
  <c r="J111" i="61" a="1"/>
  <c r="J111" i="61" s="1"/>
  <c r="I111" i="61" a="1"/>
  <c r="I111" i="61" s="1"/>
  <c r="H111" i="61" a="1"/>
  <c r="H111" i="61" s="1"/>
  <c r="G111" i="61" a="1"/>
  <c r="G111" i="61" s="1"/>
  <c r="F111" i="61" a="1"/>
  <c r="F111" i="61" s="1"/>
  <c r="E111" i="61" a="1"/>
  <c r="E111" i="61" s="1"/>
  <c r="D111" i="61" a="1"/>
  <c r="D111" i="61" s="1"/>
  <c r="AE110" i="61" a="1"/>
  <c r="AE110" i="61" s="1"/>
  <c r="AD110" i="61" a="1"/>
  <c r="AD110" i="61" s="1"/>
  <c r="AC110" i="61" a="1"/>
  <c r="AC110" i="61" s="1"/>
  <c r="AB110" i="61" a="1"/>
  <c r="AB110" i="61" s="1"/>
  <c r="AA110" i="61" a="1"/>
  <c r="AA110" i="61" s="1"/>
  <c r="Z110" i="61" a="1"/>
  <c r="Z110" i="61" s="1"/>
  <c r="Y110" i="61" a="1"/>
  <c r="Y110" i="61" s="1"/>
  <c r="X110" i="61" a="1"/>
  <c r="X110" i="61" s="1"/>
  <c r="W110" i="61" a="1"/>
  <c r="W110" i="61" s="1"/>
  <c r="V110" i="61" a="1"/>
  <c r="V110" i="61" s="1"/>
  <c r="U110" i="61" a="1"/>
  <c r="U110" i="61" s="1"/>
  <c r="T110" i="61" a="1"/>
  <c r="T110" i="61" s="1"/>
  <c r="S110" i="61" a="1"/>
  <c r="S110" i="61" s="1"/>
  <c r="R110" i="61" a="1"/>
  <c r="R110" i="61" s="1"/>
  <c r="Q110" i="61" a="1"/>
  <c r="Q110" i="61" s="1"/>
  <c r="P110" i="61" a="1"/>
  <c r="P110" i="61" s="1"/>
  <c r="O110" i="61" a="1"/>
  <c r="O110" i="61" s="1"/>
  <c r="N110" i="61" a="1"/>
  <c r="N110" i="61" s="1"/>
  <c r="M110" i="61" a="1"/>
  <c r="M110" i="61" s="1"/>
  <c r="L110" i="61" a="1"/>
  <c r="L110" i="61" s="1"/>
  <c r="K110" i="61" a="1"/>
  <c r="K110" i="61" s="1"/>
  <c r="J110" i="61" a="1"/>
  <c r="J110" i="61" s="1"/>
  <c r="I110" i="61" a="1"/>
  <c r="I110" i="61" s="1"/>
  <c r="H110" i="61" a="1"/>
  <c r="H110" i="61" s="1"/>
  <c r="G110" i="61" a="1"/>
  <c r="G110" i="61" s="1"/>
  <c r="F110" i="61" a="1"/>
  <c r="F110" i="61" s="1"/>
  <c r="E110" i="61" a="1"/>
  <c r="E110" i="61" s="1"/>
  <c r="D110" i="61" a="1"/>
  <c r="D110" i="61" s="1"/>
  <c r="AE109" i="61" a="1"/>
  <c r="AE109" i="61" s="1"/>
  <c r="AD109" i="61" a="1"/>
  <c r="AD109" i="61" s="1"/>
  <c r="AC109" i="61" a="1"/>
  <c r="AC109" i="61" s="1"/>
  <c r="AB109" i="61" a="1"/>
  <c r="AB109" i="61" s="1"/>
  <c r="AA109" i="61" a="1"/>
  <c r="AA109" i="61" s="1"/>
  <c r="Z109" i="61" a="1"/>
  <c r="Z109" i="61" s="1"/>
  <c r="Y109" i="61" a="1"/>
  <c r="Y109" i="61" s="1"/>
  <c r="X109" i="61" a="1"/>
  <c r="X109" i="61" s="1"/>
  <c r="W109" i="61" a="1"/>
  <c r="W109" i="61" s="1"/>
  <c r="V109" i="61" a="1"/>
  <c r="V109" i="61" s="1"/>
  <c r="U109" i="61" a="1"/>
  <c r="U109" i="61" s="1"/>
  <c r="T109" i="61" a="1"/>
  <c r="T109" i="61" s="1"/>
  <c r="S109" i="61" a="1"/>
  <c r="S109" i="61" s="1"/>
  <c r="R109" i="61" a="1"/>
  <c r="R109" i="61" s="1"/>
  <c r="Q109" i="61" a="1"/>
  <c r="Q109" i="61" s="1"/>
  <c r="P109" i="61" a="1"/>
  <c r="P109" i="61" s="1"/>
  <c r="O109" i="61" a="1"/>
  <c r="O109" i="61" s="1"/>
  <c r="N109" i="61" a="1"/>
  <c r="N109" i="61" s="1"/>
  <c r="M109" i="61" a="1"/>
  <c r="M109" i="61" s="1"/>
  <c r="L109" i="61" a="1"/>
  <c r="L109" i="61" s="1"/>
  <c r="K109" i="61" a="1"/>
  <c r="K109" i="61" s="1"/>
  <c r="J109" i="61" a="1"/>
  <c r="J109" i="61" s="1"/>
  <c r="I109" i="61" a="1"/>
  <c r="I109" i="61" s="1"/>
  <c r="H109" i="61" a="1"/>
  <c r="H109" i="61" s="1"/>
  <c r="G109" i="61" a="1"/>
  <c r="G109" i="61" s="1"/>
  <c r="F109" i="61" a="1"/>
  <c r="F109" i="61" s="1"/>
  <c r="E109" i="61" a="1"/>
  <c r="E109" i="61" s="1"/>
  <c r="D109" i="61" a="1"/>
  <c r="D109" i="61" s="1"/>
  <c r="AE108" i="61" a="1"/>
  <c r="AE108" i="61" s="1"/>
  <c r="AD108" i="61" a="1"/>
  <c r="AD108" i="61" s="1"/>
  <c r="AC108" i="61" a="1"/>
  <c r="AC108" i="61" s="1"/>
  <c r="AB108" i="61" a="1"/>
  <c r="AB108" i="61" s="1"/>
  <c r="AA108" i="61" a="1"/>
  <c r="AA108" i="61" s="1"/>
  <c r="Z108" i="61" a="1"/>
  <c r="Z108" i="61" s="1"/>
  <c r="Y108" i="61" a="1"/>
  <c r="Y108" i="61" s="1"/>
  <c r="X108" i="61" a="1"/>
  <c r="X108" i="61" s="1"/>
  <c r="W108" i="61" a="1"/>
  <c r="W108" i="61" s="1"/>
  <c r="V108" i="61" a="1"/>
  <c r="V108" i="61" s="1"/>
  <c r="U108" i="61" a="1"/>
  <c r="U108" i="61" s="1"/>
  <c r="T108" i="61" a="1"/>
  <c r="T108" i="61" s="1"/>
  <c r="S108" i="61" a="1"/>
  <c r="S108" i="61" s="1"/>
  <c r="R108" i="61" a="1"/>
  <c r="R108" i="61" s="1"/>
  <c r="Q108" i="61" a="1"/>
  <c r="Q108" i="61" s="1"/>
  <c r="P108" i="61" a="1"/>
  <c r="P108" i="61" s="1"/>
  <c r="O108" i="61" a="1"/>
  <c r="O108" i="61" s="1"/>
  <c r="N108" i="61" a="1"/>
  <c r="N108" i="61" s="1"/>
  <c r="M108" i="61" a="1"/>
  <c r="M108" i="61" s="1"/>
  <c r="L108" i="61" a="1"/>
  <c r="L108" i="61" s="1"/>
  <c r="K108" i="61" a="1"/>
  <c r="K108" i="61" s="1"/>
  <c r="J108" i="61" a="1"/>
  <c r="J108" i="61" s="1"/>
  <c r="I108" i="61" a="1"/>
  <c r="I108" i="61" s="1"/>
  <c r="H108" i="61" a="1"/>
  <c r="H108" i="61" s="1"/>
  <c r="G108" i="61" a="1"/>
  <c r="G108" i="61" s="1"/>
  <c r="F108" i="61" a="1"/>
  <c r="F108" i="61" s="1"/>
  <c r="E108" i="61" a="1"/>
  <c r="E108" i="61" s="1"/>
  <c r="D108" i="61" a="1"/>
  <c r="D108" i="61" s="1"/>
  <c r="AE107" i="61" a="1"/>
  <c r="AE107" i="61" s="1"/>
  <c r="AD107" i="61" a="1"/>
  <c r="AD107" i="61" s="1"/>
  <c r="AC107" i="61" a="1"/>
  <c r="AC107" i="61" s="1"/>
  <c r="AB107" i="61" a="1"/>
  <c r="AB107" i="61" s="1"/>
  <c r="AA107" i="61" a="1"/>
  <c r="AA107" i="61" s="1"/>
  <c r="Z107" i="61" a="1"/>
  <c r="Z107" i="61" s="1"/>
  <c r="Y107" i="61" a="1"/>
  <c r="Y107" i="61" s="1"/>
  <c r="X107" i="61" a="1"/>
  <c r="X107" i="61" s="1"/>
  <c r="W107" i="61" a="1"/>
  <c r="W107" i="61" s="1"/>
  <c r="V107" i="61" a="1"/>
  <c r="V107" i="61" s="1"/>
  <c r="U107" i="61" a="1"/>
  <c r="U107" i="61" s="1"/>
  <c r="T107" i="61" a="1"/>
  <c r="T107" i="61" s="1"/>
  <c r="S107" i="61" a="1"/>
  <c r="S107" i="61" s="1"/>
  <c r="R107" i="61" a="1"/>
  <c r="R107" i="61" s="1"/>
  <c r="Q107" i="61" a="1"/>
  <c r="Q107" i="61" s="1"/>
  <c r="P107" i="61" a="1"/>
  <c r="P107" i="61" s="1"/>
  <c r="O107" i="61" a="1"/>
  <c r="O107" i="61" s="1"/>
  <c r="N107" i="61" a="1"/>
  <c r="N107" i="61" s="1"/>
  <c r="M107" i="61" a="1"/>
  <c r="M107" i="61" s="1"/>
  <c r="L107" i="61" a="1"/>
  <c r="L107" i="61" s="1"/>
  <c r="K107" i="61" a="1"/>
  <c r="K107" i="61" s="1"/>
  <c r="J107" i="61" a="1"/>
  <c r="J107" i="61" s="1"/>
  <c r="I107" i="61" a="1"/>
  <c r="I107" i="61" s="1"/>
  <c r="H107" i="61" a="1"/>
  <c r="H107" i="61" s="1"/>
  <c r="G107" i="61" a="1"/>
  <c r="G107" i="61" s="1"/>
  <c r="F107" i="61" a="1"/>
  <c r="F107" i="61" s="1"/>
  <c r="E107" i="61" a="1"/>
  <c r="E107" i="61" s="1"/>
  <c r="D107" i="61" a="1"/>
  <c r="D107" i="61" s="1"/>
  <c r="AE106" i="61" a="1"/>
  <c r="AE106" i="61" s="1"/>
  <c r="AD106" i="61" a="1"/>
  <c r="AD106" i="61" s="1"/>
  <c r="AC106" i="61" a="1"/>
  <c r="AC106" i="61" s="1"/>
  <c r="AB106" i="61" a="1"/>
  <c r="AB106" i="61" s="1"/>
  <c r="AA106" i="61" a="1"/>
  <c r="AA106" i="61" s="1"/>
  <c r="Z106" i="61" a="1"/>
  <c r="Z106" i="61" s="1"/>
  <c r="Y106" i="61" a="1"/>
  <c r="Y106" i="61" s="1"/>
  <c r="X106" i="61" a="1"/>
  <c r="X106" i="61" s="1"/>
  <c r="W106" i="61" a="1"/>
  <c r="W106" i="61" s="1"/>
  <c r="V106" i="61" a="1"/>
  <c r="V106" i="61" s="1"/>
  <c r="U106" i="61" a="1"/>
  <c r="U106" i="61" s="1"/>
  <c r="T106" i="61" a="1"/>
  <c r="T106" i="61" s="1"/>
  <c r="S106" i="61" a="1"/>
  <c r="S106" i="61" s="1"/>
  <c r="R106" i="61" a="1"/>
  <c r="R106" i="61" s="1"/>
  <c r="Q106" i="61" a="1"/>
  <c r="Q106" i="61" s="1"/>
  <c r="P106" i="61" a="1"/>
  <c r="P106" i="61" s="1"/>
  <c r="O106" i="61" a="1"/>
  <c r="O106" i="61" s="1"/>
  <c r="N106" i="61" a="1"/>
  <c r="N106" i="61" s="1"/>
  <c r="M106" i="61" a="1"/>
  <c r="M106" i="61" s="1"/>
  <c r="L106" i="61" a="1"/>
  <c r="L106" i="61" s="1"/>
  <c r="K106" i="61" a="1"/>
  <c r="K106" i="61" s="1"/>
  <c r="J106" i="61" a="1"/>
  <c r="J106" i="61" s="1"/>
  <c r="I106" i="61" a="1"/>
  <c r="I106" i="61" s="1"/>
  <c r="H106" i="61" a="1"/>
  <c r="H106" i="61" s="1"/>
  <c r="G106" i="61" a="1"/>
  <c r="G106" i="61" s="1"/>
  <c r="F106" i="61" a="1"/>
  <c r="F106" i="61" s="1"/>
  <c r="E106" i="61" a="1"/>
  <c r="E106" i="61" s="1"/>
  <c r="D106" i="61" a="1"/>
  <c r="D106" i="61" s="1"/>
  <c r="AE105" i="61" a="1"/>
  <c r="AE105" i="61" s="1"/>
  <c r="AD105" i="61" a="1"/>
  <c r="AD105" i="61" s="1"/>
  <c r="AC105" i="61" a="1"/>
  <c r="AC105" i="61" s="1"/>
  <c r="AB105" i="61" a="1"/>
  <c r="AB105" i="61" s="1"/>
  <c r="AA105" i="61" a="1"/>
  <c r="AA105" i="61" s="1"/>
  <c r="Z105" i="61" a="1"/>
  <c r="Z105" i="61" s="1"/>
  <c r="Y105" i="61" a="1"/>
  <c r="Y105" i="61" s="1"/>
  <c r="X105" i="61" a="1"/>
  <c r="X105" i="61" s="1"/>
  <c r="W105" i="61" a="1"/>
  <c r="W105" i="61" s="1"/>
  <c r="V105" i="61" a="1"/>
  <c r="V105" i="61" s="1"/>
  <c r="U105" i="61" a="1"/>
  <c r="U105" i="61" s="1"/>
  <c r="T105" i="61" a="1"/>
  <c r="T105" i="61" s="1"/>
  <c r="S105" i="61" a="1"/>
  <c r="S105" i="61" s="1"/>
  <c r="R105" i="61" a="1"/>
  <c r="R105" i="61" s="1"/>
  <c r="Q105" i="61" a="1"/>
  <c r="Q105" i="61" s="1"/>
  <c r="P105" i="61" a="1"/>
  <c r="P105" i="61" s="1"/>
  <c r="O105" i="61" a="1"/>
  <c r="O105" i="61" s="1"/>
  <c r="N105" i="61" a="1"/>
  <c r="N105" i="61" s="1"/>
  <c r="M105" i="61" a="1"/>
  <c r="M105" i="61" s="1"/>
  <c r="L105" i="61" a="1"/>
  <c r="L105" i="61" s="1"/>
  <c r="K105" i="61" a="1"/>
  <c r="K105" i="61" s="1"/>
  <c r="J105" i="61" a="1"/>
  <c r="J105" i="61" s="1"/>
  <c r="I105" i="61" a="1"/>
  <c r="I105" i="61" s="1"/>
  <c r="H105" i="61" a="1"/>
  <c r="H105" i="61" s="1"/>
  <c r="G105" i="61" a="1"/>
  <c r="G105" i="61" s="1"/>
  <c r="F105" i="61" a="1"/>
  <c r="F105" i="61" s="1"/>
  <c r="E105" i="61" a="1"/>
  <c r="E105" i="61" s="1"/>
  <c r="D105" i="61" a="1"/>
  <c r="D105" i="61" s="1"/>
  <c r="AE104" i="61" a="1"/>
  <c r="AE104" i="61" s="1"/>
  <c r="AD104" i="61" a="1"/>
  <c r="AD104" i="61" s="1"/>
  <c r="AC104" i="61" a="1"/>
  <c r="AC104" i="61" s="1"/>
  <c r="AB104" i="61" a="1"/>
  <c r="AB104" i="61" s="1"/>
  <c r="AA104" i="61" a="1"/>
  <c r="AA104" i="61" s="1"/>
  <c r="Z104" i="61" a="1"/>
  <c r="Z104" i="61" s="1"/>
  <c r="Y104" i="61" a="1"/>
  <c r="Y104" i="61" s="1"/>
  <c r="X104" i="61" a="1"/>
  <c r="X104" i="61" s="1"/>
  <c r="W104" i="61" a="1"/>
  <c r="W104" i="61" s="1"/>
  <c r="V104" i="61" a="1"/>
  <c r="V104" i="61" s="1"/>
  <c r="U104" i="61" a="1"/>
  <c r="U104" i="61" s="1"/>
  <c r="T104" i="61" a="1"/>
  <c r="T104" i="61" s="1"/>
  <c r="S104" i="61" a="1"/>
  <c r="S104" i="61" s="1"/>
  <c r="R104" i="61" a="1"/>
  <c r="R104" i="61" s="1"/>
  <c r="Q104" i="61" a="1"/>
  <c r="Q104" i="61" s="1"/>
  <c r="P104" i="61" a="1"/>
  <c r="P104" i="61" s="1"/>
  <c r="O104" i="61" a="1"/>
  <c r="O104" i="61" s="1"/>
  <c r="N104" i="61" a="1"/>
  <c r="N104" i="61" s="1"/>
  <c r="M104" i="61" a="1"/>
  <c r="M104" i="61" s="1"/>
  <c r="L104" i="61" a="1"/>
  <c r="L104" i="61" s="1"/>
  <c r="K104" i="61" a="1"/>
  <c r="K104" i="61" s="1"/>
  <c r="J104" i="61" a="1"/>
  <c r="J104" i="61" s="1"/>
  <c r="I104" i="61" a="1"/>
  <c r="I104" i="61" s="1"/>
  <c r="H104" i="61" a="1"/>
  <c r="H104" i="61" s="1"/>
  <c r="G104" i="61" a="1"/>
  <c r="G104" i="61" s="1"/>
  <c r="F104" i="61" a="1"/>
  <c r="F104" i="61" s="1"/>
  <c r="E104" i="61" a="1"/>
  <c r="E104" i="61" s="1"/>
  <c r="D104" i="61" a="1"/>
  <c r="D104" i="61" s="1"/>
  <c r="AE103" i="61" a="1"/>
  <c r="AE103" i="61" s="1"/>
  <c r="AD103" i="61" a="1"/>
  <c r="AD103" i="61" s="1"/>
  <c r="AC103" i="61" a="1"/>
  <c r="AC103" i="61" s="1"/>
  <c r="AB103" i="61" a="1"/>
  <c r="AB103" i="61" s="1"/>
  <c r="AA103" i="61" a="1"/>
  <c r="AA103" i="61" s="1"/>
  <c r="Z103" i="61" a="1"/>
  <c r="Z103" i="61" s="1"/>
  <c r="Y103" i="61" a="1"/>
  <c r="Y103" i="61" s="1"/>
  <c r="X103" i="61" a="1"/>
  <c r="X103" i="61" s="1"/>
  <c r="W103" i="61" a="1"/>
  <c r="W103" i="61" s="1"/>
  <c r="V103" i="61" a="1"/>
  <c r="V103" i="61" s="1"/>
  <c r="U103" i="61" a="1"/>
  <c r="U103" i="61" s="1"/>
  <c r="T103" i="61" a="1"/>
  <c r="T103" i="61" s="1"/>
  <c r="S103" i="61" a="1"/>
  <c r="S103" i="61" s="1"/>
  <c r="R103" i="61" a="1"/>
  <c r="R103" i="61" s="1"/>
  <c r="Q103" i="61" a="1"/>
  <c r="Q103" i="61" s="1"/>
  <c r="P103" i="61" a="1"/>
  <c r="P103" i="61" s="1"/>
  <c r="O103" i="61" a="1"/>
  <c r="O103" i="61" s="1"/>
  <c r="N103" i="61" a="1"/>
  <c r="N103" i="61" s="1"/>
  <c r="M103" i="61" a="1"/>
  <c r="M103" i="61" s="1"/>
  <c r="L103" i="61" a="1"/>
  <c r="L103" i="61" s="1"/>
  <c r="K103" i="61" a="1"/>
  <c r="K103" i="61" s="1"/>
  <c r="J103" i="61" a="1"/>
  <c r="J103" i="61" s="1"/>
  <c r="I103" i="61" a="1"/>
  <c r="I103" i="61" s="1"/>
  <c r="H103" i="61" a="1"/>
  <c r="H103" i="61" s="1"/>
  <c r="G103" i="61" a="1"/>
  <c r="G103" i="61" s="1"/>
  <c r="F103" i="61" a="1"/>
  <c r="F103" i="61" s="1"/>
  <c r="E103" i="61" a="1"/>
  <c r="E103" i="61" s="1"/>
  <c r="D103" i="61" a="1"/>
  <c r="D103" i="61" s="1"/>
  <c r="AE102" i="61" a="1"/>
  <c r="AE102" i="61" s="1"/>
  <c r="AD102" i="61" a="1"/>
  <c r="AD102" i="61" s="1"/>
  <c r="AC102" i="61" a="1"/>
  <c r="AC102" i="61" s="1"/>
  <c r="AB102" i="61" a="1"/>
  <c r="AB102" i="61" s="1"/>
  <c r="AA102" i="61" a="1"/>
  <c r="AA102" i="61" s="1"/>
  <c r="Z102" i="61" a="1"/>
  <c r="Z102" i="61" s="1"/>
  <c r="Y102" i="61" a="1"/>
  <c r="Y102" i="61" s="1"/>
  <c r="X102" i="61" a="1"/>
  <c r="X102" i="61" s="1"/>
  <c r="W102" i="61" a="1"/>
  <c r="W102" i="61" s="1"/>
  <c r="V102" i="61" a="1"/>
  <c r="V102" i="61" s="1"/>
  <c r="U102" i="61" a="1"/>
  <c r="U102" i="61" s="1"/>
  <c r="T102" i="61" a="1"/>
  <c r="T102" i="61" s="1"/>
  <c r="S102" i="61" a="1"/>
  <c r="S102" i="61" s="1"/>
  <c r="R102" i="61" a="1"/>
  <c r="R102" i="61" s="1"/>
  <c r="Q102" i="61" a="1"/>
  <c r="Q102" i="61" s="1"/>
  <c r="P102" i="61" a="1"/>
  <c r="P102" i="61" s="1"/>
  <c r="O102" i="61" a="1"/>
  <c r="O102" i="61" s="1"/>
  <c r="N102" i="61" a="1"/>
  <c r="N102" i="61" s="1"/>
  <c r="M102" i="61" a="1"/>
  <c r="M102" i="61" s="1"/>
  <c r="L102" i="61" a="1"/>
  <c r="L102" i="61" s="1"/>
  <c r="K102" i="61" a="1"/>
  <c r="K102" i="61" s="1"/>
  <c r="J102" i="61" a="1"/>
  <c r="J102" i="61" s="1"/>
  <c r="I102" i="61" a="1"/>
  <c r="I102" i="61" s="1"/>
  <c r="H102" i="61" a="1"/>
  <c r="H102" i="61" s="1"/>
  <c r="G102" i="61" a="1"/>
  <c r="G102" i="61" s="1"/>
  <c r="F102" i="61" a="1"/>
  <c r="F102" i="61" s="1"/>
  <c r="E102" i="61" a="1"/>
  <c r="E102" i="61" s="1"/>
  <c r="D102" i="61" a="1"/>
  <c r="D102" i="61" s="1"/>
  <c r="AE101" i="61" a="1"/>
  <c r="AE101" i="61" s="1"/>
  <c r="AD101" i="61" a="1"/>
  <c r="AD101" i="61" s="1"/>
  <c r="AC101" i="61" a="1"/>
  <c r="AC101" i="61" s="1"/>
  <c r="AB101" i="61" a="1"/>
  <c r="AB101" i="61" s="1"/>
  <c r="AA101" i="61" a="1"/>
  <c r="AA101" i="61" s="1"/>
  <c r="Z101" i="61" a="1"/>
  <c r="Z101" i="61" s="1"/>
  <c r="Y101" i="61" a="1"/>
  <c r="Y101" i="61" s="1"/>
  <c r="X101" i="61" a="1"/>
  <c r="X101" i="61" s="1"/>
  <c r="W101" i="61" a="1"/>
  <c r="W101" i="61" s="1"/>
  <c r="V101" i="61" a="1"/>
  <c r="V101" i="61" s="1"/>
  <c r="U101" i="61" a="1"/>
  <c r="U101" i="61" s="1"/>
  <c r="T101" i="61" a="1"/>
  <c r="T101" i="61" s="1"/>
  <c r="S101" i="61" a="1"/>
  <c r="S101" i="61" s="1"/>
  <c r="R101" i="61" a="1"/>
  <c r="R101" i="61" s="1"/>
  <c r="Q101" i="61" a="1"/>
  <c r="Q101" i="61" s="1"/>
  <c r="P101" i="61" a="1"/>
  <c r="P101" i="61" s="1"/>
  <c r="O101" i="61" a="1"/>
  <c r="O101" i="61" s="1"/>
  <c r="N101" i="61" a="1"/>
  <c r="N101" i="61" s="1"/>
  <c r="M101" i="61" a="1"/>
  <c r="M101" i="61" s="1"/>
  <c r="L101" i="61" a="1"/>
  <c r="L101" i="61" s="1"/>
  <c r="K101" i="61" a="1"/>
  <c r="K101" i="61" s="1"/>
  <c r="J101" i="61" a="1"/>
  <c r="J101" i="61" s="1"/>
  <c r="I101" i="61" a="1"/>
  <c r="I101" i="61" s="1"/>
  <c r="H101" i="61" a="1"/>
  <c r="H101" i="61" s="1"/>
  <c r="G101" i="61" a="1"/>
  <c r="G101" i="61" s="1"/>
  <c r="F101" i="61" a="1"/>
  <c r="F101" i="61" s="1"/>
  <c r="E101" i="61" a="1"/>
  <c r="E101" i="61" s="1"/>
  <c r="D101" i="61" a="1"/>
  <c r="D101" i="61" s="1"/>
  <c r="AE100" i="61" a="1"/>
  <c r="AE100" i="61" s="1"/>
  <c r="AD100" i="61" a="1"/>
  <c r="AD100" i="61" s="1"/>
  <c r="AC100" i="61" a="1"/>
  <c r="AC100" i="61" s="1"/>
  <c r="AB100" i="61" a="1"/>
  <c r="AB100" i="61" s="1"/>
  <c r="AA100" i="61" a="1"/>
  <c r="AA100" i="61" s="1"/>
  <c r="Z100" i="61" a="1"/>
  <c r="Z100" i="61" s="1"/>
  <c r="Y100" i="61" a="1"/>
  <c r="Y100" i="61" s="1"/>
  <c r="X100" i="61" a="1"/>
  <c r="X100" i="61" s="1"/>
  <c r="W100" i="61" a="1"/>
  <c r="W100" i="61" s="1"/>
  <c r="V100" i="61" a="1"/>
  <c r="V100" i="61" s="1"/>
  <c r="U100" i="61" a="1"/>
  <c r="U100" i="61" s="1"/>
  <c r="T100" i="61" a="1"/>
  <c r="T100" i="61" s="1"/>
  <c r="S100" i="61" a="1"/>
  <c r="S100" i="61" s="1"/>
  <c r="R100" i="61" a="1"/>
  <c r="R100" i="61" s="1"/>
  <c r="Q100" i="61" a="1"/>
  <c r="Q100" i="61" s="1"/>
  <c r="P100" i="61" a="1"/>
  <c r="P100" i="61" s="1"/>
  <c r="O100" i="61" a="1"/>
  <c r="O100" i="61" s="1"/>
  <c r="N100" i="61" a="1"/>
  <c r="N100" i="61" s="1"/>
  <c r="M100" i="61" a="1"/>
  <c r="M100" i="61" s="1"/>
  <c r="L100" i="61" a="1"/>
  <c r="L100" i="61" s="1"/>
  <c r="K100" i="61" a="1"/>
  <c r="K100" i="61" s="1"/>
  <c r="J100" i="61" a="1"/>
  <c r="J100" i="61" s="1"/>
  <c r="I100" i="61" a="1"/>
  <c r="I100" i="61" s="1"/>
  <c r="H100" i="61" a="1"/>
  <c r="H100" i="61" s="1"/>
  <c r="G100" i="61" a="1"/>
  <c r="G100" i="61" s="1"/>
  <c r="F100" i="61" a="1"/>
  <c r="F100" i="61" s="1"/>
  <c r="E100" i="61" a="1"/>
  <c r="E100" i="61" s="1"/>
  <c r="D100" i="61" a="1"/>
  <c r="D100" i="61" s="1"/>
  <c r="AE99" i="61" a="1"/>
  <c r="AE99" i="61" s="1"/>
  <c r="AD99" i="61" a="1"/>
  <c r="AD99" i="61" s="1"/>
  <c r="AC99" i="61" a="1"/>
  <c r="AC99" i="61" s="1"/>
  <c r="AB99" i="61" a="1"/>
  <c r="AB99" i="61" s="1"/>
  <c r="AA99" i="61" a="1"/>
  <c r="AA99" i="61" s="1"/>
  <c r="Z99" i="61" a="1"/>
  <c r="Z99" i="61" s="1"/>
  <c r="Y99" i="61" a="1"/>
  <c r="Y99" i="61" s="1"/>
  <c r="X99" i="61" a="1"/>
  <c r="X99" i="61" s="1"/>
  <c r="W99" i="61" a="1"/>
  <c r="W99" i="61" s="1"/>
  <c r="V99" i="61" a="1"/>
  <c r="V99" i="61" s="1"/>
  <c r="U99" i="61" a="1"/>
  <c r="U99" i="61" s="1"/>
  <c r="T99" i="61" a="1"/>
  <c r="T99" i="61" s="1"/>
  <c r="S99" i="61" a="1"/>
  <c r="S99" i="61" s="1"/>
  <c r="R99" i="61" a="1"/>
  <c r="R99" i="61" s="1"/>
  <c r="Q99" i="61" a="1"/>
  <c r="Q99" i="61" s="1"/>
  <c r="P99" i="61" a="1"/>
  <c r="P99" i="61" s="1"/>
  <c r="O99" i="61" a="1"/>
  <c r="O99" i="61" s="1"/>
  <c r="N99" i="61" a="1"/>
  <c r="N99" i="61" s="1"/>
  <c r="M99" i="61" a="1"/>
  <c r="M99" i="61" s="1"/>
  <c r="L99" i="61" a="1"/>
  <c r="L99" i="61" s="1"/>
  <c r="K99" i="61" a="1"/>
  <c r="K99" i="61" s="1"/>
  <c r="J99" i="61" a="1"/>
  <c r="J99" i="61" s="1"/>
  <c r="I99" i="61" a="1"/>
  <c r="I99" i="61" s="1"/>
  <c r="H99" i="61" a="1"/>
  <c r="H99" i="61" s="1"/>
  <c r="G99" i="61" a="1"/>
  <c r="G99" i="61" s="1"/>
  <c r="F99" i="61" a="1"/>
  <c r="F99" i="61" s="1"/>
  <c r="E99" i="61" a="1"/>
  <c r="E99" i="61" s="1"/>
  <c r="D99" i="61" a="1"/>
  <c r="D99" i="61" s="1"/>
  <c r="AE98" i="61" a="1"/>
  <c r="AE98" i="61" s="1"/>
  <c r="AD98" i="61" a="1"/>
  <c r="AD98" i="61" s="1"/>
  <c r="AC98" i="61" a="1"/>
  <c r="AC98" i="61" s="1"/>
  <c r="AB98" i="61" a="1"/>
  <c r="AB98" i="61" s="1"/>
  <c r="AA98" i="61" a="1"/>
  <c r="AA98" i="61" s="1"/>
  <c r="Z98" i="61" a="1"/>
  <c r="Z98" i="61" s="1"/>
  <c r="Y98" i="61" a="1"/>
  <c r="Y98" i="61" s="1"/>
  <c r="X98" i="61" a="1"/>
  <c r="X98" i="61" s="1"/>
  <c r="W98" i="61" a="1"/>
  <c r="W98" i="61" s="1"/>
  <c r="V98" i="61" a="1"/>
  <c r="V98" i="61" s="1"/>
  <c r="U98" i="61" a="1"/>
  <c r="U98" i="61" s="1"/>
  <c r="T98" i="61" a="1"/>
  <c r="T98" i="61" s="1"/>
  <c r="S98" i="61" a="1"/>
  <c r="S98" i="61" s="1"/>
  <c r="R98" i="61" a="1"/>
  <c r="R98" i="61" s="1"/>
  <c r="Q98" i="61" a="1"/>
  <c r="Q98" i="61" s="1"/>
  <c r="P98" i="61" a="1"/>
  <c r="P98" i="61" s="1"/>
  <c r="O98" i="61" a="1"/>
  <c r="O98" i="61" s="1"/>
  <c r="N98" i="61" a="1"/>
  <c r="N98" i="61" s="1"/>
  <c r="M98" i="61" a="1"/>
  <c r="M98" i="61" s="1"/>
  <c r="L98" i="61" a="1"/>
  <c r="L98" i="61" s="1"/>
  <c r="K98" i="61" a="1"/>
  <c r="K98" i="61" s="1"/>
  <c r="J98" i="61" a="1"/>
  <c r="J98" i="61" s="1"/>
  <c r="I98" i="61" a="1"/>
  <c r="I98" i="61" s="1"/>
  <c r="H98" i="61" a="1"/>
  <c r="H98" i="61" s="1"/>
  <c r="G98" i="61" a="1"/>
  <c r="G98" i="61" s="1"/>
  <c r="F98" i="61" a="1"/>
  <c r="F98" i="61" s="1"/>
  <c r="E98" i="61" a="1"/>
  <c r="E98" i="61" s="1"/>
  <c r="D98" i="61" a="1"/>
  <c r="D98" i="61" s="1"/>
  <c r="AE97" i="61" a="1"/>
  <c r="AE97" i="61" s="1"/>
  <c r="AD97" i="61" a="1"/>
  <c r="AD97" i="61" s="1"/>
  <c r="AC97" i="61" a="1"/>
  <c r="AC97" i="61" s="1"/>
  <c r="AB97" i="61" a="1"/>
  <c r="AB97" i="61" s="1"/>
  <c r="AA97" i="61" a="1"/>
  <c r="AA97" i="61" s="1"/>
  <c r="Z97" i="61" a="1"/>
  <c r="Z97" i="61" s="1"/>
  <c r="Y97" i="61" a="1"/>
  <c r="Y97" i="61" s="1"/>
  <c r="X97" i="61" a="1"/>
  <c r="X97" i="61" s="1"/>
  <c r="W97" i="61" a="1"/>
  <c r="W97" i="61" s="1"/>
  <c r="V97" i="61" a="1"/>
  <c r="V97" i="61" s="1"/>
  <c r="U97" i="61" a="1"/>
  <c r="U97" i="61" s="1"/>
  <c r="T97" i="61" a="1"/>
  <c r="T97" i="61" s="1"/>
  <c r="S97" i="61" a="1"/>
  <c r="S97" i="61" s="1"/>
  <c r="R97" i="61" a="1"/>
  <c r="R97" i="61" s="1"/>
  <c r="Q97" i="61" a="1"/>
  <c r="Q97" i="61" s="1"/>
  <c r="P97" i="61" a="1"/>
  <c r="P97" i="61" s="1"/>
  <c r="O97" i="61" a="1"/>
  <c r="O97" i="61" s="1"/>
  <c r="N97" i="61" a="1"/>
  <c r="N97" i="61" s="1"/>
  <c r="M97" i="61" a="1"/>
  <c r="M97" i="61" s="1"/>
  <c r="L97" i="61" a="1"/>
  <c r="L97" i="61" s="1"/>
  <c r="K97" i="61" a="1"/>
  <c r="K97" i="61" s="1"/>
  <c r="J97" i="61" a="1"/>
  <c r="J97" i="61" s="1"/>
  <c r="I97" i="61" a="1"/>
  <c r="I97" i="61" s="1"/>
  <c r="H97" i="61" a="1"/>
  <c r="H97" i="61" s="1"/>
  <c r="G97" i="61" a="1"/>
  <c r="G97" i="61" s="1"/>
  <c r="F97" i="61" a="1"/>
  <c r="F97" i="61" s="1"/>
  <c r="E97" i="61" a="1"/>
  <c r="E97" i="61" s="1"/>
  <c r="D97" i="61" a="1"/>
  <c r="D97" i="61" s="1"/>
  <c r="AE96" i="61" a="1"/>
  <c r="AE96" i="61" s="1"/>
  <c r="AD96" i="61" a="1"/>
  <c r="AD96" i="61" s="1"/>
  <c r="AC96" i="61" a="1"/>
  <c r="AC96" i="61" s="1"/>
  <c r="AB96" i="61" a="1"/>
  <c r="AB96" i="61" s="1"/>
  <c r="AA96" i="61" a="1"/>
  <c r="AA96" i="61" s="1"/>
  <c r="Z96" i="61" a="1"/>
  <c r="Z96" i="61" s="1"/>
  <c r="Y96" i="61" a="1"/>
  <c r="Y96" i="61" s="1"/>
  <c r="X96" i="61" a="1"/>
  <c r="X96" i="61" s="1"/>
  <c r="W96" i="61" a="1"/>
  <c r="W96" i="61" s="1"/>
  <c r="V96" i="61" a="1"/>
  <c r="V96" i="61" s="1"/>
  <c r="U96" i="61" a="1"/>
  <c r="U96" i="61" s="1"/>
  <c r="T96" i="61" a="1"/>
  <c r="T96" i="61" s="1"/>
  <c r="S96" i="61" a="1"/>
  <c r="S96" i="61" s="1"/>
  <c r="R96" i="61" a="1"/>
  <c r="R96" i="61" s="1"/>
  <c r="Q96" i="61" a="1"/>
  <c r="Q96" i="61" s="1"/>
  <c r="P96" i="61" a="1"/>
  <c r="P96" i="61" s="1"/>
  <c r="O96" i="61" a="1"/>
  <c r="O96" i="61" s="1"/>
  <c r="N96" i="61" a="1"/>
  <c r="N96" i="61" s="1"/>
  <c r="M96" i="61" a="1"/>
  <c r="M96" i="61" s="1"/>
  <c r="L96" i="61" a="1"/>
  <c r="L96" i="61" s="1"/>
  <c r="K96" i="61" a="1"/>
  <c r="K96" i="61" s="1"/>
  <c r="J96" i="61" a="1"/>
  <c r="J96" i="61" s="1"/>
  <c r="I96" i="61" a="1"/>
  <c r="I96" i="61" s="1"/>
  <c r="H96" i="61" a="1"/>
  <c r="H96" i="61" s="1"/>
  <c r="G96" i="61" a="1"/>
  <c r="G96" i="61" s="1"/>
  <c r="F96" i="61" a="1"/>
  <c r="F96" i="61" s="1"/>
  <c r="E96" i="61" a="1"/>
  <c r="E96" i="61" s="1"/>
  <c r="D96" i="61" a="1"/>
  <c r="D96" i="61" s="1"/>
  <c r="AE95" i="61" a="1"/>
  <c r="AE95" i="61" s="1"/>
  <c r="AD95" i="61" a="1"/>
  <c r="AD95" i="61" s="1"/>
  <c r="AC95" i="61" a="1"/>
  <c r="AC95" i="61" s="1"/>
  <c r="AB95" i="61" a="1"/>
  <c r="AB95" i="61" s="1"/>
  <c r="AA95" i="61" a="1"/>
  <c r="AA95" i="61" s="1"/>
  <c r="Z95" i="61" a="1"/>
  <c r="Z95" i="61" s="1"/>
  <c r="Y95" i="61" a="1"/>
  <c r="Y95" i="61" s="1"/>
  <c r="X95" i="61" a="1"/>
  <c r="X95" i="61" s="1"/>
  <c r="W95" i="61" a="1"/>
  <c r="W95" i="61" s="1"/>
  <c r="V95" i="61" a="1"/>
  <c r="V95" i="61" s="1"/>
  <c r="U95" i="61" a="1"/>
  <c r="U95" i="61" s="1"/>
  <c r="T95" i="61" a="1"/>
  <c r="T95" i="61" s="1"/>
  <c r="S95" i="61" a="1"/>
  <c r="S95" i="61" s="1"/>
  <c r="R95" i="61" a="1"/>
  <c r="R95" i="61" s="1"/>
  <c r="Q95" i="61" a="1"/>
  <c r="Q95" i="61" s="1"/>
  <c r="P95" i="61" a="1"/>
  <c r="P95" i="61" s="1"/>
  <c r="O95" i="61" a="1"/>
  <c r="O95" i="61" s="1"/>
  <c r="N95" i="61" a="1"/>
  <c r="N95" i="61" s="1"/>
  <c r="M95" i="61" a="1"/>
  <c r="M95" i="61" s="1"/>
  <c r="L95" i="61" a="1"/>
  <c r="L95" i="61" s="1"/>
  <c r="K95" i="61" a="1"/>
  <c r="K95" i="61" s="1"/>
  <c r="J95" i="61" a="1"/>
  <c r="J95" i="61" s="1"/>
  <c r="I95" i="61" a="1"/>
  <c r="I95" i="61" s="1"/>
  <c r="H95" i="61" a="1"/>
  <c r="H95" i="61" s="1"/>
  <c r="G95" i="61" a="1"/>
  <c r="G95" i="61" s="1"/>
  <c r="F95" i="61" a="1"/>
  <c r="F95" i="61" s="1"/>
  <c r="E95" i="61" a="1"/>
  <c r="E95" i="61" s="1"/>
  <c r="D95" i="61" a="1"/>
  <c r="D95" i="61" s="1"/>
  <c r="AE94" i="61" a="1"/>
  <c r="AE94" i="61" s="1"/>
  <c r="AD94" i="61" a="1"/>
  <c r="AD94" i="61" s="1"/>
  <c r="AC94" i="61" a="1"/>
  <c r="AC94" i="61" s="1"/>
  <c r="AB94" i="61" a="1"/>
  <c r="AB94" i="61" s="1"/>
  <c r="AA94" i="61" a="1"/>
  <c r="AA94" i="61" s="1"/>
  <c r="Z94" i="61" a="1"/>
  <c r="Z94" i="61" s="1"/>
  <c r="Y94" i="61" a="1"/>
  <c r="Y94" i="61" s="1"/>
  <c r="X94" i="61" a="1"/>
  <c r="X94" i="61" s="1"/>
  <c r="W94" i="61" a="1"/>
  <c r="W94" i="61" s="1"/>
  <c r="V94" i="61" a="1"/>
  <c r="V94" i="61" s="1"/>
  <c r="U94" i="61" a="1"/>
  <c r="U94" i="61" s="1"/>
  <c r="T94" i="61" a="1"/>
  <c r="T94" i="61" s="1"/>
  <c r="S94" i="61" a="1"/>
  <c r="S94" i="61" s="1"/>
  <c r="R94" i="61" a="1"/>
  <c r="R94" i="61" s="1"/>
  <c r="Q94" i="61" a="1"/>
  <c r="Q94" i="61" s="1"/>
  <c r="P94" i="61" a="1"/>
  <c r="P94" i="61" s="1"/>
  <c r="O94" i="61" a="1"/>
  <c r="O94" i="61" s="1"/>
  <c r="N94" i="61" a="1"/>
  <c r="N94" i="61" s="1"/>
  <c r="M94" i="61" a="1"/>
  <c r="M94" i="61" s="1"/>
  <c r="L94" i="61" a="1"/>
  <c r="L94" i="61" s="1"/>
  <c r="K94" i="61" a="1"/>
  <c r="K94" i="61" s="1"/>
  <c r="J94" i="61" a="1"/>
  <c r="J94" i="61" s="1"/>
  <c r="I94" i="61" a="1"/>
  <c r="I94" i="61" s="1"/>
  <c r="H94" i="61" a="1"/>
  <c r="H94" i="61" s="1"/>
  <c r="G94" i="61" a="1"/>
  <c r="G94" i="61" s="1"/>
  <c r="F94" i="61" a="1"/>
  <c r="F94" i="61" s="1"/>
  <c r="E94" i="61" a="1"/>
  <c r="E94" i="61" s="1"/>
  <c r="D94" i="61" a="1"/>
  <c r="D94" i="61" s="1"/>
  <c r="AE93" i="61" a="1"/>
  <c r="AE93" i="61" s="1"/>
  <c r="AD93" i="61" a="1"/>
  <c r="AD93" i="61" s="1"/>
  <c r="AC93" i="61" a="1"/>
  <c r="AC93" i="61" s="1"/>
  <c r="AB93" i="61" a="1"/>
  <c r="AB93" i="61" s="1"/>
  <c r="AA93" i="61" a="1"/>
  <c r="AA93" i="61" s="1"/>
  <c r="Z93" i="61" a="1"/>
  <c r="Z93" i="61" s="1"/>
  <c r="Y93" i="61" a="1"/>
  <c r="Y93" i="61" s="1"/>
  <c r="X93" i="61" a="1"/>
  <c r="X93" i="61" s="1"/>
  <c r="W93" i="61" a="1"/>
  <c r="W93" i="61" s="1"/>
  <c r="V93" i="61" a="1"/>
  <c r="V93" i="61" s="1"/>
  <c r="U93" i="61" a="1"/>
  <c r="U93" i="61" s="1"/>
  <c r="T93" i="61" a="1"/>
  <c r="T93" i="61" s="1"/>
  <c r="S93" i="61" a="1"/>
  <c r="S93" i="61" s="1"/>
  <c r="R93" i="61" a="1"/>
  <c r="R93" i="61" s="1"/>
  <c r="Q93" i="61" a="1"/>
  <c r="Q93" i="61" s="1"/>
  <c r="P93" i="61" a="1"/>
  <c r="P93" i="61" s="1"/>
  <c r="O93" i="61" a="1"/>
  <c r="O93" i="61" s="1"/>
  <c r="N93" i="61" a="1"/>
  <c r="N93" i="61" s="1"/>
  <c r="M93" i="61" a="1"/>
  <c r="M93" i="61" s="1"/>
  <c r="L93" i="61" a="1"/>
  <c r="L93" i="61" s="1"/>
  <c r="K93" i="61" a="1"/>
  <c r="K93" i="61" s="1"/>
  <c r="J93" i="61" a="1"/>
  <c r="J93" i="61" s="1"/>
  <c r="I93" i="61" a="1"/>
  <c r="I93" i="61" s="1"/>
  <c r="H93" i="61" a="1"/>
  <c r="H93" i="61" s="1"/>
  <c r="G93" i="61" a="1"/>
  <c r="G93" i="61" s="1"/>
  <c r="F93" i="61" a="1"/>
  <c r="F93" i="61" s="1"/>
  <c r="E93" i="61" a="1"/>
  <c r="E93" i="61" s="1"/>
  <c r="D93" i="61" a="1"/>
  <c r="D93" i="61" s="1"/>
  <c r="AE92" i="61" a="1"/>
  <c r="AE92" i="61" s="1"/>
  <c r="AD92" i="61" a="1"/>
  <c r="AD92" i="61" s="1"/>
  <c r="AC92" i="61" a="1"/>
  <c r="AC92" i="61" s="1"/>
  <c r="AB92" i="61" a="1"/>
  <c r="AB92" i="61" s="1"/>
  <c r="AA92" i="61" a="1"/>
  <c r="AA92" i="61" s="1"/>
  <c r="Z92" i="61" a="1"/>
  <c r="Z92" i="61" s="1"/>
  <c r="Y92" i="61" a="1"/>
  <c r="Y92" i="61" s="1"/>
  <c r="X92" i="61" a="1"/>
  <c r="X92" i="61" s="1"/>
  <c r="W92" i="61" a="1"/>
  <c r="W92" i="61" s="1"/>
  <c r="V92" i="61" a="1"/>
  <c r="V92" i="61" s="1"/>
  <c r="U92" i="61" a="1"/>
  <c r="U92" i="61" s="1"/>
  <c r="T92" i="61" a="1"/>
  <c r="T92" i="61" s="1"/>
  <c r="S92" i="61" a="1"/>
  <c r="S92" i="61" s="1"/>
  <c r="R92" i="61" a="1"/>
  <c r="R92" i="61" s="1"/>
  <c r="Q92" i="61" a="1"/>
  <c r="Q92" i="61" s="1"/>
  <c r="P92" i="61" a="1"/>
  <c r="P92" i="61" s="1"/>
  <c r="O92" i="61" a="1"/>
  <c r="O92" i="61" s="1"/>
  <c r="N92" i="61" a="1"/>
  <c r="N92" i="61" s="1"/>
  <c r="M92" i="61" a="1"/>
  <c r="M92" i="61" s="1"/>
  <c r="L92" i="61" a="1"/>
  <c r="L92" i="61" s="1"/>
  <c r="K92" i="61" a="1"/>
  <c r="K92" i="61" s="1"/>
  <c r="J92" i="61" a="1"/>
  <c r="J92" i="61" s="1"/>
  <c r="I92" i="61" a="1"/>
  <c r="I92" i="61" s="1"/>
  <c r="H92" i="61" a="1"/>
  <c r="H92" i="61" s="1"/>
  <c r="G92" i="61" a="1"/>
  <c r="G92" i="61" s="1"/>
  <c r="F92" i="61" a="1"/>
  <c r="F92" i="61" s="1"/>
  <c r="E92" i="61" a="1"/>
  <c r="E92" i="61" s="1"/>
  <c r="D92" i="61" a="1"/>
  <c r="D92" i="61" s="1"/>
  <c r="AE91" i="61" a="1"/>
  <c r="AE91" i="61" s="1"/>
  <c r="AD91" i="61" a="1"/>
  <c r="AD91" i="61" s="1"/>
  <c r="AC91" i="61" a="1"/>
  <c r="AC91" i="61" s="1"/>
  <c r="AB91" i="61" a="1"/>
  <c r="AB91" i="61" s="1"/>
  <c r="AA91" i="61" a="1"/>
  <c r="AA91" i="61" s="1"/>
  <c r="Z91" i="61" a="1"/>
  <c r="Z91" i="61" s="1"/>
  <c r="Y91" i="61" a="1"/>
  <c r="Y91" i="61" s="1"/>
  <c r="X91" i="61" a="1"/>
  <c r="X91" i="61" s="1"/>
  <c r="W91" i="61" a="1"/>
  <c r="W91" i="61" s="1"/>
  <c r="V91" i="61" a="1"/>
  <c r="V91" i="61" s="1"/>
  <c r="U91" i="61" a="1"/>
  <c r="U91" i="61" s="1"/>
  <c r="T91" i="61" a="1"/>
  <c r="T91" i="61" s="1"/>
  <c r="S91" i="61" a="1"/>
  <c r="S91" i="61" s="1"/>
  <c r="R91" i="61" a="1"/>
  <c r="R91" i="61" s="1"/>
  <c r="Q91" i="61" a="1"/>
  <c r="Q91" i="61" s="1"/>
  <c r="P91" i="61" a="1"/>
  <c r="P91" i="61" s="1"/>
  <c r="O91" i="61" a="1"/>
  <c r="O91" i="61" s="1"/>
  <c r="N91" i="61" a="1"/>
  <c r="N91" i="61" s="1"/>
  <c r="M91" i="61" a="1"/>
  <c r="M91" i="61" s="1"/>
  <c r="L91" i="61" a="1"/>
  <c r="L91" i="61" s="1"/>
  <c r="K91" i="61" a="1"/>
  <c r="K91" i="61" s="1"/>
  <c r="J91" i="61" a="1"/>
  <c r="J91" i="61" s="1"/>
  <c r="I91" i="61" a="1"/>
  <c r="I91" i="61" s="1"/>
  <c r="H91" i="61" a="1"/>
  <c r="H91" i="61" s="1"/>
  <c r="G91" i="61" a="1"/>
  <c r="G91" i="61" s="1"/>
  <c r="F91" i="61" a="1"/>
  <c r="F91" i="61" s="1"/>
  <c r="E91" i="61" a="1"/>
  <c r="E91" i="61" s="1"/>
  <c r="D91" i="61" a="1"/>
  <c r="D91" i="61" s="1"/>
  <c r="AE90" i="61" a="1"/>
  <c r="AE90" i="61" s="1"/>
  <c r="AD90" i="61" a="1"/>
  <c r="AD90" i="61" s="1"/>
  <c r="AC90" i="61" a="1"/>
  <c r="AC90" i="61" s="1"/>
  <c r="AB90" i="61" a="1"/>
  <c r="AB90" i="61" s="1"/>
  <c r="AA90" i="61" a="1"/>
  <c r="AA90" i="61" s="1"/>
  <c r="Z90" i="61" a="1"/>
  <c r="Z90" i="61" s="1"/>
  <c r="Y90" i="61" a="1"/>
  <c r="Y90" i="61" s="1"/>
  <c r="X90" i="61" a="1"/>
  <c r="X90" i="61" s="1"/>
  <c r="W90" i="61" a="1"/>
  <c r="W90" i="61" s="1"/>
  <c r="V90" i="61" a="1"/>
  <c r="V90" i="61" s="1"/>
  <c r="U90" i="61" a="1"/>
  <c r="U90" i="61" s="1"/>
  <c r="T90" i="61" a="1"/>
  <c r="T90" i="61" s="1"/>
  <c r="S90" i="61" a="1"/>
  <c r="S90" i="61" s="1"/>
  <c r="R90" i="61" a="1"/>
  <c r="R90" i="61" s="1"/>
  <c r="Q90" i="61" a="1"/>
  <c r="Q90" i="61" s="1"/>
  <c r="P90" i="61" a="1"/>
  <c r="P90" i="61" s="1"/>
  <c r="O90" i="61" a="1"/>
  <c r="O90" i="61" s="1"/>
  <c r="N90" i="61" a="1"/>
  <c r="N90" i="61" s="1"/>
  <c r="M90" i="61" a="1"/>
  <c r="M90" i="61" s="1"/>
  <c r="L90" i="61" a="1"/>
  <c r="L90" i="61" s="1"/>
  <c r="K90" i="61" a="1"/>
  <c r="K90" i="61" s="1"/>
  <c r="J90" i="61" a="1"/>
  <c r="J90" i="61" s="1"/>
  <c r="I90" i="61" a="1"/>
  <c r="I90" i="61" s="1"/>
  <c r="H90" i="61" a="1"/>
  <c r="H90" i="61" s="1"/>
  <c r="G90" i="61" a="1"/>
  <c r="G90" i="61" s="1"/>
  <c r="F90" i="61" a="1"/>
  <c r="F90" i="61" s="1"/>
  <c r="E90" i="61" a="1"/>
  <c r="E90" i="61" s="1"/>
  <c r="D90" i="61" a="1"/>
  <c r="D90" i="61" s="1"/>
  <c r="F83" i="61" a="1"/>
  <c r="F83" i="61" s="1"/>
  <c r="E83" i="61" a="1"/>
  <c r="E83" i="61" s="1"/>
  <c r="J87" i="34" s="1"/>
  <c r="D83" i="61" a="1"/>
  <c r="D83" i="61" s="1"/>
  <c r="D82" i="61" a="1"/>
  <c r="D82" i="61" s="1"/>
  <c r="D81" i="61" a="1"/>
  <c r="D81" i="61" s="1"/>
  <c r="F78" i="61" a="1"/>
  <c r="F78" i="61" s="1"/>
  <c r="E78" i="61" a="1"/>
  <c r="E78" i="61" s="1"/>
  <c r="I69" i="34" s="1"/>
  <c r="D78" i="61" a="1"/>
  <c r="D78" i="61" s="1"/>
  <c r="D77" i="61" a="1"/>
  <c r="D77" i="61" s="1"/>
  <c r="D76" i="61" a="1"/>
  <c r="D76" i="61" s="1"/>
  <c r="F73" i="61" a="1"/>
  <c r="F73" i="61" s="1"/>
  <c r="E73" i="61" a="1"/>
  <c r="E73" i="61" s="1"/>
  <c r="I33" i="34" s="1"/>
  <c r="D73" i="61" a="1"/>
  <c r="D73" i="61" s="1"/>
  <c r="D72" i="61" a="1"/>
  <c r="D72" i="61" s="1"/>
  <c r="D71" i="61" a="1"/>
  <c r="D71" i="61" s="1"/>
  <c r="F68" i="61" a="1"/>
  <c r="F68" i="61" s="1"/>
  <c r="E68" i="61" a="1"/>
  <c r="E68" i="61" s="1"/>
  <c r="D68" i="61" a="1"/>
  <c r="D68" i="61" s="1"/>
  <c r="F67" i="61" a="1"/>
  <c r="F67" i="61" s="1"/>
  <c r="E67" i="61" a="1"/>
  <c r="E67" i="61" s="1"/>
  <c r="D67" i="61" a="1"/>
  <c r="D67" i="61" s="1"/>
  <c r="F66" i="61" a="1"/>
  <c r="F66" i="61" s="1"/>
  <c r="E66" i="61" a="1"/>
  <c r="E66" i="61" s="1"/>
  <c r="D66" i="61" a="1"/>
  <c r="D66" i="61" s="1"/>
  <c r="D64" i="61" a="1"/>
  <c r="D64" i="61" s="1"/>
  <c r="D63" i="61" a="1"/>
  <c r="D63" i="61" s="1"/>
  <c r="F60" i="61" a="1"/>
  <c r="F60" i="61" s="1"/>
  <c r="E60" i="61" a="1"/>
  <c r="E60" i="61" s="1"/>
  <c r="D60" i="61" a="1"/>
  <c r="D60" i="61" s="1"/>
  <c r="D59" i="61" a="1"/>
  <c r="D59" i="61" s="1"/>
  <c r="D58" i="61" a="1"/>
  <c r="D58" i="61" s="1"/>
  <c r="E55" i="61" a="1"/>
  <c r="E55" i="61" s="1"/>
  <c r="D55" i="61" a="1"/>
  <c r="D55" i="61" s="1"/>
  <c r="E54" i="61" a="1"/>
  <c r="E54" i="61" s="1"/>
  <c r="D54" i="61" a="1"/>
  <c r="D54" i="61" s="1"/>
  <c r="E53" i="61" a="1"/>
  <c r="E53" i="61" s="1"/>
  <c r="D53" i="61" a="1"/>
  <c r="D53" i="61" s="1"/>
  <c r="E52" i="61" a="1"/>
  <c r="E52" i="61" s="1"/>
  <c r="D52" i="61" a="1"/>
  <c r="D52" i="61" s="1"/>
  <c r="E51" i="61" a="1"/>
  <c r="E51" i="61" s="1"/>
  <c r="D51" i="61" a="1"/>
  <c r="D51" i="61" s="1"/>
  <c r="D49" i="61" a="1"/>
  <c r="D49" i="61" s="1"/>
  <c r="D48" i="61" a="1"/>
  <c r="D48" i="61" s="1"/>
  <c r="I38" i="61" a="1"/>
  <c r="I38" i="61" s="1"/>
  <c r="H38" i="61" a="1"/>
  <c r="H38" i="61" s="1"/>
  <c r="G38" i="61" a="1"/>
  <c r="G38" i="61" s="1"/>
  <c r="F38" i="61" a="1"/>
  <c r="F38" i="61" s="1"/>
  <c r="E38" i="61" a="1"/>
  <c r="E38" i="61" s="1"/>
  <c r="D38" i="61" a="1"/>
  <c r="D38" i="61" s="1"/>
  <c r="G180" i="20" s="1"/>
  <c r="I37" i="61" a="1"/>
  <c r="I37" i="61" s="1"/>
  <c r="H37" i="61" a="1"/>
  <c r="H37" i="61" s="1"/>
  <c r="G37" i="61" a="1"/>
  <c r="G37" i="61" s="1"/>
  <c r="F37" i="61" a="1"/>
  <c r="F37" i="61" s="1"/>
  <c r="E37" i="61" a="1"/>
  <c r="E37" i="61" s="1"/>
  <c r="D37" i="61" a="1"/>
  <c r="D37" i="61" s="1"/>
  <c r="G175" i="20" s="1"/>
  <c r="I36" i="61" a="1"/>
  <c r="I36" i="61" s="1"/>
  <c r="H36" i="61" a="1"/>
  <c r="H36" i="61" s="1"/>
  <c r="G36" i="61" a="1"/>
  <c r="G36" i="61" s="1"/>
  <c r="F36" i="61" a="1"/>
  <c r="F36" i="61" s="1"/>
  <c r="E36" i="61" a="1"/>
  <c r="E36" i="61" s="1"/>
  <c r="D36" i="61" a="1"/>
  <c r="D36" i="61" s="1"/>
  <c r="G190" i="20" s="1"/>
  <c r="I35" i="61" a="1"/>
  <c r="I35" i="61" s="1"/>
  <c r="H35" i="61" a="1"/>
  <c r="H35" i="61" s="1"/>
  <c r="G35" i="61" a="1"/>
  <c r="G35" i="61" s="1"/>
  <c r="F35" i="61" a="1"/>
  <c r="F35" i="61" s="1"/>
  <c r="E35" i="61" a="1"/>
  <c r="E35" i="61" s="1"/>
  <c r="D35" i="61" a="1"/>
  <c r="D35" i="61" s="1"/>
  <c r="G182" i="20" s="1"/>
  <c r="I34" i="61" a="1"/>
  <c r="I34" i="61" s="1"/>
  <c r="H34" i="61" a="1"/>
  <c r="H34" i="61" s="1"/>
  <c r="G34" i="61" a="1"/>
  <c r="G34" i="61" s="1"/>
  <c r="F34" i="61" a="1"/>
  <c r="F34" i="61" s="1"/>
  <c r="E34" i="61" a="1"/>
  <c r="E34" i="61" s="1"/>
  <c r="D34" i="61" a="1"/>
  <c r="D34" i="61" s="1"/>
  <c r="G184" i="20" s="1"/>
  <c r="I33" i="61" a="1"/>
  <c r="I33" i="61" s="1"/>
  <c r="H33" i="61" a="1"/>
  <c r="H33" i="61" s="1"/>
  <c r="G33" i="61" a="1"/>
  <c r="G33" i="61" s="1"/>
  <c r="F33" i="61" a="1"/>
  <c r="F33" i="61" s="1"/>
  <c r="E33" i="61" a="1"/>
  <c r="E33" i="61" s="1"/>
  <c r="D33" i="61" a="1"/>
  <c r="D33" i="61" s="1"/>
  <c r="G198" i="20" s="1"/>
  <c r="I32" i="61" a="1"/>
  <c r="I32" i="61" s="1"/>
  <c r="H32" i="61" a="1"/>
  <c r="H32" i="61" s="1"/>
  <c r="G32" i="61" a="1"/>
  <c r="G32" i="61" s="1"/>
  <c r="F32" i="61" a="1"/>
  <c r="F32" i="61" s="1"/>
  <c r="E32" i="61" a="1"/>
  <c r="E32" i="61" s="1"/>
  <c r="D32" i="61" a="1"/>
  <c r="D32" i="61" s="1"/>
  <c r="G191" i="20" s="1"/>
  <c r="I31" i="61" a="1"/>
  <c r="I31" i="61" s="1"/>
  <c r="H31" i="61" a="1"/>
  <c r="H31" i="61" s="1"/>
  <c r="G31" i="61" a="1"/>
  <c r="G31" i="61" s="1"/>
  <c r="F31" i="61" a="1"/>
  <c r="F31" i="61" s="1"/>
  <c r="E31" i="61" a="1"/>
  <c r="E31" i="61" s="1"/>
  <c r="D31" i="61" a="1"/>
  <c r="D31" i="61" s="1"/>
  <c r="G189" i="20" s="1"/>
  <c r="I30" i="61" a="1"/>
  <c r="I30" i="61" s="1"/>
  <c r="H30" i="61" a="1"/>
  <c r="H30" i="61" s="1"/>
  <c r="G30" i="61" a="1"/>
  <c r="G30" i="61" s="1"/>
  <c r="F30" i="61" a="1"/>
  <c r="F30" i="61" s="1"/>
  <c r="E30" i="61" a="1"/>
  <c r="E30" i="61" s="1"/>
  <c r="D30" i="61" a="1"/>
  <c r="D30" i="61" s="1"/>
  <c r="G188" i="20" s="1"/>
  <c r="I29" i="61" a="1"/>
  <c r="I29" i="61" s="1"/>
  <c r="H29" i="61" a="1"/>
  <c r="H29" i="61" s="1"/>
  <c r="G29" i="61" a="1"/>
  <c r="G29" i="61" s="1"/>
  <c r="F29" i="61" a="1"/>
  <c r="F29" i="61" s="1"/>
  <c r="E29" i="61" a="1"/>
  <c r="E29" i="61" s="1"/>
  <c r="D29" i="61" a="1"/>
  <c r="D29" i="61" s="1"/>
  <c r="G186" i="20" s="1"/>
  <c r="R28" i="61" a="1"/>
  <c r="R28" i="61" s="1"/>
  <c r="Q28" i="61" a="1"/>
  <c r="Q28" i="61" s="1"/>
  <c r="L28" i="61" a="1"/>
  <c r="L28" i="61" s="1"/>
  <c r="K28" i="61" a="1"/>
  <c r="K28" i="61" s="1"/>
  <c r="I28" i="61" a="1"/>
  <c r="I28" i="61" s="1"/>
  <c r="H28" i="61" a="1"/>
  <c r="H28" i="61" s="1"/>
  <c r="G28" i="61" a="1"/>
  <c r="G28" i="61" s="1"/>
  <c r="F28" i="61" a="1"/>
  <c r="F28" i="61" s="1"/>
  <c r="E28" i="61" a="1"/>
  <c r="E28" i="61" s="1"/>
  <c r="D28" i="61" a="1"/>
  <c r="D28" i="61" s="1"/>
  <c r="G187" i="20" s="1"/>
  <c r="R27" i="61" a="1"/>
  <c r="R27" i="61" s="1"/>
  <c r="Q27" i="61" a="1"/>
  <c r="Q27" i="61" s="1"/>
  <c r="L27" i="61" a="1"/>
  <c r="L27" i="61" s="1"/>
  <c r="K27" i="61" a="1"/>
  <c r="K27" i="61" s="1"/>
  <c r="I27" i="61" a="1"/>
  <c r="I27" i="61" s="1"/>
  <c r="H27" i="61" a="1"/>
  <c r="H27" i="61" s="1"/>
  <c r="G27" i="61" a="1"/>
  <c r="G27" i="61" s="1"/>
  <c r="F27" i="61" a="1"/>
  <c r="F27" i="61" s="1"/>
  <c r="E27" i="61" a="1"/>
  <c r="E27" i="61" s="1"/>
  <c r="D27" i="61" a="1"/>
  <c r="D27" i="61" s="1"/>
  <c r="G185" i="20" s="1"/>
  <c r="R26" i="61" a="1"/>
  <c r="R26" i="61" s="1"/>
  <c r="Q26" i="61" a="1"/>
  <c r="Q26" i="61" s="1"/>
  <c r="L26" i="61" a="1"/>
  <c r="L26" i="61" s="1"/>
  <c r="K26" i="61" a="1"/>
  <c r="K26" i="61" s="1"/>
  <c r="I26" i="61" a="1"/>
  <c r="I26" i="61" s="1"/>
  <c r="H26" i="61" a="1"/>
  <c r="H26" i="61" s="1"/>
  <c r="G26" i="61" a="1"/>
  <c r="G26" i="61" s="1"/>
  <c r="F26" i="61" a="1"/>
  <c r="F26" i="61" s="1"/>
  <c r="E26" i="61" a="1"/>
  <c r="E26" i="61" s="1"/>
  <c r="D26" i="61" a="1"/>
  <c r="D26" i="61" s="1"/>
  <c r="G179" i="20" s="1"/>
  <c r="R25" i="61" a="1"/>
  <c r="R25" i="61" s="1"/>
  <c r="Q25" i="61" a="1"/>
  <c r="Q25" i="61" s="1"/>
  <c r="L25" i="61" a="1"/>
  <c r="L25" i="61" s="1"/>
  <c r="K25" i="61" a="1"/>
  <c r="K25" i="61" s="1"/>
  <c r="I25" i="61" a="1"/>
  <c r="I25" i="61" s="1"/>
  <c r="H25" i="61" a="1"/>
  <c r="H25" i="61" s="1"/>
  <c r="G25" i="61" a="1"/>
  <c r="G25" i="61" s="1"/>
  <c r="F25" i="61" a="1"/>
  <c r="F25" i="61" s="1"/>
  <c r="E25" i="61" a="1"/>
  <c r="E25" i="61" s="1"/>
  <c r="D25" i="61" a="1"/>
  <c r="D25" i="61" s="1"/>
  <c r="G178" i="20" s="1"/>
  <c r="R24" i="61" a="1"/>
  <c r="R24" i="61" s="1"/>
  <c r="Q24" i="61" a="1"/>
  <c r="Q24" i="61" s="1"/>
  <c r="L24" i="61" a="1"/>
  <c r="L24" i="61" s="1"/>
  <c r="K24" i="61" a="1"/>
  <c r="K24" i="61" s="1"/>
  <c r="I24" i="61" a="1"/>
  <c r="I24" i="61" s="1"/>
  <c r="H24" i="61" a="1"/>
  <c r="H24" i="61" s="1"/>
  <c r="G24" i="61" a="1"/>
  <c r="G24" i="61" s="1"/>
  <c r="F24" i="61" a="1"/>
  <c r="F24" i="61" s="1"/>
  <c r="E24" i="61" a="1"/>
  <c r="E24" i="61" s="1"/>
  <c r="D24" i="61" a="1"/>
  <c r="D24" i="61" s="1"/>
  <c r="G193" i="20" s="1"/>
  <c r="V23" i="61" a="1"/>
  <c r="V23" i="61" s="1"/>
  <c r="H197" i="20" s="1"/>
  <c r="R23" i="61" a="1"/>
  <c r="R23" i="61" s="1"/>
  <c r="Q23" i="61" a="1"/>
  <c r="Q23" i="61" s="1"/>
  <c r="L23" i="61" a="1"/>
  <c r="L23" i="61" s="1"/>
  <c r="K23" i="61" a="1"/>
  <c r="K23" i="61" s="1"/>
  <c r="I23" i="61" a="1"/>
  <c r="I23" i="61" s="1"/>
  <c r="H23" i="61" a="1"/>
  <c r="H23" i="61" s="1"/>
  <c r="G23" i="61" a="1"/>
  <c r="G23" i="61" s="1"/>
  <c r="F23" i="61" a="1"/>
  <c r="F23" i="61" s="1"/>
  <c r="E23" i="61" a="1"/>
  <c r="E23" i="61" s="1"/>
  <c r="D23" i="61" a="1"/>
  <c r="D23" i="61" s="1"/>
  <c r="G192" i="20" s="1"/>
  <c r="V22" i="61" a="1"/>
  <c r="V22" i="61" s="1"/>
  <c r="H196" i="20" s="1"/>
  <c r="R22" i="61" a="1"/>
  <c r="R22" i="61" s="1"/>
  <c r="Q22" i="61" a="1"/>
  <c r="Q22" i="61" s="1"/>
  <c r="L22" i="61" a="1"/>
  <c r="L22" i="61" s="1"/>
  <c r="K22" i="61" a="1"/>
  <c r="K22" i="61" s="1"/>
  <c r="I22" i="61" a="1"/>
  <c r="I22" i="61" s="1"/>
  <c r="H22" i="61" a="1"/>
  <c r="H22" i="61" s="1"/>
  <c r="G22" i="61" a="1"/>
  <c r="G22" i="61" s="1"/>
  <c r="F22" i="61" a="1"/>
  <c r="F22" i="61" s="1"/>
  <c r="E22" i="61" a="1"/>
  <c r="E22" i="61" s="1"/>
  <c r="D22" i="61" a="1"/>
  <c r="D22" i="61" s="1"/>
  <c r="G197" i="20" s="1"/>
  <c r="V21" i="61" a="1"/>
  <c r="V21" i="61" s="1"/>
  <c r="I175" i="20" s="1"/>
  <c r="R21" i="61" a="1"/>
  <c r="R21" i="61" s="1"/>
  <c r="Q21" i="61" a="1"/>
  <c r="Q21" i="61" s="1"/>
  <c r="L21" i="61" a="1"/>
  <c r="L21" i="61" s="1"/>
  <c r="K21" i="61" a="1"/>
  <c r="K21" i="61" s="1"/>
  <c r="I21" i="61" a="1"/>
  <c r="I21" i="61" s="1"/>
  <c r="H21" i="61" a="1"/>
  <c r="H21" i="61" s="1"/>
  <c r="G21" i="61" a="1"/>
  <c r="G21" i="61" s="1"/>
  <c r="F21" i="61" a="1"/>
  <c r="F21" i="61" s="1"/>
  <c r="E21" i="61" a="1"/>
  <c r="E21" i="61" s="1"/>
  <c r="D21" i="61" a="1"/>
  <c r="D21" i="61" s="1"/>
  <c r="G181" i="20" s="1"/>
  <c r="V20" i="61" a="1"/>
  <c r="V20" i="61" s="1"/>
  <c r="I174" i="20" s="1"/>
  <c r="R20" i="61" a="1"/>
  <c r="R20" i="61" s="1"/>
  <c r="Q20" i="61" a="1"/>
  <c r="Q20" i="61" s="1"/>
  <c r="L20" i="61" a="1"/>
  <c r="L20" i="61" s="1"/>
  <c r="K20" i="61" a="1"/>
  <c r="K20" i="61" s="1"/>
  <c r="I20" i="61" a="1"/>
  <c r="I20" i="61" s="1"/>
  <c r="H20" i="61" a="1"/>
  <c r="H20" i="61" s="1"/>
  <c r="G20" i="61" a="1"/>
  <c r="G20" i="61" s="1"/>
  <c r="F20" i="61" a="1"/>
  <c r="F20" i="61" s="1"/>
  <c r="E20" i="61" a="1"/>
  <c r="E20" i="61" s="1"/>
  <c r="D20" i="61" a="1"/>
  <c r="D20" i="61" s="1"/>
  <c r="G183" i="20" s="1"/>
  <c r="V18" i="61" a="1"/>
  <c r="V18" i="61" s="1"/>
  <c r="Q18" i="61" a="1"/>
  <c r="Q18" i="61" s="1"/>
  <c r="K18" i="61" a="1"/>
  <c r="K18" i="61" s="1"/>
  <c r="V17" i="61" a="1"/>
  <c r="V17" i="61" s="1"/>
  <c r="Q17" i="61" a="1"/>
  <c r="Q17" i="61" s="1"/>
  <c r="K17" i="61" a="1"/>
  <c r="K17" i="61" s="1"/>
  <c r="D7" i="61" a="1"/>
  <c r="D7" i="61" s="1"/>
  <c r="D6" i="61" a="1"/>
  <c r="D6" i="61" s="1"/>
  <c r="D5" i="61" a="1"/>
  <c r="D5" i="61" s="1"/>
  <c r="E68" i="60" a="1"/>
  <c r="E68" i="60" s="1"/>
  <c r="D68" i="60" a="1"/>
  <c r="D68" i="60" s="1"/>
  <c r="E67" i="60" a="1"/>
  <c r="E67" i="60" s="1"/>
  <c r="D67" i="60" a="1"/>
  <c r="D67" i="60" s="1"/>
  <c r="E66" i="60" a="1"/>
  <c r="E66" i="60" s="1"/>
  <c r="D66" i="60" a="1"/>
  <c r="D66" i="60" s="1"/>
  <c r="E65" i="60" a="1"/>
  <c r="E65" i="60" s="1"/>
  <c r="D65" i="60" a="1"/>
  <c r="D65" i="60" s="1"/>
  <c r="E64" i="60" a="1"/>
  <c r="E64" i="60" s="1"/>
  <c r="D64" i="60" a="1"/>
  <c r="D64" i="60" s="1"/>
  <c r="E63" i="60" a="1"/>
  <c r="E63" i="60" s="1"/>
  <c r="D63" i="60" a="1"/>
  <c r="D63" i="60" s="1"/>
  <c r="E62" i="60" a="1"/>
  <c r="E62" i="60" s="1"/>
  <c r="D62" i="60" a="1"/>
  <c r="D62" i="60" s="1"/>
  <c r="E61" i="60" a="1"/>
  <c r="E61" i="60" s="1"/>
  <c r="D61" i="60" a="1"/>
  <c r="D61" i="60" s="1"/>
  <c r="E60" i="60" a="1"/>
  <c r="E60" i="60" s="1"/>
  <c r="D60" i="60" a="1"/>
  <c r="D60" i="60" s="1"/>
  <c r="E59" i="60" a="1"/>
  <c r="E59" i="60" s="1"/>
  <c r="D59" i="60" a="1"/>
  <c r="D59" i="60" s="1"/>
  <c r="E58" i="60" a="1"/>
  <c r="E58" i="60" s="1"/>
  <c r="D58" i="60" a="1"/>
  <c r="D58" i="60" s="1"/>
  <c r="D56" i="60" a="1"/>
  <c r="D56" i="60" s="1"/>
  <c r="D55" i="60" a="1"/>
  <c r="D55" i="60" s="1"/>
  <c r="D54" i="60" a="1"/>
  <c r="D54" i="60" s="1"/>
  <c r="D53" i="60" a="1"/>
  <c r="D53" i="60" s="1"/>
  <c r="D52" i="60" a="1"/>
  <c r="D52" i="60" s="1"/>
  <c r="G50" i="60" a="1"/>
  <c r="G50" i="60" s="1"/>
  <c r="F50" i="60" a="1"/>
  <c r="F50" i="60" s="1"/>
  <c r="E50" i="60" a="1"/>
  <c r="E50" i="60" s="1"/>
  <c r="O21" i="60" s="1"/>
  <c r="D50" i="60" a="1"/>
  <c r="D50" i="60" s="1"/>
  <c r="G49" i="60" a="1"/>
  <c r="G49" i="60" s="1"/>
  <c r="F49" i="60" a="1"/>
  <c r="F49" i="60" s="1"/>
  <c r="E49" i="60" a="1"/>
  <c r="E49" i="60" s="1"/>
  <c r="O20" i="60" s="1"/>
  <c r="D49" i="60" a="1"/>
  <c r="D49" i="60" s="1"/>
  <c r="G48" i="60" a="1"/>
  <c r="G48" i="60" s="1"/>
  <c r="F48" i="60" a="1"/>
  <c r="F48" i="60" s="1"/>
  <c r="E48" i="60" a="1"/>
  <c r="E48" i="60" s="1"/>
  <c r="O19" i="60" s="1"/>
  <c r="D48" i="60" a="1"/>
  <c r="D48" i="60" s="1"/>
  <c r="G47" i="60" a="1"/>
  <c r="G47" i="60" s="1"/>
  <c r="F47" i="60" a="1"/>
  <c r="F47" i="60" s="1"/>
  <c r="E47" i="60" a="1"/>
  <c r="E47" i="60" s="1"/>
  <c r="O18" i="60" s="1"/>
  <c r="D47" i="60" a="1"/>
  <c r="D47" i="60" s="1"/>
  <c r="G46" i="60" a="1"/>
  <c r="G46" i="60" s="1"/>
  <c r="F46" i="60" a="1"/>
  <c r="F46" i="60" s="1"/>
  <c r="E46" i="60" a="1"/>
  <c r="E46" i="60" s="1"/>
  <c r="O17" i="60" s="1"/>
  <c r="D46" i="60" a="1"/>
  <c r="D46" i="60" s="1"/>
  <c r="G45" i="60" a="1"/>
  <c r="G45" i="60" s="1"/>
  <c r="F45" i="60" a="1"/>
  <c r="F45" i="60" s="1"/>
  <c r="E45" i="60" a="1"/>
  <c r="E45" i="60" s="1"/>
  <c r="D45" i="60" a="1"/>
  <c r="D45" i="60" s="1"/>
  <c r="G44" i="60" a="1"/>
  <c r="G44" i="60" s="1"/>
  <c r="F44" i="60" a="1"/>
  <c r="F44" i="60" s="1"/>
  <c r="E44" i="60" a="1"/>
  <c r="E44" i="60" s="1"/>
  <c r="M21" i="60" s="1"/>
  <c r="D44" i="60" a="1"/>
  <c r="D44" i="60" s="1"/>
  <c r="G43" i="60" a="1"/>
  <c r="G43" i="60" s="1"/>
  <c r="F43" i="60" a="1"/>
  <c r="F43" i="60" s="1"/>
  <c r="E43" i="60" a="1"/>
  <c r="E43" i="60" s="1"/>
  <c r="M20" i="60" s="1"/>
  <c r="D43" i="60" a="1"/>
  <c r="D43" i="60" s="1"/>
  <c r="G42" i="60" a="1"/>
  <c r="G42" i="60" s="1"/>
  <c r="F42" i="60" a="1"/>
  <c r="F42" i="60" s="1"/>
  <c r="E42" i="60" a="1"/>
  <c r="E42" i="60" s="1"/>
  <c r="M19" i="60" s="1"/>
  <c r="D42" i="60" a="1"/>
  <c r="D42" i="60" s="1"/>
  <c r="G41" i="60" a="1"/>
  <c r="G41" i="60" s="1"/>
  <c r="F41" i="60" a="1"/>
  <c r="F41" i="60" s="1"/>
  <c r="E41" i="60" a="1"/>
  <c r="E41" i="60" s="1"/>
  <c r="M18" i="60" s="1"/>
  <c r="D41" i="60" a="1"/>
  <c r="D41" i="60" s="1"/>
  <c r="G40" i="60" a="1"/>
  <c r="G40" i="60" s="1"/>
  <c r="F40" i="60" a="1"/>
  <c r="F40" i="60" s="1"/>
  <c r="E40" i="60" a="1"/>
  <c r="E40" i="60" s="1"/>
  <c r="M17" i="60" s="1"/>
  <c r="D40" i="60" a="1"/>
  <c r="D40" i="60" s="1"/>
  <c r="G39" i="60" a="1"/>
  <c r="G39" i="60" s="1"/>
  <c r="F39" i="60" a="1"/>
  <c r="F39" i="60" s="1"/>
  <c r="E39" i="60" a="1"/>
  <c r="E39" i="60" s="1"/>
  <c r="D39" i="60" a="1"/>
  <c r="D39" i="60" s="1"/>
  <c r="G38" i="60" a="1"/>
  <c r="G38" i="60" s="1"/>
  <c r="F38" i="60" a="1"/>
  <c r="F38" i="60" s="1"/>
  <c r="E38" i="60" a="1"/>
  <c r="E38" i="60" s="1"/>
  <c r="K26" i="60" s="1"/>
  <c r="D38" i="60" a="1"/>
  <c r="D38" i="60" s="1"/>
  <c r="G37" i="60" a="1"/>
  <c r="G37" i="60" s="1"/>
  <c r="F37" i="60" a="1"/>
  <c r="F37" i="60" s="1"/>
  <c r="E37" i="60" a="1"/>
  <c r="E37" i="60" s="1"/>
  <c r="K25" i="60" s="1"/>
  <c r="D37" i="60" a="1"/>
  <c r="D37" i="60" s="1"/>
  <c r="G36" i="60" a="1"/>
  <c r="G36" i="60" s="1"/>
  <c r="F36" i="60" a="1"/>
  <c r="F36" i="60" s="1"/>
  <c r="E36" i="60" a="1"/>
  <c r="E36" i="60" s="1"/>
  <c r="K24" i="60" s="1"/>
  <c r="D36" i="60" a="1"/>
  <c r="D36" i="60" s="1"/>
  <c r="G35" i="60" a="1"/>
  <c r="G35" i="60" s="1"/>
  <c r="F35" i="60" a="1"/>
  <c r="F35" i="60" s="1"/>
  <c r="E35" i="60" a="1"/>
  <c r="E35" i="60" s="1"/>
  <c r="K23" i="60" s="1"/>
  <c r="D35" i="60" a="1"/>
  <c r="D35" i="60" s="1"/>
  <c r="G34" i="60" a="1"/>
  <c r="G34" i="60" s="1"/>
  <c r="F34" i="60" a="1"/>
  <c r="F34" i="60" s="1"/>
  <c r="E34" i="60" a="1"/>
  <c r="E34" i="60" s="1"/>
  <c r="K22" i="60" s="1"/>
  <c r="D34" i="60" a="1"/>
  <c r="D34" i="60" s="1"/>
  <c r="G33" i="60" a="1"/>
  <c r="G33" i="60" s="1"/>
  <c r="F33" i="60" a="1"/>
  <c r="F33" i="60" s="1"/>
  <c r="E33" i="60" a="1"/>
  <c r="E33" i="60" s="1"/>
  <c r="K21" i="60" s="1"/>
  <c r="D33" i="60" a="1"/>
  <c r="D33" i="60" s="1"/>
  <c r="G32" i="60" a="1"/>
  <c r="G32" i="60" s="1"/>
  <c r="F32" i="60" a="1"/>
  <c r="F32" i="60" s="1"/>
  <c r="E32" i="60" a="1"/>
  <c r="E32" i="60" s="1"/>
  <c r="K20" i="60" s="1"/>
  <c r="D32" i="60" a="1"/>
  <c r="D32" i="60" s="1"/>
  <c r="G31" i="60" a="1"/>
  <c r="G31" i="60" s="1"/>
  <c r="F31" i="60" a="1"/>
  <c r="F31" i="60" s="1"/>
  <c r="E31" i="60" a="1"/>
  <c r="E31" i="60" s="1"/>
  <c r="K19" i="60" s="1"/>
  <c r="D31" i="60" a="1"/>
  <c r="D31" i="60" s="1"/>
  <c r="G30" i="60" a="1"/>
  <c r="G30" i="60" s="1"/>
  <c r="F30" i="60" a="1"/>
  <c r="F30" i="60" s="1"/>
  <c r="E30" i="60" a="1"/>
  <c r="E30" i="60" s="1"/>
  <c r="K18" i="60" s="1"/>
  <c r="D30" i="60" a="1"/>
  <c r="D30" i="60" s="1"/>
  <c r="G29" i="60" a="1"/>
  <c r="G29" i="60" s="1"/>
  <c r="F29" i="60" a="1"/>
  <c r="F29" i="60" s="1"/>
  <c r="E29" i="60" a="1"/>
  <c r="E29" i="60" s="1"/>
  <c r="K17" i="60" s="1"/>
  <c r="D29" i="60" a="1"/>
  <c r="D29" i="60" s="1"/>
  <c r="G28" i="60" a="1"/>
  <c r="G28" i="60" s="1"/>
  <c r="F28" i="60" a="1"/>
  <c r="F28" i="60" s="1"/>
  <c r="E28" i="60" a="1"/>
  <c r="E28" i="60" s="1"/>
  <c r="D28" i="60" a="1"/>
  <c r="D28" i="60" s="1"/>
  <c r="G27" i="60" a="1"/>
  <c r="G27" i="60" s="1"/>
  <c r="F27" i="60" a="1"/>
  <c r="F27" i="60" s="1"/>
  <c r="E27" i="60" a="1"/>
  <c r="E27" i="60" s="1"/>
  <c r="I27" i="60" s="1"/>
  <c r="D27" i="60" a="1"/>
  <c r="D27" i="60" s="1"/>
  <c r="G26" i="60" a="1"/>
  <c r="G26" i="60" s="1"/>
  <c r="F26" i="60" a="1"/>
  <c r="F26" i="60" s="1"/>
  <c r="E26" i="60" a="1"/>
  <c r="E26" i="60" s="1"/>
  <c r="I26" i="60" s="1"/>
  <c r="D26" i="60" a="1"/>
  <c r="D26" i="60" s="1"/>
  <c r="G25" i="60" a="1"/>
  <c r="G25" i="60" s="1"/>
  <c r="F25" i="60" a="1"/>
  <c r="F25" i="60" s="1"/>
  <c r="E25" i="60" a="1"/>
  <c r="E25" i="60" s="1"/>
  <c r="I25" i="60" s="1"/>
  <c r="D25" i="60" a="1"/>
  <c r="D25" i="60" s="1"/>
  <c r="G24" i="60" a="1"/>
  <c r="G24" i="60" s="1"/>
  <c r="F24" i="60" a="1"/>
  <c r="F24" i="60" s="1"/>
  <c r="E24" i="60" a="1"/>
  <c r="E24" i="60" s="1"/>
  <c r="I24" i="60" s="1"/>
  <c r="D24" i="60" a="1"/>
  <c r="D24" i="60" s="1"/>
  <c r="G23" i="60" a="1"/>
  <c r="G23" i="60" s="1"/>
  <c r="F23" i="60" a="1"/>
  <c r="F23" i="60" s="1"/>
  <c r="E23" i="60" a="1"/>
  <c r="E23" i="60" s="1"/>
  <c r="I23" i="60" s="1"/>
  <c r="D23" i="60" a="1"/>
  <c r="D23" i="60" s="1"/>
  <c r="G22" i="60" a="1"/>
  <c r="G22" i="60" s="1"/>
  <c r="F22" i="60" a="1"/>
  <c r="F22" i="60" s="1"/>
  <c r="E22" i="60" a="1"/>
  <c r="E22" i="60" s="1"/>
  <c r="I22" i="60" s="1"/>
  <c r="D22" i="60" a="1"/>
  <c r="D22" i="60" s="1"/>
  <c r="G21" i="60" a="1"/>
  <c r="G21" i="60" s="1"/>
  <c r="F21" i="60" a="1"/>
  <c r="F21" i="60" s="1"/>
  <c r="E21" i="60" a="1"/>
  <c r="E21" i="60" s="1"/>
  <c r="I21" i="60" s="1"/>
  <c r="D21" i="60" a="1"/>
  <c r="D21" i="60" s="1"/>
  <c r="G20" i="60" a="1"/>
  <c r="G20" i="60" s="1"/>
  <c r="F20" i="60" a="1"/>
  <c r="F20" i="60" s="1"/>
  <c r="E20" i="60" a="1"/>
  <c r="E20" i="60" s="1"/>
  <c r="I20" i="60" s="1"/>
  <c r="D20" i="60" a="1"/>
  <c r="D20" i="60" s="1"/>
  <c r="G19" i="60" a="1"/>
  <c r="G19" i="60" s="1"/>
  <c r="F19" i="60" a="1"/>
  <c r="F19" i="60" s="1"/>
  <c r="E19" i="60" a="1"/>
  <c r="E19" i="60" s="1"/>
  <c r="I19" i="60" s="1"/>
  <c r="D19" i="60" a="1"/>
  <c r="D19" i="60" s="1"/>
  <c r="G18" i="60" a="1"/>
  <c r="G18" i="60" s="1"/>
  <c r="F18" i="60" a="1"/>
  <c r="F18" i="60" s="1"/>
  <c r="E18" i="60" a="1"/>
  <c r="E18" i="60" s="1"/>
  <c r="I18" i="60" s="1"/>
  <c r="D18" i="60" a="1"/>
  <c r="D18" i="60" s="1"/>
  <c r="G17" i="60" a="1"/>
  <c r="G17" i="60" s="1"/>
  <c r="F17" i="60" a="1"/>
  <c r="F17" i="60" s="1"/>
  <c r="E17" i="60" a="1"/>
  <c r="E17" i="60" s="1"/>
  <c r="I17" i="60" s="1"/>
  <c r="D17" i="60" a="1"/>
  <c r="D17" i="60" s="1"/>
  <c r="D15" i="60" a="1"/>
  <c r="D15" i="60" s="1"/>
  <c r="D14" i="60" a="1"/>
  <c r="D14" i="60" s="1"/>
  <c r="D7" i="60" a="1"/>
  <c r="D7" i="60" s="1"/>
  <c r="D6" i="60" a="1"/>
  <c r="D6" i="60" s="1"/>
  <c r="D5" i="60" a="1"/>
  <c r="D5" i="60" s="1"/>
  <c r="E139" i="59"/>
  <c r="F40" i="57" s="1"/>
  <c r="G138" i="59"/>
  <c r="F32" i="56" s="1"/>
  <c r="E138" i="59"/>
  <c r="F39" i="57" s="1"/>
  <c r="G137" i="59"/>
  <c r="F31" i="56" s="1"/>
  <c r="E137" i="59"/>
  <c r="F38" i="57" s="1"/>
  <c r="D137" i="59"/>
  <c r="F31" i="57" s="1"/>
  <c r="G136" i="59"/>
  <c r="F30" i="56" s="1"/>
  <c r="E136" i="59"/>
  <c r="F37" i="57" s="1"/>
  <c r="D136" i="59"/>
  <c r="F30" i="57" s="1"/>
  <c r="G135" i="59"/>
  <c r="F29" i="56" s="1"/>
  <c r="E135" i="59"/>
  <c r="F36" i="57" s="1"/>
  <c r="D135" i="59"/>
  <c r="F29" i="57" s="1"/>
  <c r="G134" i="59"/>
  <c r="F28" i="56" s="1"/>
  <c r="E134" i="59"/>
  <c r="F35" i="57" s="1"/>
  <c r="D134" i="59"/>
  <c r="F28" i="57" s="1"/>
  <c r="G133" i="59"/>
  <c r="F27" i="56" s="1"/>
  <c r="F133" i="59"/>
  <c r="F36" i="56" s="1"/>
  <c r="E133" i="59"/>
  <c r="F34" i="57" s="1"/>
  <c r="D133" i="59"/>
  <c r="F27" i="57" s="1"/>
  <c r="I132" i="59"/>
  <c r="F38" i="56" s="1"/>
  <c r="G132" i="59"/>
  <c r="F26" i="56" s="1"/>
  <c r="F132" i="59"/>
  <c r="F35" i="56" s="1"/>
  <c r="E132" i="59"/>
  <c r="F33" i="57" s="1"/>
  <c r="D132" i="59"/>
  <c r="F26" i="57" s="1"/>
  <c r="I131" i="59"/>
  <c r="F37" i="56" s="1"/>
  <c r="H131" i="59"/>
  <c r="F33" i="56" s="1"/>
  <c r="G131" i="59"/>
  <c r="F25" i="56" s="1"/>
  <c r="F131" i="59"/>
  <c r="F34" i="56" s="1"/>
  <c r="E131" i="59"/>
  <c r="F32" i="57" s="1"/>
  <c r="D131" i="59"/>
  <c r="F25" i="57" s="1"/>
  <c r="F120" i="59" a="1"/>
  <c r="F120" i="59" s="1"/>
  <c r="E120" i="59" a="1"/>
  <c r="E120" i="59" s="1"/>
  <c r="D120" i="59" a="1"/>
  <c r="D120" i="59" s="1"/>
  <c r="F119" i="59" a="1"/>
  <c r="F119" i="59" s="1"/>
  <c r="E119" i="59" a="1"/>
  <c r="E119" i="59" s="1"/>
  <c r="D119" i="59" a="1"/>
  <c r="D119" i="59" s="1"/>
  <c r="F118" i="59" a="1"/>
  <c r="F118" i="59" s="1"/>
  <c r="E118" i="59" a="1"/>
  <c r="E118" i="59" s="1"/>
  <c r="D118" i="59" a="1"/>
  <c r="D118" i="59" s="1"/>
  <c r="F117" i="59" a="1"/>
  <c r="F117" i="59" s="1"/>
  <c r="E117" i="59" a="1"/>
  <c r="E117" i="59" s="1"/>
  <c r="D117" i="59" a="1"/>
  <c r="D117" i="59" s="1"/>
  <c r="F116" i="59" a="1"/>
  <c r="F116" i="59" s="1"/>
  <c r="E116" i="59" a="1"/>
  <c r="E116" i="59" s="1"/>
  <c r="D116" i="59" a="1"/>
  <c r="D116" i="59" s="1"/>
  <c r="F115" i="59" a="1"/>
  <c r="F115" i="59" s="1"/>
  <c r="E115" i="59" a="1"/>
  <c r="E115" i="59" s="1"/>
  <c r="D115" i="59" a="1"/>
  <c r="D115" i="59" s="1"/>
  <c r="F114" i="59" a="1"/>
  <c r="F114" i="59" s="1"/>
  <c r="E114" i="59" a="1"/>
  <c r="E114" i="59" s="1"/>
  <c r="D114" i="59" a="1"/>
  <c r="D114" i="59" s="1"/>
  <c r="G113" i="59" a="1"/>
  <c r="G113" i="59" s="1"/>
  <c r="F113" i="59" a="1"/>
  <c r="F113" i="59" s="1"/>
  <c r="E113" i="59" a="1"/>
  <c r="E113" i="59" s="1"/>
  <c r="D113" i="59" a="1"/>
  <c r="D113" i="59" s="1"/>
  <c r="D110" i="59" a="1"/>
  <c r="D110" i="59" s="1"/>
  <c r="D109" i="59" a="1"/>
  <c r="D109" i="59" s="1"/>
  <c r="D108" i="59" a="1"/>
  <c r="D108" i="59" s="1"/>
  <c r="D107" i="59" a="1"/>
  <c r="D107" i="59" s="1"/>
  <c r="J104" i="59" a="1"/>
  <c r="J104" i="59" s="1"/>
  <c r="I104" i="59" a="1"/>
  <c r="I104" i="59" s="1"/>
  <c r="H104" i="59" a="1"/>
  <c r="H104" i="59" s="1"/>
  <c r="G104" i="59" a="1"/>
  <c r="G104" i="59" s="1"/>
  <c r="F104" i="59" a="1"/>
  <c r="F104" i="59" s="1"/>
  <c r="E104" i="59" a="1"/>
  <c r="E104" i="59" s="1"/>
  <c r="D104" i="59" a="1"/>
  <c r="D104" i="59" s="1"/>
  <c r="E40" i="57" s="1"/>
  <c r="J103" i="59" a="1"/>
  <c r="J103" i="59" s="1"/>
  <c r="I103" i="59" a="1"/>
  <c r="I103" i="59" s="1"/>
  <c r="H103" i="59" a="1"/>
  <c r="H103" i="59" s="1"/>
  <c r="G103" i="59" a="1"/>
  <c r="G103" i="59" s="1"/>
  <c r="F103" i="59" a="1"/>
  <c r="F103" i="59" s="1"/>
  <c r="E103" i="59" a="1"/>
  <c r="E103" i="59" s="1"/>
  <c r="D103" i="59" a="1"/>
  <c r="D103" i="59" s="1"/>
  <c r="E39" i="57" s="1"/>
  <c r="J102" i="59" a="1"/>
  <c r="J102" i="59" s="1"/>
  <c r="I102" i="59" a="1"/>
  <c r="I102" i="59" s="1"/>
  <c r="H102" i="59" a="1"/>
  <c r="H102" i="59" s="1"/>
  <c r="G102" i="59" a="1"/>
  <c r="G102" i="59" s="1"/>
  <c r="F102" i="59" a="1"/>
  <c r="F102" i="59" s="1"/>
  <c r="E102" i="59" a="1"/>
  <c r="E102" i="59" s="1"/>
  <c r="D102" i="59" a="1"/>
  <c r="D102" i="59" s="1"/>
  <c r="J101" i="59" a="1"/>
  <c r="J101" i="59" s="1"/>
  <c r="I101" i="59" a="1"/>
  <c r="I101" i="59" s="1"/>
  <c r="H101" i="59" a="1"/>
  <c r="H101" i="59" s="1"/>
  <c r="G101" i="59" a="1"/>
  <c r="G101" i="59" s="1"/>
  <c r="F101" i="59" a="1"/>
  <c r="F101" i="59" s="1"/>
  <c r="E101" i="59" a="1"/>
  <c r="E101" i="59" s="1"/>
  <c r="D101" i="59" a="1"/>
  <c r="D101" i="59" s="1"/>
  <c r="J100" i="59" a="1"/>
  <c r="J100" i="59" s="1"/>
  <c r="I100" i="59" a="1"/>
  <c r="I100" i="59" s="1"/>
  <c r="H100" i="59" a="1"/>
  <c r="H100" i="59" s="1"/>
  <c r="G100" i="59" a="1"/>
  <c r="G100" i="59" s="1"/>
  <c r="F100" i="59" a="1"/>
  <c r="F100" i="59" s="1"/>
  <c r="E100" i="59" a="1"/>
  <c r="E100" i="59" s="1"/>
  <c r="D100" i="59" a="1"/>
  <c r="D100" i="59" s="1"/>
  <c r="J99" i="59" a="1"/>
  <c r="J99" i="59" s="1"/>
  <c r="I99" i="59" a="1"/>
  <c r="I99" i="59" s="1"/>
  <c r="H99" i="59" a="1"/>
  <c r="H99" i="59" s="1"/>
  <c r="G99" i="59" a="1"/>
  <c r="G99" i="59" s="1"/>
  <c r="F99" i="59" a="1"/>
  <c r="F99" i="59" s="1"/>
  <c r="E99" i="59" a="1"/>
  <c r="E99" i="59" s="1"/>
  <c r="D99" i="59" a="1"/>
  <c r="D99" i="59" s="1"/>
  <c r="J98" i="59" a="1"/>
  <c r="J98" i="59" s="1"/>
  <c r="I98" i="59" a="1"/>
  <c r="I98" i="59" s="1"/>
  <c r="H98" i="59" a="1"/>
  <c r="H98" i="59" s="1"/>
  <c r="G98" i="59" a="1"/>
  <c r="G98" i="59" s="1"/>
  <c r="F98" i="59" a="1"/>
  <c r="F98" i="59" s="1"/>
  <c r="E98" i="59" a="1"/>
  <c r="E98" i="59" s="1"/>
  <c r="D98" i="59" a="1"/>
  <c r="D98" i="59" s="1"/>
  <c r="J97" i="59" a="1"/>
  <c r="J97" i="59" s="1"/>
  <c r="I97" i="59" a="1"/>
  <c r="I97" i="59" s="1"/>
  <c r="H97" i="59" a="1"/>
  <c r="H97" i="59" s="1"/>
  <c r="G97" i="59" a="1"/>
  <c r="G97" i="59" s="1"/>
  <c r="F97" i="59" a="1"/>
  <c r="F97" i="59" s="1"/>
  <c r="E97" i="59" a="1"/>
  <c r="E97" i="59" s="1"/>
  <c r="D97" i="59" a="1"/>
  <c r="D97" i="59" s="1"/>
  <c r="J96" i="59" a="1"/>
  <c r="J96" i="59" s="1"/>
  <c r="I96" i="59" a="1"/>
  <c r="I96" i="59" s="1"/>
  <c r="H96" i="59" a="1"/>
  <c r="H96" i="59" s="1"/>
  <c r="G96" i="59" a="1"/>
  <c r="G96" i="59" s="1"/>
  <c r="F96" i="59" a="1"/>
  <c r="F96" i="59" s="1"/>
  <c r="E96" i="59" a="1"/>
  <c r="E96" i="59" s="1"/>
  <c r="D96" i="59" a="1"/>
  <c r="D96" i="59" s="1"/>
  <c r="J95" i="59" a="1"/>
  <c r="J95" i="59" s="1"/>
  <c r="I95" i="59" a="1"/>
  <c r="I95" i="59" s="1"/>
  <c r="H95" i="59" a="1"/>
  <c r="H95" i="59" s="1"/>
  <c r="G95" i="59" a="1"/>
  <c r="G95" i="59" s="1"/>
  <c r="F95" i="59" a="1"/>
  <c r="F95" i="59" s="1"/>
  <c r="E95" i="59" a="1"/>
  <c r="E95" i="59" s="1"/>
  <c r="D95" i="59" a="1"/>
  <c r="D95" i="59" s="1"/>
  <c r="J94" i="59" a="1"/>
  <c r="J94" i="59" s="1"/>
  <c r="I94" i="59" a="1"/>
  <c r="I94" i="59" s="1"/>
  <c r="H94" i="59" a="1"/>
  <c r="H94" i="59" s="1"/>
  <c r="G94" i="59" a="1"/>
  <c r="G94" i="59" s="1"/>
  <c r="F94" i="59" a="1"/>
  <c r="F94" i="59" s="1"/>
  <c r="E94" i="59" a="1"/>
  <c r="E94" i="59" s="1"/>
  <c r="D94" i="59" a="1"/>
  <c r="D94" i="59" s="1"/>
  <c r="J93" i="59" a="1"/>
  <c r="J93" i="59" s="1"/>
  <c r="I93" i="59" a="1"/>
  <c r="I93" i="59" s="1"/>
  <c r="H93" i="59" a="1"/>
  <c r="H93" i="59" s="1"/>
  <c r="G93" i="59" a="1"/>
  <c r="G93" i="59" s="1"/>
  <c r="F93" i="59" a="1"/>
  <c r="F93" i="59" s="1"/>
  <c r="E93" i="59" a="1"/>
  <c r="E93" i="59" s="1"/>
  <c r="D93" i="59" a="1"/>
  <c r="D93" i="59" s="1"/>
  <c r="J92" i="59" a="1"/>
  <c r="J92" i="59" s="1"/>
  <c r="I92" i="59" a="1"/>
  <c r="I92" i="59" s="1"/>
  <c r="H92" i="59" a="1"/>
  <c r="H92" i="59" s="1"/>
  <c r="G92" i="59" a="1"/>
  <c r="G92" i="59" s="1"/>
  <c r="F92" i="59" a="1"/>
  <c r="F92" i="59" s="1"/>
  <c r="E92" i="59" a="1"/>
  <c r="E92" i="59" s="1"/>
  <c r="D92" i="59" a="1"/>
  <c r="D92" i="59" s="1"/>
  <c r="J91" i="59" a="1"/>
  <c r="J91" i="59" s="1"/>
  <c r="I91" i="59" a="1"/>
  <c r="I91" i="59" s="1"/>
  <c r="H91" i="59" a="1"/>
  <c r="H91" i="59" s="1"/>
  <c r="G91" i="59" a="1"/>
  <c r="G91" i="59" s="1"/>
  <c r="F91" i="59" a="1"/>
  <c r="F91" i="59" s="1"/>
  <c r="E91" i="59" a="1"/>
  <c r="E91" i="59" s="1"/>
  <c r="D91" i="59" a="1"/>
  <c r="D91" i="59" s="1"/>
  <c r="J90" i="59" a="1"/>
  <c r="J90" i="59" s="1"/>
  <c r="I90" i="59" a="1"/>
  <c r="I90" i="59" s="1"/>
  <c r="H90" i="59" a="1"/>
  <c r="H90" i="59" s="1"/>
  <c r="G90" i="59" a="1"/>
  <c r="G90" i="59" s="1"/>
  <c r="F90" i="59" a="1"/>
  <c r="F90" i="59" s="1"/>
  <c r="E90" i="59" a="1"/>
  <c r="E90" i="59" s="1"/>
  <c r="D90" i="59" a="1"/>
  <c r="D90" i="59" s="1"/>
  <c r="J89" i="59" a="1"/>
  <c r="J89" i="59" s="1"/>
  <c r="I89" i="59" a="1"/>
  <c r="I89" i="59" s="1"/>
  <c r="H89" i="59" a="1"/>
  <c r="H89" i="59" s="1"/>
  <c r="G89" i="59" a="1"/>
  <c r="G89" i="59" s="1"/>
  <c r="F89" i="59" a="1"/>
  <c r="F89" i="59" s="1"/>
  <c r="E89" i="59" a="1"/>
  <c r="E89" i="59" s="1"/>
  <c r="D89" i="59" a="1"/>
  <c r="D89" i="59" s="1"/>
  <c r="J88" i="59" a="1"/>
  <c r="J88" i="59" s="1"/>
  <c r="I88" i="59" a="1"/>
  <c r="I88" i="59" s="1"/>
  <c r="H88" i="59" a="1"/>
  <c r="H88" i="59" s="1"/>
  <c r="G88" i="59" a="1"/>
  <c r="G88" i="59" s="1"/>
  <c r="F88" i="59" a="1"/>
  <c r="F88" i="59" s="1"/>
  <c r="E88" i="59" a="1"/>
  <c r="E88" i="59" s="1"/>
  <c r="D88" i="59" a="1"/>
  <c r="D88" i="59" s="1"/>
  <c r="J87" i="59" a="1"/>
  <c r="J87" i="59" s="1"/>
  <c r="I87" i="59" a="1"/>
  <c r="I87" i="59" s="1"/>
  <c r="H87" i="59" a="1"/>
  <c r="H87" i="59" s="1"/>
  <c r="G87" i="59" a="1"/>
  <c r="G87" i="59" s="1"/>
  <c r="F87" i="59" a="1"/>
  <c r="F87" i="59" s="1"/>
  <c r="E87" i="59" a="1"/>
  <c r="E87" i="59" s="1"/>
  <c r="D87" i="59" a="1"/>
  <c r="D87" i="59" s="1"/>
  <c r="D84" i="59" a="1"/>
  <c r="D84" i="59" s="1"/>
  <c r="D83" i="59" a="1"/>
  <c r="D83" i="59" s="1"/>
  <c r="D82" i="59" a="1"/>
  <c r="D82" i="59" s="1"/>
  <c r="D81" i="59" a="1"/>
  <c r="D81" i="59" s="1"/>
  <c r="K77" i="59" a="1"/>
  <c r="K77" i="59" s="1"/>
  <c r="J77" i="59" a="1"/>
  <c r="J77" i="59" s="1"/>
  <c r="I77" i="59" a="1"/>
  <c r="I77" i="59" s="1"/>
  <c r="H77" i="59" a="1"/>
  <c r="H77" i="59" s="1"/>
  <c r="G77" i="59" a="1"/>
  <c r="G77" i="59" s="1"/>
  <c r="F77" i="59" a="1"/>
  <c r="F77" i="59" s="1"/>
  <c r="E77" i="59" a="1"/>
  <c r="E77" i="59" s="1"/>
  <c r="D77" i="59" a="1"/>
  <c r="D77" i="59" s="1"/>
  <c r="E38" i="57" s="1"/>
  <c r="K76" i="59" a="1"/>
  <c r="K76" i="59" s="1"/>
  <c r="J76" i="59" a="1"/>
  <c r="J76" i="59" s="1"/>
  <c r="I76" i="59" a="1"/>
  <c r="I76" i="59" s="1"/>
  <c r="H76" i="59" a="1"/>
  <c r="H76" i="59" s="1"/>
  <c r="G76" i="59" a="1"/>
  <c r="G76" i="59" s="1"/>
  <c r="F76" i="59" a="1"/>
  <c r="F76" i="59" s="1"/>
  <c r="E76" i="59" a="1"/>
  <c r="E76" i="59" s="1"/>
  <c r="D76" i="59" a="1"/>
  <c r="D76" i="59" s="1"/>
  <c r="K75" i="59" a="1"/>
  <c r="K75" i="59" s="1"/>
  <c r="J75" i="59" a="1"/>
  <c r="J75" i="59" s="1"/>
  <c r="I75" i="59" a="1"/>
  <c r="I75" i="59" s="1"/>
  <c r="H75" i="59" a="1"/>
  <c r="H75" i="59" s="1"/>
  <c r="G75" i="59" a="1"/>
  <c r="G75" i="59" s="1"/>
  <c r="F75" i="59" a="1"/>
  <c r="F75" i="59" s="1"/>
  <c r="E75" i="59" a="1"/>
  <c r="E75" i="59" s="1"/>
  <c r="D75" i="59" a="1"/>
  <c r="D75" i="59" s="1"/>
  <c r="E30" i="57" s="1"/>
  <c r="K74" i="59" a="1"/>
  <c r="K74" i="59" s="1"/>
  <c r="J74" i="59" a="1"/>
  <c r="J74" i="59" s="1"/>
  <c r="I74" i="59" a="1"/>
  <c r="I74" i="59" s="1"/>
  <c r="H74" i="59" a="1"/>
  <c r="H74" i="59" s="1"/>
  <c r="G74" i="59" a="1"/>
  <c r="G74" i="59" s="1"/>
  <c r="F74" i="59" a="1"/>
  <c r="F74" i="59" s="1"/>
  <c r="E74" i="59" a="1"/>
  <c r="E74" i="59" s="1"/>
  <c r="D74" i="59" a="1"/>
  <c r="D74" i="59" s="1"/>
  <c r="E29" i="57" s="1"/>
  <c r="K73" i="59" a="1"/>
  <c r="K73" i="59" s="1"/>
  <c r="J73" i="59" a="1"/>
  <c r="J73" i="59" s="1"/>
  <c r="I73" i="59" a="1"/>
  <c r="I73" i="59" s="1"/>
  <c r="H73" i="59" a="1"/>
  <c r="H73" i="59" s="1"/>
  <c r="G73" i="59" a="1"/>
  <c r="G73" i="59" s="1"/>
  <c r="F73" i="59" a="1"/>
  <c r="F73" i="59" s="1"/>
  <c r="E73" i="59" a="1"/>
  <c r="E73" i="59" s="1"/>
  <c r="D73" i="59" a="1"/>
  <c r="D73" i="59" s="1"/>
  <c r="E35" i="57" s="1"/>
  <c r="K72" i="59" a="1"/>
  <c r="K72" i="59" s="1"/>
  <c r="J72" i="59" a="1"/>
  <c r="J72" i="59" s="1"/>
  <c r="I72" i="59" a="1"/>
  <c r="I72" i="59" s="1"/>
  <c r="H72" i="59" a="1"/>
  <c r="H72" i="59" s="1"/>
  <c r="G72" i="59" a="1"/>
  <c r="G72" i="59" s="1"/>
  <c r="F72" i="59" a="1"/>
  <c r="F72" i="59" s="1"/>
  <c r="E72" i="59" a="1"/>
  <c r="E72" i="59" s="1"/>
  <c r="D72" i="59" a="1"/>
  <c r="D72" i="59" s="1"/>
  <c r="K71" i="59" a="1"/>
  <c r="K71" i="59" s="1"/>
  <c r="J71" i="59" a="1"/>
  <c r="J71" i="59" s="1"/>
  <c r="I71" i="59" a="1"/>
  <c r="I71" i="59" s="1"/>
  <c r="H71" i="59" a="1"/>
  <c r="H71" i="59" s="1"/>
  <c r="G71" i="59" a="1"/>
  <c r="G71" i="59" s="1"/>
  <c r="F71" i="59" a="1"/>
  <c r="F71" i="59" s="1"/>
  <c r="E71" i="59" a="1"/>
  <c r="E71" i="59" s="1"/>
  <c r="D71" i="59" a="1"/>
  <c r="D71" i="59" s="1"/>
  <c r="K70" i="59" a="1"/>
  <c r="K70" i="59" s="1"/>
  <c r="J70" i="59" a="1"/>
  <c r="J70" i="59" s="1"/>
  <c r="I70" i="59" a="1"/>
  <c r="I70" i="59" s="1"/>
  <c r="H70" i="59" a="1"/>
  <c r="H70" i="59" s="1"/>
  <c r="G70" i="59" a="1"/>
  <c r="G70" i="59" s="1"/>
  <c r="F70" i="59" a="1"/>
  <c r="F70" i="59" s="1"/>
  <c r="E70" i="59" a="1"/>
  <c r="E70" i="59" s="1"/>
  <c r="D70" i="59" a="1"/>
  <c r="D70" i="59" s="1"/>
  <c r="K69" i="59" a="1"/>
  <c r="K69" i="59" s="1"/>
  <c r="J69" i="59" a="1"/>
  <c r="J69" i="59" s="1"/>
  <c r="I69" i="59" a="1"/>
  <c r="I69" i="59" s="1"/>
  <c r="H69" i="59" a="1"/>
  <c r="H69" i="59" s="1"/>
  <c r="G69" i="59" a="1"/>
  <c r="G69" i="59" s="1"/>
  <c r="F69" i="59" a="1"/>
  <c r="F69" i="59" s="1"/>
  <c r="E69" i="59" a="1"/>
  <c r="E69" i="59" s="1"/>
  <c r="D69" i="59" a="1"/>
  <c r="D69" i="59" s="1"/>
  <c r="K68" i="59" a="1"/>
  <c r="K68" i="59" s="1"/>
  <c r="J68" i="59" a="1"/>
  <c r="J68" i="59" s="1"/>
  <c r="I68" i="59" a="1"/>
  <c r="I68" i="59" s="1"/>
  <c r="H68" i="59" a="1"/>
  <c r="H68" i="59" s="1"/>
  <c r="G68" i="59" a="1"/>
  <c r="G68" i="59" s="1"/>
  <c r="F68" i="59" a="1"/>
  <c r="F68" i="59" s="1"/>
  <c r="E68" i="59" a="1"/>
  <c r="E68" i="59" s="1"/>
  <c r="D68" i="59" a="1"/>
  <c r="D68" i="59" s="1"/>
  <c r="K67" i="59" a="1"/>
  <c r="K67" i="59" s="1"/>
  <c r="J67" i="59" a="1"/>
  <c r="J67" i="59" s="1"/>
  <c r="I67" i="59" a="1"/>
  <c r="I67" i="59" s="1"/>
  <c r="H67" i="59" a="1"/>
  <c r="H67" i="59" s="1"/>
  <c r="G67" i="59" a="1"/>
  <c r="G67" i="59" s="1"/>
  <c r="F67" i="59" a="1"/>
  <c r="F67" i="59" s="1"/>
  <c r="E67" i="59" a="1"/>
  <c r="E67" i="59" s="1"/>
  <c r="D67" i="59" a="1"/>
  <c r="D67" i="59" s="1"/>
  <c r="E27" i="57" s="1"/>
  <c r="K66" i="59" a="1"/>
  <c r="K66" i="59" s="1"/>
  <c r="J66" i="59" a="1"/>
  <c r="J66" i="59" s="1"/>
  <c r="I66" i="59" a="1"/>
  <c r="I66" i="59" s="1"/>
  <c r="H66" i="59" a="1"/>
  <c r="H66" i="59" s="1"/>
  <c r="G66" i="59" a="1"/>
  <c r="G66" i="59" s="1"/>
  <c r="F66" i="59" a="1"/>
  <c r="F66" i="59" s="1"/>
  <c r="E66" i="59" a="1"/>
  <c r="E66" i="59" s="1"/>
  <c r="D66" i="59" a="1"/>
  <c r="D66" i="59" s="1"/>
  <c r="K65" i="59" a="1"/>
  <c r="K65" i="59" s="1"/>
  <c r="J65" i="59" a="1"/>
  <c r="J65" i="59" s="1"/>
  <c r="I65" i="59" a="1"/>
  <c r="I65" i="59" s="1"/>
  <c r="H65" i="59" a="1"/>
  <c r="H65" i="59" s="1"/>
  <c r="G65" i="59" a="1"/>
  <c r="G65" i="59" s="1"/>
  <c r="F65" i="59" a="1"/>
  <c r="F65" i="59" s="1"/>
  <c r="E65" i="59" a="1"/>
  <c r="E65" i="59" s="1"/>
  <c r="D65" i="59" a="1"/>
  <c r="D65" i="59" s="1"/>
  <c r="K64" i="59" a="1"/>
  <c r="K64" i="59" s="1"/>
  <c r="J64" i="59" a="1"/>
  <c r="J64" i="59" s="1"/>
  <c r="I64" i="59" a="1"/>
  <c r="I64" i="59" s="1"/>
  <c r="H64" i="59" a="1"/>
  <c r="H64" i="59" s="1"/>
  <c r="G64" i="59" a="1"/>
  <c r="G64" i="59" s="1"/>
  <c r="F64" i="59" a="1"/>
  <c r="F64" i="59" s="1"/>
  <c r="E64" i="59" a="1"/>
  <c r="E64" i="59" s="1"/>
  <c r="D64" i="59" a="1"/>
  <c r="D64" i="59" s="1"/>
  <c r="K63" i="59" a="1"/>
  <c r="K63" i="59" s="1"/>
  <c r="J63" i="59" a="1"/>
  <c r="J63" i="59" s="1"/>
  <c r="I63" i="59" a="1"/>
  <c r="I63" i="59" s="1"/>
  <c r="H63" i="59" a="1"/>
  <c r="H63" i="59" s="1"/>
  <c r="G63" i="59" a="1"/>
  <c r="G63" i="59" s="1"/>
  <c r="F63" i="59" a="1"/>
  <c r="F63" i="59" s="1"/>
  <c r="E63" i="59" a="1"/>
  <c r="E63" i="59" s="1"/>
  <c r="D63" i="59" a="1"/>
  <c r="D63" i="59" s="1"/>
  <c r="E26" i="57" s="1"/>
  <c r="K62" i="59" a="1"/>
  <c r="K62" i="59" s="1"/>
  <c r="J62" i="59" a="1"/>
  <c r="J62" i="59" s="1"/>
  <c r="I62" i="59" a="1"/>
  <c r="I62" i="59" s="1"/>
  <c r="H62" i="59" a="1"/>
  <c r="H62" i="59" s="1"/>
  <c r="G62" i="59" a="1"/>
  <c r="G62" i="59" s="1"/>
  <c r="F62" i="59" a="1"/>
  <c r="F62" i="59" s="1"/>
  <c r="E62" i="59" a="1"/>
  <c r="E62" i="59" s="1"/>
  <c r="D62" i="59" a="1"/>
  <c r="D62" i="59" s="1"/>
  <c r="K61" i="59" a="1"/>
  <c r="K61" i="59" s="1"/>
  <c r="J61" i="59" a="1"/>
  <c r="J61" i="59" s="1"/>
  <c r="I61" i="59" a="1"/>
  <c r="I61" i="59" s="1"/>
  <c r="H61" i="59" a="1"/>
  <c r="H61" i="59" s="1"/>
  <c r="G61" i="59" a="1"/>
  <c r="G61" i="59" s="1"/>
  <c r="F61" i="59" a="1"/>
  <c r="F61" i="59" s="1"/>
  <c r="E61" i="59" a="1"/>
  <c r="E61" i="59" s="1"/>
  <c r="D61" i="59" a="1"/>
  <c r="D61" i="59" s="1"/>
  <c r="K60" i="59" a="1"/>
  <c r="K60" i="59" s="1"/>
  <c r="J60" i="59" a="1"/>
  <c r="J60" i="59" s="1"/>
  <c r="I60" i="59" a="1"/>
  <c r="I60" i="59" s="1"/>
  <c r="H60" i="59" a="1"/>
  <c r="H60" i="59" s="1"/>
  <c r="G60" i="59" a="1"/>
  <c r="G60" i="59" s="1"/>
  <c r="F60" i="59" a="1"/>
  <c r="F60" i="59" s="1"/>
  <c r="E60" i="59" a="1"/>
  <c r="E60" i="59" s="1"/>
  <c r="D60" i="59" a="1"/>
  <c r="D60" i="59" s="1"/>
  <c r="K59" i="59" a="1"/>
  <c r="K59" i="59" s="1"/>
  <c r="J59" i="59" a="1"/>
  <c r="J59" i="59" s="1"/>
  <c r="I59" i="59" a="1"/>
  <c r="I59" i="59" s="1"/>
  <c r="H59" i="59" a="1"/>
  <c r="H59" i="59" s="1"/>
  <c r="G59" i="59" a="1"/>
  <c r="G59" i="59" s="1"/>
  <c r="F59" i="59" a="1"/>
  <c r="F59" i="59" s="1"/>
  <c r="E59" i="59" a="1"/>
  <c r="E59" i="59" s="1"/>
  <c r="D59" i="59" a="1"/>
  <c r="D59" i="59" s="1"/>
  <c r="K58" i="59" a="1"/>
  <c r="K58" i="59" s="1"/>
  <c r="J58" i="59" a="1"/>
  <c r="J58" i="59" s="1"/>
  <c r="I58" i="59" a="1"/>
  <c r="I58" i="59" s="1"/>
  <c r="H58" i="59" a="1"/>
  <c r="H58" i="59" s="1"/>
  <c r="G58" i="59" a="1"/>
  <c r="G58" i="59" s="1"/>
  <c r="F58" i="59" a="1"/>
  <c r="F58" i="59" s="1"/>
  <c r="E58" i="59" a="1"/>
  <c r="E58" i="59" s="1"/>
  <c r="D58" i="59" a="1"/>
  <c r="D58" i="59" s="1"/>
  <c r="E32" i="57" s="1"/>
  <c r="K57" i="59" a="1"/>
  <c r="K57" i="59" s="1"/>
  <c r="J57" i="59" a="1"/>
  <c r="J57" i="59" s="1"/>
  <c r="I57" i="59" a="1"/>
  <c r="I57" i="59" s="1"/>
  <c r="H57" i="59" a="1"/>
  <c r="H57" i="59" s="1"/>
  <c r="G57" i="59" a="1"/>
  <c r="G57" i="59" s="1"/>
  <c r="F57" i="59" a="1"/>
  <c r="F57" i="59" s="1"/>
  <c r="E57" i="59" a="1"/>
  <c r="E57" i="59" s="1"/>
  <c r="D57" i="59" a="1"/>
  <c r="D57" i="59" s="1"/>
  <c r="K56" i="59" a="1"/>
  <c r="K56" i="59" s="1"/>
  <c r="J56" i="59" a="1"/>
  <c r="J56" i="59" s="1"/>
  <c r="I56" i="59" a="1"/>
  <c r="I56" i="59" s="1"/>
  <c r="H56" i="59" a="1"/>
  <c r="H56" i="59" s="1"/>
  <c r="G56" i="59" a="1"/>
  <c r="G56" i="59" s="1"/>
  <c r="F56" i="59" a="1"/>
  <c r="F56" i="59" s="1"/>
  <c r="E56" i="59" a="1"/>
  <c r="E56" i="59" s="1"/>
  <c r="D56" i="59" a="1"/>
  <c r="D56" i="59" s="1"/>
  <c r="K55" i="59" a="1"/>
  <c r="K55" i="59" s="1"/>
  <c r="J55" i="59" a="1"/>
  <c r="J55" i="59" s="1"/>
  <c r="I55" i="59" a="1"/>
  <c r="I55" i="59" s="1"/>
  <c r="H55" i="59" a="1"/>
  <c r="H55" i="59" s="1"/>
  <c r="G55" i="59" a="1"/>
  <c r="G55" i="59" s="1"/>
  <c r="F55" i="59" a="1"/>
  <c r="F55" i="59" s="1"/>
  <c r="E55" i="59" a="1"/>
  <c r="E55" i="59" s="1"/>
  <c r="D55" i="59" a="1"/>
  <c r="D55" i="59" s="1"/>
  <c r="K54" i="59" a="1"/>
  <c r="K54" i="59" s="1"/>
  <c r="J54" i="59" a="1"/>
  <c r="J54" i="59" s="1"/>
  <c r="I54" i="59" a="1"/>
  <c r="I54" i="59" s="1"/>
  <c r="H54" i="59" a="1"/>
  <c r="H54" i="59" s="1"/>
  <c r="G54" i="59" a="1"/>
  <c r="G54" i="59" s="1"/>
  <c r="F54" i="59" a="1"/>
  <c r="F54" i="59" s="1"/>
  <c r="E54" i="59" a="1"/>
  <c r="E54" i="59" s="1"/>
  <c r="D54" i="59" a="1"/>
  <c r="D54" i="59" s="1"/>
  <c r="D52" i="59" a="1"/>
  <c r="D52" i="59" s="1"/>
  <c r="D51" i="59" a="1"/>
  <c r="D51" i="59" s="1"/>
  <c r="D50" i="59" a="1"/>
  <c r="D50" i="59" s="1"/>
  <c r="D49" i="59" a="1"/>
  <c r="D49" i="59" s="1"/>
  <c r="J43" i="59" a="1"/>
  <c r="J43" i="59" s="1"/>
  <c r="I43" i="59" a="1"/>
  <c r="I43" i="59" s="1"/>
  <c r="H43" i="59" a="1"/>
  <c r="H43" i="59" s="1"/>
  <c r="G43" i="59" a="1"/>
  <c r="G43" i="59" s="1"/>
  <c r="F43" i="59" a="1"/>
  <c r="F43" i="59" s="1"/>
  <c r="E43" i="59" a="1"/>
  <c r="E43" i="59" s="1"/>
  <c r="D43" i="59" a="1"/>
  <c r="D43" i="59" s="1"/>
  <c r="J42" i="59" a="1"/>
  <c r="J42" i="59" s="1"/>
  <c r="I42" i="59" a="1"/>
  <c r="I42" i="59" s="1"/>
  <c r="H42" i="59" a="1"/>
  <c r="H42" i="59" s="1"/>
  <c r="G42" i="59" a="1"/>
  <c r="G42" i="59" s="1"/>
  <c r="F42" i="59" a="1"/>
  <c r="F42" i="59" s="1"/>
  <c r="E42" i="59" a="1"/>
  <c r="E42" i="59" s="1"/>
  <c r="D42" i="59" a="1"/>
  <c r="D42" i="59" s="1"/>
  <c r="J41" i="59" a="1"/>
  <c r="J41" i="59" s="1"/>
  <c r="I41" i="59" a="1"/>
  <c r="I41" i="59" s="1"/>
  <c r="H41" i="59" a="1"/>
  <c r="H41" i="59" s="1"/>
  <c r="G41" i="59" a="1"/>
  <c r="G41" i="59" s="1"/>
  <c r="F41" i="59" a="1"/>
  <c r="F41" i="59" s="1"/>
  <c r="E41" i="59" a="1"/>
  <c r="E41" i="59" s="1"/>
  <c r="D41" i="59" a="1"/>
  <c r="D41" i="59" s="1"/>
  <c r="J40" i="59" a="1"/>
  <c r="J40" i="59" s="1"/>
  <c r="I40" i="59" a="1"/>
  <c r="I40" i="59" s="1"/>
  <c r="H40" i="59" a="1"/>
  <c r="H40" i="59" s="1"/>
  <c r="G40" i="59" a="1"/>
  <c r="G40" i="59" s="1"/>
  <c r="F40" i="59" a="1"/>
  <c r="F40" i="59" s="1"/>
  <c r="E40" i="59" a="1"/>
  <c r="E40" i="59" s="1"/>
  <c r="D40" i="59" a="1"/>
  <c r="D40" i="59" s="1"/>
  <c r="D38" i="59" a="1"/>
  <c r="D38" i="59" s="1"/>
  <c r="D37" i="59" a="1"/>
  <c r="D37" i="59" s="1"/>
  <c r="L34" i="59" a="1"/>
  <c r="L34" i="59" s="1"/>
  <c r="K34" i="59" a="1"/>
  <c r="K34" i="59" s="1"/>
  <c r="J34" i="59" a="1"/>
  <c r="J34" i="59" s="1"/>
  <c r="I34" i="59" a="1"/>
  <c r="I34" i="59" s="1"/>
  <c r="H34" i="59" a="1"/>
  <c r="H34" i="59" s="1"/>
  <c r="G34" i="59" a="1"/>
  <c r="G34" i="59" s="1"/>
  <c r="F34" i="59" a="1"/>
  <c r="F34" i="59" s="1"/>
  <c r="E34" i="59" a="1"/>
  <c r="E34" i="59" s="1"/>
  <c r="D34" i="59" a="1"/>
  <c r="D34" i="59" s="1"/>
  <c r="L33" i="59" a="1"/>
  <c r="L33" i="59" s="1"/>
  <c r="K33" i="59" a="1"/>
  <c r="K33" i="59" s="1"/>
  <c r="J33" i="59" a="1"/>
  <c r="J33" i="59" s="1"/>
  <c r="I33" i="59" a="1"/>
  <c r="I33" i="59" s="1"/>
  <c r="H33" i="59" a="1"/>
  <c r="H33" i="59" s="1"/>
  <c r="G33" i="59" a="1"/>
  <c r="G33" i="59" s="1"/>
  <c r="F33" i="59" a="1"/>
  <c r="F33" i="59" s="1"/>
  <c r="E33" i="59" a="1"/>
  <c r="E33" i="59" s="1"/>
  <c r="E39" i="56" s="1"/>
  <c r="D33" i="59" a="1"/>
  <c r="D33" i="59" s="1"/>
  <c r="L32" i="59" a="1"/>
  <c r="L32" i="59" s="1"/>
  <c r="K32" i="59" a="1"/>
  <c r="K32" i="59" s="1"/>
  <c r="J32" i="59" a="1"/>
  <c r="J32" i="59" s="1"/>
  <c r="I32" i="59" a="1"/>
  <c r="I32" i="59" s="1"/>
  <c r="H32" i="59" a="1"/>
  <c r="H32" i="59" s="1"/>
  <c r="G32" i="59" a="1"/>
  <c r="G32" i="59" s="1"/>
  <c r="F32" i="59" a="1"/>
  <c r="F32" i="59" s="1"/>
  <c r="E32" i="59" a="1"/>
  <c r="E32" i="59" s="1"/>
  <c r="D32" i="59" a="1"/>
  <c r="D32" i="59" s="1"/>
  <c r="L31" i="59" a="1"/>
  <c r="L31" i="59" s="1"/>
  <c r="K31" i="59" a="1"/>
  <c r="K31" i="59" s="1"/>
  <c r="J31" i="59" a="1"/>
  <c r="J31" i="59" s="1"/>
  <c r="I31" i="59" a="1"/>
  <c r="I31" i="59" s="1"/>
  <c r="H31" i="59" a="1"/>
  <c r="H31" i="59" s="1"/>
  <c r="G31" i="59" a="1"/>
  <c r="G31" i="59" s="1"/>
  <c r="F31" i="59" a="1"/>
  <c r="F31" i="59" s="1"/>
  <c r="E31" i="59" a="1"/>
  <c r="E31" i="59" s="1"/>
  <c r="D31" i="59" a="1"/>
  <c r="D31" i="59" s="1"/>
  <c r="L30" i="59" a="1"/>
  <c r="L30" i="59" s="1"/>
  <c r="K30" i="59" a="1"/>
  <c r="K30" i="59" s="1"/>
  <c r="J30" i="59" a="1"/>
  <c r="J30" i="59" s="1"/>
  <c r="I30" i="59" a="1"/>
  <c r="I30" i="59" s="1"/>
  <c r="H30" i="59" a="1"/>
  <c r="H30" i="59" s="1"/>
  <c r="G30" i="59" a="1"/>
  <c r="G30" i="59" s="1"/>
  <c r="F30" i="59" a="1"/>
  <c r="F30" i="59" s="1"/>
  <c r="E30" i="59" a="1"/>
  <c r="E30" i="59" s="1"/>
  <c r="E36" i="56" s="1"/>
  <c r="D30" i="59" a="1"/>
  <c r="D30" i="59" s="1"/>
  <c r="L29" i="59" a="1"/>
  <c r="L29" i="59" s="1"/>
  <c r="K29" i="59" a="1"/>
  <c r="K29" i="59" s="1"/>
  <c r="J29" i="59" a="1"/>
  <c r="J29" i="59" s="1"/>
  <c r="I29" i="59" a="1"/>
  <c r="I29" i="59" s="1"/>
  <c r="H29" i="59" a="1"/>
  <c r="H29" i="59" s="1"/>
  <c r="G29" i="59" a="1"/>
  <c r="G29" i="59" s="1"/>
  <c r="F29" i="59" a="1"/>
  <c r="F29" i="59" s="1"/>
  <c r="E29" i="59" a="1"/>
  <c r="E29" i="59" s="1"/>
  <c r="E35" i="56" s="1"/>
  <c r="D29" i="59" a="1"/>
  <c r="D29" i="59" s="1"/>
  <c r="L28" i="59" a="1"/>
  <c r="L28" i="59" s="1"/>
  <c r="K28" i="59" a="1"/>
  <c r="K28" i="59" s="1"/>
  <c r="J28" i="59" a="1"/>
  <c r="J28" i="59" s="1"/>
  <c r="I28" i="59" a="1"/>
  <c r="I28" i="59" s="1"/>
  <c r="H28" i="59" a="1"/>
  <c r="H28" i="59" s="1"/>
  <c r="G28" i="59" a="1"/>
  <c r="G28" i="59" s="1"/>
  <c r="F28" i="59" a="1"/>
  <c r="F28" i="59" s="1"/>
  <c r="E28" i="59" a="1"/>
  <c r="E28" i="59" s="1"/>
  <c r="E34" i="56" s="1"/>
  <c r="D28" i="59" a="1"/>
  <c r="D28" i="59" s="1"/>
  <c r="L27" i="59" a="1"/>
  <c r="L27" i="59" s="1"/>
  <c r="K27" i="59" a="1"/>
  <c r="K27" i="59" s="1"/>
  <c r="J27" i="59" a="1"/>
  <c r="J27" i="59" s="1"/>
  <c r="I27" i="59" a="1"/>
  <c r="I27" i="59" s="1"/>
  <c r="H27" i="59" a="1"/>
  <c r="H27" i="59" s="1"/>
  <c r="G27" i="59" a="1"/>
  <c r="G27" i="59" s="1"/>
  <c r="F27" i="59" a="1"/>
  <c r="F27" i="59" s="1"/>
  <c r="E27" i="59" a="1"/>
  <c r="E27" i="59" s="1"/>
  <c r="D27" i="59" a="1"/>
  <c r="D27" i="59" s="1"/>
  <c r="L26" i="59" a="1"/>
  <c r="L26" i="59" s="1"/>
  <c r="K26" i="59" a="1"/>
  <c r="K26" i="59" s="1"/>
  <c r="J26" i="59" a="1"/>
  <c r="J26" i="59" s="1"/>
  <c r="I26" i="59" a="1"/>
  <c r="I26" i="59" s="1"/>
  <c r="H26" i="59" a="1"/>
  <c r="H26" i="59" s="1"/>
  <c r="G26" i="59" a="1"/>
  <c r="G26" i="59" s="1"/>
  <c r="F26" i="59" a="1"/>
  <c r="F26" i="59" s="1"/>
  <c r="E26" i="59" a="1"/>
  <c r="E26" i="59" s="1"/>
  <c r="D26" i="59" a="1"/>
  <c r="D26" i="59" s="1"/>
  <c r="L25" i="59" a="1"/>
  <c r="L25" i="59" s="1"/>
  <c r="K25" i="59" a="1"/>
  <c r="K25" i="59" s="1"/>
  <c r="J25" i="59" a="1"/>
  <c r="J25" i="59" s="1"/>
  <c r="I25" i="59" a="1"/>
  <c r="I25" i="59" s="1"/>
  <c r="H25" i="59" a="1"/>
  <c r="H25" i="59" s="1"/>
  <c r="G25" i="59" a="1"/>
  <c r="G25" i="59" s="1"/>
  <c r="F25" i="59" a="1"/>
  <c r="F25" i="59" s="1"/>
  <c r="E25" i="59" a="1"/>
  <c r="E25" i="59" s="1"/>
  <c r="D25" i="59" a="1"/>
  <c r="D25" i="59" s="1"/>
  <c r="L24" i="59" a="1"/>
  <c r="L24" i="59" s="1"/>
  <c r="K24" i="59" a="1"/>
  <c r="K24" i="59" s="1"/>
  <c r="J24" i="59" a="1"/>
  <c r="J24" i="59" s="1"/>
  <c r="I24" i="59" a="1"/>
  <c r="I24" i="59" s="1"/>
  <c r="H24" i="59" a="1"/>
  <c r="H24" i="59" s="1"/>
  <c r="G24" i="59" a="1"/>
  <c r="G24" i="59" s="1"/>
  <c r="F24" i="59" a="1"/>
  <c r="F24" i="59" s="1"/>
  <c r="E24" i="59" a="1"/>
  <c r="E24" i="59" s="1"/>
  <c r="D24" i="59" a="1"/>
  <c r="D24" i="59" s="1"/>
  <c r="L23" i="59" a="1"/>
  <c r="L23" i="59" s="1"/>
  <c r="K23" i="59" a="1"/>
  <c r="K23" i="59" s="1"/>
  <c r="J23" i="59" a="1"/>
  <c r="J23" i="59" s="1"/>
  <c r="I23" i="59" a="1"/>
  <c r="I23" i="59" s="1"/>
  <c r="H23" i="59" a="1"/>
  <c r="H23" i="59" s="1"/>
  <c r="G23" i="59" a="1"/>
  <c r="G23" i="59" s="1"/>
  <c r="F23" i="59" a="1"/>
  <c r="F23" i="59" s="1"/>
  <c r="E23" i="59" a="1"/>
  <c r="E23" i="59" s="1"/>
  <c r="D23" i="59" a="1"/>
  <c r="D23" i="59" s="1"/>
  <c r="L22" i="59" a="1"/>
  <c r="L22" i="59" s="1"/>
  <c r="K22" i="59" a="1"/>
  <c r="K22" i="59" s="1"/>
  <c r="J22" i="59" a="1"/>
  <c r="J22" i="59" s="1"/>
  <c r="I22" i="59" a="1"/>
  <c r="I22" i="59" s="1"/>
  <c r="H22" i="59" a="1"/>
  <c r="H22" i="59" s="1"/>
  <c r="G22" i="59" a="1"/>
  <c r="G22" i="59" s="1"/>
  <c r="F22" i="59" a="1"/>
  <c r="F22" i="59" s="1"/>
  <c r="E22" i="59" a="1"/>
  <c r="E22" i="59" s="1"/>
  <c r="D22" i="59" a="1"/>
  <c r="D22" i="59" s="1"/>
  <c r="L21" i="59" a="1"/>
  <c r="L21" i="59" s="1"/>
  <c r="K21" i="59" a="1"/>
  <c r="K21" i="59" s="1"/>
  <c r="J21" i="59" a="1"/>
  <c r="J21" i="59" s="1"/>
  <c r="I21" i="59" a="1"/>
  <c r="I21" i="59" s="1"/>
  <c r="H21" i="59" a="1"/>
  <c r="H21" i="59" s="1"/>
  <c r="G21" i="59" a="1"/>
  <c r="G21" i="59" s="1"/>
  <c r="F21" i="59" a="1"/>
  <c r="F21" i="59" s="1"/>
  <c r="E21" i="59" a="1"/>
  <c r="E21" i="59" s="1"/>
  <c r="D21" i="59" a="1"/>
  <c r="D21" i="59" s="1"/>
  <c r="L20" i="59" a="1"/>
  <c r="L20" i="59" s="1"/>
  <c r="K20" i="59" a="1"/>
  <c r="K20" i="59" s="1"/>
  <c r="J20" i="59" a="1"/>
  <c r="J20" i="59" s="1"/>
  <c r="I20" i="59" a="1"/>
  <c r="I20" i="59" s="1"/>
  <c r="H20" i="59" a="1"/>
  <c r="H20" i="59" s="1"/>
  <c r="G20" i="59" a="1"/>
  <c r="G20" i="59" s="1"/>
  <c r="F20" i="59" a="1"/>
  <c r="F20" i="59" s="1"/>
  <c r="E20" i="59" a="1"/>
  <c r="E20" i="59" s="1"/>
  <c r="D20" i="59" a="1"/>
  <c r="D20" i="59" s="1"/>
  <c r="L19" i="59" a="1"/>
  <c r="L19" i="59" s="1"/>
  <c r="K19" i="59" a="1"/>
  <c r="K19" i="59" s="1"/>
  <c r="J19" i="59" a="1"/>
  <c r="J19" i="59" s="1"/>
  <c r="I19" i="59" a="1"/>
  <c r="I19" i="59" s="1"/>
  <c r="H19" i="59" a="1"/>
  <c r="H19" i="59" s="1"/>
  <c r="G19" i="59" a="1"/>
  <c r="G19" i="59" s="1"/>
  <c r="F19" i="59" a="1"/>
  <c r="F19" i="59" s="1"/>
  <c r="E19" i="59" a="1"/>
  <c r="E19" i="59" s="1"/>
  <c r="D19" i="59" a="1"/>
  <c r="D19" i="59" s="1"/>
  <c r="L18" i="59" a="1"/>
  <c r="L18" i="59" s="1"/>
  <c r="K18" i="59" a="1"/>
  <c r="K18" i="59" s="1"/>
  <c r="J18" i="59" a="1"/>
  <c r="J18" i="59" s="1"/>
  <c r="I18" i="59" a="1"/>
  <c r="I18" i="59" s="1"/>
  <c r="H18" i="59" a="1"/>
  <c r="H18" i="59" s="1"/>
  <c r="G18" i="59" a="1"/>
  <c r="G18" i="59" s="1"/>
  <c r="F18" i="59" a="1"/>
  <c r="F18" i="59" s="1"/>
  <c r="E18" i="59" a="1"/>
  <c r="E18" i="59" s="1"/>
  <c r="D18" i="59" a="1"/>
  <c r="D18" i="59" s="1"/>
  <c r="L17" i="59" a="1"/>
  <c r="L17" i="59" s="1"/>
  <c r="K17" i="59" a="1"/>
  <c r="K17" i="59" s="1"/>
  <c r="J17" i="59" a="1"/>
  <c r="J17" i="59" s="1"/>
  <c r="I17" i="59" a="1"/>
  <c r="I17" i="59" s="1"/>
  <c r="H17" i="59" a="1"/>
  <c r="H17" i="59" s="1"/>
  <c r="G17" i="59" a="1"/>
  <c r="G17" i="59" s="1"/>
  <c r="F17" i="59" a="1"/>
  <c r="F17" i="59" s="1"/>
  <c r="E17" i="59" a="1"/>
  <c r="E17" i="59" s="1"/>
  <c r="E32" i="56" s="1"/>
  <c r="D17" i="59" a="1"/>
  <c r="D17" i="59" s="1"/>
  <c r="L16" i="59" a="1"/>
  <c r="L16" i="59" s="1"/>
  <c r="K16" i="59" a="1"/>
  <c r="K16" i="59" s="1"/>
  <c r="J16" i="59" a="1"/>
  <c r="J16" i="59" s="1"/>
  <c r="I16" i="59" a="1"/>
  <c r="I16" i="59" s="1"/>
  <c r="H16" i="59" a="1"/>
  <c r="H16" i="59" s="1"/>
  <c r="G16" i="59" a="1"/>
  <c r="G16" i="59" s="1"/>
  <c r="F16" i="59" a="1"/>
  <c r="F16" i="59" s="1"/>
  <c r="E16" i="59" a="1"/>
  <c r="E16" i="59" s="1"/>
  <c r="E31" i="56" s="1"/>
  <c r="D16" i="59" a="1"/>
  <c r="D16" i="59" s="1"/>
  <c r="L15" i="59" a="1"/>
  <c r="L15" i="59" s="1"/>
  <c r="K15" i="59" a="1"/>
  <c r="K15" i="59" s="1"/>
  <c r="J15" i="59" a="1"/>
  <c r="J15" i="59" s="1"/>
  <c r="I15" i="59" a="1"/>
  <c r="I15" i="59" s="1"/>
  <c r="H15" i="59" a="1"/>
  <c r="H15" i="59" s="1"/>
  <c r="G15" i="59" a="1"/>
  <c r="G15" i="59" s="1"/>
  <c r="F15" i="59" a="1"/>
  <c r="F15" i="59" s="1"/>
  <c r="E15" i="59" a="1"/>
  <c r="E15" i="59" s="1"/>
  <c r="E30" i="56" s="1"/>
  <c r="D15" i="59" a="1"/>
  <c r="D15" i="59" s="1"/>
  <c r="L14" i="59" a="1"/>
  <c r="L14" i="59" s="1"/>
  <c r="K14" i="59" a="1"/>
  <c r="K14" i="59" s="1"/>
  <c r="J14" i="59" a="1"/>
  <c r="J14" i="59" s="1"/>
  <c r="I14" i="59" a="1"/>
  <c r="I14" i="59" s="1"/>
  <c r="H14" i="59" a="1"/>
  <c r="H14" i="59" s="1"/>
  <c r="G14" i="59" a="1"/>
  <c r="G14" i="59" s="1"/>
  <c r="F14" i="59" a="1"/>
  <c r="F14" i="59" s="1"/>
  <c r="E14" i="59" a="1"/>
  <c r="E14" i="59" s="1"/>
  <c r="E29" i="56" s="1"/>
  <c r="D14" i="59" a="1"/>
  <c r="D14" i="59" s="1"/>
  <c r="L13" i="59" a="1"/>
  <c r="L13" i="59" s="1"/>
  <c r="K13" i="59" a="1"/>
  <c r="K13" i="59" s="1"/>
  <c r="J13" i="59" a="1"/>
  <c r="J13" i="59" s="1"/>
  <c r="I13" i="59" a="1"/>
  <c r="I13" i="59" s="1"/>
  <c r="H13" i="59" a="1"/>
  <c r="H13" i="59" s="1"/>
  <c r="G13" i="59" a="1"/>
  <c r="G13" i="59" s="1"/>
  <c r="F13" i="59" a="1"/>
  <c r="F13" i="59" s="1"/>
  <c r="E13" i="59" a="1"/>
  <c r="E13" i="59" s="1"/>
  <c r="E28" i="56" s="1"/>
  <c r="D13" i="59" a="1"/>
  <c r="D13" i="59" s="1"/>
  <c r="L12" i="59" a="1"/>
  <c r="L12" i="59" s="1"/>
  <c r="K12" i="59" a="1"/>
  <c r="K12" i="59" s="1"/>
  <c r="J12" i="59" a="1"/>
  <c r="J12" i="59" s="1"/>
  <c r="I12" i="59" a="1"/>
  <c r="I12" i="59" s="1"/>
  <c r="H12" i="59" a="1"/>
  <c r="H12" i="59" s="1"/>
  <c r="G12" i="59" a="1"/>
  <c r="G12" i="59" s="1"/>
  <c r="F12" i="59" a="1"/>
  <c r="F12" i="59" s="1"/>
  <c r="E12" i="59" a="1"/>
  <c r="E12" i="59" s="1"/>
  <c r="E27" i="56" s="1"/>
  <c r="D12" i="59" a="1"/>
  <c r="D12" i="59" s="1"/>
  <c r="L11" i="59" a="1"/>
  <c r="L11" i="59" s="1"/>
  <c r="K11" i="59" a="1"/>
  <c r="K11" i="59" s="1"/>
  <c r="J11" i="59" a="1"/>
  <c r="J11" i="59" s="1"/>
  <c r="I11" i="59" a="1"/>
  <c r="I11" i="59" s="1"/>
  <c r="H11" i="59" a="1"/>
  <c r="H11" i="59" s="1"/>
  <c r="G11" i="59" a="1"/>
  <c r="G11" i="59" s="1"/>
  <c r="F11" i="59" a="1"/>
  <c r="F11" i="59" s="1"/>
  <c r="E11" i="59" a="1"/>
  <c r="E11" i="59" s="1"/>
  <c r="E26" i="56" s="1"/>
  <c r="D11" i="59" a="1"/>
  <c r="D11" i="59" s="1"/>
  <c r="L10" i="59" a="1"/>
  <c r="L10" i="59" s="1"/>
  <c r="K10" i="59" a="1"/>
  <c r="K10" i="59" s="1"/>
  <c r="J10" i="59" a="1"/>
  <c r="J10" i="59" s="1"/>
  <c r="I10" i="59" a="1"/>
  <c r="I10" i="59" s="1"/>
  <c r="H10" i="59" a="1"/>
  <c r="H10" i="59" s="1"/>
  <c r="G10" i="59" a="1"/>
  <c r="G10" i="59" s="1"/>
  <c r="F10" i="59" a="1"/>
  <c r="F10" i="59" s="1"/>
  <c r="E10" i="59" a="1"/>
  <c r="E10" i="59" s="1"/>
  <c r="D10" i="59" a="1"/>
  <c r="D10" i="59" s="1"/>
  <c r="D8" i="59" a="1"/>
  <c r="D8" i="59" s="1"/>
  <c r="D7" i="59" a="1"/>
  <c r="D7" i="59" s="1"/>
  <c r="D6" i="59" a="1"/>
  <c r="D6" i="59" s="1"/>
  <c r="D5" i="59" a="1"/>
  <c r="D5" i="59" s="1"/>
  <c r="H185" i="58"/>
  <c r="H179" i="58"/>
  <c r="H168" i="58"/>
  <c r="H144" i="58"/>
  <c r="H138" i="58"/>
  <c r="H127" i="58"/>
  <c r="H105" i="58" a="1"/>
  <c r="H105" i="58" s="1"/>
  <c r="D105" i="58" a="1"/>
  <c r="D105" i="58" s="1"/>
  <c r="E103" i="58" a="1"/>
  <c r="E103" i="58" s="1"/>
  <c r="F192" i="58" s="1"/>
  <c r="E102" i="58" a="1"/>
  <c r="E102" i="58" s="1"/>
  <c r="D98" i="58" a="1"/>
  <c r="D98" i="58" s="1"/>
  <c r="D97" i="58" a="1"/>
  <c r="D97" i="58" s="1"/>
  <c r="D96" i="58" a="1"/>
  <c r="D96" i="58" s="1"/>
  <c r="J16" i="58" a="1"/>
  <c r="J16" i="58" s="1"/>
  <c r="I16" i="58" a="1"/>
  <c r="I16" i="58" s="1"/>
  <c r="J15" i="58" a="1"/>
  <c r="J15" i="58" s="1"/>
  <c r="I15" i="58" a="1"/>
  <c r="I15" i="58" s="1"/>
  <c r="J14" i="58" a="1"/>
  <c r="J14" i="58" s="1"/>
  <c r="I14" i="58" a="1"/>
  <c r="I14" i="58" s="1"/>
  <c r="J13" i="58" a="1"/>
  <c r="J13" i="58" s="1"/>
  <c r="I13" i="58" a="1"/>
  <c r="I13" i="58" s="1"/>
  <c r="G13" i="58" a="1"/>
  <c r="G13" i="58" s="1"/>
  <c r="D13" i="58" a="1"/>
  <c r="D13" i="58" s="1"/>
  <c r="E11" i="58" a="1"/>
  <c r="E11" i="58" s="1"/>
  <c r="E10" i="58" a="1"/>
  <c r="E10" i="58" s="1"/>
  <c r="D6" i="58" a="1"/>
  <c r="D6" i="58" s="1"/>
  <c r="D5" i="58" a="1"/>
  <c r="D5" i="58" s="1"/>
  <c r="D34" i="57"/>
  <c r="D27" i="57"/>
  <c r="P18" i="57"/>
  <c r="P17" i="57"/>
  <c r="P16" i="57" a="1"/>
  <c r="P16" i="57" s="1"/>
  <c r="I16" i="57" a="1"/>
  <c r="I16" i="57" s="1"/>
  <c r="P15" i="57" a="1"/>
  <c r="P15" i="57" s="1"/>
  <c r="I15" i="57" a="1"/>
  <c r="I15" i="57" s="1"/>
  <c r="P14" i="57" a="1"/>
  <c r="P14" i="57" s="1"/>
  <c r="N14" i="57" a="1"/>
  <c r="N14" i="57" s="1"/>
  <c r="K14" i="57" a="1"/>
  <c r="K14" i="57" s="1"/>
  <c r="I14" i="57" a="1"/>
  <c r="I14" i="57" s="1"/>
  <c r="G14" i="57" a="1"/>
  <c r="G14" i="57" s="1"/>
  <c r="D14" i="57" a="1"/>
  <c r="D14" i="57" s="1"/>
  <c r="L12" i="57" a="1"/>
  <c r="L12" i="57" s="1"/>
  <c r="E12" i="57" a="1"/>
  <c r="E12" i="57" s="1"/>
  <c r="F58" i="57" s="1"/>
  <c r="L11" i="57" a="1"/>
  <c r="L11" i="57" s="1"/>
  <c r="E11" i="57" a="1"/>
  <c r="E11" i="57" s="1"/>
  <c r="K7" i="57" a="1"/>
  <c r="K7" i="57" s="1"/>
  <c r="K6" i="57" a="1"/>
  <c r="K6" i="57" s="1"/>
  <c r="D6" i="57" a="1"/>
  <c r="D6" i="57" s="1"/>
  <c r="K5" i="57" a="1"/>
  <c r="K5" i="57" s="1"/>
  <c r="D5" i="57" a="1"/>
  <c r="D5" i="57" s="1"/>
  <c r="D60" i="56"/>
  <c r="D54" i="56"/>
  <c r="D38" i="56"/>
  <c r="D39" i="56"/>
  <c r="D36" i="56"/>
  <c r="D48" i="56"/>
  <c r="D31" i="56"/>
  <c r="D29" i="56"/>
  <c r="D28" i="56"/>
  <c r="D27" i="56"/>
  <c r="D26" i="56"/>
  <c r="D30" i="56"/>
  <c r="P16" i="56" a="1"/>
  <c r="P16" i="56" s="1"/>
  <c r="I16" i="56" a="1"/>
  <c r="I16" i="56" s="1"/>
  <c r="P15" i="56" a="1"/>
  <c r="P15" i="56" s="1"/>
  <c r="I15" i="56" a="1"/>
  <c r="I15" i="56" s="1"/>
  <c r="P14" i="56" a="1"/>
  <c r="P14" i="56" s="1"/>
  <c r="N14" i="56" a="1"/>
  <c r="N14" i="56" s="1"/>
  <c r="K14" i="56" a="1"/>
  <c r="K14" i="56" s="1"/>
  <c r="I14" i="56" a="1"/>
  <c r="I14" i="56" s="1"/>
  <c r="G14" i="56" a="1"/>
  <c r="G14" i="56" s="1"/>
  <c r="D14" i="56" a="1"/>
  <c r="D14" i="56" s="1"/>
  <c r="L12" i="56" a="1"/>
  <c r="L12" i="56" s="1"/>
  <c r="E12" i="56" a="1"/>
  <c r="E12" i="56" s="1"/>
  <c r="F62" i="56" s="1"/>
  <c r="L11" i="56" a="1"/>
  <c r="L11" i="56" s="1"/>
  <c r="E11" i="56" a="1"/>
  <c r="E11" i="56" s="1"/>
  <c r="K6" i="56" a="1"/>
  <c r="K6" i="56" s="1"/>
  <c r="D6" i="56" a="1"/>
  <c r="D6" i="56" s="1"/>
  <c r="K5" i="56" a="1"/>
  <c r="K5" i="56" s="1"/>
  <c r="D5" i="56" a="1"/>
  <c r="D5" i="56" s="1"/>
  <c r="H48" i="55"/>
  <c r="E48" i="55"/>
  <c r="H47" i="55"/>
  <c r="E47" i="55"/>
  <c r="H46" i="55"/>
  <c r="E46" i="55"/>
  <c r="H39" i="55"/>
  <c r="H38" i="55"/>
  <c r="H37" i="55"/>
  <c r="E16" i="55"/>
  <c r="E22" i="55" s="1"/>
  <c r="E6" i="55"/>
  <c r="H21" i="53"/>
  <c r="H20" i="53"/>
  <c r="H19" i="53"/>
  <c r="H18" i="53"/>
  <c r="H17" i="53"/>
  <c r="H50" i="52"/>
  <c r="I50" i="52" s="1"/>
  <c r="G50" i="52"/>
  <c r="J50" i="52" s="1"/>
  <c r="H49" i="52"/>
  <c r="I49" i="52" s="1"/>
  <c r="G49" i="52"/>
  <c r="J49" i="52" s="1"/>
  <c r="H48" i="52"/>
  <c r="I48" i="52" s="1"/>
  <c r="G48" i="52"/>
  <c r="J48" i="52" s="1"/>
  <c r="K39" i="52"/>
  <c r="F39" i="52"/>
  <c r="G39" i="52" s="1"/>
  <c r="K38" i="52"/>
  <c r="D35" i="52" s="1"/>
  <c r="F38" i="52"/>
  <c r="G38" i="52" s="1"/>
  <c r="K37" i="52"/>
  <c r="F37" i="52"/>
  <c r="G37" i="52" s="1"/>
  <c r="F28" i="52"/>
  <c r="G28" i="52" s="1"/>
  <c r="F27" i="52"/>
  <c r="G27" i="52" s="1"/>
  <c r="F26" i="52"/>
  <c r="G26" i="52" s="1"/>
  <c r="E237" i="19" s="1" a="1"/>
  <c r="E237" i="19" s="1"/>
  <c r="H22" i="52"/>
  <c r="H21" i="52"/>
  <c r="H20" i="52"/>
  <c r="H19" i="52"/>
  <c r="H18" i="52"/>
  <c r="E29" i="51"/>
  <c r="E13" i="51"/>
  <c r="E30" i="55" s="1"/>
  <c r="I37" i="55" s="1"/>
  <c r="E20" i="41"/>
  <c r="E22" i="41"/>
  <c r="E28" i="41"/>
  <c r="E36" i="41"/>
  <c r="E35" i="41"/>
  <c r="N578" i="19" a="1"/>
  <c r="N578" i="19" s="1"/>
  <c r="L575" i="19" a="1"/>
  <c r="L575" i="19" s="1"/>
  <c r="P569" i="19" a="1"/>
  <c r="P569" i="19" s="1"/>
  <c r="L569" i="19" a="1"/>
  <c r="L569" i="19" s="1"/>
  <c r="L7" i="56" a="1"/>
  <c r="E99" i="58" a="1"/>
  <c r="E7" i="34" a="1"/>
  <c r="E7" i="57" a="1"/>
  <c r="L8" i="57" a="1"/>
  <c r="E7" i="56" a="1"/>
  <c r="E7" i="58" a="1"/>
  <c r="H54" i="68" l="1"/>
  <c r="H53" i="68"/>
  <c r="H51" i="68"/>
  <c r="H52" i="68"/>
  <c r="H49" i="68"/>
  <c r="H48" i="68"/>
  <c r="G52" i="48" a="1"/>
  <c r="G52" i="48" s="1"/>
  <c r="H22" i="48" a="1"/>
  <c r="H22" i="48" s="1"/>
  <c r="E305" i="19" a="1"/>
  <c r="E305" i="19" s="1"/>
  <c r="K40" i="57" a="1"/>
  <c r="K40" i="57" s="1"/>
  <c r="F22" i="52"/>
  <c r="K26" i="57"/>
  <c r="J26" i="57"/>
  <c r="I26" i="57"/>
  <c r="H26" i="57"/>
  <c r="G26" i="57"/>
  <c r="M40" i="57" a="1"/>
  <c r="M40" i="57" s="1"/>
  <c r="M28" i="56" a="1"/>
  <c r="M28" i="56" s="1"/>
  <c r="L28" i="56" a="1"/>
  <c r="L28" i="56" s="1"/>
  <c r="G29" i="57"/>
  <c r="K29" i="57"/>
  <c r="J29" i="57"/>
  <c r="I29" i="57"/>
  <c r="H29" i="57"/>
  <c r="M33" i="57" a="1"/>
  <c r="M33" i="57" s="1"/>
  <c r="H35" i="57"/>
  <c r="G35" i="57"/>
  <c r="K35" i="57"/>
  <c r="J35" i="57"/>
  <c r="I35" i="57"/>
  <c r="M27" i="57" a="1"/>
  <c r="M27" i="57" s="1"/>
  <c r="L27" i="57" a="1"/>
  <c r="L27" i="57" s="1"/>
  <c r="M38" i="57" a="1"/>
  <c r="M38" i="57" s="1"/>
  <c r="M25" i="56" a="1"/>
  <c r="M25" i="56" s="1"/>
  <c r="L25" i="56" a="1"/>
  <c r="L25" i="56" s="1"/>
  <c r="M29" i="57" a="1"/>
  <c r="M29" i="57" s="1"/>
  <c r="M37" i="56" a="1"/>
  <c r="M37" i="56" s="1"/>
  <c r="L37" i="56" a="1"/>
  <c r="L37" i="56" s="1"/>
  <c r="M26" i="57" a="1"/>
  <c r="M26" i="57" s="1"/>
  <c r="M34" i="57" a="1"/>
  <c r="M34" i="57" s="1"/>
  <c r="L34" i="57" a="1"/>
  <c r="L34" i="57" s="1"/>
  <c r="M31" i="56" a="1"/>
  <c r="M31" i="56" s="1"/>
  <c r="L31" i="56" a="1"/>
  <c r="L31" i="56" s="1"/>
  <c r="H305" i="19" a="1"/>
  <c r="H305" i="19" s="1"/>
  <c r="G305" i="19" a="1"/>
  <c r="G305" i="19" s="1"/>
  <c r="F305" i="19" a="1"/>
  <c r="F305" i="19" s="1"/>
  <c r="K30" i="57"/>
  <c r="J30" i="57"/>
  <c r="I30" i="57"/>
  <c r="H30" i="57"/>
  <c r="G30" i="57"/>
  <c r="J39" i="57"/>
  <c r="I39" i="57"/>
  <c r="H39" i="57"/>
  <c r="G39" i="57"/>
  <c r="M36" i="56" a="1"/>
  <c r="M36" i="56" s="1"/>
  <c r="L36" i="56" a="1"/>
  <c r="L36" i="56" s="1"/>
  <c r="M39" i="57" a="1"/>
  <c r="M39" i="57" s="1"/>
  <c r="M28" i="57" a="1"/>
  <c r="M28" i="57" s="1"/>
  <c r="M32" i="57" a="1"/>
  <c r="M32" i="57" s="1"/>
  <c r="G32" i="57"/>
  <c r="K32" i="57"/>
  <c r="J32" i="57"/>
  <c r="I32" i="57"/>
  <c r="H32" i="57"/>
  <c r="M32" i="56" a="1"/>
  <c r="M32" i="56" s="1"/>
  <c r="I38" i="57"/>
  <c r="H38" i="57"/>
  <c r="G38" i="57"/>
  <c r="K38" i="57"/>
  <c r="J38" i="57"/>
  <c r="M35" i="57" a="1"/>
  <c r="M35" i="57" s="1"/>
  <c r="M29" i="56" a="1"/>
  <c r="M29" i="56" s="1"/>
  <c r="L29" i="56" a="1"/>
  <c r="L29" i="56" s="1"/>
  <c r="J40" i="57"/>
  <c r="I40" i="57"/>
  <c r="H40" i="57"/>
  <c r="G40" i="57"/>
  <c r="M25" i="57" a="1"/>
  <c r="M25" i="57" s="1"/>
  <c r="L25" i="57" a="1"/>
  <c r="L25" i="57" s="1"/>
  <c r="M34" i="56" a="1"/>
  <c r="M34" i="56" s="1"/>
  <c r="L34" i="56" a="1"/>
  <c r="L34" i="56" s="1"/>
  <c r="M33" i="56" a="1"/>
  <c r="M33" i="56" s="1"/>
  <c r="K27" i="57"/>
  <c r="J27" i="57"/>
  <c r="I27" i="57"/>
  <c r="H27" i="57"/>
  <c r="G27" i="57"/>
  <c r="M30" i="57" a="1"/>
  <c r="M30" i="57" s="1"/>
  <c r="M35" i="56" a="1"/>
  <c r="M35" i="56" s="1"/>
  <c r="L35" i="56" a="1"/>
  <c r="L35" i="56" s="1"/>
  <c r="M37" i="57" a="1"/>
  <c r="M37" i="57" s="1"/>
  <c r="M26" i="56" a="1"/>
  <c r="M26" i="56" s="1"/>
  <c r="M30" i="56" a="1"/>
  <c r="M30" i="56" s="1"/>
  <c r="L30" i="56" a="1"/>
  <c r="L30" i="56" s="1"/>
  <c r="M27" i="56" a="1"/>
  <c r="M27" i="56" s="1"/>
  <c r="L27" i="56" a="1"/>
  <c r="L27" i="56" s="1"/>
  <c r="M36" i="57" a="1"/>
  <c r="M36" i="57" s="1"/>
  <c r="K39" i="56" a="1"/>
  <c r="K39" i="56" s="1"/>
  <c r="M38" i="56" a="1"/>
  <c r="M38" i="56" s="1"/>
  <c r="L38" i="56" a="1"/>
  <c r="L38" i="56" s="1"/>
  <c r="M31" i="57" a="1"/>
  <c r="M31" i="57" s="1"/>
  <c r="H23" i="48" a="1"/>
  <c r="H23" i="48" s="1"/>
  <c r="G53" i="48" a="1"/>
  <c r="G53" i="48" s="1"/>
  <c r="G176" i="20"/>
  <c r="U18" i="52" a="1"/>
  <c r="U18" i="52" s="1"/>
  <c r="R19" i="52" a="1"/>
  <c r="R19" i="52" s="1"/>
  <c r="O20" i="52" a="1"/>
  <c r="O20" i="52" s="1"/>
  <c r="L21" i="52" a="1"/>
  <c r="L21" i="52" s="1"/>
  <c r="G22" i="52"/>
  <c r="W22" i="52"/>
  <c r="K27" i="56" a="1"/>
  <c r="K27" i="56" s="1"/>
  <c r="G29" i="56" a="1"/>
  <c r="G29" i="56" s="1"/>
  <c r="H32" i="56" a="1"/>
  <c r="H32" i="56" s="1"/>
  <c r="G35" i="56" a="1"/>
  <c r="G35" i="56" s="1"/>
  <c r="E37" i="57"/>
  <c r="G54" i="48" a="1"/>
  <c r="G54" i="48" s="1"/>
  <c r="I176" i="20"/>
  <c r="F18" i="52"/>
  <c r="S19" i="52" a="1"/>
  <c r="S19" i="52" s="1"/>
  <c r="P20" i="52" a="1"/>
  <c r="P20" i="52" s="1"/>
  <c r="M21" i="52" a="1"/>
  <c r="M21" i="52" s="1"/>
  <c r="J22" i="52" a="1"/>
  <c r="J22" i="52" s="1"/>
  <c r="X22" i="52"/>
  <c r="D59" i="58" a="1"/>
  <c r="G26" i="56" a="1"/>
  <c r="G26" i="56" s="1"/>
  <c r="H29" i="56" a="1"/>
  <c r="H29" i="56" s="1"/>
  <c r="I32" i="56" a="1"/>
  <c r="I32" i="56" s="1"/>
  <c r="H35" i="56" a="1"/>
  <c r="H35" i="56" s="1"/>
  <c r="E31" i="57"/>
  <c r="E34" i="57"/>
  <c r="G55" i="48" a="1"/>
  <c r="G55" i="48" s="1"/>
  <c r="G177" i="20"/>
  <c r="G18" i="52"/>
  <c r="W18" i="52"/>
  <c r="T19" i="52" a="1"/>
  <c r="T19" i="52" s="1"/>
  <c r="Q20" i="52" a="1"/>
  <c r="Q20" i="52" s="1"/>
  <c r="N21" i="52" a="1"/>
  <c r="N21" i="52" s="1"/>
  <c r="K22" i="52" a="1"/>
  <c r="K22" i="52" s="1"/>
  <c r="P26" i="52"/>
  <c r="E59" i="58" a="1"/>
  <c r="H26" i="56" a="1"/>
  <c r="H26" i="56" s="1"/>
  <c r="I29" i="56" a="1"/>
  <c r="I29" i="56" s="1"/>
  <c r="J32" i="56" a="1"/>
  <c r="J32" i="56" s="1"/>
  <c r="I35" i="56" a="1"/>
  <c r="I35" i="56" s="1"/>
  <c r="E28" i="57"/>
  <c r="G56" i="48" a="1"/>
  <c r="G56" i="48" s="1"/>
  <c r="I177" i="20"/>
  <c r="J18" i="52" a="1"/>
  <c r="J18" i="52" s="1"/>
  <c r="X18" i="52"/>
  <c r="U19" i="52" a="1"/>
  <c r="U19" i="52" s="1"/>
  <c r="R20" i="52" a="1"/>
  <c r="R20" i="52" s="1"/>
  <c r="O21" i="52" a="1"/>
  <c r="O21" i="52" s="1"/>
  <c r="L22" i="52" a="1"/>
  <c r="L22" i="52" s="1"/>
  <c r="P27" i="52"/>
  <c r="I26" i="56" a="1"/>
  <c r="I26" i="56" s="1"/>
  <c r="J29" i="56" a="1"/>
  <c r="J29" i="56" s="1"/>
  <c r="K32" i="56" a="1"/>
  <c r="K32" i="56" s="1"/>
  <c r="J35" i="56" a="1"/>
  <c r="J35" i="56" s="1"/>
  <c r="E37" i="56"/>
  <c r="H37" i="56" s="1" a="1"/>
  <c r="H37" i="56" s="1"/>
  <c r="E25" i="57"/>
  <c r="K18" i="52" a="1"/>
  <c r="K18" i="52" s="1"/>
  <c r="F19" i="52"/>
  <c r="S20" i="52" a="1"/>
  <c r="S20" i="52" s="1"/>
  <c r="P21" i="52" a="1"/>
  <c r="P21" i="52" s="1"/>
  <c r="M22" i="52" a="1"/>
  <c r="M22" i="52" s="1"/>
  <c r="P28" i="52"/>
  <c r="E25" i="56"/>
  <c r="G25" i="56" s="1" a="1"/>
  <c r="G25" i="56" s="1"/>
  <c r="J26" i="56" a="1"/>
  <c r="J26" i="56" s="1"/>
  <c r="K29" i="56" a="1"/>
  <c r="K29" i="56" s="1"/>
  <c r="G31" i="56" a="1"/>
  <c r="G31" i="56" s="1"/>
  <c r="K35" i="56" a="1"/>
  <c r="K35" i="56" s="1"/>
  <c r="L18" i="52" a="1"/>
  <c r="L18" i="52" s="1"/>
  <c r="G19" i="52"/>
  <c r="W19" i="52"/>
  <c r="T20" i="52" a="1"/>
  <c r="T20" i="52" s="1"/>
  <c r="Q21" i="52" a="1"/>
  <c r="Q21" i="52" s="1"/>
  <c r="N22" i="52" a="1"/>
  <c r="N22" i="52" s="1"/>
  <c r="K26" i="56" a="1"/>
  <c r="K26" i="56" s="1"/>
  <c r="G28" i="56" a="1"/>
  <c r="G28" i="56" s="1"/>
  <c r="H31" i="56" a="1"/>
  <c r="H31" i="56" s="1"/>
  <c r="G34" i="56" a="1"/>
  <c r="G34" i="56" s="1"/>
  <c r="G37" i="56" a="1"/>
  <c r="G37" i="56" s="1"/>
  <c r="E36" i="57"/>
  <c r="G194" i="20"/>
  <c r="M18" i="52" a="1"/>
  <c r="M18" i="52" s="1"/>
  <c r="J19" i="52" a="1"/>
  <c r="J19" i="52" s="1"/>
  <c r="X19" i="52"/>
  <c r="U20" i="52" a="1"/>
  <c r="U20" i="52" s="1"/>
  <c r="R21" i="52" a="1"/>
  <c r="R21" i="52" s="1"/>
  <c r="O22" i="52" a="1"/>
  <c r="O22" i="52" s="1"/>
  <c r="D157" i="58" a="1"/>
  <c r="D157" i="58" s="1"/>
  <c r="J157" i="58" s="1" a="1"/>
  <c r="J157" i="58" s="1"/>
  <c r="H28" i="56" a="1"/>
  <c r="H28" i="56" s="1"/>
  <c r="I31" i="56" a="1"/>
  <c r="I31" i="56" s="1"/>
  <c r="H34" i="56" a="1"/>
  <c r="H34" i="56" s="1"/>
  <c r="E33" i="57"/>
  <c r="K39" i="57" a="1"/>
  <c r="K39" i="57" s="1"/>
  <c r="H194" i="20"/>
  <c r="N18" i="52" a="1"/>
  <c r="N18" i="52" s="1"/>
  <c r="K19" i="52" a="1"/>
  <c r="K19" i="52" s="1"/>
  <c r="F20" i="52"/>
  <c r="S21" i="52" a="1"/>
  <c r="S21" i="52" s="1"/>
  <c r="P22" i="52" a="1"/>
  <c r="P22" i="52" s="1"/>
  <c r="D21" i="58" a="1"/>
  <c r="E157" i="58" a="1"/>
  <c r="E157" i="58" s="1"/>
  <c r="I28" i="56" a="1"/>
  <c r="I28" i="56" s="1"/>
  <c r="J31" i="56" a="1"/>
  <c r="J31" i="56" s="1"/>
  <c r="E33" i="56"/>
  <c r="G33" i="56" s="1" a="1"/>
  <c r="G33" i="56" s="1"/>
  <c r="I34" i="56" a="1"/>
  <c r="I34" i="56" s="1"/>
  <c r="I37" i="56" a="1"/>
  <c r="I37" i="56" s="1"/>
  <c r="G47" i="48" a="1"/>
  <c r="G47" i="48" s="1"/>
  <c r="G195" i="20"/>
  <c r="O18" i="52" a="1"/>
  <c r="O18" i="52" s="1"/>
  <c r="L19" i="52" a="1"/>
  <c r="L19" i="52" s="1"/>
  <c r="G20" i="52"/>
  <c r="W20" i="52"/>
  <c r="T21" i="52" a="1"/>
  <c r="T21" i="52" s="1"/>
  <c r="Q22" i="52" a="1"/>
  <c r="Q22" i="52" s="1"/>
  <c r="E21" i="58" a="1"/>
  <c r="J28" i="56" a="1"/>
  <c r="J28" i="56" s="1"/>
  <c r="K31" i="56" a="1"/>
  <c r="K31" i="56" s="1"/>
  <c r="J34" i="56" a="1"/>
  <c r="J34" i="56" s="1"/>
  <c r="J37" i="56" a="1"/>
  <c r="J37" i="56" s="1"/>
  <c r="G48" i="48" a="1"/>
  <c r="G48" i="48" s="1"/>
  <c r="H195" i="20"/>
  <c r="P18" i="52" a="1"/>
  <c r="P18" i="52" s="1"/>
  <c r="M19" i="52" a="1"/>
  <c r="M19" i="52" s="1"/>
  <c r="J20" i="52" a="1"/>
  <c r="J20" i="52" s="1"/>
  <c r="X20" i="52"/>
  <c r="U21" i="52" a="1"/>
  <c r="U21" i="52" s="1"/>
  <c r="R22" i="52" a="1"/>
  <c r="R22" i="52" s="1"/>
  <c r="D116" i="58" a="1"/>
  <c r="D116" i="58" s="1"/>
  <c r="K28" i="56" a="1"/>
  <c r="K28" i="56" s="1"/>
  <c r="G30" i="56" a="1"/>
  <c r="G30" i="56" s="1"/>
  <c r="K34" i="56" a="1"/>
  <c r="K34" i="56" s="1"/>
  <c r="G36" i="56" a="1"/>
  <c r="G36" i="56" s="1"/>
  <c r="G39" i="56" a="1"/>
  <c r="G39" i="56" s="1"/>
  <c r="G49" i="48" a="1"/>
  <c r="G49" i="48" s="1"/>
  <c r="G174" i="20"/>
  <c r="G196" i="20"/>
  <c r="Q18" i="52" a="1"/>
  <c r="Q18" i="52" s="1"/>
  <c r="N19" i="52" a="1"/>
  <c r="N19" i="52" s="1"/>
  <c r="K20" i="52" a="1"/>
  <c r="K20" i="52" s="1"/>
  <c r="F21" i="52"/>
  <c r="S22" i="52" a="1"/>
  <c r="S22" i="52" s="1"/>
  <c r="E116" i="58" a="1"/>
  <c r="E116" i="58" s="1"/>
  <c r="G27" i="56" a="1"/>
  <c r="G27" i="56" s="1"/>
  <c r="H30" i="56" a="1"/>
  <c r="H30" i="56" s="1"/>
  <c r="H36" i="56" a="1"/>
  <c r="H36" i="56" s="1"/>
  <c r="H39" i="56" a="1"/>
  <c r="H39" i="56" s="1"/>
  <c r="G50" i="48" a="1"/>
  <c r="G50" i="48" s="1"/>
  <c r="R18" i="52" a="1"/>
  <c r="R18" i="52" s="1"/>
  <c r="O19" i="52" a="1"/>
  <c r="O19" i="52" s="1"/>
  <c r="L20" i="52" a="1"/>
  <c r="L20" i="52" s="1"/>
  <c r="G21" i="52"/>
  <c r="W21" i="52"/>
  <c r="T22" i="52" a="1"/>
  <c r="T22" i="52" s="1"/>
  <c r="H27" i="56" a="1"/>
  <c r="H27" i="56" s="1"/>
  <c r="I30" i="56" a="1"/>
  <c r="I30" i="56" s="1"/>
  <c r="I36" i="56" a="1"/>
  <c r="I36" i="56" s="1"/>
  <c r="I39" i="56" a="1"/>
  <c r="I39" i="56" s="1"/>
  <c r="H21" i="48" a="1"/>
  <c r="H21" i="48" s="1"/>
  <c r="G51" i="48" a="1"/>
  <c r="G51" i="48" s="1"/>
  <c r="S18" i="52" a="1"/>
  <c r="S18" i="52" s="1"/>
  <c r="P19" i="52" a="1"/>
  <c r="P19" i="52" s="1"/>
  <c r="M20" i="52" a="1"/>
  <c r="M20" i="52" s="1"/>
  <c r="J21" i="52" a="1"/>
  <c r="J21" i="52" s="1"/>
  <c r="X21" i="52"/>
  <c r="U22" i="52" a="1"/>
  <c r="U22" i="52" s="1"/>
  <c r="I27" i="56" a="1"/>
  <c r="I27" i="56" s="1"/>
  <c r="J30" i="56" a="1"/>
  <c r="J30" i="56" s="1"/>
  <c r="J36" i="56" a="1"/>
  <c r="J36" i="56" s="1"/>
  <c r="E38" i="56"/>
  <c r="G38" i="56" s="1" a="1"/>
  <c r="G38" i="56" s="1"/>
  <c r="J39" i="56" a="1"/>
  <c r="J39" i="56" s="1"/>
  <c r="T18" i="52" a="1"/>
  <c r="T18" i="52" s="1"/>
  <c r="Q19" i="52" a="1"/>
  <c r="Q19" i="52" s="1"/>
  <c r="N20" i="52" a="1"/>
  <c r="N20" i="52" s="1"/>
  <c r="K21" i="52" a="1"/>
  <c r="K21" i="52" s="1"/>
  <c r="J27" i="56" a="1"/>
  <c r="J27" i="56" s="1"/>
  <c r="K30" i="56" a="1"/>
  <c r="K30" i="56" s="1"/>
  <c r="G32" i="56" a="1"/>
  <c r="G32" i="56" s="1"/>
  <c r="K36" i="56" a="1"/>
  <c r="K36" i="56" s="1"/>
  <c r="I48" i="55"/>
  <c r="L365" i="63"/>
  <c r="L369" i="63"/>
  <c r="I364" i="63"/>
  <c r="I367" i="63"/>
  <c r="J362" i="63"/>
  <c r="M369" i="63"/>
  <c r="M362" i="63"/>
  <c r="L366" i="63"/>
  <c r="M366" i="63"/>
  <c r="L364" i="63"/>
  <c r="N364" i="63"/>
  <c r="L96" i="63"/>
  <c r="K96" i="63"/>
  <c r="L97" i="63"/>
  <c r="K97" i="63"/>
  <c r="G89" i="63"/>
  <c r="G93" i="63"/>
  <c r="L101" i="63"/>
  <c r="K101" i="63"/>
  <c r="L104" i="63"/>
  <c r="K104" i="63"/>
  <c r="L107" i="63"/>
  <c r="K107" i="63"/>
  <c r="G92" i="63"/>
  <c r="G88" i="63"/>
  <c r="H89" i="63"/>
  <c r="H93" i="63"/>
  <c r="N97" i="63"/>
  <c r="P97" i="63"/>
  <c r="O97" i="63"/>
  <c r="M86" i="63"/>
  <c r="M90" i="63"/>
  <c r="M87" i="63"/>
  <c r="M91" i="63"/>
  <c r="P88" i="63"/>
  <c r="O88" i="63"/>
  <c r="N88" i="63"/>
  <c r="P92" i="63"/>
  <c r="N92" i="63"/>
  <c r="O92" i="63"/>
  <c r="L111" i="63"/>
  <c r="K111" i="63"/>
  <c r="O115" i="63"/>
  <c r="P115" i="63"/>
  <c r="N115" i="63"/>
  <c r="P91" i="63"/>
  <c r="O91" i="63"/>
  <c r="N91" i="63"/>
  <c r="O87" i="63"/>
  <c r="P87" i="63"/>
  <c r="N87" i="63"/>
  <c r="K100" i="63"/>
  <c r="L100" i="63"/>
  <c r="N111" i="63"/>
  <c r="P111" i="63"/>
  <c r="O111" i="63"/>
  <c r="L114" i="63"/>
  <c r="K114" i="63"/>
  <c r="I93" i="63"/>
  <c r="I89" i="63"/>
  <c r="P98" i="63"/>
  <c r="N98" i="63"/>
  <c r="O98" i="63"/>
  <c r="O110" i="63"/>
  <c r="P110" i="63"/>
  <c r="N110" i="63"/>
  <c r="P105" i="63"/>
  <c r="N105" i="63"/>
  <c r="O105" i="63"/>
  <c r="P108" i="63"/>
  <c r="O108" i="63"/>
  <c r="N108" i="63"/>
  <c r="L116" i="63"/>
  <c r="K116" i="63"/>
  <c r="P94" i="63"/>
  <c r="O94" i="63"/>
  <c r="N94" i="63"/>
  <c r="G86" i="63"/>
  <c r="G90" i="63"/>
  <c r="O101" i="63"/>
  <c r="N101" i="63"/>
  <c r="P101" i="63"/>
  <c r="P104" i="63"/>
  <c r="N104" i="63"/>
  <c r="O104" i="63"/>
  <c r="K108" i="63"/>
  <c r="L108" i="63"/>
  <c r="K113" i="63"/>
  <c r="L113" i="63"/>
  <c r="P117" i="63"/>
  <c r="O117" i="63"/>
  <c r="N117" i="63"/>
  <c r="I92" i="63"/>
  <c r="I88" i="63"/>
  <c r="I148" i="63" s="1"/>
  <c r="J93" i="63"/>
  <c r="J89" i="63"/>
  <c r="L94" i="63"/>
  <c r="K94" i="63"/>
  <c r="L89" i="63"/>
  <c r="L93" i="63"/>
  <c r="K93" i="63"/>
  <c r="K89" i="63"/>
  <c r="P113" i="63"/>
  <c r="O113" i="63"/>
  <c r="N113" i="63"/>
  <c r="H87" i="63"/>
  <c r="H91" i="63"/>
  <c r="O89" i="63"/>
  <c r="O93" i="63"/>
  <c r="P89" i="63"/>
  <c r="P93" i="63"/>
  <c r="N89" i="63"/>
  <c r="N93" i="63"/>
  <c r="I87" i="63"/>
  <c r="I91" i="63"/>
  <c r="F102" i="63"/>
  <c r="F106" i="63"/>
  <c r="J87" i="63"/>
  <c r="J91" i="63"/>
  <c r="P112" i="63"/>
  <c r="O112" i="63"/>
  <c r="N112" i="63"/>
  <c r="K115" i="63"/>
  <c r="L115" i="63"/>
  <c r="O90" i="63"/>
  <c r="N86" i="63"/>
  <c r="O86" i="63"/>
  <c r="N90" i="63"/>
  <c r="P86" i="63"/>
  <c r="P90" i="63"/>
  <c r="L90" i="63"/>
  <c r="K90" i="63"/>
  <c r="L86" i="63"/>
  <c r="K86" i="63"/>
  <c r="P107" i="63"/>
  <c r="O107" i="63"/>
  <c r="N107" i="63"/>
  <c r="N95" i="63"/>
  <c r="P99" i="63"/>
  <c r="J225" i="63"/>
  <c r="J229" i="63"/>
  <c r="H92" i="63"/>
  <c r="H148" i="63" s="1"/>
  <c r="P95" i="63"/>
  <c r="I223" i="63"/>
  <c r="I227" i="63"/>
  <c r="K229" i="63"/>
  <c r="K225" i="63"/>
  <c r="L229" i="63"/>
  <c r="L225" i="63"/>
  <c r="I226" i="63"/>
  <c r="I230" i="63"/>
  <c r="K241" i="63"/>
  <c r="L241" i="63"/>
  <c r="K92" i="63"/>
  <c r="J226" i="63"/>
  <c r="J230" i="63"/>
  <c r="L235" i="63"/>
  <c r="K235" i="63"/>
  <c r="P236" i="63"/>
  <c r="O236" i="63"/>
  <c r="N236" i="63"/>
  <c r="L246" i="63"/>
  <c r="K246" i="63"/>
  <c r="M92" i="63"/>
  <c r="M148" i="63" s="1"/>
  <c r="K227" i="63"/>
  <c r="L223" i="63"/>
  <c r="K223" i="63"/>
  <c r="L227" i="63"/>
  <c r="L224" i="63"/>
  <c r="K224" i="63"/>
  <c r="L228" i="63"/>
  <c r="K228" i="63"/>
  <c r="M225" i="63"/>
  <c r="M229" i="63"/>
  <c r="K230" i="63"/>
  <c r="L226" i="63"/>
  <c r="K226" i="63"/>
  <c r="L230" i="63"/>
  <c r="L232" i="63"/>
  <c r="K232" i="63"/>
  <c r="L233" i="63"/>
  <c r="K233" i="63"/>
  <c r="O241" i="63"/>
  <c r="P241" i="63"/>
  <c r="N241" i="63"/>
  <c r="K253" i="63"/>
  <c r="L253" i="63"/>
  <c r="K105" i="63"/>
  <c r="M223" i="63"/>
  <c r="M227" i="63"/>
  <c r="M226" i="63"/>
  <c r="M230" i="63"/>
  <c r="P246" i="63"/>
  <c r="N246" i="63"/>
  <c r="O246" i="63"/>
  <c r="P102" i="63"/>
  <c r="N102" i="63"/>
  <c r="K112" i="63"/>
  <c r="N227" i="63"/>
  <c r="P227" i="63"/>
  <c r="O227" i="63"/>
  <c r="P223" i="63"/>
  <c r="O223" i="63"/>
  <c r="N223" i="63"/>
  <c r="M224" i="63"/>
  <c r="M228" i="63"/>
  <c r="N229" i="63"/>
  <c r="P229" i="63"/>
  <c r="O229" i="63"/>
  <c r="P225" i="63"/>
  <c r="O225" i="63"/>
  <c r="N225" i="63"/>
  <c r="O230" i="63"/>
  <c r="N226" i="63"/>
  <c r="P226" i="63"/>
  <c r="O226" i="63"/>
  <c r="P230" i="63"/>
  <c r="N230" i="63"/>
  <c r="L231" i="63"/>
  <c r="K231" i="63"/>
  <c r="L234" i="63"/>
  <c r="K234" i="63"/>
  <c r="L251" i="63"/>
  <c r="K251" i="63"/>
  <c r="P253" i="63"/>
  <c r="O253" i="63"/>
  <c r="N253" i="63"/>
  <c r="L88" i="63"/>
  <c r="L92" i="63"/>
  <c r="M93" i="63"/>
  <c r="M89" i="63"/>
  <c r="K109" i="63"/>
  <c r="L239" i="63"/>
  <c r="K239" i="63"/>
  <c r="N228" i="63"/>
  <c r="P224" i="63"/>
  <c r="O224" i="63"/>
  <c r="P228" i="63"/>
  <c r="N224" i="63"/>
  <c r="O228" i="63"/>
  <c r="O231" i="63"/>
  <c r="N231" i="63"/>
  <c r="P231" i="63"/>
  <c r="P232" i="63"/>
  <c r="O232" i="63"/>
  <c r="N232" i="63"/>
  <c r="P234" i="63"/>
  <c r="O234" i="63"/>
  <c r="N234" i="63"/>
  <c r="K244" i="63"/>
  <c r="L244" i="63"/>
  <c r="P245" i="63"/>
  <c r="O245" i="63"/>
  <c r="N245" i="63"/>
  <c r="L106" i="63"/>
  <c r="K106" i="63"/>
  <c r="K102" i="63"/>
  <c r="F224" i="63"/>
  <c r="F228" i="63"/>
  <c r="P239" i="63"/>
  <c r="O239" i="63"/>
  <c r="N239" i="63"/>
  <c r="L249" i="63"/>
  <c r="K249" i="63"/>
  <c r="P96" i="63"/>
  <c r="N96" i="63"/>
  <c r="L87" i="63"/>
  <c r="K87" i="63"/>
  <c r="K91" i="63"/>
  <c r="P109" i="63"/>
  <c r="N109" i="63"/>
  <c r="I86" i="63"/>
  <c r="I146" i="63" s="1"/>
  <c r="K98" i="63"/>
  <c r="N106" i="63"/>
  <c r="F227" i="63"/>
  <c r="F223" i="63"/>
  <c r="G228" i="63"/>
  <c r="G224" i="63"/>
  <c r="P250" i="63"/>
  <c r="O250" i="63"/>
  <c r="N250" i="63"/>
  <c r="J90" i="63"/>
  <c r="J86" i="63"/>
  <c r="G87" i="63"/>
  <c r="G91" i="63"/>
  <c r="N116" i="63"/>
  <c r="P116" i="63"/>
  <c r="H86" i="63"/>
  <c r="H90" i="63"/>
  <c r="O102" i="63"/>
  <c r="P106" i="63"/>
  <c r="K110" i="63"/>
  <c r="F225" i="63"/>
  <c r="F229" i="63"/>
  <c r="L103" i="63"/>
  <c r="K103" i="63"/>
  <c r="J88" i="63"/>
  <c r="J92" i="63"/>
  <c r="P100" i="63"/>
  <c r="O100" i="63"/>
  <c r="N100" i="63"/>
  <c r="O103" i="63"/>
  <c r="N103" i="63"/>
  <c r="P114" i="63"/>
  <c r="N114" i="63"/>
  <c r="K117" i="63"/>
  <c r="G227" i="63"/>
  <c r="G223" i="63"/>
  <c r="H224" i="63"/>
  <c r="H228" i="63"/>
  <c r="G229" i="63"/>
  <c r="G225" i="63"/>
  <c r="F230" i="63"/>
  <c r="F226" i="63"/>
  <c r="K237" i="63"/>
  <c r="L237" i="63"/>
  <c r="P238" i="63"/>
  <c r="O238" i="63"/>
  <c r="N238" i="63"/>
  <c r="L248" i="63"/>
  <c r="K248" i="63"/>
  <c r="L99" i="63"/>
  <c r="H225" i="63"/>
  <c r="H229" i="63"/>
  <c r="L242" i="63"/>
  <c r="K242" i="63"/>
  <c r="P243" i="63"/>
  <c r="O243" i="63"/>
  <c r="N243" i="63"/>
  <c r="L95" i="63"/>
  <c r="N99" i="63"/>
  <c r="P103" i="63"/>
  <c r="H227" i="63"/>
  <c r="H223" i="63"/>
  <c r="I225" i="63"/>
  <c r="I229" i="63"/>
  <c r="G226" i="63"/>
  <c r="G230" i="63"/>
  <c r="P248" i="63"/>
  <c r="O248" i="63"/>
  <c r="N248" i="63"/>
  <c r="N242" i="63"/>
  <c r="O242" i="63"/>
  <c r="P242" i="63"/>
  <c r="P251" i="63"/>
  <c r="O251" i="63"/>
  <c r="N251" i="63"/>
  <c r="L252" i="63"/>
  <c r="K252" i="63"/>
  <c r="O247" i="63"/>
  <c r="N247" i="63"/>
  <c r="P247" i="63"/>
  <c r="H226" i="63"/>
  <c r="H230" i="63"/>
  <c r="O252" i="63"/>
  <c r="N252" i="63"/>
  <c r="P252" i="63"/>
  <c r="K240" i="63"/>
  <c r="L240" i="63"/>
  <c r="L236" i="63"/>
  <c r="K236" i="63"/>
  <c r="P235" i="63"/>
  <c r="O235" i="63"/>
  <c r="N235" i="63"/>
  <c r="P244" i="63"/>
  <c r="O244" i="63"/>
  <c r="N244" i="63"/>
  <c r="L245" i="63"/>
  <c r="K245" i="63"/>
  <c r="K254" i="63"/>
  <c r="L254" i="63"/>
  <c r="J223" i="63"/>
  <c r="J227" i="63"/>
  <c r="N240" i="63"/>
  <c r="P240" i="63"/>
  <c r="O240" i="63"/>
  <c r="L250" i="63"/>
  <c r="K250" i="63"/>
  <c r="N249" i="63"/>
  <c r="P249" i="63"/>
  <c r="O249" i="63"/>
  <c r="N254" i="63"/>
  <c r="O254" i="63"/>
  <c r="P254" i="63"/>
  <c r="I224" i="63"/>
  <c r="I228" i="63"/>
  <c r="J228" i="63"/>
  <c r="J224" i="63"/>
  <c r="O233" i="63"/>
  <c r="P233" i="63"/>
  <c r="N233" i="63"/>
  <c r="N237" i="63"/>
  <c r="P237" i="63"/>
  <c r="O237" i="63"/>
  <c r="L238" i="63"/>
  <c r="K238" i="63"/>
  <c r="L247" i="63"/>
  <c r="K247" i="63"/>
  <c r="L243" i="63"/>
  <c r="K243" i="63"/>
  <c r="I369" i="63"/>
  <c r="J369" i="63"/>
  <c r="J368" i="63"/>
  <c r="I368" i="63"/>
  <c r="J365" i="63"/>
  <c r="J363" i="63"/>
  <c r="M368" i="63"/>
  <c r="N368" i="63"/>
  <c r="J366" i="63"/>
  <c r="M363" i="63"/>
  <c r="N363" i="63"/>
  <c r="M367" i="63"/>
  <c r="L367" i="63"/>
  <c r="L362" i="63"/>
  <c r="N365" i="63"/>
  <c r="E99" i="58"/>
  <c r="E7" i="58"/>
  <c r="F151" i="58"/>
  <c r="E7" i="57"/>
  <c r="L8" i="57"/>
  <c r="D28" i="57"/>
  <c r="L28" i="57" s="1" a="1"/>
  <c r="L28" i="57" s="1"/>
  <c r="D35" i="57"/>
  <c r="L35" i="57" s="1" a="1"/>
  <c r="L35" i="57" s="1"/>
  <c r="F52" i="57"/>
  <c r="F44" i="57"/>
  <c r="D39" i="57"/>
  <c r="L39" i="57" s="1" a="1"/>
  <c r="L39" i="57" s="1"/>
  <c r="D42" i="57"/>
  <c r="F43" i="57"/>
  <c r="D26" i="57"/>
  <c r="D33" i="57"/>
  <c r="L33" i="57" s="1" a="1"/>
  <c r="L33" i="57" s="1"/>
  <c r="F55" i="57"/>
  <c r="F45" i="57"/>
  <c r="F50" i="57"/>
  <c r="D31" i="57"/>
  <c r="L31" i="57" s="1" a="1"/>
  <c r="L31" i="57" s="1"/>
  <c r="D40" i="57"/>
  <c r="L40" i="57" s="1" a="1"/>
  <c r="L40" i="57" s="1"/>
  <c r="F56" i="57"/>
  <c r="D38" i="57"/>
  <c r="L38" i="57" s="1" a="1"/>
  <c r="L38" i="57" s="1"/>
  <c r="F46" i="57"/>
  <c r="D30" i="57"/>
  <c r="L30" i="57" s="1" a="1"/>
  <c r="L30" i="57" s="1"/>
  <c r="F51" i="57"/>
  <c r="D29" i="57"/>
  <c r="L29" i="57" s="1" a="1"/>
  <c r="L29" i="57" s="1"/>
  <c r="D36" i="57"/>
  <c r="L36" i="57" s="1" a="1"/>
  <c r="L36" i="57" s="1"/>
  <c r="D48" i="57"/>
  <c r="F57" i="57"/>
  <c r="D37" i="57"/>
  <c r="L37" i="57" s="1" a="1"/>
  <c r="L37" i="57" s="1"/>
  <c r="F49" i="57"/>
  <c r="L7" i="56"/>
  <c r="E7" i="56"/>
  <c r="F63" i="56"/>
  <c r="F46" i="56"/>
  <c r="F56" i="56"/>
  <c r="F45" i="56"/>
  <c r="F64" i="56"/>
  <c r="D32" i="56"/>
  <c r="L32" i="56" s="1" a="1"/>
  <c r="L32" i="56" s="1"/>
  <c r="F67" i="56"/>
  <c r="F57" i="56"/>
  <c r="F49" i="56"/>
  <c r="F68" i="56"/>
  <c r="F58" i="56"/>
  <c r="F55" i="56"/>
  <c r="F50" i="56"/>
  <c r="D35" i="56"/>
  <c r="D42" i="56"/>
  <c r="F69" i="56"/>
  <c r="F51" i="56"/>
  <c r="F61" i="56"/>
  <c r="F43" i="56"/>
  <c r="F70" i="56"/>
  <c r="F44" i="56"/>
  <c r="F52" i="56"/>
  <c r="I38" i="55"/>
  <c r="I39" i="55"/>
  <c r="I47" i="55"/>
  <c r="I46" i="55"/>
  <c r="I17" i="53"/>
  <c r="I19" i="53"/>
  <c r="L26" i="56" s="1" a="1"/>
  <c r="L26" i="56" s="1"/>
  <c r="I18" i="53"/>
  <c r="L32" i="57" s="1" a="1"/>
  <c r="L32" i="57" s="1"/>
  <c r="I20" i="53"/>
  <c r="L33" i="56" s="1" a="1"/>
  <c r="L33" i="56" s="1"/>
  <c r="I21" i="53"/>
  <c r="L39" i="56" s="1" a="1"/>
  <c r="L39" i="56" s="1"/>
  <c r="E7" i="34"/>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O79" i="34" a="1"/>
  <c r="O7" i="34" a="1"/>
  <c r="O42" i="34" a="1"/>
  <c r="O61" i="34" a="1"/>
  <c r="O26" i="34" a="1"/>
  <c r="J164" i="58" l="1" a="1"/>
  <c r="J164" i="58" s="1"/>
  <c r="J185" i="58" a="1"/>
  <c r="J185" i="58" s="1"/>
  <c r="J165" i="58" a="1"/>
  <c r="J165" i="58" s="1"/>
  <c r="J175" i="58" a="1"/>
  <c r="J175" i="58" s="1"/>
  <c r="J177" i="58" a="1"/>
  <c r="J177" i="58" s="1"/>
  <c r="J173" i="58" a="1"/>
  <c r="J173" i="58" s="1"/>
  <c r="K37" i="56" a="1"/>
  <c r="K37" i="56" s="1"/>
  <c r="Q34" i="56" a="1"/>
  <c r="Q34" i="56" s="1"/>
  <c r="J25" i="56" a="1"/>
  <c r="J25" i="56" s="1"/>
  <c r="J163" i="58" a="1"/>
  <c r="J163" i="58" s="1"/>
  <c r="J9" i="48" a="1"/>
  <c r="J9" i="48" s="1"/>
  <c r="J159" i="58" a="1"/>
  <c r="J159" i="58" s="1"/>
  <c r="H25" i="56" a="1"/>
  <c r="H25" i="56" s="1"/>
  <c r="N25" i="56" s="1" a="1"/>
  <c r="N25" i="56" s="1"/>
  <c r="J160" i="58" a="1"/>
  <c r="J160" i="58" s="1"/>
  <c r="AK221" i="19" a="1"/>
  <c r="AK221" i="19" s="1"/>
  <c r="P37" i="56" a="1"/>
  <c r="P37" i="56" s="1"/>
  <c r="I25" i="56" a="1"/>
  <c r="I25" i="56" s="1"/>
  <c r="O25" i="56" s="1" a="1"/>
  <c r="O25" i="56" s="1"/>
  <c r="J119" i="58" a="1"/>
  <c r="J119" i="58" s="1"/>
  <c r="J8" i="48" a="1"/>
  <c r="J8" i="48" s="1"/>
  <c r="K25" i="56" a="1"/>
  <c r="K25" i="56" s="1"/>
  <c r="Q25" i="56" s="1" a="1"/>
  <c r="Q25" i="56" s="1"/>
  <c r="U221" i="19" a="1"/>
  <c r="U221" i="19" s="1"/>
  <c r="O221" i="19" a="1"/>
  <c r="O221" i="19" s="1"/>
  <c r="O28" i="56" a="1"/>
  <c r="O28" i="56" s="1"/>
  <c r="Q221" i="19" a="1"/>
  <c r="Q221" i="19" s="1"/>
  <c r="N28" i="56" a="1"/>
  <c r="N28" i="56" s="1"/>
  <c r="O31" i="56" a="1"/>
  <c r="O31" i="56" s="1"/>
  <c r="P36" i="56" a="1"/>
  <c r="P36" i="56" s="1"/>
  <c r="K33" i="56" a="1"/>
  <c r="K33" i="56" s="1"/>
  <c r="Q33" i="56" s="1" a="1"/>
  <c r="Q33" i="56" s="1"/>
  <c r="E52" i="56" s="1"/>
  <c r="J116" i="58" a="1"/>
  <c r="J116" i="58" s="1"/>
  <c r="J178" i="58" a="1"/>
  <c r="J178" i="58" s="1"/>
  <c r="J161" i="58" a="1"/>
  <c r="J161" i="58" s="1"/>
  <c r="J166" i="58" a="1"/>
  <c r="J166" i="58" s="1"/>
  <c r="J168" i="58" a="1"/>
  <c r="J168" i="58" s="1"/>
  <c r="AL221" i="19" a="1"/>
  <c r="AL221" i="19" s="1"/>
  <c r="V221" i="19" a="1"/>
  <c r="V221" i="19" s="1"/>
  <c r="Z221" i="19" a="1"/>
  <c r="Z221" i="19" s="1"/>
  <c r="R221" i="19" a="1"/>
  <c r="R221" i="19" s="1"/>
  <c r="AH221" i="19" a="1"/>
  <c r="AH221" i="19" s="1"/>
  <c r="AG221" i="19" a="1"/>
  <c r="AG221" i="19" s="1"/>
  <c r="AC221" i="19" a="1"/>
  <c r="AC221" i="19" s="1"/>
  <c r="P221" i="19" a="1"/>
  <c r="P221" i="19" s="1"/>
  <c r="Y221" i="19" a="1"/>
  <c r="Y221" i="19" s="1"/>
  <c r="AD221" i="19" a="1"/>
  <c r="AD221" i="19" s="1"/>
  <c r="O26" i="56" a="1"/>
  <c r="O26" i="56" s="1"/>
  <c r="N26" i="56" a="1"/>
  <c r="N26" i="56" s="1"/>
  <c r="Q26" i="56" a="1"/>
  <c r="Q26" i="56" s="1"/>
  <c r="P26" i="56" a="1"/>
  <c r="P26" i="56" s="1"/>
  <c r="I21" i="52"/>
  <c r="V21" i="52"/>
  <c r="J136" i="58" a="1"/>
  <c r="J136" i="58" s="1"/>
  <c r="I38" i="56" a="1"/>
  <c r="I38" i="56" s="1"/>
  <c r="O38" i="56" s="1" a="1"/>
  <c r="O38" i="56" s="1"/>
  <c r="J127" i="58" a="1"/>
  <c r="J127" i="58" s="1"/>
  <c r="J126" i="58" a="1"/>
  <c r="J126" i="58" s="1"/>
  <c r="J134" i="58" a="1"/>
  <c r="J134" i="58" s="1"/>
  <c r="I18" i="52"/>
  <c r="V18" i="52"/>
  <c r="D59" i="58"/>
  <c r="G88" i="58" a="1"/>
  <c r="G88" i="58" s="1"/>
  <c r="G79" i="58" a="1"/>
  <c r="G79" i="58" s="1"/>
  <c r="G72" i="58" a="1"/>
  <c r="G72" i="58" s="1"/>
  <c r="G64" i="58" a="1"/>
  <c r="G64" i="58" s="1"/>
  <c r="G86" i="58" a="1"/>
  <c r="G86" i="58" s="1"/>
  <c r="G78" i="58" a="1"/>
  <c r="G78" i="58" s="1"/>
  <c r="G71" i="58" a="1"/>
  <c r="G71" i="58" s="1"/>
  <c r="G63" i="58" a="1"/>
  <c r="G63" i="58" s="1"/>
  <c r="G85" i="58" a="1"/>
  <c r="G85" i="58" s="1"/>
  <c r="G77" i="58" a="1"/>
  <c r="G77" i="58" s="1"/>
  <c r="G69" i="58" a="1"/>
  <c r="G69" i="58" s="1"/>
  <c r="G62" i="58" a="1"/>
  <c r="G62" i="58" s="1"/>
  <c r="G92" i="58" a="1"/>
  <c r="G92" i="58" s="1"/>
  <c r="G84" i="58" a="1"/>
  <c r="G84" i="58" s="1"/>
  <c r="G76" i="58" a="1"/>
  <c r="G76" i="58" s="1"/>
  <c r="G68" i="58" a="1"/>
  <c r="G68" i="58" s="1"/>
  <c r="G61" i="58" a="1"/>
  <c r="G61" i="58" s="1"/>
  <c r="G91" i="58" a="1"/>
  <c r="G91" i="58" s="1"/>
  <c r="G83" i="58" a="1"/>
  <c r="G83" i="58" s="1"/>
  <c r="G75" i="58" a="1"/>
  <c r="G75" i="58" s="1"/>
  <c r="G67" i="58" a="1"/>
  <c r="G67" i="58" s="1"/>
  <c r="G60" i="58" a="1"/>
  <c r="G60" i="58" s="1"/>
  <c r="G90" i="58" a="1"/>
  <c r="G90" i="58" s="1"/>
  <c r="G82" i="58" a="1"/>
  <c r="G82" i="58" s="1"/>
  <c r="G74" i="58" a="1"/>
  <c r="G74" i="58" s="1"/>
  <c r="G66" i="58" a="1"/>
  <c r="G66" i="58" s="1"/>
  <c r="G89" i="58" a="1"/>
  <c r="G89" i="58" s="1"/>
  <c r="G80" i="58" a="1"/>
  <c r="G80" i="58" s="1"/>
  <c r="G73" i="58" a="1"/>
  <c r="G73" i="58" s="1"/>
  <c r="G65" i="58" a="1"/>
  <c r="G65" i="58" s="1"/>
  <c r="J33" i="56" a="1"/>
  <c r="J33" i="56" s="1"/>
  <c r="P33" i="56" s="1" a="1"/>
  <c r="P33" i="56" s="1"/>
  <c r="E51" i="56" s="1"/>
  <c r="J135" i="58" a="1"/>
  <c r="J135" i="58" s="1"/>
  <c r="J176" i="58" a="1"/>
  <c r="J176" i="58" s="1"/>
  <c r="K25" i="57"/>
  <c r="J25" i="57"/>
  <c r="I25" i="57"/>
  <c r="H25" i="57"/>
  <c r="G25" i="57"/>
  <c r="E59" i="58"/>
  <c r="H59" i="58" s="1" a="1"/>
  <c r="H59" i="58" s="1"/>
  <c r="H86" i="58" a="1"/>
  <c r="H86" i="58" s="1"/>
  <c r="H78" i="58" a="1"/>
  <c r="H78" i="58" s="1"/>
  <c r="H71" i="58" a="1"/>
  <c r="H71" i="58" s="1"/>
  <c r="H63" i="58" a="1"/>
  <c r="H63" i="58" s="1"/>
  <c r="H85" i="58" a="1"/>
  <c r="H85" i="58" s="1"/>
  <c r="H77" i="58" a="1"/>
  <c r="H77" i="58" s="1"/>
  <c r="I77" i="58" s="1" a="1"/>
  <c r="I77" i="58" s="1"/>
  <c r="H175" i="58" s="1"/>
  <c r="H69" i="58" a="1"/>
  <c r="H69" i="58" s="1"/>
  <c r="H62" i="58" a="1"/>
  <c r="H62" i="58" s="1"/>
  <c r="H92" i="58" a="1"/>
  <c r="H92" i="58" s="1"/>
  <c r="H84" i="58" a="1"/>
  <c r="H84" i="58" s="1"/>
  <c r="H76" i="58" a="1"/>
  <c r="H76" i="58" s="1"/>
  <c r="H68" i="58" a="1"/>
  <c r="H68" i="58" s="1"/>
  <c r="H61" i="58" a="1"/>
  <c r="H61" i="58" s="1"/>
  <c r="H91" i="58" a="1"/>
  <c r="H91" i="58" s="1"/>
  <c r="H83" i="58" a="1"/>
  <c r="H83" i="58" s="1"/>
  <c r="H75" i="58" a="1"/>
  <c r="H75" i="58" s="1"/>
  <c r="H67" i="58" a="1"/>
  <c r="H67" i="58" s="1"/>
  <c r="H60" i="58" a="1"/>
  <c r="H60" i="58" s="1"/>
  <c r="H90" i="58" a="1"/>
  <c r="H90" i="58" s="1"/>
  <c r="H82" i="58" a="1"/>
  <c r="H82" i="58" s="1"/>
  <c r="H74" i="58" a="1"/>
  <c r="H74" i="58" s="1"/>
  <c r="H66" i="58" a="1"/>
  <c r="H66" i="58" s="1"/>
  <c r="H89" i="58" a="1"/>
  <c r="H89" i="58" s="1"/>
  <c r="H80" i="58" a="1"/>
  <c r="H80" i="58" s="1"/>
  <c r="H73" i="58" a="1"/>
  <c r="H73" i="58" s="1"/>
  <c r="H65" i="58" a="1"/>
  <c r="H65" i="58" s="1"/>
  <c r="H88" i="58" a="1"/>
  <c r="H88" i="58" s="1"/>
  <c r="H79" i="58" a="1"/>
  <c r="H79" i="58" s="1"/>
  <c r="H72" i="58" a="1"/>
  <c r="H72" i="58" s="1"/>
  <c r="H64" i="58" a="1"/>
  <c r="H64" i="58" s="1"/>
  <c r="J144" i="58" a="1"/>
  <c r="J144" i="58" s="1"/>
  <c r="I19" i="52"/>
  <c r="V19" i="52"/>
  <c r="K34" i="57"/>
  <c r="J34" i="57"/>
  <c r="I34" i="57"/>
  <c r="H34" i="57"/>
  <c r="G34" i="57"/>
  <c r="J117" i="58" a="1"/>
  <c r="J117" i="58" s="1"/>
  <c r="J123" i="58" a="1"/>
  <c r="J123" i="58" s="1"/>
  <c r="K38" i="56" a="1"/>
  <c r="K38" i="56" s="1"/>
  <c r="Q38" i="56" s="1" a="1"/>
  <c r="Q38" i="56" s="1"/>
  <c r="J118" i="58" a="1"/>
  <c r="J118" i="58" s="1"/>
  <c r="J133" i="58" a="1"/>
  <c r="J133" i="58" s="1"/>
  <c r="J158" i="58" a="1"/>
  <c r="J158" i="58" s="1"/>
  <c r="J137" i="58" a="1"/>
  <c r="J137" i="58" s="1"/>
  <c r="J38" i="56" a="1"/>
  <c r="J38" i="56" s="1"/>
  <c r="P38" i="56" s="1" a="1"/>
  <c r="P38" i="56" s="1"/>
  <c r="I33" i="56" a="1"/>
  <c r="I33" i="56" s="1"/>
  <c r="O33" i="56" s="1" a="1"/>
  <c r="O33" i="56" s="1"/>
  <c r="E50" i="56" s="1"/>
  <c r="K33" i="57"/>
  <c r="J33" i="57"/>
  <c r="I33" i="57"/>
  <c r="H33" i="57"/>
  <c r="G33" i="57"/>
  <c r="J124" i="58" a="1"/>
  <c r="J124" i="58" s="1"/>
  <c r="P28" i="56" a="1"/>
  <c r="P28" i="56" s="1"/>
  <c r="J121" i="58" a="1"/>
  <c r="J121" i="58" s="1"/>
  <c r="K36" i="57"/>
  <c r="J36" i="57"/>
  <c r="I36" i="57"/>
  <c r="H36" i="57"/>
  <c r="G36" i="57"/>
  <c r="Q28" i="56" a="1"/>
  <c r="Q28" i="56" s="1"/>
  <c r="H33" i="56" a="1"/>
  <c r="H33" i="56" s="1"/>
  <c r="N33" i="56" s="1" a="1"/>
  <c r="N33" i="56" s="1"/>
  <c r="E49" i="56" s="1"/>
  <c r="E21" i="58"/>
  <c r="H21" i="58" s="1" a="1"/>
  <c r="H21" i="58" s="1"/>
  <c r="H53" i="58" a="1"/>
  <c r="H53" i="58" s="1"/>
  <c r="H45" i="58" a="1"/>
  <c r="H45" i="58" s="1"/>
  <c r="H37" i="58" a="1"/>
  <c r="H37" i="58" s="1"/>
  <c r="H29" i="58" a="1"/>
  <c r="H29" i="58" s="1"/>
  <c r="H22" i="58" a="1"/>
  <c r="H22" i="58" s="1"/>
  <c r="H52" i="58" a="1"/>
  <c r="H52" i="58" s="1"/>
  <c r="H44" i="58" a="1"/>
  <c r="H44" i="58" s="1"/>
  <c r="H36" i="58" a="1"/>
  <c r="H36" i="58" s="1"/>
  <c r="H28" i="58" a="1"/>
  <c r="H28" i="58" s="1"/>
  <c r="H51" i="58" a="1"/>
  <c r="H51" i="58" s="1"/>
  <c r="H42" i="58" a="1"/>
  <c r="H42" i="58" s="1"/>
  <c r="H35" i="58" a="1"/>
  <c r="H35" i="58" s="1"/>
  <c r="H27" i="58" a="1"/>
  <c r="H27" i="58" s="1"/>
  <c r="H50" i="58" a="1"/>
  <c r="H50" i="58" s="1"/>
  <c r="H41" i="58" a="1"/>
  <c r="H41" i="58" s="1"/>
  <c r="H34" i="58" a="1"/>
  <c r="H34" i="58" s="1"/>
  <c r="H26" i="58" a="1"/>
  <c r="H26" i="58" s="1"/>
  <c r="H48" i="58" a="1"/>
  <c r="H48" i="58" s="1"/>
  <c r="H40" i="58" a="1"/>
  <c r="H40" i="58" s="1"/>
  <c r="H33" i="58" a="1"/>
  <c r="H33" i="58" s="1"/>
  <c r="H25" i="58" a="1"/>
  <c r="H25" i="58" s="1"/>
  <c r="H47" i="58" a="1"/>
  <c r="H47" i="58" s="1"/>
  <c r="H39" i="58" a="1"/>
  <c r="H39" i="58" s="1"/>
  <c r="H31" i="58" a="1"/>
  <c r="H31" i="58" s="1"/>
  <c r="H24" i="58" a="1"/>
  <c r="H24" i="58" s="1"/>
  <c r="H54" i="58" a="1"/>
  <c r="H54" i="58" s="1"/>
  <c r="H46" i="58" a="1"/>
  <c r="H46" i="58" s="1"/>
  <c r="H38" i="58" a="1"/>
  <c r="H38" i="58" s="1"/>
  <c r="H30" i="58" a="1"/>
  <c r="H30" i="58" s="1"/>
  <c r="H23" i="58" a="1"/>
  <c r="H23" i="58" s="1"/>
  <c r="J125" i="58" a="1"/>
  <c r="J125" i="58" s="1"/>
  <c r="K31" i="57"/>
  <c r="J31" i="57"/>
  <c r="I31" i="57"/>
  <c r="H31" i="57"/>
  <c r="G31" i="57"/>
  <c r="N31" i="57" s="1" a="1"/>
  <c r="N31" i="57" s="1"/>
  <c r="H38" i="56" a="1"/>
  <c r="H38" i="56" s="1"/>
  <c r="N38" i="56" s="1" a="1"/>
  <c r="N38" i="56" s="1"/>
  <c r="V22" i="52"/>
  <c r="I22" i="52"/>
  <c r="L26" i="57" a="1"/>
  <c r="L26" i="57" s="1"/>
  <c r="Q26" i="57" s="1" a="1"/>
  <c r="Q26" i="57" s="1"/>
  <c r="Q38" i="57" a="1"/>
  <c r="Q38" i="57" s="1"/>
  <c r="J132" i="58" a="1"/>
  <c r="J132" i="58" s="1"/>
  <c r="J174" i="58" a="1"/>
  <c r="J174" i="58" s="1"/>
  <c r="I20" i="52"/>
  <c r="V20" i="52"/>
  <c r="D21" i="58"/>
  <c r="G187" i="58" a="1"/>
  <c r="G187" i="58" s="1"/>
  <c r="G176" i="58" a="1"/>
  <c r="G176" i="58" s="1"/>
  <c r="G143" i="58" a="1"/>
  <c r="G143" i="58" s="1"/>
  <c r="G124" i="58" a="1"/>
  <c r="G124" i="58" s="1"/>
  <c r="G117" i="58" a="1"/>
  <c r="G117" i="58" s="1"/>
  <c r="G54" i="58" a="1"/>
  <c r="G54" i="58" s="1"/>
  <c r="G46" i="58" a="1"/>
  <c r="G46" i="58" s="1"/>
  <c r="G38" i="58" a="1"/>
  <c r="G38" i="58" s="1"/>
  <c r="G30" i="58" a="1"/>
  <c r="G30" i="58" s="1"/>
  <c r="G23" i="58" a="1"/>
  <c r="G23" i="58" s="1"/>
  <c r="G186" i="58" a="1"/>
  <c r="G186" i="58" s="1"/>
  <c r="G166" i="58" a="1"/>
  <c r="G166" i="58" s="1"/>
  <c r="G159" i="58" a="1"/>
  <c r="G159" i="58" s="1"/>
  <c r="G142" i="58" a="1"/>
  <c r="G142" i="58" s="1"/>
  <c r="G133" i="58" a="1"/>
  <c r="G133" i="58" s="1"/>
  <c r="G175" i="58" a="1"/>
  <c r="G175" i="58" s="1"/>
  <c r="G141" i="58" a="1"/>
  <c r="G141" i="58" s="1"/>
  <c r="G123" i="58" a="1"/>
  <c r="G123" i="58" s="1"/>
  <c r="G53" i="58" a="1"/>
  <c r="G53" i="58" s="1"/>
  <c r="G45" i="58" a="1"/>
  <c r="G45" i="58" s="1"/>
  <c r="G37" i="58" a="1"/>
  <c r="G37" i="58" s="1"/>
  <c r="G29" i="58" a="1"/>
  <c r="G29" i="58" s="1"/>
  <c r="G22" i="58" a="1"/>
  <c r="G22" i="58" s="1"/>
  <c r="G184" i="58" a="1"/>
  <c r="G184" i="58" s="1"/>
  <c r="G165" i="58" a="1"/>
  <c r="G165" i="58" s="1"/>
  <c r="G158" i="58" a="1"/>
  <c r="G158" i="58" s="1"/>
  <c r="G140" i="58" a="1"/>
  <c r="G140" i="58" s="1"/>
  <c r="G132" i="58" a="1"/>
  <c r="G132" i="58" s="1"/>
  <c r="G183" i="58" a="1"/>
  <c r="G183" i="58" s="1"/>
  <c r="G174" i="58" a="1"/>
  <c r="G174" i="58" s="1"/>
  <c r="G139" i="58" a="1"/>
  <c r="G139" i="58" s="1"/>
  <c r="G131" i="58" a="1"/>
  <c r="G131" i="58" s="1"/>
  <c r="G122" i="58" a="1"/>
  <c r="G122" i="58" s="1"/>
  <c r="G52" i="58" a="1"/>
  <c r="G52" i="58" s="1"/>
  <c r="I52" i="58" s="1" a="1"/>
  <c r="I52" i="58" s="1"/>
  <c r="H147" i="58" s="1"/>
  <c r="G44" i="58" a="1"/>
  <c r="G44" i="58" s="1"/>
  <c r="G36" i="58" a="1"/>
  <c r="G36" i="58" s="1"/>
  <c r="G28" i="58" a="1"/>
  <c r="G28" i="58" s="1"/>
  <c r="G182" i="58" a="1"/>
  <c r="G182" i="58" s="1"/>
  <c r="G164" i="58" a="1"/>
  <c r="G164" i="58" s="1"/>
  <c r="G130" i="58" a="1"/>
  <c r="G130" i="58" s="1"/>
  <c r="G181" i="58" a="1"/>
  <c r="G181" i="58" s="1"/>
  <c r="G173" i="58" a="1"/>
  <c r="G173" i="58" s="1"/>
  <c r="G129" i="58" a="1"/>
  <c r="G129" i="58" s="1"/>
  <c r="G121" i="58" a="1"/>
  <c r="G121" i="58" s="1"/>
  <c r="G51" i="58" a="1"/>
  <c r="G51" i="58" s="1"/>
  <c r="G42" i="58" a="1"/>
  <c r="G42" i="58" s="1"/>
  <c r="G35" i="58" a="1"/>
  <c r="G35" i="58" s="1"/>
  <c r="G27" i="58" a="1"/>
  <c r="G27" i="58" s="1"/>
  <c r="G180" i="58" a="1"/>
  <c r="G180" i="58" s="1"/>
  <c r="G172" i="58" a="1"/>
  <c r="G172" i="58" s="1"/>
  <c r="G163" i="58" a="1"/>
  <c r="G163" i="58" s="1"/>
  <c r="G137" i="58" a="1"/>
  <c r="G137" i="58" s="1"/>
  <c r="G128" i="58" a="1"/>
  <c r="G128" i="58" s="1"/>
  <c r="G171" i="58" a="1"/>
  <c r="G171" i="58" s="1"/>
  <c r="G149" i="58" a="1"/>
  <c r="G149" i="58" s="1"/>
  <c r="G120" i="58" a="1"/>
  <c r="G120" i="58" s="1"/>
  <c r="G50" i="58" a="1"/>
  <c r="G50" i="58" s="1"/>
  <c r="G41" i="58" a="1"/>
  <c r="G41" i="58" s="1"/>
  <c r="G34" i="58" a="1"/>
  <c r="G34" i="58" s="1"/>
  <c r="G26" i="58" a="1"/>
  <c r="G26" i="58" s="1"/>
  <c r="G170" i="58" a="1"/>
  <c r="G170" i="58" s="1"/>
  <c r="G162" i="58" a="1"/>
  <c r="G162" i="58" s="1"/>
  <c r="G148" i="58" a="1"/>
  <c r="G148" i="58" s="1"/>
  <c r="G136" i="58" a="1"/>
  <c r="G136" i="58" s="1"/>
  <c r="G178" i="58" a="1"/>
  <c r="G178" i="58" s="1"/>
  <c r="G169" i="58" a="1"/>
  <c r="G169" i="58" s="1"/>
  <c r="G147" i="58" a="1"/>
  <c r="G147" i="58" s="1"/>
  <c r="G126" i="58" a="1"/>
  <c r="G126" i="58" s="1"/>
  <c r="G119" i="58" a="1"/>
  <c r="G119" i="58" s="1"/>
  <c r="G48" i="58" a="1"/>
  <c r="G48" i="58" s="1"/>
  <c r="I48" i="58" s="1" a="1"/>
  <c r="I48" i="58" s="1"/>
  <c r="H143" i="58" s="1"/>
  <c r="G40" i="58" a="1"/>
  <c r="G40" i="58" s="1"/>
  <c r="I40" i="58" s="1" a="1"/>
  <c r="I40" i="58" s="1"/>
  <c r="H135" i="58" s="1"/>
  <c r="G33" i="58" a="1"/>
  <c r="G33" i="58" s="1"/>
  <c r="I33" i="58" s="1" a="1"/>
  <c r="I33" i="58" s="1"/>
  <c r="H128" i="58" s="1"/>
  <c r="G25" i="58" a="1"/>
  <c r="G25" i="58" s="1"/>
  <c r="G190" i="58" a="1"/>
  <c r="G190" i="58" s="1"/>
  <c r="G161" i="58" a="1"/>
  <c r="G161" i="58" s="1"/>
  <c r="G146" i="58" a="1"/>
  <c r="G146" i="58" s="1"/>
  <c r="G135" i="58" a="1"/>
  <c r="G135" i="58" s="1"/>
  <c r="G189" i="58" a="1"/>
  <c r="G189" i="58" s="1"/>
  <c r="G177" i="58" a="1"/>
  <c r="G177" i="58" s="1"/>
  <c r="G145" i="58" a="1"/>
  <c r="G145" i="58" s="1"/>
  <c r="G125" i="58" a="1"/>
  <c r="G125" i="58" s="1"/>
  <c r="G118" i="58" a="1"/>
  <c r="G118" i="58" s="1"/>
  <c r="G47" i="58" a="1"/>
  <c r="G47" i="58" s="1"/>
  <c r="G39" i="58" a="1"/>
  <c r="G39" i="58" s="1"/>
  <c r="G31" i="58" a="1"/>
  <c r="G31" i="58" s="1"/>
  <c r="G24" i="58" a="1"/>
  <c r="G24" i="58" s="1"/>
  <c r="G188" i="58" a="1"/>
  <c r="G188" i="58" s="1"/>
  <c r="G167" i="58" a="1"/>
  <c r="G167" i="58" s="1"/>
  <c r="G160" i="58" a="1"/>
  <c r="G160" i="58" s="1"/>
  <c r="G134" i="58" a="1"/>
  <c r="G134" i="58" s="1"/>
  <c r="K37" i="57"/>
  <c r="J37" i="57"/>
  <c r="I37" i="57"/>
  <c r="H37" i="57"/>
  <c r="G37" i="57"/>
  <c r="J138" i="58" a="1"/>
  <c r="J138" i="58" s="1"/>
  <c r="I149" i="63"/>
  <c r="J122" i="58" a="1"/>
  <c r="J122" i="58" s="1"/>
  <c r="J120" i="58" a="1"/>
  <c r="J120" i="58" s="1"/>
  <c r="J179" i="58" a="1"/>
  <c r="J179" i="58" s="1"/>
  <c r="J162" i="58" a="1"/>
  <c r="J162" i="58" s="1"/>
  <c r="K28" i="57"/>
  <c r="J28" i="57"/>
  <c r="I28" i="57"/>
  <c r="H28" i="57"/>
  <c r="G28" i="57"/>
  <c r="J167" i="58" a="1"/>
  <c r="J167" i="58" s="1"/>
  <c r="Q35" i="57" a="1"/>
  <c r="Q35" i="57" s="1"/>
  <c r="N37" i="56" a="1"/>
  <c r="N37" i="56" s="1"/>
  <c r="O37" i="56" a="1"/>
  <c r="O37" i="56" s="1"/>
  <c r="P39" i="56" a="1"/>
  <c r="P39" i="56" s="1"/>
  <c r="N36" i="56" a="1"/>
  <c r="N36" i="56" s="1"/>
  <c r="O36" i="56" a="1"/>
  <c r="O36" i="56" s="1"/>
  <c r="O34" i="56" a="1"/>
  <c r="O34" i="56" s="1"/>
  <c r="P29" i="56" a="1"/>
  <c r="P29" i="56" s="1"/>
  <c r="E41" i="55"/>
  <c r="E50" i="55"/>
  <c r="G148" i="63"/>
  <c r="M149" i="63"/>
  <c r="J146" i="63"/>
  <c r="K148" i="63"/>
  <c r="N147" i="63"/>
  <c r="H146" i="63"/>
  <c r="L146" i="63"/>
  <c r="M146" i="63"/>
  <c r="O146" i="63"/>
  <c r="I147" i="63"/>
  <c r="G149" i="63"/>
  <c r="N146" i="63"/>
  <c r="L149" i="63"/>
  <c r="O149" i="63"/>
  <c r="N148" i="63"/>
  <c r="G146" i="63"/>
  <c r="O148" i="63"/>
  <c r="G147" i="63"/>
  <c r="O147" i="63"/>
  <c r="L148" i="63"/>
  <c r="K147" i="63"/>
  <c r="K149" i="63"/>
  <c r="K146" i="63"/>
  <c r="H147" i="63"/>
  <c r="P147" i="63"/>
  <c r="J147" i="63"/>
  <c r="P148" i="63"/>
  <c r="J148" i="63"/>
  <c r="M147" i="63"/>
  <c r="L147" i="63"/>
  <c r="P146" i="63"/>
  <c r="N149" i="63"/>
  <c r="P149" i="63"/>
  <c r="J149" i="63"/>
  <c r="H149" i="63"/>
  <c r="Q40" i="57" a="1"/>
  <c r="Q40" i="57" s="1"/>
  <c r="Q39" i="57" a="1"/>
  <c r="Q39" i="57" s="1"/>
  <c r="O30" i="57" a="1"/>
  <c r="O30" i="57" s="1"/>
  <c r="N30" i="57" a="1"/>
  <c r="N30" i="57" s="1"/>
  <c r="P30" i="57" a="1"/>
  <c r="P30" i="57" s="1"/>
  <c r="Q30" i="57" a="1"/>
  <c r="Q30" i="57" s="1"/>
  <c r="N32" i="57" a="1"/>
  <c r="N32" i="57" s="1"/>
  <c r="O32" i="57" a="1"/>
  <c r="O32" i="57" s="1"/>
  <c r="P32" i="57" a="1"/>
  <c r="P32" i="57" s="1"/>
  <c r="Q32" i="57" a="1"/>
  <c r="Q32" i="57" s="1"/>
  <c r="P40" i="57" a="1"/>
  <c r="P40" i="57" s="1"/>
  <c r="O40" i="57" a="1"/>
  <c r="O40" i="57" s="1"/>
  <c r="N40" i="57" a="1"/>
  <c r="N40" i="57" s="1"/>
  <c r="P29" i="57" a="1"/>
  <c r="P29" i="57" s="1"/>
  <c r="O29" i="57" a="1"/>
  <c r="O29" i="57" s="1"/>
  <c r="N29" i="57" a="1"/>
  <c r="N29" i="57" s="1"/>
  <c r="Q29" i="57" a="1"/>
  <c r="Q29" i="57" s="1"/>
  <c r="O27" i="57" a="1"/>
  <c r="O27" i="57" s="1"/>
  <c r="Q27" i="57" a="1"/>
  <c r="Q27" i="57" s="1"/>
  <c r="P27" i="57" a="1"/>
  <c r="P27" i="57" s="1"/>
  <c r="N27" i="57" a="1"/>
  <c r="N27" i="57" s="1"/>
  <c r="O39" i="57" a="1"/>
  <c r="O39" i="57" s="1"/>
  <c r="N39" i="57" a="1"/>
  <c r="N39" i="57" s="1"/>
  <c r="P39" i="57" a="1"/>
  <c r="P39" i="57" s="1"/>
  <c r="P38" i="57" a="1"/>
  <c r="P38" i="57" s="1"/>
  <c r="O38" i="57" a="1"/>
  <c r="O38" i="57" s="1"/>
  <c r="N38" i="57" a="1"/>
  <c r="N38" i="57" s="1"/>
  <c r="P35" i="57" a="1"/>
  <c r="P35" i="57" s="1"/>
  <c r="N35" i="57" a="1"/>
  <c r="N35" i="57" s="1"/>
  <c r="O35" i="57" a="1"/>
  <c r="O35" i="57" s="1"/>
  <c r="P32" i="56" a="1"/>
  <c r="P32" i="56" s="1"/>
  <c r="O32" i="56" a="1"/>
  <c r="O32" i="56" s="1"/>
  <c r="N32" i="56" a="1"/>
  <c r="N32" i="56" s="1"/>
  <c r="Q32" i="56" a="1"/>
  <c r="Q32" i="56" s="1"/>
  <c r="P27" i="56" a="1"/>
  <c r="P27" i="56" s="1"/>
  <c r="O27" i="56" a="1"/>
  <c r="O27" i="56" s="1"/>
  <c r="N27" i="56" a="1"/>
  <c r="N27" i="56" s="1"/>
  <c r="Q27" i="56" a="1"/>
  <c r="Q27" i="56" s="1"/>
  <c r="O30" i="56" a="1"/>
  <c r="O30" i="56" s="1"/>
  <c r="N30" i="56" a="1"/>
  <c r="N30" i="56" s="1"/>
  <c r="P30" i="56" a="1"/>
  <c r="P30" i="56" s="1"/>
  <c r="Q36" i="56" a="1"/>
  <c r="Q36" i="56" s="1"/>
  <c r="N31" i="56" a="1"/>
  <c r="N31" i="56" s="1"/>
  <c r="Q37" i="56" a="1"/>
  <c r="Q37" i="56" s="1"/>
  <c r="Q29" i="56" a="1"/>
  <c r="Q29" i="56" s="1"/>
  <c r="P31" i="56" a="1"/>
  <c r="P31" i="56" s="1"/>
  <c r="O39" i="56" a="1"/>
  <c r="O39" i="56" s="1"/>
  <c r="N39" i="56" a="1"/>
  <c r="N39" i="56" s="1"/>
  <c r="P25" i="56" a="1"/>
  <c r="P25" i="56" s="1"/>
  <c r="N29" i="56" a="1"/>
  <c r="N29" i="56" s="1"/>
  <c r="Q39" i="56" a="1"/>
  <c r="Q39" i="56" s="1"/>
  <c r="O29" i="56" a="1"/>
  <c r="O29" i="56" s="1"/>
  <c r="N34" i="56" a="1"/>
  <c r="N34" i="56" s="1"/>
  <c r="Q30" i="56" a="1"/>
  <c r="Q30" i="56" s="1"/>
  <c r="P34" i="56" a="1"/>
  <c r="P34" i="56" s="1"/>
  <c r="Q31" i="56" a="1"/>
  <c r="Q31" i="56" s="1"/>
  <c r="N35" i="56" a="1"/>
  <c r="N35" i="56" s="1"/>
  <c r="Q35" i="56" a="1"/>
  <c r="Q35" i="56" s="1"/>
  <c r="P35" i="56" a="1"/>
  <c r="P35" i="56" s="1"/>
  <c r="O35" i="56" a="1"/>
  <c r="O35" i="56" s="1"/>
  <c r="O61" i="34"/>
  <c r="O26" i="34"/>
  <c r="O79" i="34"/>
  <c r="O42" i="34"/>
  <c r="O7" i="34"/>
  <c r="I25" i="58" l="1" a="1"/>
  <c r="I25" i="58" s="1"/>
  <c r="H120" i="58" s="1"/>
  <c r="N26" i="57" a="1"/>
  <c r="N26" i="57" s="1"/>
  <c r="N33" i="57" a="1"/>
  <c r="N33" i="57" s="1"/>
  <c r="N34" i="57" a="1"/>
  <c r="N34" i="57" s="1"/>
  <c r="I74" i="58" a="1"/>
  <c r="I74" i="58" s="1"/>
  <c r="H172" i="58" s="1"/>
  <c r="I69" i="58" a="1"/>
  <c r="I69" i="58" s="1"/>
  <c r="H167" i="58" s="1"/>
  <c r="I64" i="58" a="1"/>
  <c r="I64" i="58" s="1"/>
  <c r="H162" i="58" s="1"/>
  <c r="I175" i="58"/>
  <c r="K175" i="58" s="1" a="1"/>
  <c r="K175" i="58" s="1"/>
  <c r="I46" i="58" a="1"/>
  <c r="I46" i="58" s="1"/>
  <c r="H141" i="58" s="1"/>
  <c r="I88" i="58" a="1"/>
  <c r="I88" i="58" s="1"/>
  <c r="H186" i="58" s="1"/>
  <c r="I72" i="58" a="1"/>
  <c r="I72" i="58" s="1"/>
  <c r="H170" i="58" s="1"/>
  <c r="Q36" i="57" a="1"/>
  <c r="Q36" i="57" s="1"/>
  <c r="I67" i="58" a="1"/>
  <c r="I67" i="58" s="1"/>
  <c r="H165" i="58" s="1"/>
  <c r="O25" i="57" a="1"/>
  <c r="O25" i="57" s="1"/>
  <c r="P25" i="57" a="1"/>
  <c r="P25" i="57" s="1"/>
  <c r="I41" i="58" a="1"/>
  <c r="I41" i="58" s="1"/>
  <c r="H136" i="58" s="1"/>
  <c r="I136" i="58" s="1"/>
  <c r="K136" i="58" s="1" a="1"/>
  <c r="K136" i="58" s="1"/>
  <c r="I83" i="58" a="1"/>
  <c r="I83" i="58" s="1"/>
  <c r="H181" i="58" s="1"/>
  <c r="I135" i="58"/>
  <c r="K135" i="58" s="1" a="1"/>
  <c r="K135" i="58" s="1"/>
  <c r="I65" i="58" a="1"/>
  <c r="I65" i="58" s="1"/>
  <c r="H163" i="58" s="1"/>
  <c r="I163" i="58" s="1"/>
  <c r="K163" i="58" s="1" a="1"/>
  <c r="K163" i="58" s="1"/>
  <c r="N25" i="57" a="1"/>
  <c r="N25" i="57" s="1"/>
  <c r="I90" i="58" a="1"/>
  <c r="I90" i="58" s="1"/>
  <c r="H188" i="58" s="1"/>
  <c r="I85" i="58" a="1"/>
  <c r="I85" i="58" s="1"/>
  <c r="H183" i="58" s="1"/>
  <c r="I39" i="58" a="1"/>
  <c r="I39" i="58" s="1"/>
  <c r="H134" i="58" s="1"/>
  <c r="I134" i="58" s="1"/>
  <c r="K134" i="58" s="1" a="1"/>
  <c r="K134" i="58" s="1"/>
  <c r="I73" i="58" a="1"/>
  <c r="I73" i="58" s="1"/>
  <c r="H171" i="58" s="1"/>
  <c r="I76" i="58" a="1"/>
  <c r="I76" i="58" s="1"/>
  <c r="H174" i="58" s="1"/>
  <c r="I174" i="58" s="1"/>
  <c r="K174" i="58" s="1" a="1"/>
  <c r="K174" i="58" s="1"/>
  <c r="I60" i="58" a="1"/>
  <c r="I60" i="58" s="1"/>
  <c r="H158" i="58" s="1"/>
  <c r="I158" i="58" s="1"/>
  <c r="K158" i="58" s="1" a="1"/>
  <c r="K158" i="58" s="1"/>
  <c r="I63" i="58" a="1"/>
  <c r="I63" i="58" s="1"/>
  <c r="H161" i="58" s="1"/>
  <c r="I161" i="58" s="1"/>
  <c r="K161" i="58" s="1" a="1"/>
  <c r="K161" i="58" s="1"/>
  <c r="I37" i="58" a="1"/>
  <c r="I37" i="58" s="1"/>
  <c r="H132" i="58" s="1"/>
  <c r="I132" i="58" s="1"/>
  <c r="K132" i="58" s="1" a="1"/>
  <c r="K132" i="58" s="1"/>
  <c r="I71" i="58" a="1"/>
  <c r="I71" i="58" s="1"/>
  <c r="H169" i="58" s="1"/>
  <c r="Q25" i="57" a="1"/>
  <c r="Q25" i="57" s="1"/>
  <c r="I78" i="58" a="1"/>
  <c r="I78" i="58" s="1"/>
  <c r="H176" i="58" s="1"/>
  <c r="I176" i="58" s="1"/>
  <c r="K176" i="58" s="1" a="1"/>
  <c r="K176" i="58" s="1"/>
  <c r="Q37" i="57" a="1"/>
  <c r="Q37" i="57" s="1"/>
  <c r="I23" i="58" a="1"/>
  <c r="I23" i="58" s="1"/>
  <c r="H118" i="58" s="1"/>
  <c r="I118" i="58" s="1"/>
  <c r="K118" i="58" s="1" a="1"/>
  <c r="K118" i="58" s="1"/>
  <c r="N28" i="57" a="1"/>
  <c r="N28" i="57" s="1"/>
  <c r="I29" i="58" a="1"/>
  <c r="I29" i="58" s="1"/>
  <c r="H124" i="58" s="1"/>
  <c r="I124" i="58" s="1"/>
  <c r="K124" i="58" s="1" a="1"/>
  <c r="K124" i="58" s="1"/>
  <c r="I68" i="58" a="1"/>
  <c r="I68" i="58" s="1"/>
  <c r="H166" i="58" s="1"/>
  <c r="I166" i="58" s="1"/>
  <c r="K166" i="58" s="1" a="1"/>
  <c r="K166" i="58" s="1"/>
  <c r="I45" i="58" a="1"/>
  <c r="I45" i="58" s="1"/>
  <c r="H140" i="58" s="1"/>
  <c r="N36" i="57" a="1"/>
  <c r="N36" i="57" s="1"/>
  <c r="I92" i="58" a="1"/>
  <c r="I92" i="58" s="1"/>
  <c r="H190" i="58" s="1"/>
  <c r="O36" i="57" a="1"/>
  <c r="O36" i="57" s="1"/>
  <c r="P36" i="57" a="1"/>
  <c r="P36" i="57" s="1"/>
  <c r="I42" i="58" a="1"/>
  <c r="I42" i="58" s="1"/>
  <c r="H137" i="58" s="1"/>
  <c r="I137" i="58" s="1"/>
  <c r="K137" i="58" s="1" a="1"/>
  <c r="K137" i="58" s="1"/>
  <c r="I34" i="58" a="1"/>
  <c r="I34" i="58" s="1"/>
  <c r="H129" i="58" s="1"/>
  <c r="I91" i="58" a="1"/>
  <c r="I91" i="58" s="1"/>
  <c r="H189" i="58" s="1"/>
  <c r="I89" i="58" a="1"/>
  <c r="I89" i="58" s="1"/>
  <c r="H187" i="58" s="1"/>
  <c r="I24" i="58" a="1"/>
  <c r="I24" i="58" s="1"/>
  <c r="H119" i="58" s="1"/>
  <c r="I119" i="58" s="1"/>
  <c r="K119" i="58" s="1" a="1"/>
  <c r="K119" i="58" s="1"/>
  <c r="O26" i="57" a="1"/>
  <c r="O26" i="57" s="1"/>
  <c r="I120" i="58"/>
  <c r="K120" i="58" s="1" a="1"/>
  <c r="K120" i="58" s="1"/>
  <c r="I38" i="58" a="1"/>
  <c r="I38" i="58" s="1"/>
  <c r="H133" i="58" s="1"/>
  <c r="I133" i="58" s="1"/>
  <c r="K133" i="58" s="1" a="1"/>
  <c r="K133" i="58" s="1"/>
  <c r="I162" i="58"/>
  <c r="K162" i="58" s="1" a="1"/>
  <c r="K162" i="58" s="1"/>
  <c r="P26" i="57" a="1"/>
  <c r="P26" i="57" s="1"/>
  <c r="I28" i="58" a="1"/>
  <c r="I28" i="58" s="1"/>
  <c r="H123" i="58" s="1"/>
  <c r="I123" i="58" s="1"/>
  <c r="K123" i="58" s="1" a="1"/>
  <c r="K123" i="58" s="1"/>
  <c r="I22" i="58" a="1"/>
  <c r="I22" i="58" s="1"/>
  <c r="H117" i="58" s="1"/>
  <c r="I117" i="58" s="1"/>
  <c r="K117" i="58" s="1" a="1"/>
  <c r="K117" i="58" s="1"/>
  <c r="I61" i="58" a="1"/>
  <c r="I61" i="58" s="1"/>
  <c r="H159" i="58" s="1"/>
  <c r="I159" i="58" s="1"/>
  <c r="K159" i="58" s="1" a="1"/>
  <c r="K159" i="58" s="1"/>
  <c r="O37" i="57" a="1"/>
  <c r="O37" i="57" s="1"/>
  <c r="I26" i="58" a="1"/>
  <c r="I26" i="58" s="1"/>
  <c r="H121" i="58" s="1"/>
  <c r="I121" i="58" s="1"/>
  <c r="K121" i="58" s="1" a="1"/>
  <c r="K121" i="58" s="1"/>
  <c r="I66" i="58" a="1"/>
  <c r="I66" i="58" s="1"/>
  <c r="H164" i="58" s="1"/>
  <c r="I164" i="58" s="1"/>
  <c r="K164" i="58" s="1" a="1"/>
  <c r="K164" i="58" s="1"/>
  <c r="I62" i="58" a="1"/>
  <c r="I62" i="58" s="1"/>
  <c r="H160" i="58" s="1"/>
  <c r="I160" i="58" s="1"/>
  <c r="K160" i="58" s="1" a="1"/>
  <c r="K160" i="58" s="1"/>
  <c r="O28" i="57" a="1"/>
  <c r="O28" i="57" s="1"/>
  <c r="I51" i="58" a="1"/>
  <c r="I51" i="58" s="1"/>
  <c r="H146" i="58" s="1"/>
  <c r="I79" i="58" a="1"/>
  <c r="I79" i="58" s="1"/>
  <c r="H177" i="58" s="1"/>
  <c r="I177" i="58" s="1"/>
  <c r="K177" i="58" s="1" a="1"/>
  <c r="K177" i="58" s="1"/>
  <c r="I31" i="58" a="1"/>
  <c r="I31" i="58" s="1"/>
  <c r="H126" i="58" s="1"/>
  <c r="I126" i="58" s="1"/>
  <c r="K126" i="58" s="1" a="1"/>
  <c r="K126" i="58" s="1"/>
  <c r="I80" i="58" a="1"/>
  <c r="I80" i="58" s="1"/>
  <c r="H178" i="58" s="1"/>
  <c r="I178" i="58" s="1"/>
  <c r="K178" i="58" s="1" a="1"/>
  <c r="K178" i="58" s="1"/>
  <c r="I84" i="58" a="1"/>
  <c r="I84" i="58" s="1"/>
  <c r="H182" i="58" s="1"/>
  <c r="I75" i="58" a="1"/>
  <c r="I75" i="58" s="1"/>
  <c r="H173" i="58" s="1"/>
  <c r="I173" i="58" s="1"/>
  <c r="K173" i="58" s="1" a="1"/>
  <c r="K173" i="58" s="1"/>
  <c r="O33" i="57" a="1"/>
  <c r="O33" i="57" s="1"/>
  <c r="I165" i="58"/>
  <c r="K165" i="58" s="1" a="1"/>
  <c r="K165" i="58" s="1"/>
  <c r="I50" i="58" a="1"/>
  <c r="I50" i="58" s="1"/>
  <c r="H145" i="58" s="1"/>
  <c r="I82" i="58" a="1"/>
  <c r="I82" i="58" s="1"/>
  <c r="H180" i="58" s="1"/>
  <c r="P37" i="57" a="1"/>
  <c r="P37" i="57" s="1"/>
  <c r="P33" i="57" a="1"/>
  <c r="P33" i="57" s="1"/>
  <c r="N37" i="57" a="1"/>
  <c r="N37" i="57" s="1"/>
  <c r="G116" i="58" a="1"/>
  <c r="G116" i="58" s="1"/>
  <c r="G21" i="58" a="1"/>
  <c r="G21" i="58" s="1"/>
  <c r="I21" i="58" s="1" a="1"/>
  <c r="I21" i="58" s="1"/>
  <c r="H116" i="58" s="1"/>
  <c r="G157" i="58" a="1"/>
  <c r="G157" i="58" s="1"/>
  <c r="I167" i="58"/>
  <c r="K167" i="58" s="1" a="1"/>
  <c r="K167" i="58" s="1"/>
  <c r="I47" i="58" a="1"/>
  <c r="I47" i="58" s="1"/>
  <c r="H142" i="58" s="1"/>
  <c r="O31" i="57" a="1"/>
  <c r="O31" i="57" s="1"/>
  <c r="Q33" i="57" a="1"/>
  <c r="Q33" i="57" s="1"/>
  <c r="Q31" i="57" a="1"/>
  <c r="Q31" i="57" s="1"/>
  <c r="P31" i="57" a="1"/>
  <c r="P31" i="57" s="1"/>
  <c r="I30" i="58" a="1"/>
  <c r="I30" i="58" s="1"/>
  <c r="H125" i="58" s="1"/>
  <c r="I125" i="58" s="1"/>
  <c r="K125" i="58" s="1" a="1"/>
  <c r="K125" i="58" s="1"/>
  <c r="I36" i="58" a="1"/>
  <c r="I36" i="58" s="1"/>
  <c r="H131" i="58" s="1"/>
  <c r="O34" i="57" a="1"/>
  <c r="O34" i="57" s="1"/>
  <c r="Q28" i="57" a="1"/>
  <c r="Q28" i="57" s="1"/>
  <c r="I44" i="58" a="1"/>
  <c r="I44" i="58" s="1"/>
  <c r="H139" i="58" s="1"/>
  <c r="P34" i="57" a="1"/>
  <c r="P34" i="57" s="1"/>
  <c r="Q34" i="57" a="1"/>
  <c r="Q34" i="57" s="1"/>
  <c r="I86" i="58" a="1"/>
  <c r="I86" i="58" s="1"/>
  <c r="H184" i="58" s="1"/>
  <c r="P28" i="57" a="1"/>
  <c r="P28" i="57" s="1"/>
  <c r="I27" i="58" a="1"/>
  <c r="I27" i="58" s="1"/>
  <c r="H122" i="58" s="1"/>
  <c r="I122" i="58" s="1"/>
  <c r="K122" i="58" s="1" a="1"/>
  <c r="K122" i="58" s="1"/>
  <c r="I54" i="58" a="1"/>
  <c r="I54" i="58" s="1"/>
  <c r="H149" i="58" s="1"/>
  <c r="I35" i="58" a="1"/>
  <c r="I35" i="58" s="1"/>
  <c r="H130" i="58" s="1"/>
  <c r="I53" i="58" a="1"/>
  <c r="I53" i="58" s="1"/>
  <c r="H148" i="58" s="1"/>
  <c r="G59" i="58" a="1"/>
  <c r="G59" i="58" s="1"/>
  <c r="I59" i="58" s="1" a="1"/>
  <c r="I59" i="58" s="1"/>
  <c r="H157" i="58" s="1"/>
  <c r="E221" i="19" a="1"/>
  <c r="E221" i="19" s="1"/>
  <c r="E63" i="56"/>
  <c r="E56" i="56"/>
  <c r="E62" i="56"/>
  <c r="E64" i="56"/>
  <c r="E58" i="56"/>
  <c r="E61" i="56"/>
  <c r="E57" i="56"/>
  <c r="E55" i="56"/>
  <c r="E44" i="56"/>
  <c r="E45" i="56"/>
  <c r="E46" i="56"/>
  <c r="E43" i="56"/>
  <c r="E43" i="57" l="1"/>
  <c r="I168" i="58"/>
  <c r="K168" i="58" s="1" a="1"/>
  <c r="K168" i="58" s="1"/>
  <c r="I185" i="58"/>
  <c r="K185" i="58" s="1" a="1"/>
  <c r="K185" i="58" s="1"/>
  <c r="E49" i="57"/>
  <c r="I157" i="58"/>
  <c r="K157" i="58" s="1" a="1"/>
  <c r="K157" i="58" s="1"/>
  <c r="I127" i="58"/>
  <c r="K127" i="58" s="1" a="1"/>
  <c r="K127" i="58" s="1"/>
  <c r="E51" i="57"/>
  <c r="E52" i="57"/>
  <c r="E44" i="57"/>
  <c r="I179" i="58"/>
  <c r="K179" i="58" s="1" a="1"/>
  <c r="K179" i="58" s="1"/>
  <c r="I144" i="58"/>
  <c r="K144" i="58" s="1" a="1"/>
  <c r="K144" i="58" s="1"/>
  <c r="E46" i="57"/>
  <c r="E45" i="57"/>
  <c r="I138" i="58"/>
  <c r="K138" i="58" s="1" a="1"/>
  <c r="K138" i="58" s="1"/>
  <c r="I116" i="58"/>
  <c r="K116" i="58" s="1" a="1"/>
  <c r="K116" i="58" s="1"/>
  <c r="E50" i="57"/>
  <c r="E68" i="56"/>
  <c r="E70" i="56"/>
  <c r="E69" i="56"/>
  <c r="E67" i="56"/>
  <c r="I72" i="34"/>
  <c r="I71" i="34"/>
  <c r="I70" i="34"/>
  <c r="I52" i="34"/>
  <c r="I51" i="34"/>
  <c r="J16" i="34"/>
  <c r="I553" i="19"/>
  <c r="I549" i="19"/>
  <c r="I548" i="19"/>
  <c r="I547" i="19"/>
  <c r="I531" i="19"/>
  <c r="I530" i="19" s="1" a="1"/>
  <c r="I530" i="19" s="1"/>
  <c r="I529" i="19"/>
  <c r="E481" i="19"/>
  <c r="E480" i="19"/>
  <c r="E479" i="19"/>
  <c r="E470" i="19"/>
  <c r="E469" i="19"/>
  <c r="E468" i="19"/>
  <c r="E467" i="19"/>
  <c r="E466" i="19"/>
  <c r="E164" i="19"/>
  <c r="E163" i="19"/>
  <c r="E162" i="19"/>
  <c r="E139" i="19"/>
  <c r="E138" i="19"/>
  <c r="E137" i="19"/>
  <c r="E136" i="19"/>
  <c r="E192" i="58" l="1"/>
  <c r="E58" i="57"/>
  <c r="E56" i="57"/>
  <c r="E55" i="57"/>
  <c r="E57" i="57"/>
  <c r="E151" i="58"/>
  <c r="D36" i="41"/>
  <c r="D35" i="41"/>
  <c r="D28" i="41"/>
  <c r="D27" i="41"/>
  <c r="D26" i="41"/>
  <c r="D25" i="41"/>
  <c r="D24" i="41"/>
  <c r="D14" i="41"/>
  <c r="D13" i="41"/>
  <c r="D12" i="41"/>
  <c r="D11" i="41"/>
  <c r="I53" i="34" l="1"/>
  <c r="H102" i="13"/>
  <c r="H101" i="13"/>
  <c r="H100" i="13"/>
  <c r="H99" i="13"/>
  <c r="H98" i="13"/>
  <c r="H97" i="13"/>
  <c r="H96" i="13"/>
  <c r="H95" i="13"/>
  <c r="H94" i="13"/>
  <c r="H93" i="13"/>
  <c r="F627" i="19" a="1"/>
  <c r="F627" i="19" s="1"/>
  <c r="E627" i="19" a="1"/>
  <c r="E627" i="19" s="1"/>
  <c r="D627" i="19" a="1"/>
  <c r="D627" i="19" s="1"/>
  <c r="F609" i="19" a="1"/>
  <c r="F609" i="19" s="1"/>
  <c r="E609" i="19" a="1"/>
  <c r="E609" i="19" s="1"/>
  <c r="D609" i="19" a="1"/>
  <c r="D609" i="19" s="1"/>
  <c r="G601" i="19" a="1"/>
  <c r="G601" i="19" s="1"/>
  <c r="D601" i="19" a="1"/>
  <c r="D601" i="19" s="1"/>
  <c r="E599" i="19" a="1"/>
  <c r="E599" i="19" s="1"/>
  <c r="E598" i="19" a="1"/>
  <c r="E598" i="19" s="1"/>
  <c r="D593" i="19" a="1"/>
  <c r="D593" i="19" s="1"/>
  <c r="D592" i="19" a="1"/>
  <c r="D592" i="19" s="1"/>
  <c r="E594" i="19" a="1"/>
  <c r="J635" i="19" l="1" a="1"/>
  <c r="J635" i="19" s="1"/>
  <c r="J609" i="19" a="1"/>
  <c r="J609" i="19" s="1"/>
  <c r="J627" i="19" a="1"/>
  <c r="J627" i="19" s="1"/>
  <c r="J613" i="19" a="1"/>
  <c r="J613" i="19"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639" i="19" l="1"/>
  <c r="F36" i="41" s="1"/>
  <c r="E588" i="19"/>
  <c r="E33" i="41"/>
  <c r="E621" i="19"/>
  <c r="F35" i="41" s="1"/>
  <c r="D33" i="41" a="1"/>
  <c r="D33" i="41" s="1"/>
  <c r="E642" i="19" l="1"/>
  <c r="F33" i="4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O19" i="34" s="1" a="1"/>
  <c r="O19" i="34" s="1"/>
  <c r="R569" i="19" s="1"/>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61" i="34" a="1"/>
  <c r="E42" i="34" a="1"/>
  <c r="E79" i="34" a="1"/>
  <c r="E26" i="34" a="1"/>
  <c r="E561" i="19" a="1"/>
  <c r="F55" i="34" l="1"/>
  <c r="P55" i="34"/>
  <c r="F573" i="19"/>
  <c r="N573" i="19"/>
  <c r="F90" i="34"/>
  <c r="P90" i="34"/>
  <c r="F19" i="34"/>
  <c r="P19" i="34"/>
  <c r="F74" i="34"/>
  <c r="P74" i="34"/>
  <c r="D32" i="41" a="1"/>
  <c r="D32" i="41" s="1"/>
  <c r="E561" i="19"/>
  <c r="E79" i="34"/>
  <c r="D85" i="34"/>
  <c r="E61" i="34"/>
  <c r="E42"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E523" i="19" a="1"/>
  <c r="E540" i="19" a="1"/>
  <c r="D31" i="41" l="1" a="1"/>
  <c r="D31" i="41" s="1"/>
  <c r="D30" i="41" a="1"/>
  <c r="D30" i="41" s="1"/>
  <c r="E540" i="19"/>
  <c r="E523" i="19"/>
  <c r="G515" i="19" l="1" a="1"/>
  <c r="G515" i="19" s="1"/>
  <c r="D515" i="19" a="1"/>
  <c r="D515" i="19" s="1"/>
  <c r="E513" i="19" a="1"/>
  <c r="E513" i="19" s="1"/>
  <c r="E512" i="19" a="1"/>
  <c r="E512" i="19" s="1"/>
  <c r="D507" i="19" a="1"/>
  <c r="D507" i="19" s="1"/>
  <c r="D506" i="19" a="1"/>
  <c r="D506" i="19" s="1"/>
  <c r="E508" i="19" a="1"/>
  <c r="D29" i="41" l="1" a="1"/>
  <c r="D29" i="41" s="1"/>
  <c r="E508" i="19"/>
  <c r="I516" i="19" l="1"/>
  <c r="I515" i="19" l="1"/>
  <c r="E518" i="19" s="1" a="1"/>
  <c r="E518" i="19" s="1"/>
  <c r="E29" i="41" s="1"/>
  <c r="F29" i="41"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P237" i="19" a="1"/>
  <c r="P237" i="19" s="1"/>
  <c r="O237" i="19" a="1"/>
  <c r="O237" i="19" s="1"/>
  <c r="D202" i="19" a="1"/>
  <c r="D202" i="19" s="1"/>
  <c r="E207" i="19" a="1"/>
  <c r="E207" i="19" s="1"/>
  <c r="E206" i="19" a="1"/>
  <c r="E206" i="19" s="1"/>
  <c r="D201" i="19" a="1"/>
  <c r="D201" i="19" s="1"/>
  <c r="D200" i="19" a="1"/>
  <c r="D200" i="19" s="1"/>
  <c r="D430" i="19" a="1"/>
  <c r="D430" i="19" s="1"/>
  <c r="E430" i="19" a="1"/>
  <c r="F430" i="19" a="1"/>
  <c r="J435" i="19" s="1" a="1"/>
  <c r="J435" i="19" s="1"/>
  <c r="E290" i="19" a="1"/>
  <c r="E355" i="19" a="1"/>
  <c r="E385" i="19" a="1"/>
  <c r="E418" i="19" a="1"/>
  <c r="E188" i="19" a="1"/>
  <c r="E258" i="19" a="1"/>
  <c r="E100" i="19" a="1"/>
  <c r="E323" i="19" a="1"/>
  <c r="E203" i="19" a="1"/>
  <c r="E174" i="19" a="1"/>
  <c r="D23" i="41" l="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AA119" i="19" a="1"/>
  <c r="AA119" i="19" s="1"/>
  <c r="I136" i="19" a="1"/>
  <c r="I136" i="19" s="1"/>
  <c r="I137" i="19" a="1"/>
  <c r="I137" i="19" s="1"/>
  <c r="E151" i="19" a="1"/>
  <c r="F621" i="19" l="1"/>
  <c r="F620" i="19"/>
  <c r="F642" i="19"/>
  <c r="F638" i="19"/>
  <c r="F641" i="19"/>
  <c r="F639" i="19"/>
  <c r="E411" i="19"/>
  <c r="F22" i="41"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7" i="41" l="1" a="1"/>
  <c r="D17" i="41" s="1"/>
  <c r="D16" i="41" a="1"/>
  <c r="D16" i="41" s="1"/>
  <c r="D15" i="41" a="1"/>
  <c r="D15" i="41" s="1"/>
  <c r="D10" i="41" a="1"/>
  <c r="D10"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20" i="13" l="1"/>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D61" i="19" l="1" a="1"/>
  <c r="D61" i="19" s="1"/>
  <c r="G39" i="48" l="1" a="1"/>
  <c r="G39" i="48" s="1"/>
  <c r="G38" i="48" a="1"/>
  <c r="G38" i="48" s="1"/>
  <c r="G37" i="48" a="1"/>
  <c r="G37" i="48" s="1"/>
  <c r="G43" i="48" a="1"/>
  <c r="G43" i="48" s="1"/>
  <c r="G36" i="48" a="1"/>
  <c r="G36" i="48" s="1"/>
  <c r="G42" i="48" a="1"/>
  <c r="G42" i="48" s="1"/>
  <c r="G35" i="48" a="1"/>
  <c r="G35" i="48" s="1"/>
  <c r="G41" i="48" a="1"/>
  <c r="G41" i="48" s="1"/>
  <c r="G34" i="48" a="1"/>
  <c r="G34" i="48" s="1"/>
  <c r="G40" i="48" a="1"/>
  <c r="G40" i="48" s="1"/>
  <c r="F79" i="19" a="1"/>
  <c r="D42" i="19" a="1"/>
  <c r="D42" i="19" s="1"/>
  <c r="F79" i="19" l="1"/>
  <c r="F61" i="19" a="1"/>
  <c r="F42" i="19" l="1" a="1"/>
  <c r="F61" i="19"/>
  <c r="F23" i="19" a="1"/>
  <c r="F23" i="19" s="1"/>
  <c r="E23" i="19" a="1"/>
  <c r="D23" i="19" a="1"/>
  <c r="D23" i="19" s="1"/>
  <c r="H23" i="19" l="1" a="1"/>
  <c r="F42" i="19"/>
  <c r="E23" i="19"/>
  <c r="H23" i="19" l="1"/>
  <c r="Q9" i="13" a="1"/>
  <c r="Q9" i="13" s="1"/>
  <c r="K9" i="13" a="1"/>
  <c r="K9" i="13" s="1"/>
  <c r="N9" i="13" a="1"/>
  <c r="N9" i="13" s="1"/>
  <c r="H13" i="13" l="1"/>
  <c r="L13" i="13" s="1"/>
  <c r="H12" i="13"/>
  <c r="L12" i="13" s="1"/>
  <c r="H11" i="13"/>
  <c r="R11" i="13" s="1"/>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56" i="13" l="1" a="1"/>
  <c r="D56" i="13" s="1"/>
  <c r="D51" i="13" a="1"/>
  <c r="D51" i="13" s="1"/>
  <c r="D162" i="19" s="1"/>
  <c r="F162" i="19" s="1" a="1"/>
  <c r="F162" i="19" s="1"/>
  <c r="G162" i="19" s="1" a="1"/>
  <c r="G162" i="19" s="1"/>
  <c r="R13" i="13"/>
  <c r="O13" i="13"/>
  <c r="R12" i="13"/>
  <c r="L11" i="13"/>
  <c r="O11" i="13"/>
  <c r="O12" i="13"/>
  <c r="F367" i="19" a="1"/>
  <c r="J314" i="19" l="1" a="1"/>
  <c r="J314" i="19" s="1"/>
  <c r="J309" i="19" a="1"/>
  <c r="J309" i="19" s="1"/>
  <c r="J313" i="19" a="1"/>
  <c r="J313" i="19" s="1"/>
  <c r="J310" i="19" a="1"/>
  <c r="J310" i="19" s="1"/>
  <c r="J311" i="19" a="1"/>
  <c r="J311" i="19" s="1"/>
  <c r="J305" i="19"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F19" i="41"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128" i="13" s="1"/>
  <c r="D479" i="19" s="1"/>
  <c r="F202" i="20" a="1"/>
  <c r="F202" i="20" s="1"/>
  <c r="G202" i="20" a="1"/>
  <c r="G202" i="20" s="1"/>
  <c r="H202" i="20" a="1"/>
  <c r="H202" i="20" s="1"/>
  <c r="I202" i="20" a="1"/>
  <c r="I202" i="20" s="1"/>
  <c r="D203" i="20" a="1"/>
  <c r="D203" i="20" s="1"/>
  <c r="E203" i="20" a="1"/>
  <c r="E203" i="20" s="1"/>
  <c r="D129" i="13" s="1"/>
  <c r="D480" i="19" s="1"/>
  <c r="F203" i="20" a="1"/>
  <c r="F203" i="20" s="1"/>
  <c r="G203" i="20" a="1"/>
  <c r="G203" i="20" s="1"/>
  <c r="H203" i="20" a="1"/>
  <c r="H203" i="20" s="1"/>
  <c r="I203" i="20" a="1"/>
  <c r="I203" i="20" s="1"/>
  <c r="D204" i="20" a="1"/>
  <c r="D204" i="20" s="1"/>
  <c r="E204" i="20" a="1"/>
  <c r="E204" i="20" s="1"/>
  <c r="D121" i="13" s="1"/>
  <c r="D466" i="19" s="1"/>
  <c r="F204" i="20" a="1"/>
  <c r="F204" i="20" s="1"/>
  <c r="G204" i="20" a="1"/>
  <c r="G204" i="20" s="1"/>
  <c r="H204" i="20" a="1"/>
  <c r="H204" i="20" s="1"/>
  <c r="I204" i="20" a="1"/>
  <c r="I204" i="20" s="1"/>
  <c r="D205" i="20" a="1"/>
  <c r="D205" i="20" s="1"/>
  <c r="E205" i="20" a="1"/>
  <c r="E205" i="20" s="1"/>
  <c r="D122" i="13" s="1"/>
  <c r="D467" i="19" s="1"/>
  <c r="F205" i="20" a="1"/>
  <c r="F205" i="20" s="1"/>
  <c r="G205" i="20" a="1"/>
  <c r="G205" i="20" s="1"/>
  <c r="H205" i="20" a="1"/>
  <c r="H205" i="20" s="1"/>
  <c r="I205" i="20" a="1"/>
  <c r="I205" i="20" s="1"/>
  <c r="D206" i="20" a="1"/>
  <c r="D206" i="20" s="1"/>
  <c r="E206" i="20" a="1"/>
  <c r="E206" i="20" s="1"/>
  <c r="D130" i="13" s="1"/>
  <c r="D481" i="19" s="1"/>
  <c r="F206" i="20" a="1"/>
  <c r="F206" i="20" s="1"/>
  <c r="G206" i="20" a="1"/>
  <c r="G206" i="20" s="1"/>
  <c r="H206" i="20" a="1"/>
  <c r="H206" i="20" s="1"/>
  <c r="I206" i="20" a="1"/>
  <c r="I206" i="20" s="1"/>
  <c r="D207" i="20" a="1"/>
  <c r="D207" i="20" s="1"/>
  <c r="E207" i="20" a="1"/>
  <c r="E207" i="20" s="1"/>
  <c r="D123" i="13" s="1"/>
  <c r="D468" i="19" s="1"/>
  <c r="F207" i="20" a="1"/>
  <c r="F207" i="20" s="1"/>
  <c r="G207" i="20" a="1"/>
  <c r="G207" i="20" s="1"/>
  <c r="H207" i="20" a="1"/>
  <c r="H207" i="20" s="1"/>
  <c r="I207" i="20" a="1"/>
  <c r="I207" i="20" s="1"/>
  <c r="D208" i="20" a="1"/>
  <c r="D208" i="20" s="1"/>
  <c r="E208" i="20" a="1"/>
  <c r="E208" i="20" s="1"/>
  <c r="D124" i="13" s="1"/>
  <c r="D469" i="19" s="1"/>
  <c r="F208" i="20" a="1"/>
  <c r="F208" i="20" s="1"/>
  <c r="G208" i="20" a="1"/>
  <c r="G208" i="20" s="1"/>
  <c r="H208" i="20" a="1"/>
  <c r="H208" i="20" s="1"/>
  <c r="I208" i="20" a="1"/>
  <c r="I208" i="20" s="1"/>
  <c r="D209" i="20" a="1"/>
  <c r="D209" i="20" s="1"/>
  <c r="E209" i="20" a="1"/>
  <c r="E209" i="20" s="1"/>
  <c r="D125"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E76" i="19" a="1"/>
  <c r="E76" i="19" s="1"/>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F13" i="41" s="1"/>
  <c r="E72" i="19"/>
  <c r="E13" i="41" s="1"/>
  <c r="E90" i="19"/>
  <c r="E14" i="41" s="1"/>
  <c r="E91" i="19"/>
  <c r="F14" i="41" s="1"/>
  <c r="G270" i="19" l="1" a="1"/>
  <c r="G270" i="19" s="1"/>
  <c r="E283" i="19" s="1"/>
  <c r="E18" i="41" s="1"/>
  <c r="I270" i="19" a="1"/>
  <c r="I270" i="19" s="1"/>
  <c r="E284" i="19" s="1"/>
  <c r="F18" i="41" s="1"/>
  <c r="E93" i="19"/>
  <c r="E94" i="19"/>
  <c r="E533" i="19" l="1" a="1"/>
  <c r="E533" i="19" s="1"/>
  <c r="E30" i="41" l="1"/>
  <c r="F30" i="41" s="1"/>
  <c r="I550" i="19"/>
  <c r="I551" i="19"/>
  <c r="O74" i="34" a="1"/>
  <c r="O74" i="34" s="1"/>
  <c r="T86" i="34" s="1"/>
  <c r="O90" i="34" s="1" a="1"/>
  <c r="O90" i="34" s="1"/>
  <c r="R571" i="19" s="1"/>
  <c r="E555" i="19" l="1" a="1"/>
  <c r="E555" i="19" s="1"/>
  <c r="E31" i="41" s="1"/>
  <c r="F31" i="41" s="1"/>
  <c r="E35" i="34" a="1"/>
  <c r="E35" i="34" s="1"/>
  <c r="I48" i="34" s="1"/>
  <c r="O35" i="34" a="1"/>
  <c r="O35" i="34" s="1"/>
  <c r="S48" i="34" s="1"/>
  <c r="O55" i="34" s="1" a="1"/>
  <c r="O55" i="34" s="1"/>
  <c r="R570" i="19" s="1"/>
  <c r="M573" i="19" s="1" a="1"/>
  <c r="M573" i="19" s="1"/>
  <c r="O575" i="19" s="1"/>
  <c r="M578" i="19" s="1" a="1"/>
  <c r="M578" i="19" s="1"/>
  <c r="F32" i="41" s="1"/>
  <c r="J237" i="19"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AE242" i="19" l="1" a="1"/>
  <c r="AE242" i="19" s="1"/>
  <c r="AE243" i="19" a="1"/>
  <c r="AE243" i="19" s="1"/>
  <c r="S244" i="19" a="1"/>
  <c r="S244" i="19" s="1"/>
  <c r="T122" i="19" a="1"/>
  <c r="T122" i="19" s="1"/>
  <c r="AB125" i="19" a="1"/>
  <c r="AB125" i="19" s="1"/>
  <c r="AB119" i="19" a="1"/>
  <c r="AB119" i="19" s="1"/>
  <c r="AB122" i="19" a="1"/>
  <c r="AB122" i="19" s="1"/>
  <c r="W242" i="19" a="1"/>
  <c r="W242" i="19" s="1"/>
  <c r="AE245" i="19" a="1"/>
  <c r="AE245" i="19" s="1"/>
  <c r="S246" i="19" a="1"/>
  <c r="S246" i="19" s="1"/>
  <c r="S237" i="19" a="1"/>
  <c r="S237" i="19" s="1"/>
  <c r="S241" i="19" a="1"/>
  <c r="S241" i="19" s="1"/>
  <c r="AA242" i="19" a="1"/>
  <c r="AA242" i="19" s="1"/>
  <c r="AB120" i="19" a="1"/>
  <c r="AB120" i="19" s="1"/>
  <c r="X126" i="19" a="1"/>
  <c r="X126" i="19" s="1"/>
  <c r="AE239" i="19" a="1"/>
  <c r="AE239" i="19" s="1"/>
  <c r="AA241" i="19" a="1"/>
  <c r="AA241" i="19" s="1"/>
  <c r="W243" i="19" a="1"/>
  <c r="W243" i="19" s="1"/>
  <c r="AB128" i="19" a="1"/>
  <c r="AB128" i="19" s="1"/>
  <c r="T123" i="19" a="1"/>
  <c r="T123" i="19" s="1"/>
  <c r="AE241" i="19" a="1"/>
  <c r="AE241" i="19" s="1"/>
  <c r="AA243" i="19" a="1"/>
  <c r="AA243" i="19" s="1"/>
  <c r="AA244" i="19" a="1"/>
  <c r="AA244" i="19" s="1"/>
  <c r="AB121" i="19" a="1"/>
  <c r="AB121" i="19" s="1"/>
  <c r="X125" i="19" a="1"/>
  <c r="X125" i="19" s="1"/>
  <c r="AE246" i="19" a="1"/>
  <c r="AE246" i="19" s="1"/>
  <c r="S245" i="19" a="1"/>
  <c r="S245" i="19" s="1"/>
  <c r="W245" i="19" a="1"/>
  <c r="W245" i="19" s="1"/>
  <c r="AB127" i="19" a="1"/>
  <c r="AB127" i="19" s="1"/>
  <c r="T127" i="19" a="1"/>
  <c r="T127" i="19" s="1"/>
  <c r="W238" i="19" a="1"/>
  <c r="W238" i="19" s="1"/>
  <c r="S239" i="19" a="1"/>
  <c r="S239" i="19" s="1"/>
  <c r="AA245" i="19" a="1"/>
  <c r="AA245" i="19" s="1"/>
  <c r="AA246" i="19" a="1"/>
  <c r="AA246" i="19" s="1"/>
  <c r="X120" i="19" a="1"/>
  <c r="X120" i="19" s="1"/>
  <c r="T121" i="19" a="1"/>
  <c r="T121" i="19" s="1"/>
  <c r="W241" i="19" a="1"/>
  <c r="W241" i="19" s="1"/>
  <c r="AA239" i="19" a="1"/>
  <c r="AA239" i="19" s="1"/>
  <c r="S238" i="19" a="1"/>
  <c r="S238" i="19" s="1"/>
  <c r="W246" i="19" a="1"/>
  <c r="W246" i="19" s="1"/>
  <c r="X123" i="19" a="1"/>
  <c r="X123" i="19" s="1"/>
  <c r="AB124" i="19" a="1"/>
  <c r="AB124" i="19" s="1"/>
  <c r="S242" i="19" a="1"/>
  <c r="S242" i="19" s="1"/>
  <c r="X127" i="19" a="1"/>
  <c r="X127" i="19" s="1"/>
  <c r="T120" i="19" a="1"/>
  <c r="T120" i="19" s="1"/>
  <c r="S243" i="19" a="1"/>
  <c r="S243" i="19" s="1"/>
  <c r="S240" i="19" a="1"/>
  <c r="S240" i="19" s="1"/>
  <c r="AE237" i="19" a="1"/>
  <c r="AE237" i="19" s="1"/>
  <c r="K237" i="19" s="1" a="1"/>
  <c r="K237" i="19" s="1"/>
  <c r="T124" i="19" a="1"/>
  <c r="T124" i="19" s="1"/>
  <c r="AB126" i="19" a="1"/>
  <c r="AB126" i="19" s="1"/>
  <c r="T126" i="19" a="1"/>
  <c r="T126" i="19" s="1"/>
  <c r="X124" i="19" a="1"/>
  <c r="X124" i="19" s="1"/>
  <c r="X121" i="19" a="1"/>
  <c r="X121" i="19" s="1"/>
  <c r="W237" i="19" a="1"/>
  <c r="W237" i="19" s="1"/>
  <c r="AE240" i="19" a="1"/>
  <c r="AE240" i="19" s="1"/>
  <c r="W244" i="19" a="1"/>
  <c r="W244" i="19" s="1"/>
  <c r="T128" i="19" a="1"/>
  <c r="T128" i="19" s="1"/>
  <c r="AA237" i="19" a="1"/>
  <c r="AA237" i="19" s="1"/>
  <c r="AA238" i="19" a="1"/>
  <c r="AA238" i="19" s="1"/>
  <c r="T125" i="19" a="1"/>
  <c r="T125" i="19" s="1"/>
  <c r="X122" i="19" a="1"/>
  <c r="X122" i="19" s="1"/>
  <c r="T119" i="19" a="1"/>
  <c r="T119" i="19" s="1"/>
  <c r="X128" i="19" a="1"/>
  <c r="X128" i="19" s="1"/>
  <c r="X119" i="19" a="1"/>
  <c r="X119" i="19" s="1"/>
  <c r="AE238" i="19" a="1"/>
  <c r="AE238" i="19" s="1"/>
  <c r="W239" i="19" a="1"/>
  <c r="W239" i="19" s="1"/>
  <c r="AB123" i="19" a="1"/>
  <c r="AB123" i="19" s="1"/>
  <c r="AA240" i="19" a="1"/>
  <c r="AA240" i="19" s="1"/>
  <c r="W240" i="19" a="1"/>
  <c r="W240" i="19" s="1"/>
  <c r="AE244" i="19" a="1"/>
  <c r="AE244" i="19" s="1"/>
  <c r="F119" i="19" l="1"/>
  <c r="G119" i="19" s="1" a="1"/>
  <c r="G119" i="19" s="1"/>
  <c r="J229" i="19"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3" i="19" l="1" a="1"/>
  <c r="J223" i="19" s="1"/>
  <c r="J230" i="19" a="1"/>
  <c r="J230" i="19" s="1"/>
  <c r="J226" i="19" a="1"/>
  <c r="J226" i="19" s="1"/>
  <c r="J221" i="19"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G221" i="19" l="1" a="1"/>
  <c r="G221" i="19" s="1"/>
  <c r="E248" i="19" s="1"/>
  <c r="K221" i="19" a="1"/>
  <c r="K221" i="19" s="1"/>
  <c r="E252" i="19" s="1"/>
  <c r="F17" i="41" s="1"/>
  <c r="E249" i="19"/>
  <c r="E74" i="34" a="1"/>
  <c r="E74" i="34" s="1"/>
  <c r="J86" i="34" s="1"/>
  <c r="E130" i="19"/>
  <c r="E144" i="19" s="1"/>
  <c r="E15" i="41" s="1"/>
  <c r="E131" i="19"/>
  <c r="E145" i="19" s="1"/>
  <c r="F15" i="41" s="1"/>
  <c r="E251" i="19"/>
  <c r="E17" i="41" s="1"/>
  <c r="E19" i="34" l="1" a="1"/>
  <c r="E19" i="34" s="1"/>
  <c r="J569" i="19" s="1"/>
  <c r="E90" i="34" a="1"/>
  <c r="E90" i="34" s="1"/>
  <c r="J571" i="19" s="1"/>
  <c r="E55" i="34" a="1"/>
  <c r="E55" i="34" s="1"/>
  <c r="J570" i="19" s="1"/>
  <c r="E573" i="19" l="1" a="1"/>
  <c r="E573" i="19" s="1"/>
  <c r="G575" i="19" s="1"/>
  <c r="E578" i="19" s="1" a="1"/>
  <c r="E578"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<sst xmlns="http://schemas.openxmlformats.org/spreadsheetml/2006/main" count="2617" uniqueCount="922">
  <si>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</si>
  <si>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</si>
  <si>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</si>
  <si>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</si>
  <si>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</si>
  <si>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</si>
  <si>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</si>
  <si>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</si>
  <si>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</si>
  <si>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</si>
  <si>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</si>
  <si>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</si>
  <si>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</si>
  <si>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</si>
  <si>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</si>
  <si>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</si>
  <si>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</si>
  <si>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</si>
  <si>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</si>
  <si>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</si>
  <si>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</si>
  <si>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</si>
  <si>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</si>
  <si>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</si>
  <si>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</si>
  <si>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</si>
  <si>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</si>
  <si>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</si>
  <si>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</si>
  <si>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</si>
  <si>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</si>
  <si>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</si>
  <si>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</si>
  <si>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</si>
  <si>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</si>
  <si>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</si>
  <si>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</si>
  <si>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</si>
  <si>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</si>
  <si>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</si>
  <si>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</si>
  <si>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</si>
  <si>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</si>
  <si>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</si>
  <si>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</si>
  <si>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</si>
  <si>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</si>
  <si>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</si>
  <si>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</si>
  <si>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</si>
  <si>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</si>
  <si>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</si>
  <si>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</si>
  <si>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</si>
  <si>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</si>
  <si>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</si>
  <si>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</si>
  <si>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</si>
  <si>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</si>
  <si>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</si>
  <si>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</si>
  <si>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</si>
  <si>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</si>
  <si>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</si>
  <si>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</si>
  <si>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</si>
  <si>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</si>
  <si>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</si>
  <si>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</si>
  <si>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</si>
  <si>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</si>
  <si>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</si>
  <si>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</si>
  <si>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</si>
  <si>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</si>
  <si>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</si>
  <si>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</si>
  <si>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</si>
  <si>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</si>
  <si>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</si>
  <si>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</si>
  <si>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</si>
  <si>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</si>
  <si>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</si>
  <si>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</si>
  <si>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</si>
  <si>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</si>
  <si>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</si>
  <si>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</si>
  <si>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</si>
  <si>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</si>
  <si>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</si>
  <si>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</si>
  <si>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</si>
  <si>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</si>
  <si>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</si>
  <si>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</si>
  <si>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</si>
  <si>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</si>
  <si>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</si>
  <si>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</si>
  <si>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</si>
  <si>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</si>
  <si>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</si>
  <si>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</si>
  <si>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</si>
  <si>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</si>
  <si>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</si>
  <si>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</si>
  <si>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</si>
  <si>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</si>
  <si>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</si>
  <si>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</si>
  <si>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</si>
  <si>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</si>
  <si>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</si>
  <si>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</si>
  <si>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</si>
  <si>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</si>
  <si>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</si>
  <si>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</si>
  <si>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</si>
  <si>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</si>
  <si>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</si>
  <si>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</si>
  <si>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</si>
  <si>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</si>
  <si>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</si>
  <si>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</si>
  <si>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</si>
  <si>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</si>
  <si>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</si>
  <si>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</si>
  <si>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</si>
  <si>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</si>
  <si>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</si>
  <si>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</si>
  <si>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</si>
  <si>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</si>
  <si>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</si>
  <si>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</si>
  <si>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</si>
  <si>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</si>
  <si>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</si>
  <si>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</si>
  <si>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</si>
  <si>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</si>
  <si>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</si>
  <si>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</si>
  <si>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</si>
  <si>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</si>
  <si>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</si>
  <si>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</si>
  <si>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</si>
  <si>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</si>
  <si>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</si>
  <si>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</si>
  <si>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</si>
  <si>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</si>
  <si>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</si>
  <si>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</si>
  <si>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</si>
  <si>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</si>
  <si>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</si>
  <si>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</si>
  <si>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</si>
  <si>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</si>
  <si>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</si>
  <si>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</si>
  <si>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</si>
  <si>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</si>
  <si>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</si>
  <si>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</si>
  <si>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</si>
  <si>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</si>
  <si>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</si>
  <si>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</si>
  <si>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</si>
  <si>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</si>
  <si>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</si>
  <si>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</si>
  <si>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</si>
  <si>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</si>
  <si>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</si>
  <si>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</si>
  <si>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</si>
  <si>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</si>
  <si>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</si>
  <si>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</si>
  <si>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</si>
  <si>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</si>
  <si>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</si>
  <si>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</si>
  <si>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</si>
  <si>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</si>
  <si>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</si>
  <si>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</si>
  <si>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</si>
  <si>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</si>
  <si>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</si>
  <si>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</si>
  <si>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</si>
  <si>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</si>
  <si>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</si>
  <si>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</si>
  <si>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</si>
  <si>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</si>
  <si>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</si>
  <si>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</si>
  <si>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</si>
  <si>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</si>
  <si>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</si>
  <si>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</si>
  <si>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</si>
  <si>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</si>
  <si>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</si>
  <si>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</si>
  <si>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</si>
  <si>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</si>
  <si>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</si>
  <si>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</si>
  <si>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</si>
  <si>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</si>
  <si>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</si>
  <si>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</si>
  <si>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</si>
  <si>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</si>
  <si>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</si>
  <si>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</si>
  <si>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</si>
  <si>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</si>
  <si>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</si>
  <si>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</si>
  <si>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</si>
  <si>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</si>
  <si>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</si>
  <si>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</si>
  <si>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</si>
  <si>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</si>
  <si>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</si>
  <si>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</si>
  <si>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</si>
  <si>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</si>
  <si>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</si>
  <si>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</si>
  <si>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</si>
  <si>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</si>
  <si>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</si>
  <si>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</si>
  <si>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</si>
  <si>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</si>
  <si>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</si>
  <si>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</si>
  <si>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</si>
  <si>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</si>
  <si>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</si>
  <si>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</si>
  <si>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</si>
  <si>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</si>
  <si>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</si>
  <si>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</si>
  <si>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</si>
  <si>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</si>
  <si>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</si>
  <si>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</si>
  <si>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</si>
  <si>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</si>
  <si>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</si>
  <si>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</si>
  <si>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</si>
  <si>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</si>
  <si>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</si>
  <si>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</si>
  <si>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</si>
  <si>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</si>
  <si>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</si>
  <si>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</si>
  <si>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</si>
  <si>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</si>
  <si>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</si>
  <si>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</si>
  <si>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</si>
  <si>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</si>
  <si>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</si>
  <si>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</si>
  <si>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</si>
  <si>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</si>
  <si>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</si>
  <si>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</si>
  <si>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</si>
  <si>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</si>
  <si>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</si>
  <si>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</si>
  <si>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</si>
  <si>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</si>
  <si>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</si>
  <si>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</si>
  <si>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</si>
  <si>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</si>
  <si>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</si>
  <si>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</si>
  <si>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</si>
  <si>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</si>
  <si>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</si>
  <si>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</si>
  <si>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</si>
  <si>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</si>
  <si>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</si>
  <si>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</si>
  <si>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</si>
  <si>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</si>
  <si>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</si>
  <si>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Application unit</t>
  </si>
  <si>
    <t>Density</t>
  </si>
  <si>
    <t>Category</t>
  </si>
  <si>
    <t>Region of origin</t>
  </si>
  <si>
    <t>Calcium nitrate</t>
  </si>
  <si>
    <t>Ammonia</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</si>
  <si>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</si>
  <si>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</si>
  <si>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</si>
  <si>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</si>
  <si>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</si>
  <si>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</si>
  <si>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</si>
  <si>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</si>
  <si>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</si>
  <si>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</si>
  <si>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</si>
  <si>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</si>
  <si>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</si>
  <si>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</si>
  <si>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</si>
  <si>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</si>
  <si>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</si>
  <si>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</si>
  <si>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</si>
  <si>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</si>
  <si>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</si>
  <si>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</si>
  <si>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</si>
  <si>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</si>
  <si>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</si>
  <si>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</si>
  <si>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</si>
  <si>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</si>
  <si>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</si>
  <si>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</si>
  <si>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</si>
  <si>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</si>
  <si>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</si>
  <si>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</si>
  <si>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</si>
  <si>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</si>
  <si>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</si>
  <si>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</si>
  <si>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</si>
  <si>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</si>
  <si>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</si>
  <si>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</si>
  <si>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</si>
  <si>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</si>
  <si>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</si>
  <si>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</si>
  <si>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</si>
  <si>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</si>
  <si>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</si>
  <si>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</si>
  <si>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</si>
  <si>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</si>
  <si>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</si>
  <si>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</si>
  <si>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</si>
  <si>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</si>
  <si>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</si>
  <si>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</si>
  <si>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</si>
  <si>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</si>
  <si>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</si>
  <si>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</si>
  <si>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</si>
  <si>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</si>
  <si>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</si>
  <si>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</si>
  <si>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</si>
  <si>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</si>
  <si>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</si>
  <si>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</si>
  <si>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</si>
  <si>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</si>
  <si>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</si>
  <si>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</si>
  <si>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</si>
  <si>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</si>
  <si>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</si>
  <si>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</si>
  <si>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</si>
  <si>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</si>
  <si>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</si>
  <si>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</si>
  <si>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</si>
  <si>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</si>
  <si>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</si>
  <si>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</si>
  <si>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</si>
  <si>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</si>
  <si>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</si>
  <si>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</si>
  <si>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</si>
  <si>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</si>
  <si>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</si>
  <si>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</si>
  <si>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</si>
  <si>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</si>
  <si>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</si>
  <si>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</si>
  <si>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</si>
  <si>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</si>
  <si>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</si>
  <si>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</si>
  <si>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</si>
  <si>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</si>
  <si>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</si>
  <si>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Livestock</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</si>
  <si>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</si>
  <si>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</si>
  <si>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</si>
  <si>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</si>
  <si>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</si>
  <si>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</si>
  <si>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</si>
  <si>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</si>
  <si>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</si>
  <si>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</si>
  <si>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</si>
  <si>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</si>
  <si>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</si>
  <si>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</si>
  <si>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</si>
  <si>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</si>
  <si>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</si>
  <si>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</si>
  <si>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</si>
  <si>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</si>
  <si>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</si>
  <si>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</si>
  <si>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</si>
  <si>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</si>
  <si>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</si>
  <si>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</si>
  <si>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</si>
  <si>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</si>
  <si>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</si>
  <si>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</si>
  <si>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</si>
  <si>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</si>
  <si>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</si>
  <si>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</si>
  <si>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</si>
  <si>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</si>
  <si>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</si>
  <si>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</si>
  <si>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</si>
  <si>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</si>
  <si>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</si>
  <si>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</si>
  <si>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</si>
  <si>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</si>
  <si>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</si>
  <si>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</si>
  <si>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</si>
  <si>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</si>
  <si>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</si>
  <si>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</si>
  <si>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</si>
  <si>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</si>
  <si>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</si>
  <si>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</si>
  <si>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</si>
  <si>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</si>
  <si>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</si>
  <si>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</si>
  <si>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</si>
  <si>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</si>
  <si>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</si>
  <si>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</si>
  <si>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</si>
  <si>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</si>
  <si>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</si>
  <si>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</si>
  <si>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</si>
  <si>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</si>
  <si>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</si>
  <si>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</si>
  <si>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</si>
  <si>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</si>
  <si>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</si>
  <si>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</si>
  <si>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</si>
  <si>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</si>
  <si>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</si>
  <si>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</si>
  <si>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</si>
  <si>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</si>
  <si>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</si>
  <si>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</si>
  <si>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</si>
  <si>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</si>
  <si>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</si>
  <si>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</si>
  <si>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</si>
  <si>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</si>
  <si>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</si>
  <si>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</si>
  <si>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</si>
  <si>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</si>
  <si>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</si>
  <si>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</si>
  <si>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</si>
  <si>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</si>
  <si>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</si>
  <si>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</si>
  <si>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</si>
  <si>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</si>
  <si>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</si>
  <si>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</si>
  <si>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</si>
  <si>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</si>
  <si>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</si>
  <si>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</si>
  <si>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</si>
  <si>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</si>
  <si>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</si>
  <si>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</si>
  <si>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</si>
  <si>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</si>
  <si>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</si>
  <si>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</si>
  <si>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</si>
  <si>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</si>
  <si>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</si>
  <si>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</si>
  <si>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</si>
  <si>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</si>
  <si>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</si>
  <si>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</si>
  <si>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</si>
  <si>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</si>
  <si>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</si>
  <si>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</si>
  <si>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</si>
  <si>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</si>
  <si>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</si>
  <si>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</si>
  <si>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</si>
  <si>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</si>
  <si>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</si>
  <si>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</si>
  <si>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</si>
  <si>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</si>
  <si>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</si>
  <si>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</si>
  <si>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</si>
  <si>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</si>
  <si>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</si>
  <si>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</si>
  <si>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</si>
  <si>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</si>
  <si>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</si>
  <si>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</si>
  <si>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</si>
  <si>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</si>
  <si>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</si>
  <si>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</si>
  <si>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</si>
  <si>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</si>
  <si>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</si>
  <si>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</si>
  <si>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</si>
  <si>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</si>
  <si>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</si>
  <si>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</si>
  <si>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</si>
  <si>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</si>
  <si>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</si>
  <si>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</si>
  <si>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</si>
  <si>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</si>
  <si>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</si>
  <si>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</si>
  <si>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</si>
  <si>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</si>
  <si>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</si>
  <si>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</si>
  <si>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</si>
  <si>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</si>
  <si>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</si>
  <si>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</si>
  <si>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</si>
  <si>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</si>
  <si>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</si>
  <si>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</si>
  <si>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</si>
  <si>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</si>
  <si>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</si>
  <si>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</si>
  <si>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</si>
  <si>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</si>
  <si>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</si>
  <si>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Sheep</t>
  </si>
  <si>
    <t>Total amount</t>
  </si>
  <si>
    <t>Scope 3 unit</t>
  </si>
  <si>
    <t>Hour</t>
  </si>
  <si>
    <t>Hectare</t>
  </si>
  <si>
    <t>Wheat harvesting</t>
  </si>
  <si>
    <t>Activity</t>
  </si>
  <si>
    <t>Purchased feed blends</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</si>
  <si>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</si>
  <si>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</si>
  <si>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</si>
  <si>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</si>
  <si>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</si>
  <si>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</si>
  <si>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</si>
  <si>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</si>
  <si>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</si>
  <si>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</si>
  <si>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</si>
  <si>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</si>
  <si>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</si>
  <si>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</si>
  <si>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</si>
  <si>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</si>
  <si>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</si>
  <si>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</si>
  <si>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</si>
  <si>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</si>
  <si>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</si>
  <si>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</si>
  <si>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</si>
  <si>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</si>
  <si>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</si>
  <si>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</si>
  <si>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</si>
  <si>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</si>
  <si>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</si>
  <si>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</si>
  <si>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</si>
  <si>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</si>
  <si>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</si>
  <si>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</si>
  <si>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</si>
  <si>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</si>
  <si>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</si>
  <si>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</si>
  <si>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</si>
  <si>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</si>
  <si>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</si>
  <si>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</si>
  <si>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</si>
  <si>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</si>
  <si>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</si>
  <si>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</si>
  <si>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</si>
  <si>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</si>
  <si>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</si>
  <si>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</si>
  <si>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</si>
  <si>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</si>
  <si>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</si>
  <si>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</si>
  <si>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</si>
  <si>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</si>
  <si>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</si>
  <si>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</si>
  <si>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</si>
  <si>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</si>
  <si>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</si>
  <si>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</si>
  <si>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</si>
  <si>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</si>
  <si>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</si>
  <si>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</si>
  <si>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</si>
  <si>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</si>
  <si>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</si>
  <si>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</si>
  <si>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</si>
  <si>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</si>
  <si>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</si>
  <si>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</si>
  <si>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</si>
  <si>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</si>
  <si>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</si>
  <si>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</si>
  <si>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</si>
  <si>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</si>
  <si>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</si>
  <si>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</si>
  <si>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</si>
  <si>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</si>
  <si>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</si>
  <si>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</si>
  <si>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</si>
  <si>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</si>
  <si>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</si>
  <si>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</si>
  <si>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</si>
  <si>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</si>
  <si>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</si>
  <si>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</si>
  <si>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</si>
  <si>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</si>
  <si>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</si>
  <si>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</si>
  <si>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</si>
  <si>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</si>
  <si>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</si>
  <si>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</si>
  <si>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</si>
  <si>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</si>
  <si>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</si>
  <si>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</si>
  <si>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</si>
  <si>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</si>
  <si>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</si>
  <si>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</si>
  <si>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</si>
  <si>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</si>
  <si>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</si>
  <si>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</si>
  <si>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</si>
  <si>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</si>
  <si>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</si>
  <si>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</si>
  <si>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</si>
  <si>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</si>
  <si>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</si>
  <si>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</si>
  <si>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</si>
  <si>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</si>
  <si>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</si>
  <si>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</si>
  <si>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</si>
  <si>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</si>
  <si>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</si>
  <si>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</si>
  <si>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</si>
  <si>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</si>
  <si>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</si>
  <si>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</si>
  <si>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</si>
  <si>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</si>
  <si>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</si>
  <si>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</si>
  <si>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</si>
  <si>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</si>
  <si>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</si>
  <si>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</si>
  <si>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</si>
  <si>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</si>
  <si>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</si>
  <si>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</si>
  <si>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</si>
  <si>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</si>
  <si>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</si>
  <si>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</si>
  <si>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</si>
  <si>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</si>
  <si>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</si>
  <si>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</si>
  <si>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</si>
  <si>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</si>
  <si>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</si>
  <si>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</si>
  <si>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</si>
  <si>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</si>
  <si>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</si>
  <si>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</si>
  <si>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</si>
  <si>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</si>
  <si>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Incineration</t>
  </si>
  <si>
    <t>Paper and cardboard</t>
  </si>
  <si>
    <t>Removed and treated off-site</t>
  </si>
  <si>
    <t>cubic metres m3</t>
  </si>
  <si>
    <t>tonnes</t>
  </si>
  <si>
    <t>Landfill</t>
  </si>
  <si>
    <t>Food waste (including animal carcasses, spoiled animal feed or crop)</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</si>
  <si>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</si>
  <si>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</si>
  <si>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</si>
  <si>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</si>
  <si>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</si>
  <si>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</si>
  <si>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</si>
  <si>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</si>
  <si>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</si>
  <si>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</si>
  <si>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</si>
  <si>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</si>
  <si>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</si>
  <si>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</si>
  <si>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</si>
  <si>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</si>
  <si>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</si>
  <si>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</si>
  <si>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</si>
  <si>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</si>
  <si>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</si>
  <si>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</si>
  <si>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</si>
  <si>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</si>
  <si>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</si>
  <si>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</si>
  <si>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</si>
  <si>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</si>
  <si>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</si>
  <si>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</si>
  <si>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</si>
  <si>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</si>
  <si>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</si>
  <si>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</si>
  <si>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</si>
  <si>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</si>
  <si>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</si>
  <si>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</si>
  <si>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</si>
  <si>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</si>
  <si>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</si>
  <si>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</si>
  <si>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</si>
  <si>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</si>
  <si>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</si>
  <si>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</si>
  <si>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</si>
  <si>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</si>
  <si>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</si>
  <si>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</si>
  <si>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</si>
  <si>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</si>
  <si>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</si>
  <si>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</si>
  <si>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</si>
  <si>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</si>
  <si>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</si>
  <si>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</si>
  <si>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</si>
  <si>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</si>
  <si>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</si>
  <si>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</si>
  <si>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</si>
  <si>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</si>
  <si>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</si>
  <si>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</si>
  <si>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Livestock Purchases</t>
  </si>
  <si>
    <t>Western Australia</t>
  </si>
  <si>
    <r>
      <t xml:space="preserve">Amount applied </t>
    </r>
    <r>
      <rPr>
        <sz val="11"/>
        <color theme="1"/>
        <rFont val="Times New Roman"/>
        <family val="1"/>
      </rPr>
      <t>per hectare</t>
    </r>
  </si>
  <si>
    <t>Aqua Finish</t>
  </si>
  <si>
    <t>CalPhos</t>
  </si>
  <si>
    <t>Aqua Grow</t>
  </si>
  <si>
    <t>Aqua NitroCal</t>
  </si>
  <si>
    <r>
      <t xml:space="preserve">Amount applied </t>
    </r>
    <r>
      <rPr>
        <sz val="11"/>
        <color theme="1"/>
        <rFont val="Times New Roman"/>
        <family val="1"/>
      </rPr>
      <t>(kg / ha)</t>
    </r>
  </si>
  <si>
    <t>Urea source (Select)</t>
  </si>
  <si>
    <t>Ammonia source (select)</t>
  </si>
  <si>
    <t>Zinc - Generic</t>
  </si>
  <si>
    <t>My second custom blend</t>
  </si>
  <si>
    <t>My third custom blend</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</si>
  <si>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</si>
  <si>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</si>
  <si>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</si>
  <si>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</si>
  <si>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</si>
  <si>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</si>
  <si>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</si>
  <si>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</si>
  <si>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Amount consumed unit</t>
  </si>
  <si>
    <t>Input - Solid waste</t>
  </si>
  <si>
    <t>Solid waste treatment</t>
  </si>
  <si>
    <t>Compost paper and cardboard on site (tonnes)</t>
  </si>
  <si>
    <t>Composting</t>
  </si>
  <si>
    <t>Compost paper and cardboard on site (m3)</t>
  </si>
  <si>
    <t>Treated on-site</t>
  </si>
  <si>
    <t>Compost food waste on site (tonnes)</t>
  </si>
  <si>
    <t>Compost food waste on site (m3)</t>
  </si>
  <si>
    <t>Landfill food waste offsite (tonnes)</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</si>
  <si>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</si>
  <si>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</si>
  <si>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</si>
  <si>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</si>
  <si>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</si>
  <si>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</si>
  <si>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</si>
  <si>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</si>
  <si>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</si>
  <si>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</si>
  <si>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</si>
  <si>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</si>
  <si>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</si>
  <si>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</si>
  <si>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</si>
  <si>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</si>
  <si>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</si>
  <si>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</si>
  <si>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Western Australia - North Western Interconnected System (NWIS)</t>
  </si>
  <si>
    <t>Dec 2020 certs</t>
  </si>
  <si>
    <t>Jan 2022 certs</t>
  </si>
  <si>
    <t>2024 certs</t>
  </si>
  <si>
    <t>Jul 24 certs generated</t>
  </si>
  <si>
    <t>Input Unit</t>
  </si>
  <si>
    <t>L</t>
  </si>
  <si>
    <t xml:space="preserve">Nitrogen - Generic </t>
  </si>
  <si>
    <t>Poultry crop or pasture production systems</t>
  </si>
  <si>
    <t>Constants - Livestock</t>
  </si>
  <si>
    <t>Anaerobic lagoon (m=1)</t>
  </si>
  <si>
    <t>Sump and dispersal system</t>
  </si>
  <si>
    <t>Sump and dispersal system (m=3a)</t>
  </si>
  <si>
    <t>Drains to paddock</t>
  </si>
  <si>
    <t>Drains to paddock (m=3b)</t>
  </si>
  <si>
    <t>Drylot (feed pad)</t>
  </si>
  <si>
    <t>Drylot (feed pad) (m=5)</t>
  </si>
  <si>
    <t>Deep litter (m=8)</t>
  </si>
  <si>
    <t>Pit storage (m=9)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</si>
</sst>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20">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30">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3" fillId="2" borderId="0" xfId="3" applyFont="1" applyFill="1"/>
    <xf numFmtId="0" fontId="34" fillId="2" borderId="0" xfId="3" applyFont="1" applyFill="1"/>
    <xf numFmtId="0" fontId="22" fillId="8" borderId="11" xfId="16" applyBorder="1">
      <alignment horizontal="left"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3" fillId="2" borderId="0" xfId="3" applyFont="1" applyFill="1" applyAlignment="1">
      <alignment horizontal="left" wrapText="1"/>
    </xf>
    <xf numFmtId="0" fontId="34" fillId="2" borderId="0" xfId="3" applyFont="1" applyFill="1" applyAlignment="1">
      <alignment wrapText="1"/>
    </xf>
    <xf numFmtId="0" fontId="35"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3" xfId="48" applyBorder="1">
      <alignment horizontal="left" vertical="center"/>
    </xf>
    <xf numFmtId="0" fontId="61"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1" xfId="54" applyBorder="1">
      <alignment horizontal="center" vertical="center"/>
    </xf>
    <xf numFmtId="169" fontId="54"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4" fillId="2" borderId="27" xfId="20" applyNumberFormat="1" applyFont="1" applyBorder="1">
      <alignment horizontal="center" vertical="center"/>
    </xf>
    <xf numFmtId="169" fontId="54" fillId="2" borderId="25" xfId="20" applyNumberFormat="1" applyFont="1" applyBorder="1">
      <alignment horizontal="center" vertical="center"/>
    </xf>
    <xf numFmtId="0" fontId="24" fillId="2" borderId="27" xfId="20" applyBorder="1">
      <alignment horizontal="center" vertical="center"/>
    </xf>
    <xf numFmtId="0" fontId="54"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1" fillId="2" borderId="28" xfId="3" applyNumberFormat="1" applyFont="1" applyFill="1" applyBorder="1" applyAlignment="1">
      <alignment vertical="center"/>
    </xf>
    <xf numFmtId="171" fontId="54" fillId="2" borderId="1" xfId="54" applyNumberFormat="1" applyFont="1">
      <alignment horizontal="center" vertical="center"/>
    </xf>
    <xf numFmtId="171" fontId="54" fillId="2" borderId="21" xfId="54" applyNumberFormat="1" applyFont="1" applyBorder="1">
      <alignment horizontal="center" vertical="center"/>
    </xf>
    <xf numFmtId="171" fontId="54"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3" fillId="0" borderId="0" xfId="3" applyAlignment="1" applyProtection="1">
      <alignment horizontal="center" vertical="center" wrapText="1"/>
      <protection locked="0"/>
    </xf>
    <xf numFmtId="9" fontId="0" fillId="0" borderId="0" xfId="21" applyFont="1" applyBorder="1" applyAlignment="1">
      <alignment horizontal="center" vertical="center" wrapText="1"/>
    </xf>
    <xf numFmtId="9" fontId="0" fillId="0" borderId="1" xfId="21" applyFont="1">
      <alignment horizontal="center" vertical="center"/>
    </xf>
    <xf numFmtId="9" fontId="0" fillId="0" borderId="21" xfId="21" applyFont="1" applyBorder="1">
      <alignment horizontal="center" vertical="center"/>
    </xf>
    <xf numFmtId="0" fontId="30" fillId="2" borderId="0" xfId="27">
      <alignment horizontal="center" vertical="center"/>
    </xf>
    <xf numFmtId="17" fontId="0" fillId="0" borderId="0" xfId="6" applyNumberFormat="1" applyFont="1" applyFill="1">
      <alignment horizontal="left" vertical="center"/>
    </xf>
    <xf numFmtId="0" fontId="56" fillId="14" borderId="1" xfId="53">
      <alignment horizontal="center" vertical="center"/>
    </xf>
    <xf numFmtId="0" fontId="75" fillId="0" borderId="0" xfId="55"/>
    <xf numFmtId="0" fontId="81" fillId="5" borderId="2" xfId="12" applyFont="1">
      <alignment horizontal="left" vertical="center" indent="1"/>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60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601"/>
      <tableStyleElement type="headerRow" dxfId="600"/>
      <tableStyleElement type="totalRow" dxfId="599"/>
      <tableStyleElement type="firstColumn" dxfId="598"/>
      <tableStyleElement type="firstRowStripe" dxfId="597"/>
      <tableStyleElement type="secondRowStripe" dxfId="596"/>
    </tableStyle>
    <tableStyle name="Equation table" pivot="0" count="6" xr9:uid="{0B4491E8-4F2C-4EE8-9336-DC99561B4B77}">
      <tableStyleElement type="wholeTable" dxfId="595"/>
      <tableStyleElement type="headerRow" dxfId="594"/>
      <tableStyleElement type="totalRow" dxfId="593"/>
      <tableStyleElement type="firstColumn" dxfId="592"/>
      <tableStyleElement type="firstRowStripe" dxfId="591"/>
      <tableStyleElement type="secondRowStripe" dxfId="590"/>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 Target="richData/rdrichvalue.xml"/><Relationship Id="rId38" Type="http://schemas.microsoft.com/office/2023/09/relationships/Python" Target="pyth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22/10/relationships/richValueRel" Target="richData/richValueRel.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microsoft.com/office/2017/06/relationships/rdRichValueTypes" Target="richData/rdRichValueTypes.xml"/><Relationship Id="rId8" Type="http://schemas.openxmlformats.org/officeDocument/2006/relationships/worksheet" Target="worksheets/sheet8.xml"/><Relationship Id="rId3"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A5AB915-DBF2-49C2-B7EE-CD011D645C5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1A5AB915-DBF2-49C2-B7EE-CD011D645C5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49DD09E-9758-4DFC-992C-B3C658FC42E3}"/>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49DD09E-9758-4DFC-992C-B3C658FC42E3}"/>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E7398C-205C-445F-84C7-00CDA3FE626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6E7398C-205C-445F-84C7-00CDA3FE626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2DA1C5A-1EB0-4301-B2C8-09225E2DEC5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82DA1C5A-1EB0-4301-B2C8-09225E2DEC5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ADA317D-B004-452F-8A77-A22307D3664E}"/>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CADA317D-B004-452F-8A77-A22307D3664E}"/>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1399428-BE89-4039-AC24-14CB4EACDECA}"/>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1399428-BE89-4039-AC24-14CB4EACDECA}"/>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DD01E6F-6DDA-4B57-B64F-7A146C715CA8}"/>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DD01E6F-6DDA-4B57-B64F-7A146C715CA8}"/>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3A54FA6-78BE-41B9-B327-557F44DC4A77}" name="Table_Input_Fuel" displayName="Table_Input_Fuel" ref="D16:J21" totalsRowDxfId="553"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8FA7CF5D-B9E8-4A82-9E75-7DE61854ECD0}" name="Fuel use (select)" totalsRowFunction="average" totalsRowDxfId="552" dataCellStyle="Input select" totalsRowCellStyle="Input select"/>
    <tableColumn id="3" xr3:uid="{E67E9906-D8CC-47D4-B510-8E740414FAE1}" name="Fuel type (select)" totalsRowDxfId="551" dataCellStyle="Input select" totalsRowCellStyle="Input select"/>
    <tableColumn id="4" xr3:uid="{D3B1EC13-15CF-4E12-B7BB-E3292CA52739}" name="Amount purchased" totalsRowDxfId="550" totalsRowCellStyle="Content bold"/>
    <tableColumn id="6" xr3:uid="{D8781AF5-807D-4908-BDD4-B0CE3DFE30AF}" name="Amount unit" totalsRowDxfId="549" dataCellStyle="Input number general calculated" totalsRowCellStyle="Input text calculated"/>
    <tableColumn id="5" xr3:uid="{861C2A22-623E-4FA4-B376-890D2115A80C}" name="Percent consumed" totalsRowDxfId="548" totalsRowCellStyle="Input percent">
      <calculatedColumnFormula>1</calculatedColumnFormula>
    </tableColumn>
    <tableColumn id="1" xr3:uid="{249FFCF6-52C9-4E70-BF62-1CC24A034792}" name="Amount consumed" totalsRowFunction="custom" totalsRowDxfId="547"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012D0883-A31D-4B09-97F8-C4A39D51FAAA}" name="Amount consumed unit" totalsRowDxfId="546"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52CD4DE-6585-43CE-95EC-6D597CDC92DA}" name="Table_Input_InorganicFertiliser_Brands" displayName="Table_Input_InorganicFertiliser_Brands" ref="D17:X22" headerRowDxfId="545" dataDxfId="544" totalsRowDxfId="543">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9DDAF35E-38F6-4D8D-BEA4-CF45D2F43320}" name="Product (select)" dataDxfId="542" totalsRowDxfId="541" dataCellStyle="Input select"/>
    <tableColumn id="23" xr3:uid="{41DBF78D-8C5B-46A5-976B-1FEAAA0A3BDA}" name="Amount applied per hectare" totalsRowFunction="custom" dataDxfId="540" totalsRowDxfId="539">
      <totalsRowFormula>SUM(Table_Input_InorganicFertiliser_Brands[[#Headers],[#Data],[Amount applied per hectare]])</totalsRowFormula>
    </tableColumn>
    <tableColumn id="12" xr3:uid="{AFFDC71B-A6A7-4611-AE04-34039C89BC86}" name="Application unit" dataDxfId="538" totalsRowDxfId="537" dataCellStyle="Input number 2 decimal places"/>
    <tableColumn id="9" xr3:uid="{896BA7EB-C406-4D12-A94B-6A820EF8498C}" name="Density" dataDxfId="536" totalsRowDxfId="535" dataCellStyle="Input number 2 decimal places"/>
    <tableColumn id="6" xr3:uid="{5A3191BA-9F8F-4BE3-9D76-63B4E7E22063}" name="Application area (ha)" dataDxfId="534" totalsRowDxfId="533">
      <calculatedColumnFormula>$E$9</calculatedColumnFormula>
    </tableColumn>
    <tableColumn id="1" xr3:uid="{55733AC4-A32B-4E3F-82C7-09F77A01134C}" name="Total applied (kg)" dataDxfId="532" totalsRowDxfId="53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B15BAF39-23D3-49C9-BC2B-10ACFDB408B9}" name="Ingredient 1" dataDxfId="530" totalsRowDxfId="529" dataCellStyle="Input number general calculated"/>
    <tableColumn id="4" xr3:uid="{5EDF67A5-E454-4F4C-98B2-99E57D397CC6}" name="Ingredient 1 percent" dataDxfId="528" totalsRowDxfId="527" dataCellStyle="Input number general calculated"/>
    <tableColumn id="7" xr3:uid="{6B6E8EDD-B0E1-45A6-AAFE-3C413283A13D}" name="Ingredient 2" dataDxfId="526" dataCellStyle="Input number general calculated"/>
    <tableColumn id="8" xr3:uid="{85B1F4E4-FBAF-4C42-A241-14313C1CB151}" name="Ingredient 2 percent" dataDxfId="525" totalsRowDxfId="524" dataCellStyle="Input number general calculated"/>
    <tableColumn id="10" xr3:uid="{AECBCBA3-1872-4A30-A010-6AAE922FE4C4}" name="Ingredient 3" dataDxfId="523" totalsRowDxfId="522" dataCellStyle="Input number general calculated"/>
    <tableColumn id="11" xr3:uid="{81085FBF-771B-435C-9E8E-4023062363C3}" name="Ingredient 3 percent" dataDxfId="521" totalsRowDxfId="520" dataCellStyle="Input number general calculated"/>
    <tableColumn id="13" xr3:uid="{26E70326-266F-4555-85B9-6D69436E6481}" name="Ingredient 4" dataDxfId="519" totalsRowDxfId="518" dataCellStyle="Input number general calculated"/>
    <tableColumn id="14" xr3:uid="{2616290E-15BF-4790-B738-52E82620F6B1}" name="Ingredient 4 percent" dataDxfId="517" dataCellStyle="Input number general calculated"/>
    <tableColumn id="16" xr3:uid="{91750216-F214-4043-88CB-533D1F852AC1}" name="Ingredient 5" dataDxfId="516" dataCellStyle="Input number general calculated"/>
    <tableColumn id="17" xr3:uid="{07B54A8C-9713-4948-85C0-3AD163D47506}" name="Ingredient 5 percent" dataDxfId="515" dataCellStyle="Input number general calculated"/>
    <tableColumn id="19" xr3:uid="{73A1387C-B626-4254-B5A3-F1E8190082D5}" name="Ingredient 6" dataDxfId="514" dataCellStyle="Input number general calculated"/>
    <tableColumn id="20" xr3:uid="{58A57E63-0388-40F1-9E8B-DC204A7CFAC8}" name="Ingredient 6 percent" dataDxfId="513" dataCellStyle="Input number general calculated"/>
    <tableColumn id="5" xr3:uid="{166E1F62-37FB-4E71-B9FE-B719D2DFBC1B}" name="N application rate (kg/ha)" dataDxfId="512" totalsRowDxfId="511" dataCellStyle="Input number general calculated"/>
    <tableColumn id="15" xr3:uid="{88F713D6-33FF-4882-B66E-8E79ACC9BA9E}" name="Urea source" dataDxfId="510" totalsRowDxfId="509" dataCellStyle="Input number general calculated"/>
    <tableColumn id="18" xr3:uid="{D5D1C7CF-485F-43FC-A77A-3AEF46E6585C}" name="Ammonia source" dataDxfId="508" totalsRowDxfId="507"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86F4642-1517-483A-9D80-EC7E0FD05E30}" name="Table_Input_InorganicFertiliser_Custom" displayName="Table_Input_InorganicFertiliser_Custom" ref="D25:R28" totalsRowShown="0" headerRowDxfId="506" dataDxfId="505">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CE2607C-E45F-45DB-96C9-8C57418B6B8A}" name="Custom blend name" dataCellStyle="Input text"/>
    <tableColumn id="2" xr3:uid="{7412D3C4-F548-4BAB-82A8-9AE06B5A8B05}" name="Amount applied (kg / ha)" dataDxfId="504"/>
    <tableColumn id="3" xr3:uid="{9013CD94-100B-4843-A6B4-65A7F8E43C83}" name="Application area (ha)" dataDxfId="503" dataCellStyle="Input number 2 decimal places">
      <calculatedColumnFormula>$E$9</calculatedColumnFormula>
    </tableColumn>
    <tableColumn id="4" xr3:uid="{CE8EF414-6F40-49D1-A19E-8530111BDFF1}" name="Total applied (kg)" dataDxfId="502" dataCellStyle="Input number general calculated">
      <calculatedColumnFormula>Table_Input_InorganicFertiliser_Custom[[#This Row],[Amount applied (kg / ha)]]*Table_Input_InorganicFertiliser_Custom[[#This Row],[Application area (ha)]]</calculatedColumnFormula>
    </tableColumn>
    <tableColumn id="5" xr3:uid="{52C5CB12-5A33-4328-8098-A7E486B1403D}" name="Ingredient 1 (select)" dataDxfId="501" dataCellStyle="Input select"/>
    <tableColumn id="6" xr3:uid="{5A393CA6-EED9-4130-B541-B70B74CDEACE}" name="Ingredient 1 percent" dataDxfId="500"/>
    <tableColumn id="8" xr3:uid="{C8572C59-C1F6-4F81-AFE5-A1B6576A565C}" name="Ingredient 2" dataDxfId="499" dataCellStyle="Input select"/>
    <tableColumn id="9" xr3:uid="{3C0B0EA9-63C7-4AAB-B4BE-5DB63234E659}" name="Ingredient 2 percent" dataDxfId="498"/>
    <tableColumn id="11" xr3:uid="{3B905A37-53BD-4C0D-9B8A-FC1100AFAFB6}" name="Ingredient 3" dataDxfId="497" dataCellStyle="Input select"/>
    <tableColumn id="12" xr3:uid="{89F22FEE-7941-4DF5-9B02-2C9B5BDEDE2A}" name="Ingredient 3 percent" dataDxfId="496"/>
    <tableColumn id="14" xr3:uid="{2FBCEC2E-9BB5-45CA-BA19-3CA215B187CD}" name="Ingredient 4" dataDxfId="495" dataCellStyle="Input select"/>
    <tableColumn id="15" xr3:uid="{11450ED8-0994-421C-98FD-6E3A6A28272A}" name="Ingredient 4 percent" dataCellStyle="Input percent"/>
    <tableColumn id="7" xr3:uid="{409A9038-728A-400F-8442-200B287934D3}" name="N application rate (kg/ha)" dataDxfId="494" dataCellStyle="Input number general calculated"/>
    <tableColumn id="10" xr3:uid="{5B76CFBA-61F5-4665-A3CD-A17472CDB10F}" name="Urea source (Select)" dataCellStyle="Input select"/>
    <tableColumn id="13" xr3:uid="{3C4203EF-4D94-41CE-A876-39BE9E4CD07F}"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A16A09-FB58-49CD-A65B-F0766BE05EBD}" name="Table_Input_Lime" displayName="Table_Input_Lime" ref="D36:K39" totalsRowShown="0" headerRowDxfId="493" dataDxfId="492"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3A30FB7-6B02-4188-838A-0601FEB43E74}" name="Product" dataDxfId="491"/>
    <tableColumn id="2" xr3:uid="{AA948C2F-C826-4437-9575-3B92D4E2FB98}" name="Amount applied (t/hectare)" dataDxfId="490"/>
    <tableColumn id="4" xr3:uid="{46EA5185-CB76-48EE-AE78-A81BEFA41F79}" name="Application area (ha)" dataDxfId="489">
      <calculatedColumnFormula>$E$9</calculatedColumnFormula>
    </tableColumn>
    <tableColumn id="3" xr3:uid="{E3B185D8-B468-400A-92AB-B5B99E0B57B7}" name="Total amount applied (t)" dataDxfId="488" dataCellStyle="Input number general calculated">
      <calculatedColumnFormula>IFERROR(Table_Input_Lime[[#This Row],[Amount applied (t/hectare)]]*Table_Input_Lime[[#This Row],[Application area (ha)]], 0)</calculatedColumnFormula>
    </tableColumn>
    <tableColumn id="6" xr3:uid="{BB8450AF-D994-4B2B-89FB-E0EC3C79713E}" name="Percent Lime CaCO3" dataDxfId="487"/>
    <tableColumn id="8" xr3:uid="{235B87D5-085F-4026-8EDF-74A998783C5D}" name="Percent Dolomite CaMg(CO3)2" dataDxfId="486"/>
    <tableColumn id="7" xr3:uid="{4A1125B3-8EAA-43FA-9807-93FFEE322AB1}" name="Percent Gypsum" dataDxfId="485"/>
    <tableColumn id="10" xr3:uid="{D3428D90-3335-4174-AB0C-2FA890A03FBA}" name="Total" dataDxfId="484">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DE1672C-1B9E-4A7B-AB61-58271B4E6C50}" name="Table_Input_OrganicFertiliser" displayName="Table_Input_OrganicFertiliser" ref="D47:J50" totalsRowShown="0" headerRowDxfId="483" dataDxfId="482"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A29FC47-3FB9-48D7-9ED5-5A54F3586B98}" name="Organic fertiliser type (select)" dataDxfId="481" dataCellStyle="Input select"/>
    <tableColumn id="5" xr3:uid="{23B24E35-D0F6-45CA-B546-C4BE92F61308}" name="Percentage of N in fertiliser" dataDxfId="480"/>
    <tableColumn id="2" xr3:uid="{529DEFBA-815D-4738-8378-799EDC7D70D5}" name="Amount applied (kg/hectare)" dataDxfId="479"/>
    <tableColumn id="11" xr3:uid="{FCBD7152-196F-4E38-9A94-F377BF6019F3}" name="Amount N applied (kg/hectare)" dataDxfId="478" dataCellStyle="Input number general calculated">
      <calculatedColumnFormula>Table_Input_OrganicFertiliser[[#This Row],[Amount applied (kg/hectare)]]*Table_Input_OrganicFertiliser[[#This Row],[Percentage of N in fertiliser]]</calculatedColumnFormula>
    </tableColumn>
    <tableColumn id="4" xr3:uid="{BA3A71A5-F0F9-49E0-BBC7-CBBDC7F4CCDA}" name="Application area (ha)" dataDxfId="477">
      <calculatedColumnFormula>$E$9</calculatedColumnFormula>
    </tableColumn>
    <tableColumn id="7" xr3:uid="{4C7D172B-9521-4FC6-B71E-F5FB066B0D7A}" name="Total organic fertliser applied" dataDxfId="476" dataCellStyle="Input number general calculated">
      <calculatedColumnFormula>Table_Input_OrganicFertiliser[[#This Row],[Amount applied (kg/hectare)]]*Table_Input_OrganicFertiliser[[#This Row],[Application area (ha)]]</calculatedColumnFormula>
    </tableColumn>
    <tableColumn id="3" xr3:uid="{3CB58647-7287-443C-A3E7-F637CF0E47D5}" name="Total nitrogen applied (kg)" dataDxfId="475"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92:H102" totalsRowShown="0" headerRowDxfId="474"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473"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472">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471" dataCellStyle="Input select"/>
    <tableColumn id="2" xr3:uid="{5B0AEBA4-AB33-4382-8634-3F4C8D3B2A9B}" name="Number of head treated" dataDxfId="470"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7:K17" totalsRowShown="0">
  <autoFilter ref="D7:K1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69" dataCellStyle="Input select"/>
    <tableColumn id="2" xr3:uid="{FA43F52A-7609-4014-A6D3-CAC2C970F57C}" name="Purchase class (select)" dataDxfId="468" dataCellStyle="Input select"/>
    <tableColumn id="6" xr3:uid="{41EDEC1E-1793-4BBD-B0C8-66DE9A0925D5}" name="Source region (Select)" dataDxfId="467"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(Select)]],#REF!,#REF!,#REF!,#REF!,#REF!)</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20:I30" totalsRowShown="0" headerRowDxfId="466">
  <autoFilter ref="D20:I30" xr:uid="{E938BFB3-949A-45DE-8033-0682BC494B81}">
    <filterColumn colId="0" hiddenButton="1"/>
    <filterColumn colId="1" hiddenButton="1"/>
    <filterColumn colId="2" hiddenButton="1"/>
    <filterColumn colId="3" hiddenButton="1"/>
    <filterColumn colId="4" hiddenButton="1"/>
    <filterColumn colId="5" hiddenButton="1"/>
  </autoFilter>
  <tableColumns count="6">
    <tableColumn id="9" xr3:uid="{9915AEA9-40DA-4CFD-B08A-11FBE10BE9CF}" name="Transaction name" dataCellStyle="Input text"/>
    <tableColumn id="11" xr3:uid="{7A96FDED-4DC0-48EE-B346-DC4E5D93138D}" name="Class (select)" dataDxfId="465"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(select)]],#REF!,#REF!,#REF!,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33:H43" totalsRowShown="0" headerRowDxfId="464">
  <autoFilter ref="D33:H43" xr:uid="{14ED7533-62DD-410F-8832-CD98B0CD652B}">
    <filterColumn colId="0" hiddenButton="1"/>
    <filterColumn colId="1" hiddenButton="1"/>
    <filterColumn colId="2" hiddenButton="1"/>
    <filterColumn colId="3" hiddenButton="1"/>
    <filterColumn colId="4" hiddenButton="1"/>
  </autoFilter>
  <tableColumns count="5">
    <tableColumn id="9" xr3:uid="{FC1CEF00-A0CC-4545-ADAB-9F52D190F90C}" name="Transaction name" dataCellStyle="Input text"/>
    <tableColumn id="11" xr3:uid="{45625588-179B-4EE3-98B4-2E94FA489CC5}" name="Class (select)" dataDxfId="463"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(select)]],#REF!,#REF!)</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46:H56" totalsRowShown="0">
  <autoFilter ref="D46:H56" xr:uid="{7DCBF554-869B-4226-8D02-B0F5F866C92B}">
    <filterColumn colId="0" hiddenButton="1"/>
    <filterColumn colId="1" hiddenButton="1"/>
    <filterColumn colId="2" hiddenButton="1"/>
    <filterColumn colId="3" hiddenButton="1"/>
    <filterColumn colId="4" hiddenButton="1"/>
  </autoFilter>
  <tableColumns count="5">
    <tableColumn id="9" xr3:uid="{D6ADF99B-6024-404D-ADE3-4453D96F9A44}" name="Transaction name" dataCellStyle="Input text"/>
    <tableColumn id="11" xr3:uid="{4ED1C819-CD4A-4EB7-A045-069B468B975F}" name="Class (select)" dataDxfId="462"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(select)]],#REF!,#REF!)</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4910565-D726-417E-B9B5-C20703DDFB32}"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79D25D91-2507-489A-812E-0C62E6AE24E3}" name="Description"/>
    <tableColumn id="5" xr3:uid="{A6C7D093-4001-4606-A83E-125FFB2CB990}" name="Treatment type (select)" dataCellStyle="Input select"/>
    <tableColumn id="2" xr3:uid="{0312E077-7045-4312-A59E-50681C197BB7}" name="Waste type (select)" dataCellStyle="Input select"/>
    <tableColumn id="3" xr3:uid="{ED7D0F36-EB26-4CB6-935C-D8442980B420}" name="Treatment location (select)" dataCellStyle="Input select"/>
    <tableColumn id="4" xr3:uid="{D298D879-EED5-4864-993A-F0C6955BCB1F}" name="Amount" dataCellStyle="Input number general"/>
    <tableColumn id="7" xr3:uid="{8B731C6F-F681-463F-A1C1-341F5F0C7987}"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ED72DCA9-1A6D-44F7-BA8E-5F54548B351B}"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2927FEA-9F64-4939-B12F-F73AB6DCBED7}" name="Description"/>
    <tableColumn id="5" xr3:uid="{960CBC29-42A0-46C3-8C54-E811FDEE28A0}" name="Source (select)" dataCellStyle="Input select"/>
    <tableColumn id="2" xr3:uid="{7E476D3C-3044-4544-BAA4-8B63F17A4FA4}" name="Generation date" dataDxfId="461"/>
    <tableColumn id="3" xr3:uid="{A4089B3C-1A64-4A22-B61D-371F6FCD5402}" name="Number of certificates"/>
    <tableColumn id="4" xr3:uid="{81DFA53A-0976-419E-873A-586C068B046B}" name="MWh" dataCellStyle="Input number general calculated">
      <calculatedColumnFormula>Table_Input_RECSurrendered[[#This Row],[Number of certificates]]</calculatedColumnFormula>
    </tableColumn>
    <tableColumn id="7" xr3:uid="{647CA5AB-AC71-41C1-A76F-9D4F422A85AA}"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3309D06-1DCF-4B0A-94CF-357DAA4A34A7}"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C9A0B920-052C-46F6-A092-3137E6CE35D1}" name="Description"/>
    <tableColumn id="5" xr3:uid="{8C0562D7-6835-454E-92E7-F759D54E5043}" name="Source" dataCellStyle="Input text calculated">
      <calculatedColumnFormula>"Issued for generated electricity"</calculatedColumnFormula>
    </tableColumn>
    <tableColumn id="2" xr3:uid="{4DBC7A6C-A12E-4973-9111-2229AD404066}" name="Generation date" dataDxfId="460"/>
    <tableColumn id="3" xr3:uid="{447A10AB-44FC-4874-933C-C810CF98D24D}" name="Number of certificates"/>
    <tableColumn id="4" xr3:uid="{AAC25EB4-C4F3-42D3-A745-22E4403B8325}" name="MWh" dataCellStyle="Input number general calculated">
      <calculatedColumnFormula>Table_Input_RECConsumedByEntity[[#This Row],[Number of certificates]]</calculatedColumnFormula>
    </tableColumn>
    <tableColumn id="7" xr3:uid="{4A359225-60B7-45AD-9630-E1EB2028740B}"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59"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58"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57"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56"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55"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54"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53"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52"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51"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50"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49"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48"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47"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46"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45"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44"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43"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42"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41"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40"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39"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38"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37"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36"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35"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34"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33"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32"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31"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30"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29"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28"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27"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26"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25"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24"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23"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22"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21"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20"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19"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18"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17"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16"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15"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14"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13"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12"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411"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410"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409"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408"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407"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406"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405"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404"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403"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402"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401"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400"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99"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98"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97"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96"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95"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94"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93"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92"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91"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90"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89"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88"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87"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57671E4D-CB7E-4133-BBBD-0BF52052B378}"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BDC4BB17-3D36-456B-A460-5FA0D50A6DD5}"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28F96AD6-0C44-4AAE-913C-F4D8FD06A425}" name="Waste type w" dataDxfId="386"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20F64BF0-ED0E-439A-A0A0-CEB7D6BEF6C0}" name="EFwt" dataDxfId="38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AC91595A-528A-45FB-AA8E-49B74B5DF181}" name="EF source" dataDxfId="38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7F77284B-810E-491F-8108-A2138D71387E}"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C55035A8-125A-4A24-B798-38C3FAED523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13692926-FCBE-4C45-A2A9-00BF702A6AB9}" name="VTMw" dataDxfId="383"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643EF85E-54D3-4F6E-A4A7-0DEBCCF8D5A4}" name="Table_WasteTypes_Landfill" displayName="Table_WasteTypes_Landfill" ref="I16:I27" totalsRowShown="0">
  <autoFilter ref="I16:I27" xr:uid="{99B942E3-1D24-4166-921C-DCC10960718D}">
    <filterColumn colId="0" hiddenButton="1"/>
  </autoFilter>
  <tableColumns count="1">
    <tableColumn id="1" xr3:uid="{04BEF819-FD06-4573-8355-8BBBB6078E83}"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11952478-133D-44A2-A735-D780BAD48D60}" name="Table_WasteTypes_Incineration" displayName="Table_WasteTypes_Incineration" ref="K16:K26" totalsRowShown="0" headerRowDxfId="382" headerRowCellStyle="Content normal" dataCellStyle="Content normal">
  <autoFilter ref="K16:K26" xr:uid="{9A900595-7035-4239-9059-ACC16835BF72}">
    <filterColumn colId="0" hiddenButton="1"/>
  </autoFilter>
  <tableColumns count="1">
    <tableColumn id="1" xr3:uid="{7154C634-F3B0-4BE0-A467-65123D2588E9}" name="Waste type w" dataCellStyle="Content normal">
      <calculatedColumnFormula>E29</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758E6542-5E94-4FD5-9484-FCFBF85488B5}" name="Table_WasteTypes_Composting" displayName="Table_WasteTypes_Composting" ref="M16:M21" totalsRowShown="0" headerRowDxfId="381" headerRowCellStyle="Content normal" dataCellStyle="Content normal">
  <autoFilter ref="M16:M21" xr:uid="{5C8D39D3-1330-49EB-B431-1B2B8C8238DC}">
    <filterColumn colId="0" hiddenButton="1"/>
  </autoFilter>
  <tableColumns count="1">
    <tableColumn id="1" xr3:uid="{A6DD450E-C23A-4066-AD91-5520CEDDD261}" name="Waste type w" totalsRowDxfId="380" dataCellStyle="Content normal">
      <calculatedColumnFormula>E40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18C4C846-A176-4136-A5DB-2D139B4D45AA}" name="Table_WasteTypes_Anaerobicdigestion" displayName="Table_WasteTypes_Anaerobicdigestion" ref="O16:O21" totalsRowShown="0" headerRowDxfId="379" headerRowCellStyle="Content normal" dataCellStyle="Content normal">
  <autoFilter ref="O16:O21" xr:uid="{331EC43E-DF68-429F-A2A4-58BFE6216EC3}">
    <filterColumn colId="0" hiddenButton="1"/>
  </autoFilter>
  <tableColumns count="1">
    <tableColumn id="1" xr3:uid="{3C75AC5D-B056-4784-B200-0086E3BAA786}" name="Waste type w" totalsRowDxfId="378" dataCellStyle="Content normal">
      <calculatedColumnFormula>E46</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B7044811-F37A-41AA-862C-6643ECA81FD5}" name="Table_Fuel_EFs_StationaryLiquid" displayName="Table_Fuel_EFs_StationaryLiquid" ref="D53:K77" totalsRowShown="0" headerRowDxfId="377" dataDxfId="376">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C498134-13F0-4543-9E42-669AD10FBFE6}" name="Fuel combusted" dataDxfId="375">
      <calculatedColumnFormula array="1">Common_InputFunctions.Utility_DisplayArrayInTable(Fuel_SourceData.Fuel_Scope1Scope3EmissionFactorsStationaryLiquid_Data(), Table_Fuel_EFs_StationaryLiquid[[#Headers],[Fuel combusted]],0)</calculatedColumnFormula>
    </tableColumn>
    <tableColumn id="2" xr3:uid="{86108961-1659-4E6A-9330-5F4ED54DF25F}" name="Energy Content Factor (GJ per unit of fuel)" dataDxfId="374">
      <calculatedColumnFormula array="1">Common_InputFunctions.Utility_DisplayArrayInTable(Fuel_SourceData.Fuel_Scope1Scope3EmissionFactorsStationaryLiquid_Data(), Table_Fuel_EFs_StationaryLiquid[[#Headers],[Fuel combusted]],0)</calculatedColumnFormula>
    </tableColumn>
    <tableColumn id="3" xr3:uid="{1B7A6AFC-2240-4C7A-BE6C-90743CFFFC42}" name="Fuel unit" dataDxfId="373">
      <calculatedColumnFormula array="1">Common_InputFunctions.Utility_DisplayArrayInTable(Fuel_SourceData.Fuel_Scope1Scope3EmissionFactorsStationaryLiquid_Data(), Table_Fuel_EFs_StationaryLiquid[[#Headers],[Fuel combusted]],0)</calculatedColumnFormula>
    </tableColumn>
    <tableColumn id="4" xr3:uid="{DCCD9AD2-9E4D-444B-BB9C-032ADA678EB4}" name="Scope 1 Emission Factor (kg CO2 - e / GJ) CO2" dataDxfId="372">
      <calculatedColumnFormula array="1">Common_InputFunctions.Utility_DisplayArrayInTable(Fuel_SourceData.Fuel_Scope1Scope3EmissionFactorsStationaryLiquid_Data(), Table_Fuel_EFs_StationaryLiquid[[#Headers],[Fuel combusted]],0)</calculatedColumnFormula>
    </tableColumn>
    <tableColumn id="5" xr3:uid="{9ED0C99F-694C-493D-A21C-9C96CBD21145}" name="Scope 1 Emission Factor (kg CO2 - e / GJ) CH4" dataDxfId="371">
      <calculatedColumnFormula array="1">Common_InputFunctions.Utility_DisplayArrayInTable(Fuel_SourceData.Fuel_Scope1Scope3EmissionFactorsStationaryLiquid_Data(), Table_Fuel_EFs_StationaryLiquid[[#Headers],[Fuel combusted]],0)</calculatedColumnFormula>
    </tableColumn>
    <tableColumn id="6" xr3:uid="{343C9E16-961C-4CE2-BBBD-4A6095EC95F9}" name="Scope 1 Emission Factor (kg CO2 - e / GJ) N2O" dataDxfId="370">
      <calculatedColumnFormula array="1">Common_InputFunctions.Utility_DisplayArrayInTable(Fuel_SourceData.Fuel_Scope1Scope3EmissionFactorsStationaryLiquid_Data(), Table_Fuel_EFs_StationaryLiquid[[#Headers],[Fuel combusted]],0)</calculatedColumnFormula>
    </tableColumn>
    <tableColumn id="7" xr3:uid="{F6680140-1171-47AD-B3A2-5820B52848F8}" name="Scope 1 Emission Factor (kg CO2 - e / GJ) Combined gases" dataDxfId="369">
      <calculatedColumnFormula array="1">Common_InputFunctions.Utility_DisplayArrayInTable(Fuel_SourceData.Fuel_Scope1Scope3EmissionFactorsStationaryLiquid_Data(), Table_Fuel_EFs_StationaryLiquid[[#Headers],[Fuel combusted]],0)</calculatedColumnFormula>
    </tableColumn>
    <tableColumn id="8" xr3:uid="{5C312658-0C1C-447A-8DF6-19E898067D5E}" name="Scope 3 Emission Factor (kg CO2 - e / GJ)" dataDxfId="368">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996FD17A-D656-4433-9324-591A8F4459F8}" name="Table_Fuel_EFs_Transport" displayName="Table_Fuel_EFs_Transport" ref="D9:L34" totalsRowShown="0" headerRowDxfId="367" dataDxfId="366">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94FABD04-5612-47D3-AA4B-DB97D85B2805}" name="Transport type" dataDxfId="365">
      <calculatedColumnFormula array="1">Common_InputFunctions.Utility_DisplayArrayInTable(Fuel_SourceData.Fuel_Scope1Scope3EmissionFactorsTransport_Data(), Table_Fuel_EFs_Transport[[#Headers],[Transport type]], 0)</calculatedColumnFormula>
    </tableColumn>
    <tableColumn id="2" xr3:uid="{FE92DDFD-0A71-42FA-9CDD-1CCBE1868F62}" name="Fuel combusted" dataDxfId="364">
      <calculatedColumnFormula array="1">Common_InputFunctions.Utility_DisplayArrayInTable(Fuel_SourceData.Fuel_Scope1Scope3EmissionFactorsTransport_Data(), Table_Fuel_EFs_Transport[[#Headers],[Transport type]], 0)</calculatedColumnFormula>
    </tableColumn>
    <tableColumn id="3" xr3:uid="{E4F14F65-461C-4F0A-B85B-48A84C73268F}" name="Energy Content Factor (GJ per unit of fuel)" dataDxfId="363">
      <calculatedColumnFormula array="1">Common_InputFunctions.Utility_DisplayArrayInTable(Fuel_SourceData.Fuel_Scope1Scope3EmissionFactorsTransport_Data(), Table_Fuel_EFs_Transport[[#Headers],[Transport type]], 0)</calculatedColumnFormula>
    </tableColumn>
    <tableColumn id="4" xr3:uid="{C2FD6ED1-E8DF-4E66-9D65-E545307F9BF4}" name="Fuel unit" dataDxfId="362">
      <calculatedColumnFormula array="1">Common_InputFunctions.Utility_DisplayArrayInTable(Fuel_SourceData.Fuel_Scope1Scope3EmissionFactorsTransport_Data(), Table_Fuel_EFs_Transport[[#Headers],[Transport type]], 0)</calculatedColumnFormula>
    </tableColumn>
    <tableColumn id="8" xr3:uid="{292E2E22-C232-4F64-B45D-8742F5899CCE}" name="Scope 1 Emission Factor (kg CO2 - e / GJ) CO2" dataDxfId="361">
      <calculatedColumnFormula array="1">Common_InputFunctions.Utility_DisplayArrayInTable(Fuel_SourceData.Fuel_Scope1Scope3EmissionFactorsTransport_Data(), Table_Fuel_EFs_Transport[[#Headers],[Transport type]], 0)</calculatedColumnFormula>
    </tableColumn>
    <tableColumn id="9" xr3:uid="{887EB983-6602-46B6-A968-586DA098A02C}" name="Scope 1 Emission Factor (kg CO2 - e / GJ) CH4" dataDxfId="360">
      <calculatedColumnFormula array="1">Common_InputFunctions.Utility_DisplayArrayInTable(Fuel_SourceData.Fuel_Scope1Scope3EmissionFactorsTransport_Data(), Table_Fuel_EFs_Transport[[#Headers],[Transport type]], 0)</calculatedColumnFormula>
    </tableColumn>
    <tableColumn id="10" xr3:uid="{8C968039-12EC-45CB-ADE8-3AD502C77305}" name="Scope 1 Emission Factor (kg CO2 - e / GJ) N2O" dataDxfId="359">
      <calculatedColumnFormula array="1">Common_InputFunctions.Utility_DisplayArrayInTable(Fuel_SourceData.Fuel_Scope1Scope3EmissionFactorsTransport_Data(), Table_Fuel_EFs_Transport[[#Headers],[Transport type]], 0)</calculatedColumnFormula>
    </tableColumn>
    <tableColumn id="11" xr3:uid="{4EF42D01-C5E5-4CB1-BAAD-36CBB88BA667}" name="Scope 1 Emission Factor (kg CO2 - e / GJ) Combined gases" dataDxfId="358">
      <calculatedColumnFormula array="1">Common_InputFunctions.Utility_DisplayArrayInTable(Fuel_SourceData.Fuel_Scope1Scope3EmissionFactorsTransport_Data(), Table_Fuel_EFs_Transport[[#Headers],[Transport type]], 0)</calculatedColumnFormula>
    </tableColumn>
    <tableColumn id="12" xr3:uid="{9CCDE11E-B5DE-44FF-B22A-898B0472C19B}" name="Scope 3 Emission Factor (kg CO2 - e / GJ)" dataDxfId="357">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7C24D7ED-AEF4-402F-B155-639782E4776B}" name="Table_FuelTypesPerUse" displayName="Table_FuelTypesPerUse" ref="D130:I139" totalsRowShown="0" headerRowDxfId="356" dataDxfId="355">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1C8028AC-E18B-4CBD-9707-412A53A61882}" name="Generators" dataDxfId="354"/>
    <tableColumn id="2" xr3:uid="{A9ED42CE-22FF-41A9-8749-1EB3CAB7901F}" name="Power standalone machinery or heating" dataDxfId="353"/>
    <tableColumn id="3" xr3:uid="{443C283F-89CA-49D9-BFAB-2E2F7D32F64A}" name="Aviation" dataDxfId="352"/>
    <tableColumn id="5" xr3:uid="{2943ECCF-793E-4342-87A8-9CC786554A57}" name="Cars and light commercial vehicles" dataDxfId="351"/>
    <tableColumn id="7" xr3:uid="{0B1BE7E2-DBAE-4BD7-88F4-2380B8D114BA}" name="Off-road Agriculture and forestry equipment" dataDxfId="350" dataCellStyle="Content bold"/>
    <tableColumn id="8" xr3:uid="{857EB91B-F354-49C2-BFB6-0AFCF99C01F7}" name="Vessels" dataDxfId="349" dataCellStyle="Content bold"/>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240D79A5-AD1D-4D13-8B84-5D5D26E936A3}" name="Table_Fuel_EFs_StationaryGaseous" displayName="Table_Fuel_EFs_StationaryGaseous" ref="D86:J104" totalsRowShown="0" headerRowDxfId="348" dataDxfId="347">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2B91CC3-C9D3-4394-BAE6-EDF162D4775C}" name="Fuel combusted" dataDxfId="346">
      <calculatedColumnFormula array="1">Common_InputFunctions.Utility_DisplayArrayInTable(Fuel_SourceData.Fuel_Scope1EmissionFactorsStationaryGaseous_Data(), Table_Fuel_EFs_StationaryGaseous[[#Headers],[Fuel combusted]],0)</calculatedColumnFormula>
    </tableColumn>
    <tableColumn id="2" xr3:uid="{74C724B0-19B8-4CEE-AA6C-CB365804C830}" name="Energy Content Factor (GJ per unit of fuel)" dataDxfId="345">
      <calculatedColumnFormula array="1">Common_InputFunctions.Utility_DisplayArrayInTable(Fuel_SourceData.Fuel_Scope1EmissionFactorsStationaryGaseous_Data(), Table_Fuel_EFs_StationaryGaseous[[#Headers],[Fuel combusted]],0)</calculatedColumnFormula>
    </tableColumn>
    <tableColumn id="3" xr3:uid="{8ACFEE9D-CAF4-46E1-9A6D-00E00CDD7F88}" name="Fuel unit" dataDxfId="344">
      <calculatedColumnFormula array="1">Common_InputFunctions.Utility_DisplayArrayInTable(Fuel_SourceData.Fuel_Scope1EmissionFactorsStationaryGaseous_Data(), Table_Fuel_EFs_StationaryGaseous[[#Headers],[Fuel combusted]],0)</calculatedColumnFormula>
    </tableColumn>
    <tableColumn id="4" xr3:uid="{443C8638-638D-4DAB-BC89-65781166F8E2}" name="Scope 1 Emission Factor (kg CO2 - e / GJ) CO2" dataDxfId="343">
      <calculatedColumnFormula array="1">Common_InputFunctions.Utility_DisplayArrayInTable(Fuel_SourceData.Fuel_Scope1EmissionFactorsStationaryGaseous_Data(), Table_Fuel_EFs_StationaryGaseous[[#Headers],[Fuel combusted]],0)</calculatedColumnFormula>
    </tableColumn>
    <tableColumn id="5" xr3:uid="{59853D69-189D-4106-9925-D6D0BF714392}" name="Scope 1 Emission Factor (kg CO2 - e / GJ) CH4" dataDxfId="342">
      <calculatedColumnFormula array="1">Common_InputFunctions.Utility_DisplayArrayInTable(Fuel_SourceData.Fuel_Scope1EmissionFactorsStationaryGaseous_Data(), Table_Fuel_EFs_StationaryGaseous[[#Headers],[Fuel combusted]],0)</calculatedColumnFormula>
    </tableColumn>
    <tableColumn id="6" xr3:uid="{1FDA37D9-C36A-4417-B037-38DBCC7104AD}" name="Scope 1 Emission Factor (kg CO2 - e / GJ) N2O" dataDxfId="341">
      <calculatedColumnFormula array="1">Common_InputFunctions.Utility_DisplayArrayInTable(Fuel_SourceData.Fuel_Scope1EmissionFactorsStationaryGaseous_Data(), Table_Fuel_EFs_StationaryGaseous[[#Headers],[Fuel combusted]],0)</calculatedColumnFormula>
    </tableColumn>
    <tableColumn id="7" xr3:uid="{0687254C-FF43-43B1-89AF-632CA998BD15}" name="Scope 1 Emission Factor (kg CO2 - e / GJ) Combined gases" dataDxfId="340">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3043D0C2-BD41-4D6A-9116-BA45BF903C55}" name="Table_Fuel_EFs_StationaryGaseous34" displayName="Table_Fuel_EFs_StationaryGaseous34" ref="D112:F120" headerRowDxfId="339" totalsRowDxfId="338">
  <autoFilter ref="D112:F120" xr:uid="{7D6CE29D-2354-4FAC-9965-9A66FFA42416}">
    <filterColumn colId="0" hiddenButton="1"/>
    <filterColumn colId="1" hiddenButton="1"/>
    <filterColumn colId="2" hiddenButton="1"/>
  </autoFilter>
  <tableColumns count="3">
    <tableColumn id="1" xr3:uid="{07A3D297-B868-469F-AFC9-32D070C84562}" name="State or territory" totalsRowDxfId="337">
      <calculatedColumnFormula array="1">Common_InputFunctions.Utility_DisplayArrayInTable(Fuel_SourceData.Fuel_Scope3EmissionFactorsStationaryGaseous_Data(), Table_Fuel_EFs_StationaryGaseous34[[#Headers],[State or territory]],0)</calculatedColumnFormula>
    </tableColumn>
    <tableColumn id="2" xr3:uid="{2DCEF404-C0EA-4CC8-8AD9-A73BC2392AC1}" name="Metro" totalsRowDxfId="336">
      <calculatedColumnFormula array="1">Common_InputFunctions.Utility_DisplayArrayInTable(Fuel_SourceData.Fuel_Scope3EmissionFactorsStationaryGaseous_Data(), Table_Fuel_EFs_StationaryGaseous34[[#Headers],[State or territory]],0)</calculatedColumnFormula>
    </tableColumn>
    <tableColumn id="3" xr3:uid="{B7C2712F-FF33-4275-AFB7-AD61825D1E84}" name="Non-metro" totalsRowDxfId="335">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35D5C27-1270-4904-8BEC-187926AF7DD6}"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CE328E51-495C-4CBA-AD8B-F5B06C862F3C}" name="Fuel type"/>
    <tableColumn id="2" xr3:uid="{C07F3A22-816A-4EA7-A042-A4247C83E780}" name="Unit"/>
    <tableColumn id="3" xr3:uid="{4E2AEBAF-2AA8-47D2-B18E-831F06C4F8A5}" name="Input Unit" dataDxfId="334"/>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B94BED41-2376-4D97-BF63-315F0120B883}"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43E806A-38A6-4327-A412-CA3B168F9F7C}"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82177DB4-E894-4A80-AFC6-03E5A193A985}" name="Fuel type q" dataDxfId="33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A37B06E5-E48C-4392-9229-9CEA9A672279}" name="ECTrans,q (GJ/kL)" dataDxfId="33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8DA63B0E-9B1B-448C-9CB6-B7989E2BF8D1}" name="Scope 1 CO2 EFTran,1,tqg (kg CO2-e/GJ)" dataDxfId="33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4D6F249-8396-4081-A37A-73F1A646E1A8}" name="Scope 1 CH4 EFTran,1,tgg (kg CO2-e/GJ)" dataDxfId="33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0988A90E-BED3-45C8-820F-244F9A34AEC5}" name="Scope 1 N2O EFTran,1,tgg (kg CO2-e/GJ)" dataDxfId="32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040C699D-36C6-4124-BBA2-EEEC9FFB9E24}" name="Scope 3 EFTrans,3,q (kg CO2-e/GJ)" dataDxfId="32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CFA2F5F6-C43E-4A98-AB91-40844EEBD51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64F11E6D-3779-462B-ACAD-1AE125B740EB}"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EB31EF3F-E160-457F-8F61-1F213BDE573F}" name="Layers" dataDxfId="327"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D0356380-C0BA-41BC-B196-D7C8D22DB1C5}" name="Meat chicken growers" dataDxfId="326"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F0EF192D-3039-484F-86C0-8231324FE23E}" name="Meat chicken breeder" dataDxfId="325"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C2B0873B-510E-4AFC-A689-3129D6CA0582}" name="Meat other" dataDxfId="324"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2679908B-0C18-485A-9CA8-40CEB1B910D4}"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DCC5A99D-6F94-4F3A-9C89-33B10BD1133E}"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3871AA57-18C7-4D54-A5AE-BFE43ADC17CB}" name="B0" dataDxfId="323"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4609AFEE-95D0-4A97-AAEA-C103C92664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64642D15-EA7C-4F30-8C96-C80F1C241175}" name="MMS"/>
    <tableColumn id="2" xr3:uid="{4E1FC166-E7F6-478B-B11F-EC0FCB3139C4}" name="Symbol and MMS" dataDxfId="322"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1F9DD57A-6061-401F-B6E4-14F44C1B62C0}" name="Table_SourceData_Poultry_ProductionSystems" displayName="Table_SourceData_Poultry_ProductionSystems" ref="D44:D47" totalsRowShown="0">
  <autoFilter ref="D44:D47" xr:uid="{5810106E-36C6-489E-8962-5DE08C5F2EAC}">
    <filterColumn colId="0" hiddenButton="1"/>
  </autoFilter>
  <tableColumns count="1">
    <tableColumn id="1" xr3:uid="{64C85E91-6D19-4C93-8103-4D5B34C0114B}"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597EE2B0-3585-42BD-8092-9215283B8DD8}"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6A3A036D-3EE6-4445-8677-E9A56ACBC834}" name="MMS m">
      <calculatedColumnFormula array="1">Common_InputFunctions.Utility_DisplayArrayInTable(SourceData_Poultry.SourceData_Poultry_MCF_Data(), Table_SourceData_Poultry_MMSMCF[[#Headers],[MMS m]], 0)</calculatedColumnFormula>
    </tableColumn>
    <tableColumn id="2" xr3:uid="{5E499959-35C5-4626-92B0-417A1D1D03F3}" name="All states" dataDxfId="321" dataCellStyle="Content normal">
      <calculatedColumnFormula array="1">Common_InputFunctions.Utility_DisplayArrayInTable(SourceData_Poultry.SourceData_Poultry_MCF_Data(), Table_SourceData_Poultry_MMSMCF[[#Headers],[MMS m]], 0)</calculatedColumnFormula>
    </tableColumn>
    <tableColumn id="3" xr3:uid="{078271C0-7951-4EE4-894D-3162B25EDDC0}" name="NSW" dataDxfId="320" dataCellStyle="Content normal">
      <calculatedColumnFormula array="1">Common_InputFunctions.Utility_DisplayArrayInTable(SourceData_Poultry.SourceData_Poultry_MCF_Data(), Table_SourceData_Poultry_MMSMCF[[#Headers],[MMS m]], 0)</calculatedColumnFormula>
    </tableColumn>
    <tableColumn id="4" xr3:uid="{19BCB9E3-9553-4EB5-9672-CD8FFF6EAA0D}" name="ACT" dataDxfId="319" dataCellStyle="Content normal">
      <calculatedColumnFormula array="1">Common_InputFunctions.Utility_DisplayArrayInTable(SourceData_Poultry.SourceData_Poultry_MCF_Data(), Table_SourceData_Poultry_MMSMCF[[#Headers],[MMS m]], 0)</calculatedColumnFormula>
    </tableColumn>
    <tableColumn id="5" xr3:uid="{45292A3D-A87A-4FBB-B6E8-DFAAB253077E}" name="QLD" dataDxfId="318" dataCellStyle="Content normal">
      <calculatedColumnFormula array="1">Common_InputFunctions.Utility_DisplayArrayInTable(SourceData_Poultry.SourceData_Poultry_MCF_Data(), Table_SourceData_Poultry_MMSMCF[[#Headers],[MMS m]], 0)</calculatedColumnFormula>
    </tableColumn>
    <tableColumn id="6" xr3:uid="{ED093843-AEF2-4AFE-A9DC-0B061698887D}" name="NT" dataDxfId="317" dataCellStyle="Content normal">
      <calculatedColumnFormula array="1">Common_InputFunctions.Utility_DisplayArrayInTable(SourceData_Poultry.SourceData_Poultry_MCF_Data(), Table_SourceData_Poultry_MMSMCF[[#Headers],[MMS m]], 0)</calculatedColumnFormula>
    </tableColumn>
    <tableColumn id="7" xr3:uid="{9AA4B1A4-3B0B-4259-8F0B-3A1830B0479F}" name="VIC" dataDxfId="316" dataCellStyle="Content normal">
      <calculatedColumnFormula array="1">Common_InputFunctions.Utility_DisplayArrayInTable(SourceData_Poultry.SourceData_Poultry_MCF_Data(), Table_SourceData_Poultry_MMSMCF[[#Headers],[MMS m]], 0)</calculatedColumnFormula>
    </tableColumn>
    <tableColumn id="8" xr3:uid="{FFDE4694-F879-4102-A245-9C5E66F7B79C}" name="SA" dataDxfId="315" dataCellStyle="Content normal">
      <calculatedColumnFormula array="1">Common_InputFunctions.Utility_DisplayArrayInTable(SourceData_Poultry.SourceData_Poultry_MCF_Data(), Table_SourceData_Poultry_MMSMCF[[#Headers],[MMS m]], 0)</calculatedColumnFormula>
    </tableColumn>
    <tableColumn id="9" xr3:uid="{9E20D7A8-95CC-4DEA-91FB-58AF7CBC20B5}" name="WA" dataDxfId="314" dataCellStyle="Content normal">
      <calculatedColumnFormula array="1">Common_InputFunctions.Utility_DisplayArrayInTable(SourceData_Poultry.SourceData_Poultry_MCF_Data(), Table_SourceData_Poultry_MMSMCF[[#Headers],[MMS m]], 0)</calculatedColumnFormula>
    </tableColumn>
    <tableColumn id="10" xr3:uid="{6F9E4537-2EB5-4A26-9936-5BEC79793563}" name="TAS" dataDxfId="313" dataCellStyle="Content normal">
      <calculatedColumnFormula array="1">Common_InputFunctions.Utility_DisplayArrayInTable(SourceData_Poultry.SourceData_Poultry_MCF_Data(), Table_SourceData_Poultry_MMSMCF[[#Headers],[MMS m]], 0)</calculatedColumnFormula>
    </tableColumn>
    <tableColumn id="11" xr3:uid="{11CBE52E-2D93-499A-A05C-186B1B8DF043}" name="NIR definition" dataDxfId="312"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20E92EAA-7414-4E05-A90A-8A70EF2037E4}"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9FD30D7E-FD29-419C-8961-B416E9F3899C}" name="MMS"/>
    <tableColumn id="2" xr3:uid="{65A2ED4E-A54B-4E28-B7ED-2ABAC70C3F7B}" name="Symbol and MMS" dataDxfId="311"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E32FF223-76A8-4AE7-A391-F9C3EBD5A2C2}"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B7D867CE-CB19-42A8-A3E3-8488E307DA64}" name="MMS"/>
    <tableColumn id="2" xr3:uid="{D8FDF4C1-8DE1-47C8-933F-B0AD83C24EFD}" name="Symbol and MMS" dataDxfId="310"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F3EBCAE2-C90C-4A6A-B6E2-BE962B5AE35B}"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AD7546DF-0E2E-40F6-847A-C0284DEE4A00}" name="MMS">
      <calculatedColumnFormula array="1">Common_InputFunctions.Utility_DisplayArrayInTable(SourceData_Poultry.SourceData_Poultry_VSL_Data(), Table_SourceData_Poultry_MMSVSL[[#Headers],[MMS]], 0)</calculatedColumnFormula>
    </tableColumn>
    <tableColumn id="2" xr3:uid="{62697C40-853B-4837-B6DB-A9F906CA1FE9}" name="VSL" dataDxfId="309" dataCellStyle="Content normal">
      <calculatedColumnFormula array="1">Common_InputFunctions.Utility_DisplayArrayInTable(SourceData_Poultry.SourceData_Poultry_VSL_Data(), Table_SourceData_Poultry_MMSVSL[[#Headers],[MMS]], 0)</calculatedColumnFormula>
    </tableColumn>
    <tableColumn id="3" xr3:uid="{FE523A83-7E9D-4D56-88E6-B9BE72FC0B78}" name="NIR definition" dataDxfId="308"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90EA6D85-6322-4627-9150-475A999BC484}"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A91BE9F-AAEB-4E62-BFA3-C081CE26528E}" name="MMSm">
      <calculatedColumnFormula array="1">Common_InputFunctions.Utility_DisplayArrayInTable(SourceData_Poultry.SourceData_Poultry_FracGASMmT_Data(), Table_SourceData_Poultry_FracGASM[[#Headers],[MMSm]], 0)</calculatedColumnFormula>
    </tableColumn>
    <tableColumn id="2" xr3:uid="{1690F7FB-8E88-498C-A2D0-886C9F1F12B0}" name="FracGASMmT" dataDxfId="307" dataCellStyle="Content normal">
      <calculatedColumnFormula array="1">Common_InputFunctions.Utility_DisplayArrayInTable(SourceData_Poultry.SourceData_Poultry_FracGASMmT_Data(), Table_SourceData_Poultry_FracGASM[[#Headers],[MMSm]], 0)</calculatedColumnFormula>
    </tableColumn>
    <tableColumn id="3" xr3:uid="{4708D007-09B6-4771-B8FA-1DE0296F490D}" name="NIR reference" dataDxfId="306"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B2A83AB4-3BDB-40F1-9F58-2562AC8CEE7C}"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162D65C3-5258-4AB0-B227-45383846D939}" name="MMSm">
      <calculatedColumnFormula array="1">Common_InputFunctions.Utility_DisplayArrayInTable(SourceData_Poultry.SourceData_Poultry_EFmT_Data(),Table_SourceData_Poultry_EFmT[[#Headers],[MMSm]], 0)</calculatedColumnFormula>
    </tableColumn>
    <tableColumn id="2" xr3:uid="{A2A4C87F-1A3F-4DBE-A096-1ECB18D6260F}" name="EFmT" dataDxfId="305" dataCellStyle="Content normal">
      <calculatedColumnFormula array="1">Common_InputFunctions.Utility_DisplayArrayInTable(SourceData_Poultry.SourceData_Poultry_EFmT_Data(),Table_SourceData_Poultry_EFmT[[#Headers],[MMSm]], 0)</calculatedColumnFormula>
    </tableColumn>
    <tableColumn id="3" xr3:uid="{A55FF6F4-811A-48AD-884B-649D26C21F47}" name="NIR reference" dataDxfId="304"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4D02FF57-B434-4A4A-A768-81303023B0A5}"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1E87C725-5FA5-454F-B760-43CFC2926975}" name="Livestock class j">
      <calculatedColumnFormula array="1">Common_InputFunctions.Utility_DisplayArrayInTable(SourceData_Poultry.SourceData_Poultry_Liveweights_Data(),Table_SourceData_Poultry_Liveweights[[#Headers],[Livestock class j]],0)</calculatedColumnFormula>
    </tableColumn>
    <tableColumn id="2" xr3:uid="{07115754-5925-4332-9EA1-2AD7EA1390FA}" name="Average liveweight (kg)" dataDxfId="303"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78F4AAAD-80F9-4458-94A0-72BC8D7281A4}" name="Table_SourceData_Poultry_CropProdSystems" displayName="Table_SourceData_Poultry_CropProdSystems" ref="G44:G46" totalsRowShown="0">
  <autoFilter ref="G44:G46" xr:uid="{8EDB544D-AFFC-41EF-8AD9-9AD07200476D}"/>
  <tableColumns count="1">
    <tableColumn id="1" xr3:uid="{45CE8BCD-A1EF-416E-AFB4-45FAE0644535}" name="Production system">
      <calculatedColumnFormula>#REF!</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F915825A-C4C8-49C2-A8B5-D42E68473D6A}" name="Table_SourceData_Poultry_IrrigationMethods" displayName="Table_SourceData_Poultry_IrrigationMethods" ref="J44:J49" totalsRowShown="0">
  <autoFilter ref="J44:J49" xr:uid="{C0841426-764B-45EC-B52F-AFA2B3E2A193}"/>
  <tableColumns count="1">
    <tableColumn id="1" xr3:uid="{EC771A6E-FF03-4B2D-BF5F-C1B2E66949D1}" name="Irrigation method"/>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A1EFF9E-32AD-4870-86B8-21EB2193D24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E083BE77-85AF-4706-A682-A33863BBDB17}" name="Class">
      <calculatedColumnFormula array="1">Common_InputFunctions.Utility_DisplayArrayInTable(SourceData_Swine.SourceData_Swine_VolatileSolids_Data(), Table_SourceData_Swine_VolatileSolids[[#Headers],[Class]], 0)</calculatedColumnFormula>
    </tableColumn>
    <tableColumn id="2" xr3:uid="{72E43864-16BF-4777-805A-91E099F7E660}" name="VSj" dataDxfId="302"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2514CCFC-0FB0-4664-BB22-B02410A0033D}"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ED02B9C9-B6E0-4645-B2A9-FA7C6FDF8906}" name="MMS">
      <calculatedColumnFormula array="1">Common_InputFunctions.Utility_DisplayArrayInTable(SourceData_Swine.SourceData_Swine_MMS_MCFs_Data(),Table_SourceData_Swine_MMSMCF[[#Headers],[MMS]],0)</calculatedColumnFormula>
    </tableColumn>
    <tableColumn id="2" xr3:uid="{FEFBB51A-963E-41E4-8777-60708E0E6272}" name="NSW" dataDxfId="301" dataCellStyle="Content normal">
      <calculatedColumnFormula array="1">Common_InputFunctions.Utility_DisplayArrayInTable(SourceData_Swine.SourceData_Swine_MMS_MCFs_Data(),Table_SourceData_Swine_MMSMCF[[#Headers],[MMS]],0)</calculatedColumnFormula>
    </tableColumn>
    <tableColumn id="3" xr3:uid="{4B61C92D-754C-44E9-AC40-F54E0BD97572}" name="ACT" dataDxfId="300" dataCellStyle="Content normal">
      <calculatedColumnFormula array="1">Common_InputFunctions.Utility_DisplayArrayInTable(SourceData_Swine.SourceData_Swine_MMS_MCFs_Data(),Table_SourceData_Swine_MMSMCF[[#Headers],[MMS]],0)</calculatedColumnFormula>
    </tableColumn>
    <tableColumn id="4" xr3:uid="{134D4C72-F51E-4C23-BFC4-D25687B2370C}" name="QLD" dataDxfId="299" dataCellStyle="Content normal">
      <calculatedColumnFormula array="1">Common_InputFunctions.Utility_DisplayArrayInTable(SourceData_Swine.SourceData_Swine_MMS_MCFs_Data(),Table_SourceData_Swine_MMSMCF[[#Headers],[MMS]],0)</calculatedColumnFormula>
    </tableColumn>
    <tableColumn id="5" xr3:uid="{6BC41EC3-C465-4C73-B76D-EBBD708E2751}" name="NT" dataDxfId="298" dataCellStyle="Content normal">
      <calculatedColumnFormula array="1">Common_InputFunctions.Utility_DisplayArrayInTable(SourceData_Swine.SourceData_Swine_MMS_MCFs_Data(),Table_SourceData_Swine_MMSMCF[[#Headers],[MMS]],0)</calculatedColumnFormula>
    </tableColumn>
    <tableColumn id="6" xr3:uid="{F55A07DB-BF24-4E1C-88F9-20E5C4FFE20B}" name="SA" dataDxfId="297" dataCellStyle="Content normal">
      <calculatedColumnFormula array="1">Common_InputFunctions.Utility_DisplayArrayInTable(SourceData_Swine.SourceData_Swine_MMS_MCFs_Data(),Table_SourceData_Swine_MMSMCF[[#Headers],[MMS]],0)</calculatedColumnFormula>
    </tableColumn>
    <tableColumn id="7" xr3:uid="{357B8D5A-94AE-477B-8BC1-642A01217E7B}" name="TAS" dataDxfId="296" dataCellStyle="Content normal">
      <calculatedColumnFormula array="1">Common_InputFunctions.Utility_DisplayArrayInTable(SourceData_Swine.SourceData_Swine_MMS_MCFs_Data(),Table_SourceData_Swine_MMSMCF[[#Headers],[MMS]],0)</calculatedColumnFormula>
    </tableColumn>
    <tableColumn id="8" xr3:uid="{5DAD5AC0-0B0E-4CCB-9C06-568E7887E848}" name="VIC" dataDxfId="295" dataCellStyle="Content normal">
      <calculatedColumnFormula array="1">Common_InputFunctions.Utility_DisplayArrayInTable(SourceData_Swine.SourceData_Swine_MMS_MCFs_Data(),Table_SourceData_Swine_MMSMCF[[#Headers],[MMS]],0)</calculatedColumnFormula>
    </tableColumn>
    <tableColumn id="9" xr3:uid="{F74A919E-4A6A-4AEE-B4B5-4BEC5CE8124E}" name="WA" dataDxfId="294" dataCellStyle="Content normal">
      <calculatedColumnFormula array="1">Common_InputFunctions.Utility_DisplayArrayInTable(SourceData_Swine.SourceData_Swine_MMS_MCFs_Data(),Table_SourceData_Swine_MMSMCF[[#Headers],[MMS]],0)</calculatedColumnFormula>
    </tableColumn>
    <tableColumn id="10" xr3:uid="{843DC8AC-7230-4697-8A77-C73F7428912D}" name="NIR definition" dataDxfId="293"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BEADA904-717C-44F7-AF91-57B3D80F023B}" name="Table_SourceData_SwineMMS" displayName="Table_SourceData_SwineMMS" ref="D40:E47" totalsRowShown="0">
  <autoFilter ref="D40:E47" xr:uid="{42F7033B-606B-4A24-9223-A30737FDC1FE}">
    <filterColumn colId="0" hiddenButton="1"/>
    <filterColumn colId="1" hiddenButton="1"/>
  </autoFilter>
  <tableColumns count="2">
    <tableColumn id="1" xr3:uid="{8C8B9213-0E9D-4C08-8C8F-70E88932CA64}" name="MMS"/>
    <tableColumn id="2" xr3:uid="{AA2BC83C-D0F3-49B8-B38B-46B444F47115}"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C3CA363A-52D8-4BA0-A4B7-58690C26749A}" name="Table_SourceData_SwineVSL" displayName="Table_SourceData_SwineVSL" ref="D53:E60" totalsRowShown="0">
  <autoFilter ref="D53:E60" xr:uid="{079C074C-6E98-47B5-B4E5-F8A1F12104F2}">
    <filterColumn colId="0" hiddenButton="1"/>
    <filterColumn colId="1" hiddenButton="1"/>
  </autoFilter>
  <tableColumns count="2">
    <tableColumn id="1" xr3:uid="{102FA0E9-8B10-4607-9E71-E1E647509B18}" name="MMS"/>
    <tableColumn id="2" xr3:uid="{A6215295-EA12-43C7-8E65-4BB7ADFBE71B}" name="VSL"/>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B468773F-FC86-4E6C-B566-21BC856DF5A3}"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A84D9E82-29B2-46E0-A446-ADD013C96ADB}" name="MMS"/>
    <tableColumn id="2" xr3:uid="{C352EBB7-9308-4258-BDD4-3FA93CDF589A}" name="Symbol and MMS"/>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82EB1ECA-9FF0-457A-BCFD-47E864C6A3F2}"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4F926073-BAA1-4B42-8AA0-5352743318C0}" name="MMS"/>
    <tableColumn id="2" xr3:uid="{93254A2A-BF45-465C-A0E5-8B799394E93D}" name="Symbol and MMS"/>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E2410187-AFB4-43D7-A376-59EA572C1FF3}" name="Table_SourceData_Swine_ProductionSystems" displayName="Table_SourceData_Swine_ProductionSystems" ref="G53:G56" totalsRowShown="0">
  <autoFilter ref="G53:G56" xr:uid="{A6BE3FFD-EB90-45EB-8756-16A72E0C6869}">
    <filterColumn colId="0" hiddenButton="1"/>
  </autoFilter>
  <tableColumns count="1">
    <tableColumn id="1" xr3:uid="{7AD71BAC-ED1C-4098-960E-2F34E5DBB03A}"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E4AF6571-C062-408C-8225-E7DAE6AA5D7B}" name="Table_SourceData_Swine_NitrogenInWaste" displayName="Table_SourceData_Swine_NitrogenInWaste" ref="D89:G93" totalsRowShown="0" dataDxfId="292" dataCellStyle="Content normal">
  <autoFilter ref="D89:G93" xr:uid="{61D86DCB-D80D-4593-96F3-A897FC93073F}">
    <filterColumn colId="0" hiddenButton="1"/>
    <filterColumn colId="1" hiddenButton="1"/>
    <filterColumn colId="2" hiddenButton="1"/>
    <filterColumn colId="3" hiddenButton="1"/>
  </autoFilter>
  <tableColumns count="4">
    <tableColumn id="1" xr3:uid="{811970DD-409F-4C2D-80CA-28A5504A4E73}" name="Class" dataDxfId="291" dataCellStyle="Content normal">
      <calculatedColumnFormula array="1">Common_InputFunctions.Utility_DisplayArrayInTable(SourceData_Swine.SourceData_Swine_NitrogenInWaste_Data(), Table_SourceData_Swine_NitrogenInWaste[[#Headers],[Class]], 0)</calculatedColumnFormula>
    </tableColumn>
    <tableColumn id="2" xr3:uid="{1AED99A6-8A00-4932-B4F9-28591FD1DC00}" name="NWj" dataDxfId="290" dataCellStyle="Content normal">
      <calculatedColumnFormula array="1">Common_InputFunctions.Utility_DisplayArrayInTable(SourceData_Swine.SourceData_Swine_NitrogenInWaste_Data(), Table_SourceData_Swine_NitrogenInWaste[[#Headers],[Class]], 0)</calculatedColumnFormula>
    </tableColumn>
    <tableColumn id="3" xr3:uid="{E303E793-B171-4F00-A095-2D96B270C06B}" name="NWj Daily" dataDxfId="289" dataCellStyle="Content normal">
      <calculatedColumnFormula array="1">Common_InputFunctions.Utility_DisplayArrayInTable(SourceData_Swine.SourceData_Swine_NitrogenInWaste_Data(), Table_SourceData_Swine_NitrogenInWaste[[#Headers],[Class]], 0)</calculatedColumnFormula>
    </tableColumn>
    <tableColumn id="4" xr3:uid="{CA4E9800-F51D-4FF3-94A6-39D3ACBBEEE8}" name="Class name" dataDxfId="288"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89036A6E-4254-4786-AB2A-DFC84788188D}" name="Table_SourceData_Swine_FeedIntake" displayName="Table_SourceData_Swine_FeedIntake" ref="D78:E82" totalsRowShown="0" dataDxfId="287" dataCellStyle="Content normal">
  <autoFilter ref="D78:E82" xr:uid="{E34928EB-73E5-43B2-830B-089F30DA4EF0}">
    <filterColumn colId="0" hiddenButton="1"/>
    <filterColumn colId="1" hiddenButton="1"/>
  </autoFilter>
  <tableColumns count="2">
    <tableColumn id="1" xr3:uid="{F03980D4-B85C-4EE1-B4AE-B61E6D54A6E2}" name="Class" dataDxfId="286" dataCellStyle="Content normal">
      <calculatedColumnFormula array="1">Common_InputFunctions.Utility_DisplayArrayInTable(SourceData_Swine.SourceData_Swine_FeedIntake_Data(), Table_SourceData_Swine_FeedIntake[[#Headers],[Class]], 0)</calculatedColumnFormula>
    </tableColumn>
    <tableColumn id="2" xr3:uid="{09C13290-2E2B-43A7-AA24-82768CCE4FCB}" name="Ij" dataDxfId="285"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197EC3A3-A8CF-43F4-B7DF-AB8F151C109C}"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75A34210-9814-42B8-82DB-F38269AE5CBC}" name="MMSm">
      <calculatedColumnFormula array="1">Common_InputFunctions.Utility_DisplayArrayInTable(SourceData_Swine.SourceData_Swine_FractionNVolatilised_Data(), Table_SourceData_Swine_FracGASM[[#Headers],[MMSm]],0)</calculatedColumnFormula>
    </tableColumn>
    <tableColumn id="2" xr3:uid="{6B897E7E-4B59-4CA6-99B8-9EBA3EEFCEA2}" name="FracGASMmT">
      <calculatedColumnFormula array="1">Common_InputFunctions.Utility_DisplayArrayInTable(SourceData_Swine.SourceData_Swine_FractionNVolatilised_Data(), Table_SourceData_Swine_FracGASM[[#Headers],[MMSm]],0)</calculatedColumnFormula>
    </tableColumn>
    <tableColumn id="3" xr3:uid="{2D702B0A-FB5D-4DEF-A4B4-83C876B01133}"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5F022418-D1F6-4FA5-A5C8-E1AA5F1EB876}" name="Table_SourceData_Swine_FracGASM28" displayName="Table_SourceData_Swine_FracGASM28" ref="D111:F117" totalsRowShown="0" dataDxfId="284" dataCellStyle="Content normal">
  <autoFilter ref="D111:F117" xr:uid="{1333872B-E46C-4DC7-8E2D-1F3D704794C8}">
    <filterColumn colId="0" hiddenButton="1"/>
    <filterColumn colId="1" hiddenButton="1"/>
    <filterColumn colId="2" hiddenButton="1"/>
  </autoFilter>
  <tableColumns count="3">
    <tableColumn id="1" xr3:uid="{D703FFFD-8538-46E9-8475-4EA5FAE8DDF0}" name="MMSm" dataDxfId="283" dataCellStyle="Content normal">
      <calculatedColumnFormula array="1">Common_InputFunctions.Utility_DisplayArrayInTable(SourceData_Swine.SourceData_Swine_NitrousOxideEFs_Data(), Table_SourceData_Swine_FracGASM28[[#Headers],[MMSm]],0)</calculatedColumnFormula>
    </tableColumn>
    <tableColumn id="2" xr3:uid="{C8E09F30-05EC-48CE-AEAF-519CFBC8697B}" name="EFmT" dataDxfId="282" dataCellStyle="Content normal">
      <calculatedColumnFormula array="1">Common_InputFunctions.Utility_DisplayArrayInTable(SourceData_Swine.SourceData_Swine_NitrousOxideEFs_Data(), Table_SourceData_Swine_FracGASM28[[#Headers],[MMSm]],0)</calculatedColumnFormula>
    </tableColumn>
    <tableColumn id="3" xr3:uid="{19903792-547C-45D8-B883-058EBA92724D}" name="NIR reference" dataDxfId="281"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6A21C0F9-7429-460D-94E2-EA023A719732}" name="Table_SourceData_Swine_CropProdSystems" displayName="Table_SourceData_Swine_CropProdSystems" ref="D8:D10" totalsRowShown="0">
  <autoFilter ref="D8:D10" xr:uid="{1DC3FD95-46BB-428C-8DAB-6CC542C27F2F}">
    <filterColumn colId="0" hiddenButton="1"/>
  </autoFilter>
  <tableColumns count="1">
    <tableColumn id="1" xr3:uid="{6DA9C8AC-EDB2-4A28-B896-3587F1BA9073}" name="Production system">
      <calculatedColumnFormula>#REF!</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3E20A423-5E5D-43E8-BB3A-7D64E5780A60}" name="Table_SourceData_Swine_IrrigationMethods" displayName="Table_SourceData_Swine_IrrigationMethods" ref="G8:G13" totalsRowShown="0">
  <autoFilter ref="G8:G13" xr:uid="{AA6B756B-6FF9-48AC-BC54-06A8937EFD12}">
    <filterColumn colId="0" hiddenButton="1"/>
  </autoFilter>
  <tableColumns count="1">
    <tableColumn id="1" xr3:uid="{3630A0E7-EB6F-4416-A596-5F7C4130B647}" name="Irrigation method"/>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9F6A3375-8A30-4FB8-BE9E-59538B9E1199}" name="Table_SourceData_Dairy_MMS" displayName="Table_SourceData_Dairy_MMS" ref="D7:E11" totalsRowShown="0">
  <autoFilter ref="D7:E11" xr:uid="{D5C443B2-EDE2-4250-B2EE-016878D19AD9}">
    <filterColumn colId="0" hiddenButton="1"/>
    <filterColumn colId="1" hiddenButton="1"/>
  </autoFilter>
  <tableColumns count="2">
    <tableColumn id="1" xr3:uid="{D0B56BDA-3017-47D8-A7C1-FC98CF1514DE}" name="MMS"/>
    <tableColumn id="2" xr3:uid="{AA91DC59-8A0E-4F72-8601-3F7E46BB3D0B}" name="Symbol and MMS" dataDxfId="280" dataCellStyle="Content normal"/>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AA63C1A0-EB1E-4DD2-A5E2-43747C1E6146}" name="Table_SourceData_Dairy_CropProdSystems" displayName="Table_SourceData_Dairy_CropProdSystems" ref="G7:G9" totalsRowShown="0">
  <autoFilter ref="G7:G9" xr:uid="{B6F3FE3A-A0B5-47E7-85B2-8426FB75A7C8}">
    <filterColumn colId="0" hiddenButton="1"/>
  </autoFilter>
  <tableColumns count="1">
    <tableColumn id="1" xr3:uid="{5E2B4BE8-A62A-405F-9A64-CC1DB03BAF98}" name="Production system">
      <calculatedColumnFormula>#REF!</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DBF4E9D-94E5-4A2D-B2B2-064C76E9E7DD}" name="Table_SourceData_Dairy_IrrigationMethods" displayName="Table_SourceData_Dairy_IrrigationMethods" ref="J7:J12" totalsRowShown="0">
  <autoFilter ref="J7:J12" xr:uid="{FE172B77-CEA3-430C-84BC-392A64D0B8FF}">
    <filterColumn colId="0" hiddenButton="1"/>
  </autoFilter>
  <tableColumns count="1">
    <tableColumn id="1" xr3:uid="{FCDECEF1-62FC-4D34-8618-214695A275F5}" name="Irrigation method"/>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C61E8B16-B8FC-49BD-9A0E-0D0D6D26663E}"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5EFC223C-3817-42FC-BADE-B2F5BEB7C3ED}" name="Breed">
      <calculatedColumnFormula array="1">Common_InputFunctions.Utility_DisplayArrayInTable(SourceData_Dairy.SourceData_Dairy_LiveweightCowsAndHeifers_Data(), Table_SourceData_Dairy_WjCowsHeifers[[#Headers],[Breed]], 0)</calculatedColumnFormula>
    </tableColumn>
    <tableColumn id="2" xr3:uid="{04F2AE01-5BDB-486E-AC71-08AB329E28CA}" name="Milking cows" dataDxfId="279" dataCellStyle="Content normal">
      <calculatedColumnFormula array="1">Common_InputFunctions.Utility_DisplayArrayInTable(SourceData_Dairy.SourceData_Dairy_LiveweightCowsAndHeifers_Data(), Table_SourceData_Dairy_WjCowsHeifers[[#Headers],[Breed]], 0)</calculatedColumnFormula>
    </tableColumn>
    <tableColumn id="3" xr3:uid="{F49527F4-B4DB-43D6-A53B-4129FD071662}" name="Heifers &gt; 1" dataDxfId="278" dataCellStyle="Content normal">
      <calculatedColumnFormula array="1">Common_InputFunctions.Utility_DisplayArrayInTable(SourceData_Dairy.SourceData_Dairy_LiveweightCowsAndHeifers_Data(), Table_SourceData_Dairy_WjCowsHeifers[[#Headers],[Breed]], 0)</calculatedColumnFormula>
    </tableColumn>
    <tableColumn id="4" xr3:uid="{B0B1A4ED-F41E-4172-889F-1B07CA291394}" name="Heifers &lt; 1 (weaned)" dataDxfId="277"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397F70EC-799C-4E3D-87C9-A2C65D6DCB1B}"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DE04FB64-19EC-438E-B612-FB0C7DFCD440}" name="Breed">
      <calculatedColumnFormula array="1">Common_InputFunctions.Utility_DisplayArrayInTable(SourceData_Dairy.SourceData_Dairy_LiveweightBulls_Data(), Table_SourceData_Dairy_WjBulls[[#Headers],[Breed]], 0)</calculatedColumnFormula>
    </tableColumn>
    <tableColumn id="2" xr3:uid="{FB138E81-BA0F-4D7A-9205-62E60207DA57}" name="Bulls &gt; 1" dataDxfId="276" dataCellStyle="Content normal">
      <calculatedColumnFormula array="1">Common_InputFunctions.Utility_DisplayArrayInTable(SourceData_Dairy.SourceData_Dairy_LiveweightBulls_Data(), Table_SourceData_Dairy_WjBulls[[#Headers],[Breed]], 0)</calculatedColumnFormula>
    </tableColumn>
    <tableColumn id="3" xr3:uid="{5CCCC71F-8558-4B26-B855-27340151F19C}" name="Bulls &lt; 1 (weaned)" dataDxfId="275"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D5AFBCB-F0D0-447E-8575-889C8A96D1EC}"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8D6F7F81-530D-4DF4-8FDE-1460812DECF7}" name="Milking cows">
      <calculatedColumnFormula array="1">Common_InputFunctions.Utility_DisplayArrayInTable(SourceData_Dairy.SourceData_Dairy_LiveweightGain_Data(), Table_SourceData_Dairy_LWGj[[#Headers],[Milking cows]], 0)</calculatedColumnFormula>
    </tableColumn>
    <tableColumn id="2" xr3:uid="{855CC3B5-8B84-4092-9043-6F17298BE544}" name="Heifers &gt; 1" dataDxfId="274" dataCellStyle="Content normal">
      <calculatedColumnFormula array="1">Common_InputFunctions.Utility_DisplayArrayInTable(SourceData_Dairy.SourceData_Dairy_LiveweightGain_Data(), Table_SourceData_Dairy_LWGj[[#Headers],[Milking cows]], 0)</calculatedColumnFormula>
    </tableColumn>
    <tableColumn id="3" xr3:uid="{28477844-FB8C-422D-9D2C-814A9B340378}" name="Heifers &lt; 1 (weaned)" dataDxfId="273" dataCellStyle="Content normal">
      <calculatedColumnFormula array="1">Common_InputFunctions.Utility_DisplayArrayInTable(SourceData_Dairy.SourceData_Dairy_LiveweightGain_Data(), Table_SourceData_Dairy_LWGj[[#Headers],[Milking cows]], 0)</calculatedColumnFormula>
    </tableColumn>
    <tableColumn id="4" xr3:uid="{10633BD8-5993-48C8-9D99-28FC3A84AB05}" name="Bulls &gt; 1" dataDxfId="272" dataCellStyle="Content normal">
      <calculatedColumnFormula array="1">Common_InputFunctions.Utility_DisplayArrayInTable(SourceData_Dairy.SourceData_Dairy_LiveweightGain_Data(), Table_SourceData_Dairy_LWGj[[#Headers],[Milking cows]], 0)</calculatedColumnFormula>
    </tableColumn>
    <tableColumn id="5" xr3:uid="{4D23D637-2F40-47F4-928D-8EC7452D41CE}" name="Bulls &lt; 1 (weaned)" dataDxfId="271"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7CBA8B3A-33D0-428E-8807-46E3D96A34CD}" name="Table_SourceData_Dairy_WRj" displayName="Table_SourceData_Dairy_WRj" ref="D54:H55" totalsRowShown="0" headerRowDxfId="270"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11451C20-CB66-4294-B65E-D14BCF56053C}"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74A61F70-9486-4DE2-ABA0-022D21E876C5}"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E0EBD864-4F8E-461D-B876-8243DCD6BE03}"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11F27C86-CEA3-4B29-A79A-DD1363101743}"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A7C282F-D560-469D-A7D0-26848C8EB461}"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B395C361-8E82-47F0-889B-F0CE02931D6F}" name="Table_SourceData_Dairy_DataPreWeaned" displayName="Table_SourceData_Dairy_DataPreWeaned" ref="D62:G64" totalsRowShown="0" dataDxfId="269" dataCellStyle="Content normal">
  <autoFilter ref="D62:G64" xr:uid="{968BB314-DB2C-4CA2-BAA9-E66557777E59}">
    <filterColumn colId="0" hiddenButton="1"/>
    <filterColumn colId="1" hiddenButton="1"/>
    <filterColumn colId="2" hiddenButton="1"/>
    <filterColumn colId="3" hiddenButton="1"/>
  </autoFilter>
  <tableColumns count="4">
    <tableColumn id="1" xr3:uid="{5C53479B-C939-45C4-97B7-E3C47D2BCF30}" name="Animal class j" dataDxfId="268" dataCellStyle="Content normal">
      <calculatedColumnFormula array="1">Common_InputFunctions.Utility_DisplayArrayInTable(SourceData_Dairy.SourceData_Dairy_PreWeanedCalves_Data(), Table_SourceData_Dairy_DataPreWeaned[[#Headers],[Animal class j]], -1)</calculatedColumnFormula>
    </tableColumn>
    <tableColumn id="2" xr3:uid="{78CA21D1-F137-4791-A92F-FF05680706F0}" name="CH4 production" dataDxfId="267" dataCellStyle="Content normal">
      <calculatedColumnFormula array="1">Common_InputFunctions.Utility_DisplayArrayInTable(SourceData_Dairy.SourceData_Dairy_PreWeanedCalves_Data(), Table_SourceData_Dairy_DataPreWeaned[[#Headers],[Animal class j]], -1)</calculatedColumnFormula>
    </tableColumn>
    <tableColumn id="3" xr3:uid="{62E98E40-836E-4FC6-8B55-E3455293FFEA}" name="Volatile solids (VSj=3,5)" dataDxfId="266" dataCellStyle="Content normal">
      <calculatedColumnFormula array="1">Common_InputFunctions.Utility_DisplayArrayInTable(SourceData_Dairy.SourceData_Dairy_PreWeanedCalves_Data(), Table_SourceData_Dairy_DataPreWeaned[[#Headers],[Animal class j]], -1)</calculatedColumnFormula>
    </tableColumn>
    <tableColumn id="4" xr3:uid="{270D58A1-71FA-4819-B7E2-78D6DF8D523C}" name="Nitrogen Excreted (NPWj=3,5)" dataDxfId="265"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2B31B25C-ABD5-4BA1-9129-F77E23F06EC0}"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21EC4D86-E71D-4A79-B2A1-485BC5D34B01}" name="MMS m">
      <calculatedColumnFormula array="1">Common_InputFunctions.Utility_DisplayArrayInTable(SourceData_Dairy.SourceData_Dairy_MCF_Data(), Table_SourceData_Dairy_MCFjm[[#Headers],[MMS m]], 0)</calculatedColumnFormula>
    </tableColumn>
    <tableColumn id="2" xr3:uid="{B0A17AF2-3432-45D5-8526-A161C06B66CF}" name="ACT" dataDxfId="264" dataCellStyle="Content normal">
      <calculatedColumnFormula array="1">Common_InputFunctions.Utility_DisplayArrayInTable(SourceData_Dairy.SourceData_Dairy_MCF_Data(), Table_SourceData_Dairy_MCFjm[[#Headers],[MMS m]], 0)</calculatedColumnFormula>
    </tableColumn>
    <tableColumn id="3" xr3:uid="{755DB068-EE29-43DE-B84C-A60EAB6E695A}" name="NSW" dataDxfId="263" dataCellStyle="Content normal">
      <calculatedColumnFormula array="1">Common_InputFunctions.Utility_DisplayArrayInTable(SourceData_Dairy.SourceData_Dairy_MCF_Data(), Table_SourceData_Dairy_MCFjm[[#Headers],[MMS m]], 0)</calculatedColumnFormula>
    </tableColumn>
    <tableColumn id="4" xr3:uid="{7EDC2F13-A162-40A7-B7D5-66BA48D28C1A}" name="NT" dataDxfId="262" dataCellStyle="Content normal">
      <calculatedColumnFormula array="1">Common_InputFunctions.Utility_DisplayArrayInTable(SourceData_Dairy.SourceData_Dairy_MCF_Data(), Table_SourceData_Dairy_MCFjm[[#Headers],[MMS m]], 0)</calculatedColumnFormula>
    </tableColumn>
    <tableColumn id="5" xr3:uid="{743A951B-DA21-4D26-B197-E4E032D1FDAF}" name="QLD" dataDxfId="261" dataCellStyle="Content normal">
      <calculatedColumnFormula array="1">Common_InputFunctions.Utility_DisplayArrayInTable(SourceData_Dairy.SourceData_Dairy_MCF_Data(), Table_SourceData_Dairy_MCFjm[[#Headers],[MMS m]], 0)</calculatedColumnFormula>
    </tableColumn>
    <tableColumn id="6" xr3:uid="{FE4960D9-EB18-4F18-B013-9826ED6C9931}" name="SA" dataDxfId="260" dataCellStyle="Content normal">
      <calculatedColumnFormula array="1">Common_InputFunctions.Utility_DisplayArrayInTable(SourceData_Dairy.SourceData_Dairy_MCF_Data(), Table_SourceData_Dairy_MCFjm[[#Headers],[MMS m]], 0)</calculatedColumnFormula>
    </tableColumn>
    <tableColumn id="7" xr3:uid="{BEF5605E-466B-4866-8D0C-039950895AFD}" name="TAS" dataDxfId="259" dataCellStyle="Content normal">
      <calculatedColumnFormula array="1">Common_InputFunctions.Utility_DisplayArrayInTable(SourceData_Dairy.SourceData_Dairy_MCF_Data(), Table_SourceData_Dairy_MCFjm[[#Headers],[MMS m]], 0)</calculatedColumnFormula>
    </tableColumn>
    <tableColumn id="8" xr3:uid="{801ADA80-8EAF-4B35-BF8F-4EC39D9A1C92}" name="VIC" dataDxfId="258" dataCellStyle="Content normal">
      <calculatedColumnFormula array="1">Common_InputFunctions.Utility_DisplayArrayInTable(SourceData_Dairy.SourceData_Dairy_MCF_Data(), Table_SourceData_Dairy_MCFjm[[#Headers],[MMS m]], 0)</calculatedColumnFormula>
    </tableColumn>
    <tableColumn id="9" xr3:uid="{12E2F5B5-9C6E-41B0-BE3A-AF1EAED13FD9}" name="WA" dataDxfId="257" dataCellStyle="Content normal">
      <calculatedColumnFormula array="1">Common_InputFunctions.Utility_DisplayArrayInTable(SourceData_Dairy.SourceData_Dairy_MCF_Data(), Table_SourceData_Dairy_MCFjm[[#Headers],[MMS m]], 0)</calculatedColumnFormula>
    </tableColumn>
    <tableColumn id="10" xr3:uid="{FA9C63F3-012A-4E48-8994-C1102C372847}" name="NIR reference" dataDxfId="256"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3FF4C71B-5C48-4139-85C6-4346B37DBDA8}"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0F9CCFEF-778B-4E26-85CC-8815276A8049}" name="MMS m">
      <calculatedColumnFormula array="1">Common_InputFunctions.Utility_DisplayArrayInTable(SourceData_Dairy.SourceData_Dairy_NitrousOxideEFsAndFracGASM_Data(), Table_SourceData_Dairy_EFmFracGASM[[#Headers],[MMS m]], 0)</calculatedColumnFormula>
    </tableColumn>
    <tableColumn id="2" xr3:uid="{C5D476B9-5AF8-4F00-A1B2-B145D7CD62EF}" name="EFm" dataDxfId="255" dataCellStyle="Content normal">
      <calculatedColumnFormula array="1">Common_InputFunctions.Utility_DisplayArrayInTable(SourceData_Dairy.SourceData_Dairy_NitrousOxideEFsAndFracGASM_Data(), Table_SourceData_Dairy_EFmFracGASM[[#Headers],[MMS m]], 0)</calculatedColumnFormula>
    </tableColumn>
    <tableColumn id="3" xr3:uid="{639FD750-A788-4AE3-AEC0-ABE5BAE386C0}" name="FracGASMm" dataDxfId="254" dataCellStyle="Content normal">
      <calculatedColumnFormula array="1">Common_InputFunctions.Utility_DisplayArrayInTable(SourceData_Dairy.SourceData_Dairy_NitrousOxideEFsAndFracGASM_Data(), Table_SourceData_Dairy_EFmFracGASM[[#Headers],[MMS m]], 0)</calculatedColumnFormula>
    </tableColumn>
    <tableColumn id="4" xr3:uid="{12959C74-13A7-49F4-81ED-3D4FAFE86BF6}" name="NIR reference" dataDxfId="253"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68346055-AB31-4F8A-9D8F-E7013EA16B23}"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E84A667A-EEAD-4CDE-9DE2-B4612F737A2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2FD9F040-FE4D-4700-8652-7E772A6E4BF9}" name="MPW ENTERIC" dataDxfId="252"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B316CC74-55FA-431C-AF43-4588D1F0D30C}"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DCB16185-A1BF-4277-A0C9-4288E1F7B4C9}" name="Animal class j">
      <calculatedColumnFormula array="1">Common_InputFunctions.Utility_DisplayArrayInTable(SourceData_Dairy.SourceData_Dairy_IncreasedMetabolicRateMilk_Data(), Table_SourceData_Dairy_MRj[[#Headers],[Animal class j]], 0)</calculatedColumnFormula>
    </tableColumn>
    <tableColumn id="2" xr3:uid="{6ADDC444-9145-4FCA-B837-9701D5E50410}" name="MRj" dataDxfId="251"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F3E94D2B-2D55-494C-A91C-D5746C7E0F0B}"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8830A10B-BE94-41A5-AB77-84013224846C}" name="Area">
      <calculatedColumnFormula array="1">Common_InputFunctions.Utility_DisplayArrayInTable(SourceData_Dairy.SourceData_Dairy_FractionVolatileSolidsVoidedMMS_Data(), Table_SourceData_Dairy_ProductionSystemTemplates[[#Headers],[Area]], 0)</calculatedColumnFormula>
    </tableColumn>
    <tableColumn id="2" xr3:uid="{66058ABA-2F89-45F6-97BC-FE5B538ED565}" name="Pasture" dataDxfId="25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2AAA634B-D934-421D-BA5A-5B2420AD667B}" name="Milking shed" dataDxfId="2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EB2CD713-EB13-417B-B77C-62F6659A2306}" name="Feedpad" dataDxfId="2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95A807E-E225-4E80-8AEE-8E7C144CBA62}"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1777063E-B4D2-4C3A-AF3A-A55AEC4A5E9C}" name="MMS m">
      <calculatedColumnFormula array="1">Common_InputFunctions.Utility_DisplayArrayInTable(SourceData_Dairy.SourceData_Dairy_EFNitrousOxidePerMMS_Data(), Table_SourceData_Dairy_EFm[[#Headers],[MMS m]], 0)</calculatedColumnFormula>
    </tableColumn>
    <tableColumn id="2" xr3:uid="{AB0EF12C-BC0D-4D33-A40E-B8DBF770D714}" name="EFm" dataDxfId="247" dataCellStyle="Content normal">
      <calculatedColumnFormula array="1">Common_InputFunctions.Utility_DisplayArrayInTable(SourceData_Dairy.SourceData_Dairy_EFNitrousOxidePerMMS_Data(), Table_SourceData_Dairy_EFm[[#Headers],[MMS m]], 0)</calculatedColumnFormula>
    </tableColumn>
    <tableColumn id="3" xr3:uid="{3554E0EA-0A6B-4B3C-8362-F605DAC7CA71}" name="NIR reference" dataDxfId="246"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635F32FE-7263-4E4D-B205-76FB8F8E7E15}"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BD56887-54A6-40EC-BF27-BA3E0DF89DB4}" name="Animal class j">
      <calculatedColumnFormula array="1">Common_InputFunctions.Utility_DisplayArrayInTable(SourceData_Dairy.SourceData_Dairy_DurationOfStay_Data(), Table_SourceData_Dairy_Duration[[#Headers],[Animal class j]], 0)</calculatedColumnFormula>
    </tableColumn>
    <tableColumn id="2" xr3:uid="{24FF16FB-8BBD-4556-B8CD-03C7D3A72F30}" name="Duration (weaned)" dataDxfId="245" dataCellStyle="Content normal">
      <calculatedColumnFormula array="1">Common_InputFunctions.Utility_DisplayArrayInTable(SourceData_Dairy.SourceData_Dairy_DurationOfStay_Data(), Table_SourceData_Dairy_Duration[[#Headers],[Animal class j]], 0)</calculatedColumnFormula>
    </tableColumn>
    <tableColumn id="3" xr3:uid="{D752402B-9D00-4DEE-87C4-57EC2F171036}" name="Duration (pre-weaned)" dataDxfId="244"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ACFADA76-C8FB-4862-8729-59957F69359B}" name="Table_SourceData_PastureBeef_CropProdSystems" displayName="Table_SourceData_PastureBeef_CropProdSystems" ref="D7:D9" totalsRowShown="0">
  <autoFilter ref="D7:D9" xr:uid="{B6F3FE3A-A0B5-47E7-85B2-8426FB75A7C8}">
    <filterColumn colId="0" hiddenButton="1"/>
  </autoFilter>
  <tableColumns count="1">
    <tableColumn id="1" xr3:uid="{CA05F1BD-68CA-4978-8A44-CBB7F3A96555}" name="Production system">
      <calculatedColumnFormula>#REF!</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5BECFF60-E099-4028-A628-1BDF219EE408}"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20DA2768-9DC2-4211-B5FB-ED1663AB1259}" name="Irrigation method"/>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6C0008EC-FFA7-4653-9D8A-CC8EAA72301B}"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28048E20-E10D-480B-BB00-04D372029263}" name="State">
      <calculatedColumnFormula array="1">Common_InputFunctions.Utility_DisplayArrayInTable(SourceData_PastureBeef.SourceData_PastureBeef_Liveweight_Data(), Table_SourceData_PastureBeef_Liveweight[[#Headers],[State]], 0)</calculatedColumnFormula>
    </tableColumn>
    <tableColumn id="2" xr3:uid="{6EB3A150-D03C-4B75-BC29-DB556BC8B0AA}" name="Region" dataDxfId="243" dataCellStyle="Content normal">
      <calculatedColumnFormula array="1">Common_InputFunctions.Utility_DisplayArrayInTable(SourceData_PastureBeef.SourceData_PastureBeef_Liveweight_Data(), Table_SourceData_PastureBeef_Liveweight[[#Headers],[State]], 0)</calculatedColumnFormula>
    </tableColumn>
    <tableColumn id="3" xr3:uid="{AF253CAD-94D9-4873-A51F-9ABAEDB99848}" name="Season" dataDxfId="242" dataCellStyle="Content normal">
      <calculatedColumnFormula array="1">Common_InputFunctions.Utility_DisplayArrayInTable(SourceData_PastureBeef.SourceData_PastureBeef_Liveweight_Data(), Table_SourceData_PastureBeef_Liveweight[[#Headers],[State]], 0)</calculatedColumnFormula>
    </tableColumn>
    <tableColumn id="4" xr3:uid="{C8945F80-0AF6-4661-9B42-F683201EDBCA}" name="Bull &lt; 1" dataDxfId="241" dataCellStyle="Content normal">
      <calculatedColumnFormula array="1">Common_InputFunctions.Utility_DisplayArrayInTable(SourceData_PastureBeef.SourceData_PastureBeef_Liveweight_Data(), Table_SourceData_PastureBeef_Liveweight[[#Headers],[State]], 0)</calculatedColumnFormula>
    </tableColumn>
    <tableColumn id="5" xr3:uid="{FD5BE2D0-86F2-4EB4-97A1-44F92CC16531}" name="Bull &gt; 1" dataDxfId="240" dataCellStyle="Content normal">
      <calculatedColumnFormula array="1">Common_InputFunctions.Utility_DisplayArrayInTable(SourceData_PastureBeef.SourceData_PastureBeef_Liveweight_Data(), Table_SourceData_PastureBeef_Liveweight[[#Headers],[State]], 0)</calculatedColumnFormula>
    </tableColumn>
    <tableColumn id="6" xr3:uid="{B20079C6-4FBF-46C3-8C0E-C08D1C22809D}" name="Cow &lt; 1" dataDxfId="239" dataCellStyle="Content normal">
      <calculatedColumnFormula array="1">Common_InputFunctions.Utility_DisplayArrayInTable(SourceData_PastureBeef.SourceData_PastureBeef_Liveweight_Data(), Table_SourceData_PastureBeef_Liveweight[[#Headers],[State]], 0)</calculatedColumnFormula>
    </tableColumn>
    <tableColumn id="7" xr3:uid="{7D10846B-CBE6-4CE1-95EB-23ED2A192844}" name="Cow 1-2" dataDxfId="238" dataCellStyle="Content normal">
      <calculatedColumnFormula array="1">Common_InputFunctions.Utility_DisplayArrayInTable(SourceData_PastureBeef.SourceData_PastureBeef_Liveweight_Data(), Table_SourceData_PastureBeef_Liveweight[[#Headers],[State]], 0)</calculatedColumnFormula>
    </tableColumn>
    <tableColumn id="8" xr3:uid="{8DC4E0A2-2F0E-48AD-985D-0EB19F19C2D3}" name="Cow &gt; 2" dataDxfId="237" dataCellStyle="Content normal">
      <calculatedColumnFormula array="1">Common_InputFunctions.Utility_DisplayArrayInTable(SourceData_PastureBeef.SourceData_PastureBeef_Liveweight_Data(), Table_SourceData_PastureBeef_Liveweight[[#Headers],[State]], 0)</calculatedColumnFormula>
    </tableColumn>
    <tableColumn id="9" xr3:uid="{5B3B8BD2-D520-4F2F-BBBC-7DEAC2DCC852}" name="Steer &lt; 1" dataDxfId="236"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AE21C203-BFC2-46F9-92A2-94045DBE6A55}" name="Steer &gt; 1" dataDxfId="235"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4B96345-E8AC-4E27-B7D4-ED0EB6E716E4}"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3A4D46D-71E9-46EE-B593-F94C3443675A}" name="State">
      <calculatedColumnFormula array="1">Common_InputFunctions.Utility_DisplayArrayInTable(SourceData_PastureBeef.SourceData_PastureBeef_LiveweightNTQLD_Data(),Table_SourceData_PastureBeef_LiveweightNTQD[[#Headers],[State]], 0)</calculatedColumnFormula>
    </tableColumn>
    <tableColumn id="2" xr3:uid="{B33605A8-F692-4709-A4C1-B5EF0CCCC1DD}" name="Region" dataDxfId="23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FD73114E-16A5-4F48-8C74-CCD06E0F7628}" name="Season" dataDxfId="23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0BA76FE5-4E30-4BB3-9ABD-69E79530CE24}" name="Bull &lt;1" dataDxfId="23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CE0668CB-6BF1-4A2A-922A-52DE5D358DB2}" name="Bull &gt;1" dataDxfId="23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8E5C905-93F5-4B72-8480-ABABF9BC1AD2}" name="Cows &lt;1" dataDxfId="23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41B56476-B429-43AE-B399-59E5A633EAE7}" name="Cows 1-2" dataDxfId="22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31F9BE2D-3CBC-4B95-8B50-9DE1115E765F}" name="Cows 2-3" dataDxfId="22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28C44AD7-ED27-483A-AB47-A83690EF8F0B}" name="Cows &gt;3" dataDxfId="22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93D99A5D-1629-48E3-9078-72BD6C193350}" name="Steer &lt;1" dataDxfId="22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7B87CF39-C909-4969-8ADB-C3B755B15D4B}" name="Steer 1-2" dataDxfId="22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AEC5D5F-D1C7-4683-99E9-F7F99F985AD8}" name="Steer 2-3" dataDxfId="22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679266BF-5ADB-42F0-A989-6690CA822758}" name="Steer &gt;3" dataDxfId="223"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1D3CCB81-75D3-4C56-8422-2DA21E53A36F}"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20F9CF4-2F50-4804-BCD0-4523D9794132}" name="State"/>
    <tableColumn id="2" xr3:uid="{7747C0E8-B73E-494F-BE2A-1F012CA91A44}" name="Region">
      <calculatedColumnFormula>E22</calculatedColumnFormula>
    </tableColumn>
    <tableColumn id="3" xr3:uid="{54F039A6-2BEB-47CC-8392-4D71E245AAD5}" name="Season">
      <calculatedColumnFormula>F22</calculatedColumnFormula>
    </tableColumn>
    <tableColumn id="4" xr3:uid="{018BBA76-4C29-487E-89D3-CEC7B2071257}" name="Bulls &lt; 1 year">
      <calculatedColumnFormula>G22</calculatedColumnFormula>
    </tableColumn>
    <tableColumn id="5" xr3:uid="{A0620A83-D3A4-4FA4-A307-8E4D2E351EE9}" name="Bulls &gt; 1 year">
      <calculatedColumnFormula>H22</calculatedColumnFormula>
    </tableColumn>
    <tableColumn id="6" xr3:uid="{E2251783-148A-4BC4-A7B5-38CA6186866D}" name="Cows &lt; 1 year">
      <calculatedColumnFormula>I22</calculatedColumnFormula>
    </tableColumn>
    <tableColumn id="7" xr3:uid="{54B359DA-6E75-45B0-91CA-D786BC7309A1}" name="Cows 1-2 years">
      <calculatedColumnFormula>J22</calculatedColumnFormula>
    </tableColumn>
    <tableColumn id="8" xr3:uid="{D45760EB-693D-4E52-93B9-2F6274E4DB94}" name="Cows 2-3 years">
      <calculatedColumnFormula>K22</calculatedColumnFormula>
    </tableColumn>
    <tableColumn id="9" xr3:uid="{09A91A34-8797-4685-AB2E-8857FF2220EC}" name="Cows &gt; 3 years">
      <calculatedColumnFormula>L22</calculatedColumnFormula>
    </tableColumn>
    <tableColumn id="10" xr3:uid="{54E0F6EB-E6B2-4451-BEDE-A2F49A98C13D}" name="Steers &lt; 1 year">
      <calculatedColumnFormula>M22</calculatedColumnFormula>
    </tableColumn>
    <tableColumn id="11" xr3:uid="{43EACB74-BFC9-4459-A40D-54440EEC1EA8}" name="Steers 1-2 years">
      <calculatedColumnFormula>N22</calculatedColumnFormula>
    </tableColumn>
    <tableColumn id="12" xr3:uid="{8EB1AB15-5B5F-4A1E-B27C-FD881B78D1A2}" name="Steers 2-3 years">
      <calculatedColumnFormula>#REF!</calculatedColumnFormula>
    </tableColumn>
    <tableColumn id="13" xr3:uid="{F393759B-D260-471C-A28D-1BC0C900C1DF}" name="Steers &gt;3 years">
      <calculatedColumnFormula>P22</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5C0A7323-841F-4A64-9A52-8D0C2437350C}"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FE35C0A-233C-49F8-BAAD-A6A2702D3463}"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26A26F39-D349-4FAB-9847-F6F82F768E6A}"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71FF11E6-A944-4335-ADDA-91A603D9C10D}"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AC0ED3EE-363F-48C4-9744-236EB71818E3}"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DB6AB62-714A-40EE-B004-40D2CBCF3465}"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3215E49D-928C-4DCE-ADBA-39D7F7941CB4}" name="Table_SourceData_PastureBeef_Region_Victoria" displayName="Table_SourceData_PastureBeef_Region_Victoria" ref="S7:S8" totalsRowShown="0">
  <autoFilter ref="S7:S8" xr:uid="{7D474D93-C1E0-4898-A434-69585070D0B9}">
    <filterColumn colId="0" hiddenButton="1"/>
  </autoFilter>
  <tableColumns count="1">
    <tableColumn id="1" xr3:uid="{F66EE971-49A6-496F-A763-94C8C8182473}"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27536E13-7E54-4F27-9BDD-BBC9F6903185}"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83FD833E-E5B7-4525-AEF7-924F52B348A8}"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47AD3E1C-5525-4730-BBCA-EDE88190B7DB}"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F86A7B00-5E0E-4736-8CFB-97C540D16540}"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57D6423C-38E1-4049-B3E9-17438E90D346}" name="Table_SourceData_PastureBeef_Region_Tasmania" displayName="Table_SourceData_PastureBeef_Region_Tasmania" ref="S22:S23" totalsRowShown="0">
  <autoFilter ref="S22:S23" xr:uid="{4E5A7E40-F6AE-4323-873A-9AB20571A18A}">
    <filterColumn colId="0" hiddenButton="1"/>
  </autoFilter>
  <tableColumns count="1">
    <tableColumn id="1" xr3:uid="{26CAE545-8027-4A45-8419-D4195F3CE36D}"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99316998-FE55-491F-8EAB-D3A568417979}" name="Table_SourceData_PastureBeef_Region_ACT" displayName="Table_SourceData_PastureBeef_Region_ACT" ref="S27:S28" totalsRowShown="0">
  <autoFilter ref="S27:S28" xr:uid="{3655B7FD-A2CC-4B05-9668-16F7A54ED6C1}">
    <filterColumn colId="0" hiddenButton="1"/>
  </autoFilter>
  <tableColumns count="1">
    <tableColumn id="1" xr3:uid="{C9BF6CA2-0D79-4EFD-B3B4-44A7B514998F}"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75A6BAC4-7A45-4A1E-AC4C-42833A8BF6E9}"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5C8BE31-B276-42B5-A94C-D89CEF2CB6A4}" name="State">
      <calculatedColumnFormula array="1">Common_InputFunctions.Utility_DisplayArrayInTable(SourceData_PastureBeef.SourceData_PastureBeef_LiveweightGain_Data(), Table_SourceData_PastureBeef_LiveweightGain[[#Headers],[State]],0)</calculatedColumnFormula>
    </tableColumn>
    <tableColumn id="2" xr3:uid="{41C84DB1-67CC-4EBE-AFF9-155767253DE6}" name="Region" dataDxfId="222"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794D0F4E-82EA-4B79-9D75-2E662A013B57}" name="Season" dataDxfId="221"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A4E911FF-BACE-4529-95E4-80629E6B1942}" name="Bull &lt;1" dataDxfId="220"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D12FE4F-E2A2-42B4-B2D0-B0C3C5684199}" name="Bull &gt;1" dataDxfId="219"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01B670E4-6E11-4440-B563-0D03B7E23BB1}" name="Cow &lt;1" dataDxfId="218"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F08999D6-058E-4A2E-A1FA-4B0392E2F2F0}" name="Cow 1-2" dataDxfId="217"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8A9C007-2435-4E47-B45E-E9894AB6664C}" name="Cow &gt;2" dataDxfId="216"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89D5EB35-1464-4EDE-9EC3-916909772609}" name="Steer &lt;1" dataDxfId="215"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D3E3B62A-8394-4C4E-8DE9-E7DA95C25984}" name="Steer &gt;1" dataDxfId="214"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F9B3CFCD-9B6A-485E-AF9A-E4D92B1624DA}"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96C2D191-0F94-49E4-8186-98BE201986B2}" name="State">
      <calculatedColumnFormula array="1">Common_InputFunctions.Utility_DisplayArrayInTable(SourceData_PastureBeef.SourceData_PastureBeef_LiveweightGainNTQLD_Data(),Table_SourceData_PastureBeef_LiveweightGainNTQLD[[#Headers],[State]],0)</calculatedColumnFormula>
    </tableColumn>
    <tableColumn id="2" xr3:uid="{681F8A54-B4F4-48CE-8C1B-B42A29F1A29D}" name="Region" dataDxfId="21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5F687BBC-5612-4590-8D8F-2923A00964D9}" name="Season" dataDxfId="21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DADABBD6-3A1B-4E17-82B3-7D6D72B647DD}" name="Bull &lt;1" dataDxfId="21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0A85FA67-CCFE-4224-856E-DFDB0D679A5C}" name="Bull &gt;1" dataDxfId="21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8BC4B1A7-EA12-4455-92F6-C552DF4599AE}" name="Cow &lt;1" dataDxfId="20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B09E4609-BAF9-48E4-950C-1DBF17619BD3}" name="Cow 1-2" dataDxfId="20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9316CE41-348C-49F5-9A62-DF0669304375}" name="Cow 2-3" dataDxfId="20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0CE1205-F417-4394-8F80-0AF8344F7258}" name="Cow &gt;3" dataDxfId="20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630CDC4E-90D2-487A-BEBE-75D99AFE45E7}" name="Steer &lt;1" dataDxfId="20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F086D843-A3BE-4767-BF6D-AC72C0FC5133}" name="Steer 1-2" dataDxfId="20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90BFC609-5CC5-4B0D-8583-CE86E04DC5E4}" name="Steer 2-3" dataDxfId="20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4EFD83AF-E8C9-4484-9E50-E0041C15C4BF}" name="Steer &gt;3" dataDxfId="2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960A03D8-3CE4-4564-99C8-9B6DCC2BA90D}"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D47865E-BD84-4AE4-A5DC-97ACFCCAC844}" name="State"/>
    <tableColumn id="2" xr3:uid="{D1A798D1-E375-4A2C-B372-376F36FB5039}" name="Region">
      <calculatedColumnFormula>E159</calculatedColumnFormula>
    </tableColumn>
    <tableColumn id="3" xr3:uid="{94299EF4-EAB0-4B43-9C09-CFB888CBE438}" name="Season">
      <calculatedColumnFormula>F159</calculatedColumnFormula>
    </tableColumn>
    <tableColumn id="4" xr3:uid="{7169B97C-458D-4E39-B1B1-DEAF3EC00007}" name="Bulls &lt; 1 year">
      <calculatedColumnFormula>G159</calculatedColumnFormula>
    </tableColumn>
    <tableColumn id="5" xr3:uid="{7B926971-B8E7-4530-949F-29C34B64DBF3}" name="Bulls &gt; 1 year">
      <calculatedColumnFormula>H159</calculatedColumnFormula>
    </tableColumn>
    <tableColumn id="6" xr3:uid="{F10D58A8-476C-4C50-9FDF-9E4E6C653D4A}" name="Cows &lt; 1 year">
      <calculatedColumnFormula>I159</calculatedColumnFormula>
    </tableColumn>
    <tableColumn id="7" xr3:uid="{B65A24BF-BE8C-49AA-90C5-5379B6BA1AC9}" name="Cows 1-2 years">
      <calculatedColumnFormula>J159</calculatedColumnFormula>
    </tableColumn>
    <tableColumn id="8" xr3:uid="{7555E24D-4467-486F-BB4F-0EAB315451DD}" name="Cows 2-3 years">
      <calculatedColumnFormula>K159</calculatedColumnFormula>
    </tableColumn>
    <tableColumn id="9" xr3:uid="{493FE229-3B2B-4E0A-9337-B02C29E387E0}" name="Cows &gt; 3 years">
      <calculatedColumnFormula>L159</calculatedColumnFormula>
    </tableColumn>
    <tableColumn id="10" xr3:uid="{2FE3D266-8EB0-4D69-93FE-6BC4AAA1B921}" name="Steers &lt; 1 year">
      <calculatedColumnFormula>M159</calculatedColumnFormula>
    </tableColumn>
    <tableColumn id="11" xr3:uid="{9994EE1E-2042-419F-9965-DEA31174F6DD}" name="Steers 1-2 years">
      <calculatedColumnFormula>N159</calculatedColumnFormula>
    </tableColumn>
    <tableColumn id="12" xr3:uid="{CA9DF99E-D5B9-497D-BAC3-A90A52DA4F48}" name="Steers 2-3 years">
      <calculatedColumnFormula>O159</calculatedColumnFormula>
    </tableColumn>
    <tableColumn id="13" xr3:uid="{3E674200-C460-4A28-A7F3-F24617A396B4}" name="Steers &gt;3 years">
      <calculatedColumnFormula>P159</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9A7CAC1E-DE63-464D-BA32-9770C73E834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53CF8DE6-1CF0-401F-BCD5-37ED547DF951}"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3382FCDF-AF89-4362-8BE8-7B846F98EA9D}" name="Region" dataDxfId="20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FB5E3E69-07E9-4F7D-9C8B-12E4A910F246}" name="Spring" dataDxfId="20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7FF28386-BDE5-4122-9ABC-DFB8C68240DD}" name="Summer" dataDxfId="19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727DFFC7-3AD2-4DB9-AEA5-61600A580A9C}" name="Autumn" dataDxfId="19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339B1748-B4DB-4566-9206-34A5395AEE50}" name="Winter" dataDxfId="19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17DB646C-3BCF-4E26-9040-E6372B63D4BC}" name="Table_SourceData_PastureBeef_CrudeProtein" displayName="Table_SourceData_PastureBeef_CrudeProtein" ref="D313:I328" totalsRowShown="0" dataDxfId="196"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203D5696-00B2-4A84-A62D-7809BC09E3CD}" name="State" dataDxfId="19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0AB6E667-A076-46A2-ABFE-7EA4A6118925}" name="Region" dataDxfId="19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32E3C58C-857B-4670-B925-4870D1898B7E}" name="Spring" dataDxfId="19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598D65B6-BA53-416B-82F2-DAB02A8DB4C8}" name="Summer" dataDxfId="19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1A5C961C-6387-438C-9561-1E9530ACA8C2}" name="Autumn" dataDxfId="19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35B6E1BC-E6F5-4B69-A707-5711395016F7}" name="Winter" dataDxfId="19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A4C8673B-F9C1-4E9E-B205-B79FE81660A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8F290128-A996-4E49-826B-4D17C02A4851}"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FA0F7547-D2ED-4608-8DD6-D408C53D22F7}" name="Season" dataDxfId="18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BB05C030-EEC8-4C7F-9C14-6C2C36ED0143}" name="Feed adjustment" dataDxfId="18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DEE2CCA8-7AD7-4E91-9180-9C46167A5D06}" name="Milk intake/production" dataDxfId="187"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A65259-DE0F-4472-A584-784CDBEED7F1}"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AE40B244-381C-4817-8266-19B575B365C4}"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A7E2CAB9-B40C-4B16-AA67-6ABEA8372DAC}" name="Bulls &lt;1" dataDxfId="18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6626988F-09F6-4282-8CF2-467A4CDA7FE9}" name="Bulls &gt;1" dataDxfId="18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1DFD4250-70C0-4033-98F7-BDEDAE0FF9A5}" name="Cows &lt;1" dataDxfId="18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1435678C-D1BF-4B6D-A490-092DF78EBBAD}" name="Cows 1-2" dataDxfId="18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1E7C7FE4-7952-4EAD-A0B0-A895E80A84E6}" name="Cows &gt;2" dataDxfId="18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14DF902C-8BF6-4467-86BF-E77C3F1ABA75}" name="Steer &lt;1" dataDxfId="18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033BC14A-B7A6-4948-AE58-D6E210C22DCF}" name="Steer &gt;1" dataDxfId="18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5705AA1-EDCE-4A18-99DA-521BB56B39AC}" name="State abbreviation" dataDxfId="17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BD5DF608-96EA-40D5-AC82-451DFD62EA83}"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CDC3E375-B5DA-43C7-AF86-F68D348EAC16}" name="State" dataDxfId="178" dataCellStyle="Content normal">
      <calculatedColumnFormula>D351</calculatedColumnFormula>
    </tableColumn>
    <tableColumn id="2" xr3:uid="{DEFD0358-3A4B-4BBA-8417-452DB8B4B52E}" name="Bulls &lt; 1 year" dataDxfId="177" dataCellStyle="Content normal">
      <calculatedColumnFormula>E351</calculatedColumnFormula>
    </tableColumn>
    <tableColumn id="3" xr3:uid="{E47FF3E0-B4D2-40CD-8A8E-9F5FCFAF9DAD}" name="Bulls &gt; 1 year" dataDxfId="176" dataCellStyle="Content normal">
      <calculatedColumnFormula>F351</calculatedColumnFormula>
    </tableColumn>
    <tableColumn id="4" xr3:uid="{DC79B95A-90C9-4A75-AE9B-4AF0C6445614}" name="Cows &lt; 1 year" dataDxfId="175" dataCellStyle="Content normal">
      <calculatedColumnFormula>G351</calculatedColumnFormula>
    </tableColumn>
    <tableColumn id="5" xr3:uid="{6097BEA9-73A6-4FB3-BED5-3BCD8663D64E}" name="Cows 1-2 years" dataDxfId="174" dataCellStyle="Content normal">
      <calculatedColumnFormula>H351</calculatedColumnFormula>
    </tableColumn>
    <tableColumn id="6" xr3:uid="{75E78F9D-EBCC-4B68-A88C-F18B3C28F83E}" name="Cows 2-3 years" dataDxfId="173" dataCellStyle="Content normal">
      <calculatedColumnFormula>I351</calculatedColumnFormula>
    </tableColumn>
    <tableColumn id="7" xr3:uid="{FD7308D3-AE8A-43FC-B822-B229B8971702}" name="Cows &gt; 3 years" dataDxfId="172" dataCellStyle="Content normal">
      <calculatedColumnFormula>I351</calculatedColumnFormula>
    </tableColumn>
    <tableColumn id="8" xr3:uid="{F1D29146-682C-402D-ACB0-747C74AE9F7B}" name="Steers &lt; 1 year" dataDxfId="171" dataCellStyle="Content normal">
      <calculatedColumnFormula>J351</calculatedColumnFormula>
    </tableColumn>
    <tableColumn id="9" xr3:uid="{07A2005D-5875-4697-8922-BB2365C12C82}" name="Steers 1-2 years" dataDxfId="170" dataCellStyle="Content normal">
      <calculatedColumnFormula>K351</calculatedColumnFormula>
    </tableColumn>
    <tableColumn id="10" xr3:uid="{A5190435-91E6-4D34-80BC-6515E8106296}" name="Steers 2-3 years" dataDxfId="169" dataCellStyle="Content normal">
      <calculatedColumnFormula>K351</calculatedColumnFormula>
    </tableColumn>
    <tableColumn id="11" xr3:uid="{206E7847-1880-405D-9E11-CCBB04F5F0AD}" name="Steers &gt;3 years" dataDxfId="168" dataCellStyle="Content normal">
      <calculatedColumnFormula>K351</calculatedColumnFormula>
    </tableColumn>
    <tableColumn id="12" xr3:uid="{8AB2A9AE-921F-408E-94B6-0601B292871F}" name="State abbreviation" dataDxfId="167" dataCellStyle="Content normal">
      <calculatedColumnFormula>L351</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B4BE01F1-9732-4735-A6CE-366717FC1AC5}"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D2667CD5-7DF3-4F0D-B8A2-22F4F5749B6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567A7A09-08BC-42D4-94D0-FBB0B912A2D1}" name="Region" dataDxfId="16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2FF039F2-454E-4300-93E2-F333242ABB90}" name="Pasture range and paddock" dataDxfId="16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80879811-DDD5-49C1-A3A3-70CA606BA136}" name="Uncovered Anaerobic lagoon" dataDxfId="164"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EBC67B02-CF04-41B6-B0D2-650D3C08A519}" name="Table_SourceData_PastureBeef_MethaneConversionFactor" displayName="Table_SourceData_PastureBeef_MethaneConversionFactor" ref="D400:G415" totalsRowShown="0" dataDxfId="163" dataCellStyle="Content normal">
  <autoFilter ref="D400:G415" xr:uid="{4418AC31-F58F-4AB7-B02E-51D846B94E9A}">
    <filterColumn colId="0" hiddenButton="1"/>
    <filterColumn colId="1" hiddenButton="1"/>
    <filterColumn colId="2" hiddenButton="1"/>
    <filterColumn colId="3" hiddenButton="1"/>
  </autoFilter>
  <tableColumns count="4">
    <tableColumn id="1" xr3:uid="{8F1B4DE3-961F-48AE-9717-58E89F1110BE}" name="State" dataDxfId="16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1E942E36-E7AF-4CB5-BF38-9BB66938AB5A}" name="Region" dataDxfId="16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3641ABD-31B6-42E5-9551-E35252AE95A7}" name="Pasture range and paddock" dataDxfId="16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5C59633A-93B4-4ABD-8799-3370BE6038B8}" name="Uncovered Anaerobic lagoon" dataDxfId="15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D86FFC51-E10A-48B9-B517-6E12632A2919}"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8512C82A-D49A-4D9F-853B-A88F4D8DC5AA}"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9B99402D-0823-42F4-AB5A-983A7EBADCC8}" name="Season" dataDxfId="15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411AA1EC-E3A3-4AF3-AF99-CC11AD49892C}" name="Feed adjustment" dataDxfId="15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B83654EF-C8E3-479E-AE99-F9C9D7DB5853}" name="Milk intake/production" dataDxfId="156"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3454B42F-6531-470E-B67E-43EEB1F2E4AB}" name="Table_LivestockClasses_Beefcattle" displayName="Table_LivestockClasses_Beefcattle" ref="O18:O28" totalsRowShown="0">
  <autoFilter ref="O18:O28" xr:uid="{13BB371D-1A6A-420B-8F76-A006E7FBF483}">
    <filterColumn colId="0" hiddenButton="1"/>
  </autoFilter>
  <tableColumns count="1">
    <tableColumn id="1" xr3:uid="{B48D516B-CE60-4F0F-B4E2-C5C4AE9F57D3}" name="Livestock class"/>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9A27C374-1DDA-4137-BBCC-2F45B6AE2FFA}" name="Table_ProductRegions_Beefcattle172" displayName="Table_ProductRegions_Beefcattle172" ref="O32:P48" totalsRowShown="0">
  <autoFilter ref="O32:P48" xr:uid="{7E277F33-A0AF-471E-A609-92C95103FA9F}">
    <filterColumn colId="0" hiddenButton="1"/>
    <filterColumn colId="1" hiddenButton="1"/>
  </autoFilter>
  <tableColumns count="2">
    <tableColumn id="1" xr3:uid="{C94FB7BC-63EB-4880-B37E-8C75B47812B3}" name="Region"/>
    <tableColumn id="2" xr3:uid="{DEDF2CD6-C26D-4385-B63A-2F4C0E5FCA20}" name="Scope3 regio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80C2D9E-4C3A-4AA4-AF01-F58560E74385}" name="Table_SourceData_Scope3_Animals173" displayName="Table_SourceData_Scope3_Animals173"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8AF4285F-A040-4300-8024-9574C8B357D8}" name="Category" dataDxfId="155" dataCellStyle="Content normal">
      <calculatedColumnFormula array="1">Common_InputFunctions.Utility_DisplayArrayInTable(Scope3_SourceData.Scope3_Livestock_Data(), Table_SourceData_Scope3_Animals173[[#Headers],[Category]], 0, 2)</calculatedColumnFormula>
    </tableColumn>
    <tableColumn id="2" xr3:uid="{AAF80973-1993-4EBA-8BB0-EFE24D78BB3A}" name="Product" dataDxfId="154" dataCellStyle="Content normal">
      <calculatedColumnFormula array="1">Common_InputFunctions.Utility_DisplayArrayInTable(Scope3_SourceData.Scope3_Livestock_Data(), Table_SourceData_Scope3_Animals173[[#Headers],[Category]], 0, 2)</calculatedColumnFormula>
    </tableColumn>
    <tableColumn id="3" xr3:uid="{8F99E27C-4D36-4BBF-A427-1AF412286F57}" name="Region of origin" dataDxfId="153" dataCellStyle="Content normal">
      <calculatedColumnFormula array="1">Common_InputFunctions.Utility_DisplayArrayInTable(Scope3_SourceData.Scope3_Livestock_Data(), Table_SourceData_Scope3_Animals173[[#Headers],[Category]], 0, 2)</calculatedColumnFormula>
    </tableColumn>
    <tableColumn id="8" xr3:uid="{D9626F9D-78D9-41E2-9BBA-6BCD9250722B}" name="Quantity Unit" dataDxfId="152" dataCellStyle="Content normal">
      <calculatedColumnFormula array="1">Common_InputFunctions.Utility_DisplayArrayInTable(Scope3_SourceData.Scope3_Livestock_Data(), Table_SourceData_Scope3_Animals173[[#Headers],[Category]], 0, 2)</calculatedColumnFormula>
    </tableColumn>
    <tableColumn id="9" xr3:uid="{D412624C-22A1-4D75-94D1-72D9C944F39A}" name="AusLCI Emissions intensity" dataDxfId="151" dataCellStyle="Content normal">
      <calculatedColumnFormula array="1">Common_InputFunctions.Utility_DisplayArrayInTable(Scope3_SourceData.Scope3_Livestock_Data(), Table_SourceData_Scope3_Animals173[[#Headers],[Category]], 0, 2)</calculatedColumnFormula>
    </tableColumn>
    <tableColumn id="10" xr3:uid="{BBD3794E-7008-4A80-9EEA-CC569A466EB6}" name="System boundary" dataDxfId="150" dataCellStyle="Content normal">
      <calculatedColumnFormula array="1">Common_InputFunctions.Utility_DisplayArrayInTable(Scope3_SourceData.Scope3_Livestock_Data(), Table_SourceData_Scope3_Animals173[[#Headers],[Category]], 0, 2)</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4" xr:uid="{6AB6F145-2FD9-4C05-872D-836058B94013}"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702D855C-5EA6-481B-B5A9-FA690CF15637}" name="Symbol">
      <calculatedColumnFormula array="1">Common_InputFunctions.Utility_DisplayArrayInTable(CommonLivestock_SourceData.SourceData_Livestock_Common_SymbolsMMS_Data(), Table_Data_MMSSymbols[[#Headers],[Symbol]], 0)</calculatedColumnFormula>
    </tableColumn>
    <tableColumn id="2" xr3:uid="{CEAC59E5-340B-425E-BF17-17FDF7C96E5B}" name="Manure management system">
      <calculatedColumnFormula array="1">Common_InputFunctions.Utility_DisplayArrayInTable(CommonLivestock_SourceData.SourceData_Livestock_Common_SymbolsMMS_Data(), Table_Data_MMSSymbols[[#Headers],[Symbol]], 0)</calculatedColumnFormula>
    </tableColumn>
    <tableColumn id="3" xr3:uid="{ABBF29BF-B8A2-4348-ABB1-9CE90F82E900}"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5" xr:uid="{A7DF3752-2F7E-4AFA-ABEF-7E48DFE7EB6F}" name="Table_SourceData_LivestockProduct_Beefcattle" displayName="Table_SourceData_LivestockProduct_Beefcattle" ref="D31:E39" totalsRowShown="0">
  <autoFilter ref="D31:E39" xr:uid="{953E8E36-CE90-4001-9CFA-9307A0C836A9}"/>
  <tableColumns count="2">
    <tableColumn id="1" xr3:uid="{5AD79A25-AAC5-471D-9E4E-6D3B97964621}" name="Product">
      <calculatedColumnFormula array="1">Common_InputFunctions.Utility_DisplayArrayInTable(CommonLivestock_SourceData.SourceData_Livestock_Product_BeefCattle_Data(),Table_SourceData_LivestockProduct_Beefcattle[[#Headers],[Product]],0)</calculatedColumnFormula>
    </tableColumn>
    <tableColumn id="2" xr3:uid="{17028ACB-908C-43F3-B1BA-8EF9CF6BFF7C}" name="Source region" dataDxfId="149"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6" xr:uid="{20744301-8530-420A-B808-12C0B42C1BF8}" name="Table_SourceData_LivestockProduct_Sheep" displayName="Table_SourceData_LivestockProduct_Sheep" ref="D43:E50" totalsRowShown="0" dataDxfId="148" dataCellStyle="Content normal">
  <autoFilter ref="D43:E50" xr:uid="{995536B5-6CA5-4D7D-A704-9B6B595C2491}"/>
  <tableColumns count="2">
    <tableColumn id="1" xr3:uid="{45183F8A-BFCE-42EF-B545-42E262505691}" name="Product" dataDxfId="147"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8B55E789-83AA-4FD0-9F9F-C6093ECE2310}" name="Source region" dataDxfId="146"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7" xr:uid="{2849737F-EC15-4884-9C95-2B6A22EB8F08}" name="Table_SourceData_LivestockProduct_Chickens" displayName="Table_SourceData_LivestockProduct_Chickens" ref="D54:E55" totalsRowShown="0" dataDxfId="145" dataCellStyle="Content normal">
  <autoFilter ref="D54:E55" xr:uid="{257D8456-031C-4EEF-A8C4-474F215C3208}"/>
  <tableColumns count="2">
    <tableColumn id="1" xr3:uid="{779DE3BA-F655-47FE-B293-2292F54A7A62}" name="Product" dataDxfId="144"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BADF637B-8417-4877-A58F-043D99B29E2A}" name="Source region" dataDxfId="143"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8" xr:uid="{DD570DFB-C737-451B-8879-19F85829B8BD}" name="Table_SourceData_LivestockProduct_Dairycattle" displayName="Table_SourceData_LivestockProduct_Dairycattle" ref="D59:E60" totalsRowShown="0" dataDxfId="142" dataCellStyle="Content normal">
  <autoFilter ref="D59:E60" xr:uid="{71833C62-BA2B-4519-92E0-B189E393D12F}"/>
  <tableColumns count="2">
    <tableColumn id="1" xr3:uid="{5E014DCB-9F7F-4CF2-B501-625A393FCDAC}" name="Product" dataDxfId="141"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4588E7DF-2794-46F7-9021-C59399C971F6}" name="Source region" dataDxfId="140"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9" xr:uid="{E021B88C-3C89-4925-8D04-1A04019FFFAA}" name="Table_SourceData_LivestockProduct_Pigs" displayName="Table_SourceData_LivestockProduct_Pigs" ref="D64:E65" totalsRowShown="0" dataDxfId="139" dataCellStyle="Content normal">
  <autoFilter ref="D64:E65" xr:uid="{65FF5EF6-2A75-4137-9345-8328E2DA8F9C}"/>
  <tableColumns count="2">
    <tableColumn id="1" xr3:uid="{1E59A9AD-9809-421E-AD6A-9647E3CE4343}" name="Product" dataDxfId="138"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A6EFE3F-5857-45A5-9C9F-8B21CCA6B85B}" name="Source region" dataDxfId="137"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B42257B-4553-46EA-8FFD-B00F854276E0}"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C2621BC2-8866-463E-9784-9ECC2F1B03D5}"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BC685377-B55D-4FDB-99BA-394A8C94779A}" name="FNinorganic f">
      <calculatedColumnFormula array="1">Common_InputFunctions.Utility_DisplayArrayInTable(Fertiliser_SourceData.Fertiliser_ChemicalCompoundElements_Data(),Table_Fertiliser_ChemicalCompounds[[#Headers],[Fertiliser type f]], 0)</calculatedColumnFormula>
    </tableColumn>
    <tableColumn id="3" xr3:uid="{762C8E2E-AE22-480F-92D6-502BA8CC03FE}" name="FU f">
      <calculatedColumnFormula array="1">Common_InputFunctions.Utility_DisplayArrayInTable(Fertiliser_SourceData.Fertiliser_ChemicalCompoundElements_Data(),Table_Fertiliser_ChemicalCompounds[[#Headers],[Fertiliser type f]], 0)</calculatedColumnFormula>
    </tableColumn>
    <tableColumn id="4" xr3:uid="{A8A74033-A4B8-42A0-B221-913D7B54EEC0}" name="Basis">
      <calculatedColumnFormula array="1">Common_InputFunctions.Utility_DisplayArrayInTable(Fertiliser_SourceData.Fertiliser_ChemicalCompoundElements_Data(),Table_Fertiliser_ChemicalCompounds[[#Headers],[Fertiliser type f]], 0)</calculatedColumnFormula>
    </tableColumn>
    <tableColumn id="5" xr3:uid="{2C851E59-3822-430F-B2F5-FF48B894E726}"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81F4351C-14E0-415A-92EF-35ED7F4D63E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4E9F2C2C-9947-4440-8898-1DAED2E921A9}"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C420567A-9B33-4C99-A0CA-1DFB8D33F7E9}" name="Include or Exclude" dataDxfId="136" totalsRowDxfId="135">
      <calculatedColumnFormula array="1">Common_InputFunctions.Utility_DisplayArrayInTable(Fertiliser_SourceData.Fertiliser_Products_Data1(),FertiliserProducts[[#Headers],[Include or Exclude]], -1)</calculatedColumnFormula>
    </tableColumn>
    <tableColumn id="2" xr3:uid="{877920B7-2CB3-4D89-AB78-F814810F075A}" name="Notes" dataDxfId="134" totalsRowDxfId="133">
      <calculatedColumnFormula array="1">Common_InputFunctions.Utility_DisplayArrayInTable(Fertiliser_SourceData.Fertiliser_Products_Data1(),FertiliserProducts[[#Headers],[Include or Exclude]], 0)</calculatedColumnFormula>
    </tableColumn>
    <tableColumn id="3" xr3:uid="{26601C72-48A4-4D72-9760-FE08A3A73C56}" name="Company" dataDxfId="132" totalsRowDxfId="131">
      <calculatedColumnFormula array="1">Common_InputFunctions.Utility_DisplayArrayInTable(Fertiliser_SourceData.Fertiliser_Products_Data1(),FertiliserProducts[[#Headers],[Include or Exclude]], 0)</calculatedColumnFormula>
    </tableColumn>
    <tableColumn id="4" xr3:uid="{CA188B3B-CDA3-477A-80B3-872E13245675}" name="Product name" dataDxfId="130" totalsRowDxfId="129">
      <calculatedColumnFormula array="1">Common_InputFunctions.Utility_DisplayArrayInTable(Fertiliser_SourceData.Fertiliser_Products_Data1(),FertiliserProducts[[#Headers],[Include or Exclude]], 0)</calculatedColumnFormula>
    </tableColumn>
    <tableColumn id="5" xr3:uid="{3C173B80-8920-413C-A403-345E2A491EE2}" name="Unit" dataDxfId="128" totalsRowDxfId="127">
      <calculatedColumnFormula array="1">Common_InputFunctions.Utility_DisplayArrayInTable(Fertiliser_SourceData.Fertiliser_Products_Data1(),FertiliserProducts[[#Headers],[Include or Exclude]], 0,4)</calculatedColumnFormula>
    </tableColumn>
    <tableColumn id="6" xr3:uid="{E407763B-9C2B-4759-86FA-E6EC994911E6}" name="Density / gravity" dataDxfId="126" totalsRowDxfId="125">
      <calculatedColumnFormula array="1">Common_InputFunctions.Utility_DisplayArrayInTable(Fertiliser_SourceData.Fertiliser_Products_Data1(),FertiliserProducts[[#Headers],[Include or Exclude]], 0,4)</calculatedColumnFormula>
    </tableColumn>
    <tableColumn id="7" xr3:uid="{873679D7-A555-47AA-BD98-121B7451A9B8}" name="Urea source" dataDxfId="124" totalsRowDxfId="123">
      <calculatedColumnFormula array="1">Common_InputFunctions.Utility_DisplayArrayInTable(Fertiliser_SourceData.Fertiliser_Products_Data1(),FertiliserProducts[[#Headers],[Include or Exclude]], 0,4)</calculatedColumnFormula>
    </tableColumn>
    <tableColumn id="8" xr3:uid="{F9CDD67E-69CA-4F70-B4A1-25A29A4003B8}" name="Ammonia source" dataDxfId="122" totalsRowDxfId="121">
      <calculatedColumnFormula array="1">Common_InputFunctions.Utility_DisplayArrayInTable(Fertiliser_SourceData.Fertiliser_Products_Data1(),FertiliserProducts[[#Headers],[Include or Exclude]], 0,4)</calculatedColumnFormula>
    </tableColumn>
    <tableColumn id="9" xr3:uid="{34AFA92C-6237-4D98-80B1-D4B98A312BB3}" name="Ingredient 1" dataDxfId="120" totalsRowDxfId="119">
      <calculatedColumnFormula array="1">Common_InputFunctions.Utility_DisplayArrayInTable(Fertiliser_SourceData.Fertiliser_Products_Data1(),FertiliserProducts[[#Headers],[Include or Exclude]], 0,4)</calculatedColumnFormula>
    </tableColumn>
    <tableColumn id="10" xr3:uid="{E7385B00-8CD6-4601-B790-D49B962E51E4}" name="Ingredient 1 percent" dataDxfId="118" totalsRowDxfId="117">
      <calculatedColumnFormula array="1">Common_InputFunctions.Utility_DisplayArrayInTable(Fertiliser_SourceData.Fertiliser_Products_Data1(),FertiliserProducts[[#Headers],[Include or Exclude]], 0,4)</calculatedColumnFormula>
    </tableColumn>
    <tableColumn id="11" xr3:uid="{89164145-61B8-4F58-A8E0-5D91EA6AC28B}" name="Ingredient 2" dataDxfId="116" totalsRowDxfId="115">
      <calculatedColumnFormula array="1">Common_InputFunctions.Utility_DisplayArrayInTable(Fertiliser_SourceData.Fertiliser_Products_Data1(),FertiliserProducts[[#Headers],[Include or Exclude]], 0,4)</calculatedColumnFormula>
    </tableColumn>
    <tableColumn id="12" xr3:uid="{242BC5AE-B359-4480-BC3A-C52E1A8F374C}" name="Ingredient 2 percent" dataDxfId="114" totalsRowDxfId="113">
      <calculatedColumnFormula array="1">Common_InputFunctions.Utility_DisplayArrayInTable(Fertiliser_SourceData.Fertiliser_Products_Data1(),FertiliserProducts[[#Headers],[Include or Exclude]], 0,4)</calculatedColumnFormula>
    </tableColumn>
    <tableColumn id="13" xr3:uid="{99DBA871-A4C9-48AA-8802-00715E4272DE}" name="Ingredient 3" dataDxfId="112" totalsRowDxfId="111">
      <calculatedColumnFormula array="1">Common_InputFunctions.Utility_DisplayArrayInTable(Fertiliser_SourceData.Fertiliser_Products_Data1(),FertiliserProducts[[#Headers],[Include or Exclude]], 0,4)</calculatedColumnFormula>
    </tableColumn>
    <tableColumn id="14" xr3:uid="{F6A54961-98C4-49AB-B05C-26636B477A65}" name="Ingredient 3 percent" dataDxfId="110" totalsRowDxfId="109">
      <calculatedColumnFormula array="1">Common_InputFunctions.Utility_DisplayArrayInTable(Fertiliser_SourceData.Fertiliser_Products_Data1(),FertiliserProducts[[#Headers],[Include or Exclude]], 0,4)</calculatedColumnFormula>
    </tableColumn>
    <tableColumn id="15" xr3:uid="{041C5800-8091-45A9-A759-08C396BF5090}" name="Ingredient 4" dataDxfId="108" totalsRowDxfId="107">
      <calculatedColumnFormula array="1">Common_InputFunctions.Utility_DisplayArrayInTable(Fertiliser_SourceData.Fertiliser_Products_Data1(),FertiliserProducts[[#Headers],[Include or Exclude]], 0,4)</calculatedColumnFormula>
    </tableColumn>
    <tableColumn id="16" xr3:uid="{9F544975-5BA0-484D-8B9B-9BF3B21A844C}" name="Ingredient 4 percent" dataDxfId="106" totalsRowDxfId="105">
      <calculatedColumnFormula array="1">Common_InputFunctions.Utility_DisplayArrayInTable(Fertiliser_SourceData.Fertiliser_Products_Data1(),FertiliserProducts[[#Headers],[Include or Exclude]], 0,4)</calculatedColumnFormula>
    </tableColumn>
    <tableColumn id="17" xr3:uid="{8A419D06-D342-4E99-BD94-66B629219843}" name="Ingredient 5" dataDxfId="104" totalsRowDxfId="103">
      <calculatedColumnFormula array="1">Common_InputFunctions.Utility_DisplayArrayInTable(Fertiliser_SourceData.Fertiliser_Products_Data1(),FertiliserProducts[[#Headers],[Include or Exclude]], 0,4)</calculatedColumnFormula>
    </tableColumn>
    <tableColumn id="18" xr3:uid="{970580EC-DB5F-4444-B3A9-EEA761FD1FF7}" name="Ingredient 5 percent" dataDxfId="102" totalsRowDxfId="101">
      <calculatedColumnFormula array="1">Common_InputFunctions.Utility_DisplayArrayInTable(Fertiliser_SourceData.Fertiliser_Products_Data1(),FertiliserProducts[[#Headers],[Include or Exclude]], 0,4)</calculatedColumnFormula>
    </tableColumn>
    <tableColumn id="19" xr3:uid="{F2E2654C-AAF6-45F3-B8DE-3E7559EF1E0C}" name="Ingredient 6" dataDxfId="100" totalsRowDxfId="99">
      <calculatedColumnFormula array="1">Common_InputFunctions.Utility_DisplayArrayInTable(Fertiliser_SourceData.Fertiliser_Products_Data1(),FertiliserProducts[[#Headers],[Include or Exclude]], 0,4)</calculatedColumnFormula>
    </tableColumn>
    <tableColumn id="37" xr3:uid="{B1E50EB6-0BC4-4BC5-A240-A40184B0D4D0}" name="Ingredient 6 percent" dataDxfId="98" totalsRowDxfId="97">
      <calculatedColumnFormula array="1">Common_InputFunctions.Utility_DisplayArrayInTable(Fertiliser_SourceData.Fertiliser_Products_Data1(),FertiliserProducts[[#Headers],[Include or Exclude]], 0,4)</calculatedColumnFormula>
    </tableColumn>
    <tableColumn id="20" xr3:uid="{49D890C4-1188-49CA-81F9-21D2781B8F7A}" name="Ingredient 7" dataDxfId="96">
      <calculatedColumnFormula array="1">Common_InputFunctions.Utility_DisplayArrayInTable(Fertiliser_SourceData.Fertiliser_Products_Data1(),FertiliserProducts[[#Headers],[Include or Exclude]], 0,4)</calculatedColumnFormula>
    </tableColumn>
    <tableColumn id="24" xr3:uid="{A0C2AD19-13AD-4B26-9B81-8AA9D9269068}" name="Ingredient 7 percent" dataDxfId="95">
      <calculatedColumnFormula array="1">Common_InputFunctions.Utility_DisplayArrayInTable(Fertiliser_SourceData.Fertiliser_Products_Data1(),FertiliserProducts[[#Headers],[Include or Exclude]], 0,4)</calculatedColumnFormula>
    </tableColumn>
    <tableColumn id="23" xr3:uid="{C6945269-3CAA-45EF-91F2-899DF7232F75}" name="Ingredient 8" dataDxfId="94">
      <calculatedColumnFormula array="1">Common_InputFunctions.Utility_DisplayArrayInTable(Fertiliser_SourceData.Fertiliser_Products_Data1(),FertiliserProducts[[#Headers],[Include or Exclude]], 0,4)</calculatedColumnFormula>
    </tableColumn>
    <tableColumn id="26" xr3:uid="{B8A9A124-C709-47FD-8970-6213FCA00123}" name="Ingredient 8 percent" dataDxfId="93">
      <calculatedColumnFormula array="1">Common_InputFunctions.Utility_DisplayArrayInTable(Fertiliser_SourceData.Fertiliser_Products_Data1(),FertiliserProducts[[#Headers],[Include or Exclude]], 0,4)</calculatedColumnFormula>
    </tableColumn>
    <tableColumn id="25" xr3:uid="{F52C217E-8365-4066-80C7-5C9435112F86}" name="Ingredient 9" dataDxfId="92">
      <calculatedColumnFormula array="1">Common_InputFunctions.Utility_DisplayArrayInTable(Fertiliser_SourceData.Fertiliser_Products_Data1(),FertiliserProducts[[#Headers],[Include or Exclude]], 0,4)</calculatedColumnFormula>
    </tableColumn>
    <tableColumn id="30" xr3:uid="{6E1E0B20-6966-4C7A-B203-79AD60FEA7B2}" name="Ingredient 9 percent" dataDxfId="91">
      <calculatedColumnFormula array="1">Common_InputFunctions.Utility_DisplayArrayInTable(Fertiliser_SourceData.Fertiliser_Products_Data1(),FertiliserProducts[[#Headers],[Include or Exclude]], 0,4)</calculatedColumnFormula>
    </tableColumn>
    <tableColumn id="29" xr3:uid="{6BAAF776-ECE4-4E65-84C7-6FB4FF1BFB5B}" name="Imngredient 10" dataDxfId="90">
      <calculatedColumnFormula array="1">Common_InputFunctions.Utility_DisplayArrayInTable(Fertiliser_SourceData.Fertiliser_Products_Data1(),FertiliserProducts[[#Headers],[Include or Exclude]], 0,4)</calculatedColumnFormula>
    </tableColumn>
    <tableColumn id="28" xr3:uid="{D3E2CED0-33C8-4F62-9F2E-0786A8704691}" name="Ingredient 10 percent" dataDxfId="89">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DEE43894-7D66-43A9-B21B-07CD70FD8FD5}"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E00893A9-B05E-4054-BB1F-303E380D3533}" name="Fertiliser type f">
      <calculatedColumnFormula array="1">Common_InputFunctions.Utility_DisplayArrayInTable(Fertiliser_SourceData.Fertiliser_FracGASF_Data(), Table_SourceData_Fertiliser_FracGASF[[#Headers],[Fertiliser type f]], 0)</calculatedColumnFormula>
    </tableColumn>
    <tableColumn id="2" xr3:uid="{6E386095-A624-4A33-B83A-46114C8FF809}" name="FracGASF f" dataDxfId="8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D16F517C-9051-4C4E-800E-CE73D6B4AECA}" name="Table_SourceData_Fertiliser_CropProdSystems" displayName="Table_SourceData_Fertiliser_CropProdSystems" ref="D41:D43" totalsRowShown="0">
  <autoFilter ref="D41:D43" xr:uid="{24F3A11E-40F5-4BB9-BFF4-A71FA2ADA0EF}">
    <filterColumn colId="0" hiddenButton="1"/>
  </autoFilter>
  <tableColumns count="1">
    <tableColumn id="1" xr3:uid="{EE843469-F399-4C9C-897E-8B4BD5D3F043}" name="Production system">
      <calculatedColumnFormula>#REF!</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9E0655B7-40E4-4C74-970E-48F9BD99EA4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8DDA8091-F9FE-4B5E-8EBE-2560F2BEF969}" name="Irrigation method"/>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9990F4EA-CE89-4409-8315-64751780C688}" name="Table_SourceData_Fertiliser_CropTypes" displayName="Table_SourceData_Fertiliser_CropTypes" ref="F41:F45" totalsRowShown="0">
  <autoFilter ref="F41:F45" xr:uid="{CB5044B5-FA3C-4AA2-B1AB-72F7E61D072F}">
    <filterColumn colId="0" hiddenButton="1"/>
  </autoFilter>
  <tableColumns count="1">
    <tableColumn id="1" xr3:uid="{E6302848-EBF3-4CB8-A78C-EA2A03CFC641}" name="Production system"/>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DF5EBEB-5357-4606-93EA-4F93337B5DE9}" name="Table_SourceData_OrganicFertiliserTypes" displayName="Table_SourceData_OrganicFertiliserTypes" ref="J41:J46" totalsRowShown="0">
  <autoFilter ref="J41:J46" xr:uid="{B44627B1-537E-4ABC-92C3-57282CEE5B40}">
    <filterColumn colId="0" hiddenButton="1"/>
  </autoFilter>
  <tableColumns count="1">
    <tableColumn id="1" xr3:uid="{65822732-815C-4D38-9CAF-8C8A5DC1596A}" name="Organic fertiliser type"/>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3097A743-05EB-4A33-8090-F6114211FF1C}"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E6A7ACF3-379B-4B81-9CCB-FCFF97D21DDA}" name="Element">
      <calculatedColumnFormula array="1">Common_InputFunctions.Utility_DisplayArrayInTable(Fertiliser_SourceData.Fertiliser_LimeDolomiteGypsumConstants_Data(), Table_SourceData_Fertiliser_LimeDolomiteConstants[[#Headers],[Element]], 0)</calculatedColumnFormula>
    </tableColumn>
    <tableColumn id="2" xr3:uid="{76AE7C90-32AE-44D6-A4FB-D00C473166E5}" name="P" dataDxfId="8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4CDDCD8-32F7-4D20-A742-7777D7B7D844}" name="EF" dataDxfId="8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4FF45C5E-561E-4E91-BB6F-878707D19A53}" name="Table2" displayName="Table2" ref="K19:L28" totalsRowShown="0" dataDxfId="85" dataCellStyle="Content normal">
  <autoFilter ref="K19:L28" xr:uid="{27B93029-EB1F-4C4A-A946-CD673A8A6C46}">
    <filterColumn colId="0" hiddenButton="1"/>
    <filterColumn colId="1" hiddenButton="1"/>
  </autoFilter>
  <tableColumns count="2">
    <tableColumn id="1" xr3:uid="{D6734B39-E171-4DDE-A895-21CBB56D89AC}" name="Fertiliser type f" dataDxfId="84" dataCellStyle="Content normal">
      <calculatedColumnFormula array="1">Common_InputFunctions.Utility_DisplayArrayInTable(Fertiliser_SourceData.Fertiliser_FractionNCommonFertilisers_Data(), Table2[[#Headers],[Fertiliser type f]], 0)</calculatedColumnFormula>
    </tableColumn>
    <tableColumn id="2" xr3:uid="{23A55905-F213-410F-ACE6-D568074B2BB7}" name="FNinorganic f" dataDxfId="8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03951CC-2A7B-479B-8DE0-EC0C1163463C}" name="Table28" displayName="Table28" ref="Q19:R28" totalsRowShown="0" dataDxfId="82" dataCellStyle="Content normal">
  <autoFilter ref="Q19:R28" xr:uid="{791CEA59-796C-47AB-86BC-41E8F699030C}">
    <filterColumn colId="0" hiddenButton="1"/>
    <filterColumn colId="1" hiddenButton="1"/>
  </autoFilter>
  <tableColumns count="2">
    <tableColumn id="1" xr3:uid="{D96466E5-6042-411C-AF0F-909037F90623}" name="Fertiliser type f" dataDxfId="81" dataCellStyle="Content normal">
      <calculatedColumnFormula array="1">Common_InputFunctions.Utility_DisplayArrayInTable(Fertiliser_SourceData.Fertiliser_FractionUreaCommonFertilisers_Data(), Table28[[#Headers],[Fertiliser type f]], 0)</calculatedColumnFormula>
    </tableColumn>
    <tableColumn id="2" xr3:uid="{801A2927-62AD-40C7-A893-59E5F4E74D64}" name="FNinorganic f" dataDxfId="8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E9046221-0CB9-4280-8863-28C13D2C3E3C}"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95AA0292-D9B5-4FA3-9800-FF9C86E1D031}"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9D155002-301B-479D-BB6F-5B2A1100AA48}" name="Table_SourceData_ElectricityEFs" displayName="Table_SourceData_ElectricityEFs" ref="D9:F19" totalsRowShown="0" headerRowDxfId="79">
  <autoFilter ref="D9:F19" xr:uid="{3144A982-7A4D-4CF2-8790-1A30DAE3E0A4}">
    <filterColumn colId="0" hiddenButton="1"/>
    <filterColumn colId="1" hiddenButton="1"/>
    <filterColumn colId="2" hiddenButton="1"/>
  </autoFilter>
  <tableColumns count="3">
    <tableColumn id="1" xr3:uid="{EB91D189-152D-402B-9896-857DAA334E90}"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C1F0E8FE-5E2B-470F-B8AB-77623BA20BC9}"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D0A67EFC-3FE8-4702-AB33-BB1E2A263B75}"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5D3FBCF4-84DF-4D70-BA11-9F356E666C72}"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372D62DB-6D12-4B33-95FC-E46D7EF7A148}"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2BB3FFA1-7673-456E-BB79-AD9396E082B2}"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085053DE-DE49-4909-8AB7-C3607809577D}"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11CFE1AD-F00D-4116-B279-479D3125693A}"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C7D4E8B3-A30A-4C00-BADA-41F900385FA9}"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E04FD6B-9F03-4082-8B03-EBD7E784CF3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7FFA667-39D6-4B8B-A082-176961AE181D}" name="State/Territory">
      <calculatedColumnFormula array="1">Common_InputFunctions.Utility_DisplayArrayInTable(Common_SourceData.Common_SourceData_AustralianStatesTerritories_Data(),Table_AustralianStates[[#Headers],[State/Territory]],0)</calculatedColumnFormula>
    </tableColumn>
    <tableColumn id="2" xr3:uid="{E50A330C-E8C7-4E98-8F36-E10FF9F87764}" name="Common Name">
      <calculatedColumnFormula array="1">Common_InputFunctions.Utility_DisplayArrayInTable(Common_SourceData.Common_SourceData_AustralianStatesTerritories_Data(),Table_AustralianStates[[#Headers],[State/Territory]],0)</calculatedColumnFormula>
    </tableColumn>
    <tableColumn id="3" xr3:uid="{856A07F3-E9B6-4C18-9134-649A5F3086B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E1FC989C-B809-4469-B56B-5112A7249FEC}" name="Table_WASA4Areas" displayName="Table_WASA4Areas" ref="D20:D30" totalsRowShown="0">
  <autoFilter ref="D20:D30" xr:uid="{5FA81339-C6C8-4D36-BEEA-6C4AEDD9E676}">
    <filterColumn colId="0" hiddenButton="1"/>
  </autoFilter>
  <tableColumns count="1">
    <tableColumn id="1" xr3:uid="{C6C02203-2435-44D7-9FE4-6369827B9EC8}"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D6282DC-256D-4CF5-B1F2-F99BDAEA699E}" name="Table_GWPData" displayName="Table_GWPData" ref="D36:E43" totalsRowShown="0">
  <autoFilter ref="D36:E43" xr:uid="{B8E87A66-3E41-4AD3-925D-01EE21B43D7A}">
    <filterColumn colId="0" hiddenButton="1"/>
    <filterColumn colId="1" hiddenButton="1"/>
  </autoFilter>
  <tableColumns count="2">
    <tableColumn id="1" xr3:uid="{E1306873-BD0F-42E2-98CB-A42E66EC5E7C}" name="Gas">
      <calculatedColumnFormula array="1">Common_InputFunctions.Utility_DisplayArrayInTable(Common_SourceData.Common_SourceData_GWP_Data(), Table_GWPData[[#Headers],[Gas]], 0)</calculatedColumnFormula>
    </tableColumn>
    <tableColumn id="2" xr3:uid="{16C74C5D-94DE-4B4E-A0D1-ED2A51BF2EF7}"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28D06E5-53DF-46DE-B797-D0565484D60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7C4A34A8-2406-467B-95FA-F05D7C95A753}" name="Gas">
      <calculatedColumnFormula array="1">Common_InputFunctions.Utility_DisplayArrayInTable(Common_SourceData.Common_SourceData_ConvertGasElementalToMolecular_Data(),Table_GasToMolecularConversionFactor[[#Headers],[Gas]], 0)</calculatedColumnFormula>
    </tableColumn>
    <tableColumn id="5" xr3:uid="{3D5BAC7D-46BB-422D-9DCA-940FA8BF37EC}" name="Conversion factor">
      <calculatedColumnFormula array="1">Common_InputFunctions.Utility_DisplayArrayInTable(Common_SourceData.Common_SourceData_ConvertGasElementalToMolecular_Data(),Table_GasToMolecularConversionFactor[[#Headers],[Gas]], 0)</calculatedColumnFormula>
    </tableColumn>
    <tableColumn id="2" xr3:uid="{AAD343C7-EBCC-4375-BD32-874E759DFB2D}" name="Conversion factor 1">
      <calculatedColumnFormula array="1">Common_InputFunctions.Utility_DisplayArrayInTable(Common_SourceData.Common_SourceData_ConvertGasElementalToMolecular_Data(),Table_GasToMolecularConversionFactor[[#Headers],[Gas]], 0)</calculatedColumnFormula>
    </tableColumn>
    <tableColumn id="3" xr3:uid="{56E10EAE-709C-4336-8675-6EE467B4EC5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94DAAD9-67E9-4FF1-B3E8-3B508E9DB6A2}"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9228130-31A9-46BD-9004-09F965E92E9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D04635E-6680-4786-BED4-436584552359}"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E9E9A9E-E7CB-4AFF-A970-B2E8BD76536F}" name="MAT" totalsRowDxfId="589" totalsRowCellStyle="Content bold">
      <calculatedColumnFormula array="1">Common_InputFunctions.Utility_DisplayArrayInTable(Common_SourceData.Common_SourceData_ClimateZones_Data(), Table_SourceData_ClimateZones[[#Headers],[Climate zone]], 0)</calculatedColumnFormula>
    </tableColumn>
    <tableColumn id="3" xr3:uid="{412B2367-44AD-40C7-8369-3DE68A1C3FC6}" name="MAP" totalsRowDxfId="588" totalsRowCellStyle="Content bold">
      <calculatedColumnFormula array="1">Common_InputFunctions.Utility_DisplayArrayInTable(Common_SourceData.Common_SourceData_ClimateZones_Data(), Table_SourceData_ClimateZones[[#Headers],[Climate zone]], 0)</calculatedColumnFormula>
    </tableColumn>
    <tableColumn id="4" xr3:uid="{79F67EB6-5B41-4E2F-BC5E-254ADE0753BB}" name="Frost days per year" totalsRowDxfId="587" totalsRowCellStyle="Content bold">
      <calculatedColumnFormula array="1">Common_InputFunctions.Utility_DisplayArrayInTable(Common_SourceData.Common_SourceData_ClimateZones_Data(), Table_SourceData_ClimateZones[[#Headers],[Climate zone]], 0)</calculatedColumnFormula>
    </tableColumn>
    <tableColumn id="5" xr3:uid="{64D63819-B81B-4D1C-B8EE-ECF431B4218D}" name="Elevation" totalsRowDxfId="586" totalsRowCellStyle="Content bold">
      <calculatedColumnFormula array="1">Common_InputFunctions.Utility_DisplayArrayInTable(Common_SourceData.Common_SourceData_ClimateZones_Data(), Table_SourceData_ClimateZones[[#Headers],[Climate zone]], 0)</calculatedColumnFormula>
    </tableColumn>
    <tableColumn id="6" xr3:uid="{14696CB0-67CF-4022-8A67-19D8B16944E6}" name="MAP:PET" totalsRowDxfId="585" totalsRowCellStyle="Content bold">
      <calculatedColumnFormula array="1">Common_InputFunctions.Utility_DisplayArrayInTable(Common_SourceData.Common_SourceData_ClimateZones_Data(), Table_SourceData_ClimateZones[[#Headers],[Climate zone]], 0)</calculatedColumnFormula>
    </tableColumn>
    <tableColumn id="7" xr3:uid="{5E353D72-8077-40B3-A2E1-2F0C84C2A680}" name="Min temp" totalsRowDxfId="584" totalsRowCellStyle="Content bold">
      <calculatedColumnFormula array="1">Common_InputFunctions.Utility_DisplayArrayInTable(Common_SourceData.Common_SourceData_ClimateZones_Data(), Table_SourceData_ClimateZones[[#Headers],[Climate zone]], 0)</calculatedColumnFormula>
    </tableColumn>
    <tableColumn id="8" xr3:uid="{141C121F-2F0C-4AEC-B9AC-D6B9C9ACBA62}" name="Max temp" totalsRowDxfId="583" totalsRowCellStyle="Content bold">
      <calculatedColumnFormula array="1">Common_InputFunctions.Utility_DisplayArrayInTable(Common_SourceData.Common_SourceData_ClimateZones_Data(), Table_SourceData_ClimateZones[[#Headers],[Climate zone]], 0)</calculatedColumnFormula>
    </tableColumn>
    <tableColumn id="9" xr3:uid="{29CFF7D1-2AA4-4B71-AB65-19DBC0FFB6F3}" name="Min rainfall" totalsRowDxfId="582" totalsRowCellStyle="Content bold">
      <calculatedColumnFormula array="1">Common_InputFunctions.Utility_DisplayArrayInTable(Common_SourceData.Common_SourceData_ClimateZones_Data(), Table_SourceData_ClimateZones[[#Headers],[Climate zone]], 0)</calculatedColumnFormula>
    </tableColumn>
    <tableColumn id="10" xr3:uid="{B43E16A9-E63A-480E-BC2B-9FB7A138729A}" name="Max rainfall" totalsRowDxfId="581" totalsRowCellStyle="Content bold">
      <calculatedColumnFormula array="1">Common_InputFunctions.Utility_DisplayArrayInTable(Common_SourceData.Common_SourceData_ClimateZones_Data(), Table_SourceData_ClimateZones[[#Headers],[Climate zone]], 0)</calculatedColumnFormula>
    </tableColumn>
    <tableColumn id="11" xr3:uid="{8FDBB842-11EB-4419-8E8D-1DE5A837A313}" name="Min frost days" totalsRowDxfId="580" totalsRowCellStyle="Content bold">
      <calculatedColumnFormula array="1">Common_InputFunctions.Utility_DisplayArrayInTable(Common_SourceData.Common_SourceData_ClimateZones_Data(), Table_SourceData_ClimateZones[[#Headers],[Climate zone]], 0)</calculatedColumnFormula>
    </tableColumn>
    <tableColumn id="15" xr3:uid="{D5675BC7-0440-4C90-893D-0C3A4F48625C}" name="Max frost days" totalsRowDxfId="579" totalsRowCellStyle="Content bold">
      <calculatedColumnFormula array="1">Common_InputFunctions.Utility_DisplayArrayInTable(Common_SourceData.Common_SourceData_ClimateZones_Data(), Table_SourceData_ClimateZones[[#Headers],[Climate zone]], 0)</calculatedColumnFormula>
    </tableColumn>
    <tableColumn id="12" xr3:uid="{34641E0C-4696-4E0C-A458-C60FC697335C}" name="Min elevation" totalsRowDxfId="578" totalsRowCellStyle="Content bold">
      <calculatedColumnFormula array="1">Common_InputFunctions.Utility_DisplayArrayInTable(Common_SourceData.Common_SourceData_ClimateZones_Data(), Table_SourceData_ClimateZones[[#Headers],[Climate zone]], 0)</calculatedColumnFormula>
    </tableColumn>
    <tableColumn id="16" xr3:uid="{7F5143A7-799A-41B1-B7B6-62E62B94D261}" name="Max elevation" totalsRowDxfId="577" totalsRowCellStyle="Content bold">
      <calculatedColumnFormula array="1">Common_InputFunctions.Utility_DisplayArrayInTable(Common_SourceData.Common_SourceData_ClimateZones_Data(), Table_SourceData_ClimateZones[[#Headers],[Climate zone]], 0)</calculatedColumnFormula>
    </tableColumn>
    <tableColumn id="13" xr3:uid="{55CBB65A-4AD5-4F87-A404-B63484AEC4D2}" name="Min MAP:PET" totalsRowDxfId="576" totalsRowCellStyle="Content bold">
      <calculatedColumnFormula array="1">Common_InputFunctions.Utility_DisplayArrayInTable(Common_SourceData.Common_SourceData_ClimateZones_Data(), Table_SourceData_ClimateZones[[#Headers],[Climate zone]], 0)</calculatedColumnFormula>
    </tableColumn>
    <tableColumn id="17" xr3:uid="{83667DBC-0E63-4AFC-9E61-4859D91CCF75}" name="Max MAP:PET" totalsRowDxfId="57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7CB29CC-F663-432B-B0C0-8EF5A1BA157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06AB826-B61F-4860-A6B0-70A54F16310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778AF41-541D-4918-80E1-10D9E4815068}" name="Wet or Dry Zone" totalsRowDxfId="57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F79387C-8115-4D7F-AAD8-822968761CD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E5A7EC3-7254-4B43-914E-764EA72421EA}" name="Temperature Zone">
      <calculatedColumnFormula array="1">Common_InputFunctions.Utility_DisplayArrayInTable(Common_SourceData.Common_SourceData_TemperatureZones_Data(),Table_SourceData_TemperatureZones[[#Headers],[Temperature Zone]],0)</calculatedColumnFormula>
    </tableColumn>
    <tableColumn id="2" xr3:uid="{446303ED-5B4F-459E-852C-30EFCBA4D59A}" name="MAT">
      <calculatedColumnFormula array="1">Common_InputFunctions.Utility_DisplayArrayInTable(Common_SourceData.Common_SourceData_TemperatureZones_Data(),Table_SourceData_TemperatureZones[[#Headers],[Temperature Zone]],0)</calculatedColumnFormula>
    </tableColumn>
    <tableColumn id="3" xr3:uid="{1F2A6A5D-9F0E-49E7-8257-7E94C7A85C1A}" name="Min MAT">
      <calculatedColumnFormula array="1">Common_InputFunctions.Utility_DisplayArrayInTable(Common_SourceData.Common_SourceData_TemperatureZones_Data(),Table_SourceData_TemperatureZones[[#Headers],[Temperature Zone]],0)</calculatedColumnFormula>
    </tableColumn>
    <tableColumn id="4" xr3:uid="{2DFDD0A1-6879-4B3C-984C-17F2336B00A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87994DFC-73D4-4FC9-ACDC-9315F97D6BD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EC152D0-3F2D-41F3-9C48-5AB7D2734500}" name="Rainfall Zone">
      <calculatedColumnFormula array="1">Common_InputFunctions.Utility_DisplayArrayInTable(Common_SourceData.Common_SourceData_RainfallZones_Data(),Table_SourceData_RainfallZones[[#Headers],[Rainfall Zone]],0)</calculatedColumnFormula>
    </tableColumn>
    <tableColumn id="2" xr3:uid="{25D9120D-7BD1-4FC1-9D5A-D3F7BFB7BCA8}" name="Annual rainfall">
      <calculatedColumnFormula array="1">Common_InputFunctions.Utility_DisplayArrayInTable(Common_SourceData.Common_SourceData_RainfallZones_Data(),Table_SourceData_RainfallZones[[#Headers],[Rainfall Zone]],0)</calculatedColumnFormula>
    </tableColumn>
    <tableColumn id="3" xr3:uid="{F8AB258D-4442-4FD0-B6AD-423AF34D7A5B}" name="Min rainfall">
      <calculatedColumnFormula array="1">Common_InputFunctions.Utility_DisplayArrayInTable(Common_SourceData.Common_SourceData_RainfallZones_Data(),Table_SourceData_RainfallZones[[#Headers],[Rainfall Zone]],0)</calculatedColumnFormula>
    </tableColumn>
    <tableColumn id="4" xr3:uid="{D680795D-5E24-49BC-A086-31D5335F6300}"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45D533C-EE2E-467B-9296-F4602C2FA8A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2111A168-F031-42DC-B1B7-C3FDDFED9E68}" name="Leaching Zone">
      <calculatedColumnFormula array="1">Common_InputFunctions.Utility_DisplayArrayInTable(Common_SourceData.Common_SourceData_LeachingZones_Data(), Table_SourceData_LeachingZones[[#Headers],[Leaching Zone]], 0)</calculatedColumnFormula>
    </tableColumn>
    <tableColumn id="2" xr3:uid="{5CBBCB00-0B8A-4273-845F-4AB3A1C7422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8A12F7D-3CE2-4977-A0FB-9BE3EA173DA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3A95707-A2C9-45DF-89BF-81DA5A4A15AE}" name="Data source">
      <calculatedColumnFormula array="1">Common_InputFunctions.Utility_DisplayArrayInTable(Common_SourceData.Common_SourceData_DataScores_Scope3_Data(), Table_SourceData_DataScores_Scope3[[#Headers],[Data source]], 0)</calculatedColumnFormula>
    </tableColumn>
    <tableColumn id="2" xr3:uid="{994A713E-096E-42AB-81A2-7FD8CDD51DEB}"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1D152A7D-805C-46B4-BB2D-5EECE766E619}" name="Table_SourceData_FracWET" displayName="Table_SourceData_FracWET" ref="D134:E136" totalsRowShown="0">
  <autoFilter ref="D134:E136" xr:uid="{308E99BE-FE1F-47A4-B2CA-97217277C4E9}">
    <filterColumn colId="0" hiddenButton="1"/>
    <filterColumn colId="1" hiddenButton="1"/>
  </autoFilter>
  <tableColumns count="2">
    <tableColumn id="1" xr3:uid="{5F0D381B-739B-4AFE-84D5-EBE055E9A052}" name="Is in leaching zone">
      <calculatedColumnFormula array="1">Common_InputFunctions.Utility_DisplayArrayInTable(Common_SourceData.Common_SourceData_FracWET_Data(),Table_SourceData_FracWET[[#Headers],[Is in leaching zone]],0)</calculatedColumnFormula>
    </tableColumn>
    <tableColumn id="2" xr3:uid="{19AE4B4D-A7E1-48D8-9FA8-9622FDF96411}" name="FracWET" dataDxfId="57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9526DD94-E5DC-48ED-BE7E-48C29420D26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102A152-017C-4E4E-986D-6C49295A6538}" name="Production system j">
      <calculatedColumnFormula array="1">Common_InputFunctions.Utility_DisplayArrayInTable(Common_SourceData.Common_SourceData_EFN2O_Data(), Table_SourceData_Common_EFN2O[[#Headers],[Production system j]], 0)</calculatedColumnFormula>
    </tableColumn>
    <tableColumn id="2" xr3:uid="{01FD2A48-43C4-41D9-9526-AD6A8B1B3038}" name="EFN2O">
      <calculatedColumnFormula array="1">Common_InputFunctions.Utility_DisplayArrayInTable(Common_SourceData.Common_SourceData_EFN2O_Data(), Table_SourceData_Common_EFN2O[[#Headers],[Production system j]], 0)</calculatedColumnFormula>
    </tableColumn>
    <tableColumn id="3" xr3:uid="{BA9E5DD2-DE92-4394-AE03-5B102950F50E}" name="Production system only">
      <calculatedColumnFormula array="1">Common_InputFunctions.Utility_DisplayArrayInTable(Common_SourceData.Common_SourceData_EFN2O_Data(), Table_SourceData_Common_EFN2O[[#Headers],[Production system j]], 0)</calculatedColumnFormula>
    </tableColumn>
    <tableColumn id="4" xr3:uid="{EE942123-19F8-49CC-A46F-12FDF7C7734A}" name="Irrigation method">
      <calculatedColumnFormula array="1">Common_InputFunctions.Utility_DisplayArrayInTable(Common_SourceData.Common_SourceData_EFN2O_Data(), Table_SourceData_Common_EFN2O[[#Headers],[Production system j]], 0)</calculatedColumnFormula>
    </tableColumn>
    <tableColumn id="5" xr3:uid="{0CEDD1EF-EA34-4E8A-89D6-9CC5BB988A9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EAA5CB7C-60C5-4C64-828D-ACBF19964AE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C37EFCD-DF28-48F7-BEA5-C1B8E5B386B6}" name="Irrigation type i">
      <calculatedColumnFormula array="1">Common_InputFunctions.Utility_DisplayArrayInTable(Common_SourceData.Common_SourceData_FracWETIrrigation_Data(), Table_SourceData_FracWETIrrigation[[#Headers],[Irrigation type i]], 0)</calculatedColumnFormula>
    </tableColumn>
    <tableColumn id="2" xr3:uid="{653EFF64-1B05-4966-AECC-78860F955829}" name="FracWET" dataDxfId="57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C1E7915-DF8A-499E-A8B3-0DC3F145A093}"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2CB4ED5-19BE-4D55-89B4-40BDC2796ED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48316EE-B6CF-4A36-9AA9-B010E4DA4832}" name="EFPRP" dataDxfId="57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730CCFEC-4FA7-4E51-85D8-31E38A20572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C30D0B7-DCBA-404D-8949-141521818DFF}" name="Month">
      <calculatedColumnFormula array="1">Common_InputFunctions.Utility_DisplayArrayInTable(Common_SourceData.Common_SourceData_MonthsToSeasons_Data(), Table_SourceData_Common_MonthToSeason[[#Headers],[Month]], 0)</calculatedColumnFormula>
    </tableColumn>
    <tableColumn id="2" xr3:uid="{29E487C0-9825-4797-A921-F21303924114}" name="Season" dataDxfId="57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1331EF0F-1E62-4DA5-99DE-9F546271C45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D0316E1-6969-40EC-8357-23DA1820384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9ADA872-22E6-4B3A-9AE0-CCFD702E3AB8}" name="MAT (ºC)" dataDxfId="5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2E6685DC-7626-4F74-A926-DDD76750659D}" name="Anaerobic lagoon" dataDxfId="5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5B04759-29C6-4D9D-8455-7175690A5C0E}" name="Digester / covered lagoons" dataDxfId="5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6F8B640-2205-427E-BCF0-4B20721A5CD1}" name="Liquid systems" dataDxfId="5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1E3ECA82-4B02-4EB6-B723-5DA834AD7FA2}" name="Daily spread" dataDxfId="5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5CF6FA5-5FBE-4AA9-A76D-61C7DB65B0AC}" name="Composting (passive windrow)" dataDxfId="5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31B8EF9-54A6-40A6-87AF-0C2AE87D5CCC}" name="Solid storage" dataDxfId="5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702E622-F797-4A59-927A-A131D38CAD63}" name="Pit storage" dataDxfId="5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148DF22-CA65-4CBA-848C-BC8A3A4BA23F}" name="Deep litter" dataDxfId="5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5381CCDC-5324-4B3E-928F-F5530179A0F9}" name="Poultry manure with bedding" dataDxfId="5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D918AC7-E3A1-4658-9807-E379BF0CF7D1}" name="Poultry manure without bedding" dataDxfId="5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32DFCE6-9088-4CE3-93AA-D5B72D043137}" name="Direct processing" dataDxfId="5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2739B51-AC2C-483F-9AC0-96B754A7CC43}" name="Direct application" dataDxfId="5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780002F-932D-4DE4-9624-02F68ED87E57}" name="Pasture range and paddock" dataDxfId="5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939A8EEB-8D52-443A-9F17-670A1CBC3C16}" name="MAT raw" dataDxfId="5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866BF19-7EC6-4129-B858-0649070D0DE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42BE573-50FA-451B-9D65-9038945E97C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45CD120C-4695-4E83-A972-04C8E6C99A99}" name="EFNi &amp; EFN2Oi" dataDxfId="55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2" Type="http://schemas.openxmlformats.org/officeDocument/2006/relationships/table" Target="../tables/table6.xml"/><Relationship Id="rId1" Type="http://schemas.openxmlformats.org/officeDocument/2006/relationships/printerSettings" Target="../printerSettings/printerSettings3.bin"/><Relationship Id="rId6" Type="http://schemas.openxmlformats.org/officeDocument/2006/relationships/table" Target="../tables/table10.xml"/><Relationship Id="rId5" Type="http://schemas.openxmlformats.org/officeDocument/2006/relationships/table" Target="../tables/table9.xml"/><Relationship Id="rId4" Type="http://schemas.openxmlformats.org/officeDocument/2006/relationships/table" Target="../tables/table8.xml"/><Relationship Id="rId9" Type="http://schemas.openxmlformats.org/officeDocument/2006/relationships/table" Target="../tables/table13.xml"/></Relationships>
</file>

<file path=xl/worksheets/_rels/sheet7.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table" Target="../tables/table14.xml"/><Relationship Id="rId4" Type="http://schemas.openxmlformats.org/officeDocument/2006/relationships/table" Target="../tables/table1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7.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9.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61.xml"/><Relationship Id="rId7" Type="http://schemas.openxmlformats.org/officeDocument/2006/relationships/table" Target="../tables/table65.xml"/><Relationship Id="rId2" Type="http://schemas.openxmlformats.org/officeDocument/2006/relationships/table" Target="../tables/table60.xml"/><Relationship Id="rId1" Type="http://schemas.openxmlformats.org/officeDocument/2006/relationships/table" Target="../tables/table59.xml"/><Relationship Id="rId6" Type="http://schemas.openxmlformats.org/officeDocument/2006/relationships/table" Target="../tables/table64.xml"/><Relationship Id="rId5" Type="http://schemas.openxmlformats.org/officeDocument/2006/relationships/table" Target="../tables/table63.xml"/><Relationship Id="rId4" Type="http://schemas.openxmlformats.org/officeDocument/2006/relationships/table" Target="../tables/table62.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3" Type="http://schemas.openxmlformats.org/officeDocument/2006/relationships/table" Target="../tables/table67.xml"/><Relationship Id="rId7" Type="http://schemas.openxmlformats.org/officeDocument/2006/relationships/table" Target="../tables/table71.xml"/><Relationship Id="rId12" Type="http://schemas.openxmlformats.org/officeDocument/2006/relationships/table" Target="../tables/table76.xml"/><Relationship Id="rId2" Type="http://schemas.openxmlformats.org/officeDocument/2006/relationships/table" Target="../tables/table66.xml"/><Relationship Id="rId1" Type="http://schemas.openxmlformats.org/officeDocument/2006/relationships/printerSettings" Target="../printerSettings/printerSettings10.bin"/><Relationship Id="rId6" Type="http://schemas.openxmlformats.org/officeDocument/2006/relationships/table" Target="../tables/table70.xml"/><Relationship Id="rId11" Type="http://schemas.openxmlformats.org/officeDocument/2006/relationships/table" Target="../tables/table75.xml"/><Relationship Id="rId5" Type="http://schemas.openxmlformats.org/officeDocument/2006/relationships/table" Target="../tables/table69.xml"/><Relationship Id="rId10" Type="http://schemas.openxmlformats.org/officeDocument/2006/relationships/table" Target="../tables/table74.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86.xml"/><Relationship Id="rId13" Type="http://schemas.openxmlformats.org/officeDocument/2006/relationships/table" Target="../tables/table91.xml"/><Relationship Id="rId3" Type="http://schemas.openxmlformats.org/officeDocument/2006/relationships/table" Target="../tables/table81.xml"/><Relationship Id="rId7" Type="http://schemas.openxmlformats.org/officeDocument/2006/relationships/table" Target="../tables/table85.xml"/><Relationship Id="rId12" Type="http://schemas.openxmlformats.org/officeDocument/2006/relationships/table" Target="../tables/table90.xml"/><Relationship Id="rId2" Type="http://schemas.openxmlformats.org/officeDocument/2006/relationships/table" Target="../tables/table80.xml"/><Relationship Id="rId1" Type="http://schemas.openxmlformats.org/officeDocument/2006/relationships/table" Target="../tables/table79.xml"/><Relationship Id="rId6" Type="http://schemas.openxmlformats.org/officeDocument/2006/relationships/table" Target="../tables/table84.xml"/><Relationship Id="rId11" Type="http://schemas.openxmlformats.org/officeDocument/2006/relationships/table" Target="../tables/table89.xml"/><Relationship Id="rId5" Type="http://schemas.openxmlformats.org/officeDocument/2006/relationships/table" Target="../tables/table83.xml"/><Relationship Id="rId10" Type="http://schemas.openxmlformats.org/officeDocument/2006/relationships/table" Target="../tables/table88.xml"/><Relationship Id="rId4" Type="http://schemas.openxmlformats.org/officeDocument/2006/relationships/table" Target="../tables/table82.xml"/><Relationship Id="rId9" Type="http://schemas.openxmlformats.org/officeDocument/2006/relationships/table" Target="../tables/table87.xml"/></Relationships>
</file>

<file path=xl/worksheets/_rels/sheet22.xml.rels><?xml version="1.0" encoding="UTF-8" standalone="yes"?>
<Relationships xmlns="http://schemas.openxmlformats.org/package/2006/relationships"><Relationship Id="rId8" Type="http://schemas.openxmlformats.org/officeDocument/2006/relationships/table" Target="../tables/table99.xml"/><Relationship Id="rId13" Type="http://schemas.openxmlformats.org/officeDocument/2006/relationships/table" Target="../tables/table104.xml"/><Relationship Id="rId3" Type="http://schemas.openxmlformats.org/officeDocument/2006/relationships/table" Target="../tables/table94.xml"/><Relationship Id="rId7" Type="http://schemas.openxmlformats.org/officeDocument/2006/relationships/table" Target="../tables/table98.xml"/><Relationship Id="rId12" Type="http://schemas.openxmlformats.org/officeDocument/2006/relationships/table" Target="../tables/table103.xml"/><Relationship Id="rId2" Type="http://schemas.openxmlformats.org/officeDocument/2006/relationships/table" Target="../tables/table93.xml"/><Relationship Id="rId1" Type="http://schemas.openxmlformats.org/officeDocument/2006/relationships/table" Target="../tables/table92.xml"/><Relationship Id="rId6" Type="http://schemas.openxmlformats.org/officeDocument/2006/relationships/table" Target="../tables/table97.xml"/><Relationship Id="rId11" Type="http://schemas.openxmlformats.org/officeDocument/2006/relationships/table" Target="../tables/table102.xml"/><Relationship Id="rId5" Type="http://schemas.openxmlformats.org/officeDocument/2006/relationships/table" Target="../tables/table96.xml"/><Relationship Id="rId15" Type="http://schemas.openxmlformats.org/officeDocument/2006/relationships/table" Target="../tables/table106.xml"/><Relationship Id="rId10" Type="http://schemas.openxmlformats.org/officeDocument/2006/relationships/table" Target="../tables/table101.xml"/><Relationship Id="rId4" Type="http://schemas.openxmlformats.org/officeDocument/2006/relationships/table" Target="../tables/table95.xml"/><Relationship Id="rId9" Type="http://schemas.openxmlformats.org/officeDocument/2006/relationships/table" Target="../tables/table100.xml"/><Relationship Id="rId14" Type="http://schemas.openxmlformats.org/officeDocument/2006/relationships/table" Target="../tables/table105.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114.xml"/><Relationship Id="rId13" Type="http://schemas.openxmlformats.org/officeDocument/2006/relationships/table" Target="../tables/table119.xml"/><Relationship Id="rId18" Type="http://schemas.openxmlformats.org/officeDocument/2006/relationships/table" Target="../tables/table124.xml"/><Relationship Id="rId26" Type="http://schemas.openxmlformats.org/officeDocument/2006/relationships/table" Target="../tables/table132.xml"/><Relationship Id="rId3" Type="http://schemas.openxmlformats.org/officeDocument/2006/relationships/table" Target="../tables/table109.xml"/><Relationship Id="rId21" Type="http://schemas.openxmlformats.org/officeDocument/2006/relationships/table" Target="../tables/table127.xml"/><Relationship Id="rId7" Type="http://schemas.openxmlformats.org/officeDocument/2006/relationships/table" Target="../tables/table113.xml"/><Relationship Id="rId12" Type="http://schemas.openxmlformats.org/officeDocument/2006/relationships/table" Target="../tables/table118.xml"/><Relationship Id="rId17" Type="http://schemas.openxmlformats.org/officeDocument/2006/relationships/table" Target="../tables/table123.xml"/><Relationship Id="rId25" Type="http://schemas.openxmlformats.org/officeDocument/2006/relationships/table" Target="../tables/table131.xml"/><Relationship Id="rId2" Type="http://schemas.openxmlformats.org/officeDocument/2006/relationships/table" Target="../tables/table108.xml"/><Relationship Id="rId16" Type="http://schemas.openxmlformats.org/officeDocument/2006/relationships/table" Target="../tables/table122.xml"/><Relationship Id="rId20" Type="http://schemas.openxmlformats.org/officeDocument/2006/relationships/table" Target="../tables/table126.xml"/><Relationship Id="rId1" Type="http://schemas.openxmlformats.org/officeDocument/2006/relationships/table" Target="../tables/table107.xml"/><Relationship Id="rId6" Type="http://schemas.openxmlformats.org/officeDocument/2006/relationships/table" Target="../tables/table112.xml"/><Relationship Id="rId11" Type="http://schemas.openxmlformats.org/officeDocument/2006/relationships/table" Target="../tables/table117.xml"/><Relationship Id="rId24" Type="http://schemas.openxmlformats.org/officeDocument/2006/relationships/table" Target="../tables/table130.xml"/><Relationship Id="rId5" Type="http://schemas.openxmlformats.org/officeDocument/2006/relationships/table" Target="../tables/table111.xml"/><Relationship Id="rId15" Type="http://schemas.openxmlformats.org/officeDocument/2006/relationships/table" Target="../tables/table121.xml"/><Relationship Id="rId23" Type="http://schemas.openxmlformats.org/officeDocument/2006/relationships/table" Target="../tables/table129.xml"/><Relationship Id="rId10" Type="http://schemas.openxmlformats.org/officeDocument/2006/relationships/table" Target="../tables/table116.xml"/><Relationship Id="rId19" Type="http://schemas.openxmlformats.org/officeDocument/2006/relationships/table" Target="../tables/table125.xml"/><Relationship Id="rId4" Type="http://schemas.openxmlformats.org/officeDocument/2006/relationships/table" Target="../tables/table110.xml"/><Relationship Id="rId9" Type="http://schemas.openxmlformats.org/officeDocument/2006/relationships/table" Target="../tables/table115.xml"/><Relationship Id="rId14" Type="http://schemas.openxmlformats.org/officeDocument/2006/relationships/table" Target="../tables/table120.xml"/><Relationship Id="rId22" Type="http://schemas.openxmlformats.org/officeDocument/2006/relationships/table" Target="../tables/table128.xml"/><Relationship Id="rId27" Type="http://schemas.openxmlformats.org/officeDocument/2006/relationships/table" Target="../tables/table133.xml"/></Relationships>
</file>

<file path=xl/worksheets/_rels/sheet24.xml.rels><?xml version="1.0" encoding="UTF-8" standalone="yes"?>
<Relationships xmlns="http://schemas.openxmlformats.org/package/2006/relationships"><Relationship Id="rId3" Type="http://schemas.openxmlformats.org/officeDocument/2006/relationships/table" Target="../tables/table135.xml"/><Relationship Id="rId7" Type="http://schemas.openxmlformats.org/officeDocument/2006/relationships/table" Target="../tables/table139.xml"/><Relationship Id="rId2" Type="http://schemas.openxmlformats.org/officeDocument/2006/relationships/table" Target="../tables/table134.xml"/><Relationship Id="rId1" Type="http://schemas.openxmlformats.org/officeDocument/2006/relationships/printerSettings" Target="../printerSettings/printerSettings11.bin"/><Relationship Id="rId6" Type="http://schemas.openxmlformats.org/officeDocument/2006/relationships/table" Target="../tables/table138.xml"/><Relationship Id="rId5" Type="http://schemas.openxmlformats.org/officeDocument/2006/relationships/table" Target="../tables/table137.xml"/><Relationship Id="rId4" Type="http://schemas.openxmlformats.org/officeDocument/2006/relationships/table" Target="../tables/table136.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146.xml"/><Relationship Id="rId3" Type="http://schemas.openxmlformats.org/officeDocument/2006/relationships/table" Target="../tables/table141.xml"/><Relationship Id="rId7" Type="http://schemas.openxmlformats.org/officeDocument/2006/relationships/table" Target="../tables/table145.xml"/><Relationship Id="rId12" Type="http://schemas.openxmlformats.org/officeDocument/2006/relationships/table" Target="../tables/table150.xml"/><Relationship Id="rId2" Type="http://schemas.openxmlformats.org/officeDocument/2006/relationships/table" Target="../tables/table140.xml"/><Relationship Id="rId1" Type="http://schemas.openxmlformats.org/officeDocument/2006/relationships/printerSettings" Target="../printerSettings/printerSettings12.bin"/><Relationship Id="rId6" Type="http://schemas.openxmlformats.org/officeDocument/2006/relationships/table" Target="../tables/table144.xml"/><Relationship Id="rId11" Type="http://schemas.openxmlformats.org/officeDocument/2006/relationships/table" Target="../tables/table149.xml"/><Relationship Id="rId5" Type="http://schemas.openxmlformats.org/officeDocument/2006/relationships/table" Target="../tables/table143.xml"/><Relationship Id="rId10" Type="http://schemas.openxmlformats.org/officeDocument/2006/relationships/table" Target="../tables/table148.xml"/><Relationship Id="rId4" Type="http://schemas.openxmlformats.org/officeDocument/2006/relationships/table" Target="../tables/table142.xml"/><Relationship Id="rId9" Type="http://schemas.openxmlformats.org/officeDocument/2006/relationships/table" Target="../tables/table147.xml"/></Relationships>
</file>

<file path=xl/worksheets/_rels/sheet26.xml.rels><?xml version="1.0" encoding="UTF-8" standalone="yes"?>
<Relationships xmlns="http://schemas.openxmlformats.org/package/2006/relationships"><Relationship Id="rId2" Type="http://schemas.openxmlformats.org/officeDocument/2006/relationships/table" Target="../tables/table152.xml"/><Relationship Id="rId1" Type="http://schemas.openxmlformats.org/officeDocument/2006/relationships/table" Target="../tables/table151.xml"/></Relationships>
</file>

<file path=xl/worksheets/_rels/sheet27.xml.rels><?xml version="1.0" encoding="UTF-8" standalone="yes"?>
<Relationships xmlns="http://schemas.openxmlformats.org/package/2006/relationships"><Relationship Id="rId8" Type="http://schemas.openxmlformats.org/officeDocument/2006/relationships/table" Target="../tables/table159.xml"/><Relationship Id="rId13" Type="http://schemas.openxmlformats.org/officeDocument/2006/relationships/table" Target="../tables/table164.xml"/><Relationship Id="rId18" Type="http://schemas.openxmlformats.org/officeDocument/2006/relationships/table" Target="../tables/table169.xml"/><Relationship Id="rId3" Type="http://schemas.openxmlformats.org/officeDocument/2006/relationships/table" Target="../tables/table154.xml"/><Relationship Id="rId7" Type="http://schemas.openxmlformats.org/officeDocument/2006/relationships/table" Target="../tables/table158.xml"/><Relationship Id="rId12" Type="http://schemas.openxmlformats.org/officeDocument/2006/relationships/table" Target="../tables/table163.xml"/><Relationship Id="rId17" Type="http://schemas.openxmlformats.org/officeDocument/2006/relationships/table" Target="../tables/table168.xml"/><Relationship Id="rId2" Type="http://schemas.openxmlformats.org/officeDocument/2006/relationships/table" Target="../tables/table153.xml"/><Relationship Id="rId16" Type="http://schemas.openxmlformats.org/officeDocument/2006/relationships/table" Target="../tables/table167.xml"/><Relationship Id="rId1" Type="http://schemas.openxmlformats.org/officeDocument/2006/relationships/printerSettings" Target="../printerSettings/printerSettings13.bin"/><Relationship Id="rId6" Type="http://schemas.openxmlformats.org/officeDocument/2006/relationships/table" Target="../tables/table157.xml"/><Relationship Id="rId11" Type="http://schemas.openxmlformats.org/officeDocument/2006/relationships/table" Target="../tables/table162.xml"/><Relationship Id="rId5" Type="http://schemas.openxmlformats.org/officeDocument/2006/relationships/table" Target="../tables/table156.xml"/><Relationship Id="rId15" Type="http://schemas.openxmlformats.org/officeDocument/2006/relationships/table" Target="../tables/table166.xml"/><Relationship Id="rId10" Type="http://schemas.openxmlformats.org/officeDocument/2006/relationships/table" Target="../tables/table161.xml"/><Relationship Id="rId4" Type="http://schemas.openxmlformats.org/officeDocument/2006/relationships/table" Target="../tables/table155.xml"/><Relationship Id="rId9" Type="http://schemas.openxmlformats.org/officeDocument/2006/relationships/table" Target="../tables/table160.xml"/><Relationship Id="rId14" Type="http://schemas.openxmlformats.org/officeDocument/2006/relationships/table" Target="../tables/table16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10" t="s">
        <v>829</v>
      </c>
    </row>
    <row r="2" spans="1:12" s="2" customFormat="1" ht="20.100000000000001" customHeight="1" x14ac:dyDescent="0.25">
      <c r="A2"/>
    </row>
    <row r="3" spans="1:12" ht="20.100000000000001" customHeight="1" x14ac:dyDescent="0.25">
      <c r="A3" s="228" t="str">
        <f>HYPERLINK("#'Overview'!A1", "Overview")</f>
        <v>Overview</v>
      </c>
      <c r="C3" s="211"/>
      <c r="D3" s="211"/>
      <c r="E3" s="211"/>
      <c r="F3" s="211"/>
      <c r="G3" s="211"/>
      <c r="H3" s="211"/>
      <c r="I3" s="211"/>
      <c r="J3" s="211"/>
      <c r="K3" s="211"/>
      <c r="L3" s="211"/>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Farm Inputs'!A1", "Farm Inputs")</f>
        <v>Farm Inputs</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row>
    <row r="14" spans="1:12" ht="20.100000000000001" customHeight="1" x14ac:dyDescent="0.25">
      <c r="A14" s="16" t="str">
        <f>HYPERLINK("#'Input - Solid waste'!A1", "Solid waste")</f>
        <v>Solid waste</v>
      </c>
    </row>
    <row r="15" spans="1:12" ht="20.100000000000001" customHeight="1" x14ac:dyDescent="0.25">
      <c r="A15" s="16" t="str">
        <f>HYPERLINK("#'Input - Manure sent off-site'!A1", "Manure sent off-site")</f>
        <v>Manure sent off-site</v>
      </c>
    </row>
    <row r="16" spans="1:12" ht="20.100000000000001" customHeight="1" x14ac:dyDescent="0.25">
      <c r="A16" s="16" t="str">
        <f>HYPERLINK("#'Input - Electricity'!A1", "Electricity")</f>
        <v>Electricity</v>
      </c>
    </row>
    <row r="17" spans="1:1" ht="20.100000000000001" customHeight="1" x14ac:dyDescent="0.25"/>
    <row r="18" spans="1:1" ht="20.100000000000001" customHeight="1" x14ac:dyDescent="0.25"/>
    <row r="19" spans="1:1" ht="20.100000000000001" customHeight="1" x14ac:dyDescent="0.25">
      <c r="A19" s="21" t="s">
        <v>77</v>
      </c>
    </row>
    <row r="20" spans="1:1" ht="20.100000000000001" customHeight="1" x14ac:dyDescent="0.25">
      <c r="A20" s="16" t="str">
        <f>HYPERLINK("#'15 Scope 3'!A1", "15 Scope 3")</f>
        <v>15 Scope 3</v>
      </c>
    </row>
    <row r="21" spans="1:1" ht="20.100000000000001" customHeight="1" x14ac:dyDescent="0.25">
      <c r="A21" s="16" t="str">
        <f>HYPERLINK("#'10.1.1-2 Solid waste treatment'!A1", "10.1.1-2 Solid waste treatment")</f>
        <v>10.1.1-2 Solid waste treatment</v>
      </c>
    </row>
    <row r="22" spans="1:1" ht="20.100000000000001" customHeight="1" x14ac:dyDescent="0.25">
      <c r="A22" s="16" t="str">
        <f>HYPERLINK("#'Calcs - Manure sent off-site'!A1", "Calcs - Manure sent off-site")</f>
        <v>Calcs - Manure sent off-site</v>
      </c>
    </row>
    <row r="23" spans="1:1" ht="20.100000000000001" customHeight="1" x14ac:dyDescent="0.25">
      <c r="A23" s="16" t="str">
        <f>HYPERLINK("#'8.1.1.1-2 Transport fuel'!A1", "8.1.1.1-2 Transport fuel")</f>
        <v>8.1.1.1-2 Transport fuel</v>
      </c>
    </row>
    <row r="24" spans="1:1" ht="20.100000000000001" customHeight="1" x14ac:dyDescent="0.25">
      <c r="A24" s="16" t="str">
        <f>HYPERLINK("#'8.2.1.1-2 Stationary fuel'!A1", "8.2.1.1-2 Stationary fuel")</f>
        <v>8.2.1.1-2 Stationary fuel</v>
      </c>
    </row>
    <row r="25" spans="1:1" ht="20.100000000000001" customHeight="1" x14ac:dyDescent="0.25"/>
    <row r="26" spans="1:1" ht="20.100000000000001" customHeight="1" x14ac:dyDescent="0.25"/>
    <row r="27" spans="1:1" ht="20.100000000000001" customHeight="1" x14ac:dyDescent="0.25">
      <c r="A27" s="229" t="s">
        <v>78</v>
      </c>
    </row>
    <row r="28" spans="1:1" ht="20.100000000000001" customHeight="1" x14ac:dyDescent="0.25">
      <c r="A28" s="16" t="str">
        <f>HYPERLINK("#'Constants - Scope 3'!A1", "Constants - Scope 3")</f>
        <v>Constants - Scope 3</v>
      </c>
    </row>
    <row r="29" spans="1:1" ht="20.100000000000001" customHeight="1" x14ac:dyDescent="0.25">
      <c r="A29" s="16" t="str">
        <f>HYPERLINK("#'Constants - Solid Waste'!A1", "Constants - Solid Waste")</f>
        <v>Constants - Solid Waste</v>
      </c>
    </row>
    <row r="30" spans="1:1" ht="20.100000000000001" customHeight="1" x14ac:dyDescent="0.25">
      <c r="A30" s="16" t="str">
        <f>HYPERLINK("#'Constants - Fuel'!A1", "Constants - Fuel")</f>
        <v>Constants - Fuel</v>
      </c>
    </row>
    <row r="31" spans="1:1" ht="20.100000000000001" customHeight="1" x14ac:dyDescent="0.25">
      <c r="A31" s="16" t="str">
        <f>HYPERLINK("#'Constants - Poultry'!A1", "Constants - Poultry")</f>
        <v>Constants - Poultry</v>
      </c>
    </row>
    <row r="32" spans="1:1"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10" t="s">
        <v>830</v>
      </c>
    </row>
    <row r="2" spans="1:12" s="2" customFormat="1" ht="20.100000000000001" customHeight="1" x14ac:dyDescent="0.25">
      <c r="A2"/>
    </row>
    <row r="3" spans="1:12" ht="20.100000000000001" customHeight="1" x14ac:dyDescent="0.25">
      <c r="A3" s="16" t="str">
        <f>HYPERLINK("#'Overview'!A1", "Overview")</f>
        <v>Overview</v>
      </c>
      <c r="C3" s="211"/>
      <c r="D3" s="211"/>
      <c r="E3" s="211"/>
      <c r="F3" s="211"/>
      <c r="G3" s="211"/>
      <c r="H3" s="211"/>
      <c r="I3" s="211"/>
      <c r="J3" s="211"/>
      <c r="K3" s="211"/>
      <c r="L3" s="211"/>
    </row>
    <row r="4" spans="1:12" ht="20.100000000000001" customHeight="1" x14ac:dyDescent="0.25">
      <c r="A4" s="228" t="str">
        <f>HYPERLINK("#'Results'!A1", "Results")</f>
        <v>Results</v>
      </c>
    </row>
    <row r="5" spans="1:12" ht="20.100000000000001" customHeight="1" x14ac:dyDescent="0.25">
      <c r="D5" s="9" t="s">
        <v>831</v>
      </c>
      <c r="E5" s="212"/>
      <c r="F5" s="212"/>
      <c r="G5" s="212"/>
      <c r="H5" s="9"/>
      <c r="I5" s="9"/>
      <c r="J5" s="9"/>
    </row>
    <row r="6" spans="1:12" ht="20.100000000000001" customHeight="1" x14ac:dyDescent="0.3">
      <c r="D6" s="213"/>
      <c r="E6" s="214"/>
      <c r="F6" s="214"/>
      <c r="G6" s="214"/>
      <c r="H6" s="212"/>
      <c r="I6" s="147"/>
      <c r="J6" s="147"/>
    </row>
    <row r="7" spans="1:12" ht="20.100000000000001" customHeight="1" x14ac:dyDescent="0.25">
      <c r="A7" s="19" t="s">
        <v>67</v>
      </c>
      <c r="D7" s="95" t="s">
        <v>832</v>
      </c>
      <c r="E7" s="110"/>
      <c r="F7" s="96"/>
      <c r="G7" s="147"/>
      <c r="H7" s="147"/>
      <c r="I7" s="147"/>
      <c r="J7" s="147"/>
    </row>
    <row r="8" spans="1:12" ht="20.100000000000001" customHeight="1" x14ac:dyDescent="0.25">
      <c r="A8" s="16" t="str">
        <f>HYPERLINK("#'Input - Site'!A1", "Site")</f>
        <v>Site</v>
      </c>
      <c r="D8" s="147"/>
      <c r="E8" s="147"/>
      <c r="F8" s="147"/>
      <c r="G8" s="147"/>
      <c r="H8" s="147"/>
      <c r="I8" s="147"/>
      <c r="J8" s="147"/>
    </row>
    <row r="9" spans="1:12" ht="20.100000000000001" customHeight="1" x14ac:dyDescent="0.25">
      <c r="A9" s="16" t="str">
        <f>HYPERLINK("#'Input - Fuel'!A1", "Fuel")</f>
        <v>Fuel</v>
      </c>
      <c r="D9" s="215" t="s">
        <v>833</v>
      </c>
      <c r="E9" s="215" t="s">
        <v>834</v>
      </c>
      <c r="F9" s="215" t="s">
        <v>835</v>
      </c>
      <c r="G9" s="215"/>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16" t="s">
        <v>848</v>
      </c>
      <c r="F10" s="216" t="s">
        <v>848</v>
      </c>
      <c r="G10" s="13" t="s">
        <v>836</v>
      </c>
    </row>
    <row r="11" spans="1:12" ht="20.100000000000001" customHeight="1" x14ac:dyDescent="0.25">
      <c r="A11" s="16" t="str">
        <f>HYPERLINK("#'Input - Farm Inputs'!A1", "Farm Inputs")</f>
        <v>Farm Inputs</v>
      </c>
      <c r="D11" s="217" t="str">
        <f>'15 Scope 3'!D21</f>
        <v>Beef cattle</v>
      </c>
      <c r="E11" s="216">
        <f>VEERG_15_1_1_1__1_EmissionsFromPurchasedLivestock_BeefCattle_Result_Method1</f>
        <v>1052.5</v>
      </c>
      <c r="F11" s="216">
        <f>VEERG_15_1_1_1__1_EmissionsFromPurchasedLivestock_BeefCattle_Result_Method2</f>
        <v>1014.5</v>
      </c>
      <c r="G11" s="13" t="s">
        <v>836</v>
      </c>
    </row>
    <row r="12" spans="1:12" ht="20.100000000000001" customHeight="1" x14ac:dyDescent="0.25">
      <c r="A12" s="16" t="str">
        <f>HYPERLINK("#'Input - Livestock purchases'!A1", "Livestock purchases")</f>
        <v>Livestock purchases</v>
      </c>
      <c r="D12" s="217" t="str">
        <f>'15 Scope 3'!D38</f>
        <v>Dairy cattle</v>
      </c>
      <c r="E12" s="216">
        <f>VEERG_15_1_1_1__1_EmissionsFromPurchasedLivestock_DairyCattle_Result_Method1</f>
        <v>295.47000000000003</v>
      </c>
      <c r="F12" s="216">
        <f>VEERG_15_1_1_1__1_EmissionsFromPurchasedLivestock_DairyCattle_Result_Method2</f>
        <v>415.625</v>
      </c>
      <c r="G12" s="13" t="s">
        <v>836</v>
      </c>
    </row>
    <row r="13" spans="1:12" ht="20.100000000000001" customHeight="1" x14ac:dyDescent="0.25">
      <c r="A13" s="16" t="str">
        <f>HYPERLINK("#'Input - Freight'!A1", "Freight")</f>
        <v>Freight</v>
      </c>
      <c r="D13" s="217" t="str">
        <f>'15 Scope 3'!D57</f>
        <v>Pigs</v>
      </c>
      <c r="E13" s="216">
        <f>VEERG_15_1_1_1__1_EmissionsFromPurchasedLivestock_Pigs_Result_Method1</f>
        <v>0</v>
      </c>
      <c r="F13" s="216">
        <f>VEERG_15_1_1_1__1_EmissionsFromPurchasedLivestock_Pigs_Result_Method2</f>
        <v>73.38000000000001</v>
      </c>
      <c r="G13" s="13" t="s">
        <v>836</v>
      </c>
    </row>
    <row r="14" spans="1:12" ht="20.100000000000001" customHeight="1" x14ac:dyDescent="0.25">
      <c r="A14" s="16" t="str">
        <f>HYPERLINK("#'Input - Solid waste'!A1", "Solid waste")</f>
        <v>Solid waste</v>
      </c>
      <c r="D14" s="217" t="str">
        <f>'15 Scope 3'!D75</f>
        <v>Poultry</v>
      </c>
      <c r="E14" s="216">
        <f>VEERG_15_1_1_1__1_EmissionsFromPurchasedLivestock_Poultry_Result_Method1</f>
        <v>0.36720000000000003</v>
      </c>
      <c r="F14" s="216">
        <f>VEERG_15_1_1_1__1_EmissionsFromPurchasedLivestock_Poultry_Result_Method2</f>
        <v>0.35940000000000005</v>
      </c>
      <c r="G14" s="13" t="s">
        <v>836</v>
      </c>
    </row>
    <row r="15" spans="1:12" ht="20.100000000000001" customHeight="1" x14ac:dyDescent="0.25">
      <c r="A15" s="16" t="str">
        <f>HYPERLINK("#'Input - Manure sent off-site'!A1", "Manure sent off-site")</f>
        <v>Manure sent off-site</v>
      </c>
      <c r="C15" s="218"/>
      <c r="D15" s="8" t="str" cm="1">
        <f t="array" ref="D15">Common_InputFunctions.Utility_ResultsItemFromEquationTitleAndSource('15 Scope 3'!D98,'15 Scope 3'!D99)</f>
        <v>15.2.1.1 Emissions from purchased feed</v>
      </c>
      <c r="E15" s="216">
        <f>VEERG_15_2_1_1__1_EmissionsFromPurchasedFeed_Result_Method1</f>
        <v>377.05200000000002</v>
      </c>
      <c r="F15" s="216">
        <f>VEERG_15_2_1_1__1_EmissionsFromPurchasedFeed_Result_Method2</f>
        <v>529.78</v>
      </c>
      <c r="G15" s="13" t="s">
        <v>836</v>
      </c>
    </row>
    <row r="16" spans="1:12" ht="20.100000000000001" customHeight="1" x14ac:dyDescent="0.25">
      <c r="A16" s="16" t="str">
        <f>HYPERLINK("#'Input - Electricity'!A1", "Electricity")</f>
        <v>Electricity</v>
      </c>
      <c r="C16" s="218"/>
      <c r="D16" s="8" t="str" cm="1">
        <f t="array" ref="D16">Common_InputFunctions.Utility_ResultsItemFromEquationTitleAndSource('15 Scope 3'!D149,'15 Scope 3'!D150)</f>
        <v>15.3.1.1 Total emissions from purchased mineral supplements</v>
      </c>
      <c r="E16" s="216">
        <f>VEERG_15_3_1_1__1_EmissionsFromPurchasedMineralSupplements_Result_Method1</f>
        <v>178.9</v>
      </c>
      <c r="F16" s="216">
        <f>VEERG_15_3_1_1__1_EmissionsFromPurchasedMineralSupplements_Result_Method2</f>
        <v>160</v>
      </c>
      <c r="G16" s="13" t="s">
        <v>836</v>
      </c>
    </row>
    <row r="17" spans="1:8" ht="20.100000000000001" customHeight="1" x14ac:dyDescent="0.25">
      <c r="D17" s="8" t="str" cm="1">
        <f t="array" ref="D17">Common_InputFunctions.Utility_ResultsItemFromEquationTitleAndSource('15 Scope 3'!D186,'15 Scope 3'!D187)</f>
        <v>15.4.1.1 Emissions from purchased fertiliser</v>
      </c>
      <c r="E17" s="216">
        <f>VEERG_15_4_1_1__2_EmissionsFromPurchasedFertiliserComponentsVariation_Result_Method1</f>
        <v>78.284322000000003</v>
      </c>
      <c r="F17" s="216">
        <f>VEERG_15_4_1_1__2_EmissionsFromPurchasedFertiliserComponentsVariation_Result_Method2</f>
        <v>75.743047000000004</v>
      </c>
      <c r="G17" s="13" t="s">
        <v>836</v>
      </c>
    </row>
    <row r="18" spans="1:8" ht="20.100000000000001" customHeight="1" x14ac:dyDescent="0.25">
      <c r="D18" s="8" t="str" cm="1">
        <f t="array" ref="D18">Common_InputFunctions.Utility_ResultsItemFromEquationTitleAndSource('15 Scope 3'!D256,'15 Scope 3'!D257)</f>
        <v>15.5.1.1 Total emissions from purchased agrichemicals</v>
      </c>
      <c r="E18" s="216">
        <f>VEERG_15_5_1_1__1_EmissionsFromPurchasedAgrichemicals_Result_Method1</f>
        <v>7.5159999999999991</v>
      </c>
      <c r="F18" s="216">
        <f>VEERG_15_5_1_1__1_EmissionsFromPurchasedAgrichemicals_Result_Method2</f>
        <v>7.4959999999999996</v>
      </c>
      <c r="G18" s="13" t="s">
        <v>836</v>
      </c>
    </row>
    <row r="19" spans="1:8" ht="20.100000000000001" customHeight="1" x14ac:dyDescent="0.25">
      <c r="A19" s="21" t="s">
        <v>77</v>
      </c>
      <c r="D19" s="8" t="str" cm="1">
        <f t="array" ref="D19">Common_InputFunctions.Utility_ResultsItemFromEquationTitleAndSource('15 Scope 3'!D288,'15 Scope 3'!D289)</f>
        <v>15.6.1.1 Embedded emissions for purchased lime</v>
      </c>
      <c r="E19" s="216">
        <f>VEERG_15_6_1_1__1_EmissionsFromPurchasedLime_Result_Method1</f>
        <v>1.6553999999999999E-2</v>
      </c>
      <c r="F19" s="216">
        <f>VEERG_15_6_1_1__1_EmissionsFromPurchasedLime_Result_Method2</f>
        <v>1.4400000000000001E-2</v>
      </c>
      <c r="G19" s="13" t="s">
        <v>836</v>
      </c>
    </row>
    <row r="20" spans="1:8" ht="20.100000000000001" customHeight="1" x14ac:dyDescent="0.25">
      <c r="A20" s="16" t="str">
        <f>HYPERLINK("#'15 Scope 3'!A1", "15 Scope 3")</f>
        <v>15 Scope 3</v>
      </c>
      <c r="D20" s="8" t="str" cm="1">
        <f t="array" ref="D20">Common_InputFunctions.Utility_ResultsItemFromEquationTitleAndSource('15 Scope 3'!D321,'15 Scope 3'!D322)</f>
        <v>15.7.1.1 Emissions of purchased services and contractor operations</v>
      </c>
      <c r="E20" s="216" t="str">
        <f>VEERG_15_7_1_1__1_EmissionsFromPurchasedServices_Result_Method1</f>
        <v>No data</v>
      </c>
      <c r="F20" s="216">
        <f>VEERG_15_7_1_1__1_EmissionsFromPurchasedServices_Result_Method2</f>
        <v>42</v>
      </c>
      <c r="G20" s="13" t="s">
        <v>836</v>
      </c>
      <c r="H20" s="218"/>
    </row>
    <row r="21" spans="1:8" ht="20.100000000000001" customHeight="1" x14ac:dyDescent="0.25">
      <c r="A21" s="16" t="str">
        <f>HYPERLINK("#'10.1.1-2 Solid waste treatment'!A1", "10.1.1-2 Solid waste treatment")</f>
        <v>10.1.1-2 Solid waste treatment</v>
      </c>
      <c r="D21" s="8" t="str" cm="1">
        <f t="array" ref="D21">Common_InputFunctions.Utility_ResultsItemFromEquationTitleAndSource('15 Scope 3'!D352,'15 Scope 3'!D353)</f>
        <v>15.8.1.1 Embedded emissions from use of packaging materials</v>
      </c>
      <c r="E21" s="216">
        <f>VEERG_15_8_1_1__1_EmissionsFromPurchasedPackaging_Result_Method1</f>
        <v>7.44</v>
      </c>
      <c r="F21" s="216">
        <f>VEERG_15_8_1_1__1_EmissionsFromPurchasedPackaging_Result_Method2</f>
        <v>6</v>
      </c>
      <c r="G21" s="13" t="s">
        <v>836</v>
      </c>
    </row>
    <row r="22" spans="1:8" ht="20.100000000000001" customHeight="1" x14ac:dyDescent="0.25">
      <c r="A22" s="16" t="str">
        <f>HYPERLINK("#'Calcs - Manure sent off-site'!A1", "Calcs - Manure sent off-site")</f>
        <v>Calcs - Manure sent off-site</v>
      </c>
      <c r="D22" s="8" t="str" cm="1">
        <f t="array" ref="D22">Common_InputFunctions.Utility_ResultsItemFromEquationTitleAndSource('15 Scope 3'!D383,'15 Scope 3'!D384)</f>
        <v>15.9.1.1 Embedded emissions from use of grow media products</v>
      </c>
      <c r="E22" s="216" t="str">
        <f>VEERG_15_9_1_1__1_EmissionsFromPurchasedGrowMedia_Result_Method1</f>
        <v>No data</v>
      </c>
      <c r="F22" s="216">
        <f>VEERG_15_9_1_1__1_EmissionsFromPurchasedGrowMedia_Result_Method2</f>
        <v>40.200000000000003</v>
      </c>
      <c r="G22" s="13" t="s">
        <v>836</v>
      </c>
    </row>
    <row r="23" spans="1:8" ht="20.100000000000001" customHeight="1" x14ac:dyDescent="0.25">
      <c r="A23" s="16" t="str">
        <f>HYPERLINK("#'8.1.1.1-2 Transport fuel'!A1", "8.1.1.1-2 Transport fuel")</f>
        <v>8.1.1.1-2 Transport fuel</v>
      </c>
      <c r="D23" s="8" t="str" cm="1">
        <f t="array" ref="D23">Common_InputFunctions.Utility_ResultsItemFromEquationTitleAndSource('15 Scope 3'!D415,'15 Scope 3'!D416)</f>
        <v>15.10 Other purchased goods and services generic estimate</v>
      </c>
      <c r="E23" s="216" t="s">
        <v>848</v>
      </c>
      <c r="F23" s="216" t="s">
        <v>848</v>
      </c>
      <c r="G23" s="13" t="s">
        <v>836</v>
      </c>
    </row>
    <row r="24" spans="1:8" ht="20.100000000000001" customHeight="1" x14ac:dyDescent="0.25">
      <c r="A24" s="16" t="str">
        <f>HYPERLINK("#'8.2.1.1-2 Stationary fuel'!A1", "8.2.1.1-2 Stationary fuel")</f>
        <v>8.2.1.1-2 Stationary fuel</v>
      </c>
      <c r="D24" s="217" t="str">
        <f>'15 Scope 3'!D427</f>
        <v>Cleaning chemical purchases</v>
      </c>
      <c r="E24" s="216">
        <f>VEERG_15_10_1_1__1_OtherPurchasedGoodsAndServices_CleaningChemicals_Result_Method1</f>
        <v>0.50509999999999999</v>
      </c>
      <c r="F24" s="216">
        <f>VEERG_15_10_1_1__1_OtherPurchasedGoodsAndServices_CleaningChemicals_Result_Method2</f>
        <v>2.73</v>
      </c>
      <c r="G24" s="13" t="s">
        <v>836</v>
      </c>
    </row>
    <row r="25" spans="1:8" ht="20.100000000000001" customHeight="1" x14ac:dyDescent="0.25">
      <c r="D25" s="217" t="str">
        <f>'15 Scope 3'!D445</f>
        <v>Pharmacy chemical purchases</v>
      </c>
      <c r="E25" s="216">
        <f>VEERG_15_10_1_1__1_OtherPurchasedGoodsAndServices_PharmacyChemicals_Result_Method1</f>
        <v>1.5636000000000001E-2</v>
      </c>
      <c r="F25" s="216">
        <f>VEERG_15_10_1_1__1_OtherPurchasedGoodsAndServices_PharmacyChemicals_Result_Method2</f>
        <v>1.3400000000000002E-2</v>
      </c>
      <c r="G25" s="13" t="s">
        <v>836</v>
      </c>
    </row>
    <row r="26" spans="1:8" ht="20.100000000000001" customHeight="1" x14ac:dyDescent="0.25">
      <c r="D26" s="217" t="str">
        <f>'15 Scope 3'!D463</f>
        <v>Seed</v>
      </c>
      <c r="E26" s="216">
        <f>VEERG_15_10_1_1__1_OtherPurchasedGoodsAndServices_Seed_Result_Method1</f>
        <v>0.84389999999999998</v>
      </c>
      <c r="F26" s="216">
        <f>VEERG_15_10_1_1__1_OtherPurchasedGoodsAndServices_Seed_Result_Method2</f>
        <v>0.71420000000000006</v>
      </c>
      <c r="G26" s="13" t="s">
        <v>836</v>
      </c>
    </row>
    <row r="27" spans="1:8" ht="20.100000000000001" customHeight="1" x14ac:dyDescent="0.25">
      <c r="A27" s="229" t="s">
        <v>78</v>
      </c>
      <c r="D27" s="217" t="str">
        <f>'15 Scope 3'!D476</f>
        <v>Miscellaneous Inputs</v>
      </c>
      <c r="E27" s="216">
        <f>VEERG_15_10_1_1__1_OtherPurchasedGoodsAndServices_Misc_Result_Method1</f>
        <v>2.9531000000000005</v>
      </c>
      <c r="F27" s="216">
        <f>VEERG_15_10_1_1__1_OtherPurchasedGoodsAndServices_Misc_Result_Method2</f>
        <v>8.5860000000000006E-2</v>
      </c>
      <c r="G27" s="13" t="s">
        <v>836</v>
      </c>
    </row>
    <row r="28" spans="1:8" ht="20.100000000000001" customHeight="1" x14ac:dyDescent="0.25">
      <c r="A28" s="16" t="str">
        <f>HYPERLINK("#'Constants - Scope 3'!A1", "Constants - Scope 3")</f>
        <v>Constants - Scope 3</v>
      </c>
      <c r="D28" s="217" t="str">
        <f>'15 Scope 3'!D487</f>
        <v>Uncategorised products with no Method 1 EF data</v>
      </c>
      <c r="E28" s="216" t="str">
        <f>VEERG_15_10_1_1__1_OtherPurchasedGoodsAndServices_Uncategorised_Result_Method1</f>
        <v>No data</v>
      </c>
      <c r="F28" s="216">
        <f>VEERG_15_10_1_1__1_OtherPurchasedGoodsAndServices_Uncategorised_Result_Method2</f>
        <v>4000</v>
      </c>
      <c r="G28" s="13" t="s">
        <v>836</v>
      </c>
    </row>
    <row r="29" spans="1:8" ht="20.100000000000001" customHeight="1" x14ac:dyDescent="0.25">
      <c r="A29" s="16" t="str">
        <f>HYPERLINK("#'Constants - Solid Waste'!A1", "Constants - Solid Waste")</f>
        <v>Constants - Solid Waste</v>
      </c>
      <c r="D29" s="8" t="str" cm="1">
        <f t="array" ref="D29">Common_InputFunctions.Utility_ResultsItemFromEquationTitleAndSource('15 Scope 3'!D506,'15 Scope 3'!D507)</f>
        <v>15.11.1.1 Total upstream emissions from scope 1 fuel consumption</v>
      </c>
      <c r="E29" s="216">
        <f>VEERG_15_11_1_1__1_TotalUpstreamEmissionsFromFuel_Result</f>
        <v>26.794</v>
      </c>
      <c r="F29" s="216">
        <f>E29</f>
        <v>26.794</v>
      </c>
      <c r="G29" s="13" t="s">
        <v>836</v>
      </c>
    </row>
    <row r="30" spans="1:8" ht="20.100000000000001" customHeight="1" x14ac:dyDescent="0.25">
      <c r="A30" s="16" t="str">
        <f>HYPERLINK("#'Constants - Fuel'!A1", "Constants - Fuel")</f>
        <v>Constants - Fuel</v>
      </c>
      <c r="D30" s="8" t="str" cm="1">
        <f t="array" ref="D30">Common_InputFunctions.Utility_ResultsItemFromEquationTitleAndSource('15 Scope 3'!D521,'15 Scope 3'!D522)</f>
        <v>15.12.1.1 Scope 3 emissions from purchased electricity location based</v>
      </c>
      <c r="E30" s="216">
        <f>VEERG_15_12_1_1__1_UpstreamPurchasedElectricityLocationBased_Result</f>
        <v>2.7</v>
      </c>
      <c r="F30" s="216">
        <f>E30</f>
        <v>2.7</v>
      </c>
      <c r="G30" s="13" t="s">
        <v>836</v>
      </c>
    </row>
    <row r="31" spans="1:8" ht="20.100000000000001" customHeight="1" x14ac:dyDescent="0.25">
      <c r="A31" s="16" t="str">
        <f>HYPERLINK("#'Constants - Poultry'!A1", "Constants - Poultry")</f>
        <v>Constants - Poultry</v>
      </c>
      <c r="D31" s="8" t="str" cm="1">
        <f t="array" ref="D31">Common_InputFunctions.Utility_ResultsItemFromEquationTitleAndSource('15 Scope 3'!D537,'15 Scope 3'!D538)</f>
        <v>15.12.1.2 Scope 3 emissions from purchased electricity market based</v>
      </c>
      <c r="E31" s="216">
        <f>VEERG_15_12_1_2__1_UpstreamPurchasedElectricityMarketBasedVariation_Result</f>
        <v>1.5</v>
      </c>
      <c r="F31" s="216">
        <f>E31</f>
        <v>1.5</v>
      </c>
      <c r="G31" s="13" t="s">
        <v>836</v>
      </c>
    </row>
    <row r="32" spans="1:8" ht="20.100000000000001" customHeight="1" x14ac:dyDescent="0.25">
      <c r="A32" s="16" t="str">
        <f>HYPERLINK("#'Constants - Swine'!A1", "Constants - Swine")</f>
        <v>Constants - Swine</v>
      </c>
      <c r="D32" s="8" t="str" cm="1">
        <f t="array" ref="D32">Common_InputFunctions.Utility_ResultsItemFromEquationTitleAndSource('15 Scope 3'!D559,'15 Scope 3'!D560)</f>
        <v>15.13.1.1 Emissions from manure sent off site applied to soils in another farming system or enterprise</v>
      </c>
      <c r="E32" s="216">
        <f>VEERG_15_13_1_1__1_EmissionsFromManureSentOffSite_Result_Method1_CO2e</f>
        <v>3.7936642857142857</v>
      </c>
      <c r="F32" s="216">
        <f>VEERG_15_13_1_1__1_EmissionsFromManureSentOffSite_Result_Method2_CO2e</f>
        <v>7.5873285714285714</v>
      </c>
      <c r="G32" s="13" t="s">
        <v>836</v>
      </c>
    </row>
    <row r="33" spans="1:7" ht="20.100000000000001" customHeight="1" x14ac:dyDescent="0.25">
      <c r="A33" s="16" t="str">
        <f>HYPERLINK("#'Constants - Dairy'!A1", "Constants - Dairy")</f>
        <v>Constants - Dairy</v>
      </c>
      <c r="D33" s="8" t="str" cm="1">
        <f t="array" ref="D33">Common_InputFunctions.Utility_ResultsItemFromEquationTitleAndSource('15 Scope 3'!D582,'15 Scope 3'!D583&amp;",")</f>
        <v>15.13.1.3 Emissions from solid waste sent to a treatment facility</v>
      </c>
      <c r="E33" s="216">
        <f>VEERG_10_1_1_1__1_EmissionsFromWasteManagement_Scope3_Result_Method1</f>
        <v>441.15000000000003</v>
      </c>
      <c r="F33" s="216">
        <f>E33</f>
        <v>441.15000000000003</v>
      </c>
      <c r="G33" s="13" t="s">
        <v>836</v>
      </c>
    </row>
    <row r="34" spans="1:7" ht="20.100000000000001" customHeight="1" x14ac:dyDescent="0.25">
      <c r="A34" s="16" t="str">
        <f>HYPERLINK("#'Constants - Pasture Beef'!A1", "Constants - Pasture Beef")</f>
        <v>Constants - Pasture Beef</v>
      </c>
      <c r="D34" s="8" t="str" cm="1">
        <f t="array" ref="D34">Common_InputFunctions.Utility_ResultsItemFromEquationTitleAndSource('15 Scope 3'!D592,'15 Scope 3'!D593)</f>
        <v>15.14.1.1 Embedded emissions from upstream freight</v>
      </c>
      <c r="E34" s="216" t="s">
        <v>848</v>
      </c>
      <c r="F34" s="216" t="s">
        <v>848</v>
      </c>
      <c r="G34" s="13" t="s">
        <v>836</v>
      </c>
    </row>
    <row r="35" spans="1:7" ht="20.100000000000001" customHeight="1" x14ac:dyDescent="0.25">
      <c r="A35" s="16" t="str">
        <f>HYPERLINK("#'Constants - Common Livestock'!A1", "Constants - Common Livestock")</f>
        <v>Constants - Common Livestock</v>
      </c>
      <c r="D35" s="217" t="str">
        <f>'15 Scope 3'!D606</f>
        <v>Incoming freight</v>
      </c>
      <c r="E35" s="216" t="str">
        <f>VEERG_15_14_1_1__1_EmbeddedEmissionsFromUpstreamFreight_Incoming_Result_Method1</f>
        <v>No data</v>
      </c>
      <c r="F35" s="216">
        <f>VEERG_15_14_1_1__1_EmbeddedEmissionsFromUpstreamFreight_Incoming_Result_Method2</f>
        <v>5146700</v>
      </c>
      <c r="G35" s="13" t="s">
        <v>836</v>
      </c>
    </row>
    <row r="36" spans="1:7" ht="20.100000000000001" customHeight="1" x14ac:dyDescent="0.25">
      <c r="A36" s="16" t="str">
        <f>HYPERLINK("#'Constants - Fertiliser'!A1", "Constants - Fertiliser")</f>
        <v>Constants - Fertiliser</v>
      </c>
      <c r="D36" s="217" t="str">
        <f>'15 Scope 3'!D624</f>
        <v>Outgoing freight</v>
      </c>
      <c r="E36" s="216" t="str">
        <f>VEERG_15_14_1_1__1_EmbeddedEmissionsFromUpstreamFreight_Outgoing_Result_Method1</f>
        <v>No data</v>
      </c>
      <c r="F36" s="216">
        <f>VEERG_15_14_1_1__1_EmbeddedEmissionsFromUpstreamFreight_Outgoing_Result_Method2</f>
        <v>432640</v>
      </c>
      <c r="G36" s="13" t="s">
        <v>836</v>
      </c>
    </row>
    <row r="37" spans="1:7" ht="20.100000000000001" customHeight="1" x14ac:dyDescent="0.25">
      <c r="A37" s="16" t="str">
        <f>HYPERLINK("#'Constants - Electricity'!A1", "Constants - Electricity")</f>
        <v>Constants - Electricity</v>
      </c>
      <c r="D37" s="60" t="s">
        <v>221</v>
      </c>
      <c r="E37" s="219">
        <f>SUM(E10:E36)</f>
        <v>2477.8014762857151</v>
      </c>
      <c r="F37" s="219">
        <f>SUM(F10:F36)</f>
        <v>5586188.3726355713</v>
      </c>
      <c r="G37" s="175" t="s">
        <v>836</v>
      </c>
    </row>
    <row r="38" spans="1:7" ht="20.100000000000001" customHeight="1" x14ac:dyDescent="0.25">
      <c r="A38" s="16" t="str">
        <f>HYPERLINK("#'Constants - Common'!A1", "Constants - Common")</f>
        <v>Constants - Common</v>
      </c>
    </row>
    <row r="39" spans="1:7" ht="20.100000000000001" customHeight="1" x14ac:dyDescent="0.25"/>
    <row r="40" spans="1:7" ht="20.100000000000001" customHeight="1" x14ac:dyDescent="0.25"/>
    <row r="41" spans="1:7" ht="20.100000000000001" customHeight="1" x14ac:dyDescent="0.25"/>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3C112-C581-417F-876D-95D07C0C8D57}">
  <sheetPr>
    <pageSetUpPr autoPageBreaks="0"/>
  </sheetPr>
  <dimension ref="A1:AA160"/>
  <sheetViews>
    <sheetView showGridLines="0" zoomScaleNormal="100" workbookViewId="0">
      <selection activeCell="A38" sqref="A38"/>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102" t="s">
        <v>262</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103"/>
      <c r="D4" s="103"/>
      <c r="E4" s="103"/>
      <c r="F4" s="103"/>
      <c r="G4" s="103"/>
      <c r="H4" s="103"/>
      <c r="I4" s="103"/>
      <c r="J4" s="103"/>
      <c r="K4" s="103"/>
    </row>
    <row r="5" spans="1:24" ht="20.100000000000001" customHeight="1" x14ac:dyDescent="0.25">
      <c r="A5"/>
      <c r="D5" s="9" t="s">
        <v>263</v>
      </c>
      <c r="N5" s="104"/>
    </row>
    <row r="6" spans="1:24" ht="20.100000000000001" customHeight="1" x14ac:dyDescent="0.25">
      <c r="A6"/>
      <c r="D6" s="105"/>
      <c r="N6" s="106"/>
    </row>
    <row r="7" spans="1:24" ht="20.100000000000001" customHeight="1" x14ac:dyDescent="0.25">
      <c r="A7" s="19" t="s">
        <v>67</v>
      </c>
      <c r="D7" s="8" t="s">
        <v>264</v>
      </c>
      <c r="E7" s="82" t="s">
        <v>265</v>
      </c>
      <c r="F7" s="65"/>
    </row>
    <row r="8" spans="1:24" ht="20.100000000000001" customHeight="1" x14ac:dyDescent="0.25">
      <c r="A8" s="42" t="str">
        <f>HYPERLINK("#'Input - Site'!A1", "Site")</f>
        <v>Site</v>
      </c>
      <c r="D8" s="107" t="s">
        <v>266</v>
      </c>
      <c r="E8" s="82" t="s">
        <v>267</v>
      </c>
    </row>
    <row r="9" spans="1:24" ht="20.100000000000001" customHeight="1" x14ac:dyDescent="0.25">
      <c r="A9" s="16" t="str">
        <f>HYPERLINK("#'Input - Fuel'!A1", "Fuel")</f>
        <v>Fuel</v>
      </c>
      <c r="N9" s="108"/>
    </row>
    <row r="10" spans="1:24" ht="20.100000000000001" customHeight="1" x14ac:dyDescent="0.25">
      <c r="A10" s="16" t="str">
        <f>HYPERLINK("#'Input - Fertiliser'!A1", "Fertiliser")</f>
        <v>Fertiliser</v>
      </c>
      <c r="D10" s="95" t="s">
        <v>268</v>
      </c>
      <c r="E10" s="109"/>
      <c r="F10" s="110"/>
      <c r="G10" s="96"/>
      <c r="N10" s="108"/>
    </row>
    <row r="11" spans="1:24" ht="20.100000000000001" customHeight="1" x14ac:dyDescent="0.25">
      <c r="A11" s="16" t="str">
        <f>HYPERLINK("#'Input - Farm Inputs'!A1", "Farm Inputs")</f>
        <v>Farm Inputs</v>
      </c>
      <c r="N11" s="111"/>
    </row>
    <row r="12" spans="1:24" ht="20.100000000000001" customHeight="1" x14ac:dyDescent="0.25">
      <c r="A12" s="16" t="str">
        <f>HYPERLINK("#'Input - Livestock purchases'!A1", "Livestock purchases")</f>
        <v>Livestock purchases</v>
      </c>
      <c r="D12" s="107" t="s">
        <v>269</v>
      </c>
      <c r="E12" s="112">
        <v>45292</v>
      </c>
      <c r="F12" s="65" t="s">
        <v>270</v>
      </c>
    </row>
    <row r="13" spans="1:24" ht="20.100000000000001" customHeight="1" x14ac:dyDescent="0.25">
      <c r="A13" s="16" t="str">
        <f>HYPERLINK("#'Input - Freight'!A1", "Freight")</f>
        <v>Freight</v>
      </c>
      <c r="D13" s="107" t="s">
        <v>271</v>
      </c>
      <c r="E13" s="113">
        <f>DATE(YEAR(E12)+1,MONTH(E12),DAY(E12))-1</f>
        <v>45657</v>
      </c>
      <c r="F13" s="65" t="s">
        <v>272</v>
      </c>
      <c r="N13" s="114"/>
      <c r="O13" s="114"/>
    </row>
    <row r="14" spans="1:24" ht="20.100000000000001" customHeight="1" x14ac:dyDescent="0.25">
      <c r="A14" s="16" t="str">
        <f>HYPERLINK("#'Input - Solid waste'!A1", "Solid waste")</f>
        <v>Solid waste</v>
      </c>
      <c r="N14" s="114"/>
      <c r="O14" s="114"/>
    </row>
    <row r="15" spans="1:24" ht="20.100000000000001" customHeight="1" x14ac:dyDescent="0.25">
      <c r="A15" s="16" t="str">
        <f>HYPERLINK("#'Input - Manure sent off-site'!A1", "Manure sent off-site")</f>
        <v>Manure sent off-site</v>
      </c>
      <c r="N15" s="114"/>
      <c r="O15" s="114"/>
    </row>
    <row r="16" spans="1:24" ht="20.100000000000001" customHeight="1" x14ac:dyDescent="0.25">
      <c r="A16" s="16" t="str">
        <f>HYPERLINK("#'Input - Electricity'!A1", "Electricity")</f>
        <v>Electricity</v>
      </c>
      <c r="D16" s="9" t="s">
        <v>273</v>
      </c>
      <c r="N16" s="114"/>
      <c r="O16" s="114"/>
    </row>
    <row r="17" spans="1:25" ht="20.100000000000001" customHeight="1" x14ac:dyDescent="0.25">
      <c r="A17"/>
    </row>
    <row r="18" spans="1:25" ht="20.100000000000001" customHeight="1" x14ac:dyDescent="0.25">
      <c r="A18"/>
      <c r="D18" s="115" t="s">
        <v>274</v>
      </c>
      <c r="E18" s="40"/>
      <c r="F18" s="40"/>
      <c r="G18" s="41"/>
    </row>
    <row r="19" spans="1:25" ht="20.100000000000001" customHeight="1" x14ac:dyDescent="0.25">
      <c r="A19" s="21" t="s">
        <v>77</v>
      </c>
      <c r="D19" s="43" t="s">
        <v>275</v>
      </c>
      <c r="E19" s="44"/>
      <c r="F19" s="44"/>
      <c r="G19" s="45"/>
      <c r="N19" s="104"/>
    </row>
    <row r="20" spans="1:25" ht="20.100000000000001" customHeight="1" x14ac:dyDescent="0.25">
      <c r="A20" s="16" t="str">
        <f>HYPERLINK("#'15 Scope 3'!A1", "15 Scope 3")</f>
        <v>15 Scope 3</v>
      </c>
      <c r="D20" s="8"/>
      <c r="E20" s="116"/>
      <c r="F20" s="65"/>
      <c r="N20" s="106"/>
    </row>
    <row r="21" spans="1:25" ht="20.100000000000001" customHeight="1" x14ac:dyDescent="0.25">
      <c r="A21" s="16" t="str">
        <f>HYPERLINK("#'10.1.1-2 Solid waste treatment'!A1", "10.1.1-2 Solid waste treatment")</f>
        <v>10.1.1-2 Solid waste treatment</v>
      </c>
      <c r="D21" s="8" t="s">
        <v>276</v>
      </c>
      <c r="E21" s="47" t="s">
        <v>855</v>
      </c>
      <c r="F21" s="65" t="s">
        <v>194</v>
      </c>
    </row>
    <row r="22" spans="1:25" ht="20.100000000000001" customHeight="1" x14ac:dyDescent="0.25">
      <c r="A22" s="16" t="str">
        <f>HYPERLINK("#'Calcs - Manure sent off-site'!A1", "Calcs - Manure sent off-site")</f>
        <v>Calcs - Manure sent off-site</v>
      </c>
      <c r="D22" s="8" t="s">
        <v>277</v>
      </c>
      <c r="E22" s="47" t="s">
        <v>278</v>
      </c>
      <c r="F22" s="65" t="s">
        <v>194</v>
      </c>
      <c r="G22" s="8"/>
    </row>
    <row r="23" spans="1:25" ht="20.100000000000001" customHeight="1" x14ac:dyDescent="0.25">
      <c r="A23" s="16" t="str">
        <f>HYPERLINK("#'8.1.1.1-2 Transport fuel'!A1", "8.1.1.1-2 Transport fuel")</f>
        <v>8.1.1.1-2 Transport fuel</v>
      </c>
      <c r="D23" s="8" t="s">
        <v>750</v>
      </c>
      <c r="E23" s="47" t="s">
        <v>751</v>
      </c>
      <c r="F23" s="65" t="s">
        <v>194</v>
      </c>
    </row>
    <row r="24" spans="1:25" ht="20.100000000000001" customHeight="1" x14ac:dyDescent="0.25">
      <c r="A24" s="16" t="str">
        <f>HYPERLINK("#'8.2.1.1-2 Stationary fuel'!A1", "8.2.1.1-2 Stationary fuel")</f>
        <v>8.2.1.1-2 Stationary fuel</v>
      </c>
      <c r="D24" s="8" t="s">
        <v>16</v>
      </c>
      <c r="E24" s="82">
        <v>307.7</v>
      </c>
      <c r="F24" s="65" t="s">
        <v>752</v>
      </c>
    </row>
    <row r="25" spans="1:25" ht="20.100000000000001" customHeight="1" x14ac:dyDescent="0.25">
      <c r="A25"/>
      <c r="D25" s="8" t="s">
        <v>753</v>
      </c>
      <c r="E25" s="82">
        <v>18</v>
      </c>
      <c r="F25" s="65" t="s">
        <v>754</v>
      </c>
      <c r="N25" s="106"/>
    </row>
    <row r="26" spans="1:25" ht="20.100000000000001" customHeight="1" x14ac:dyDescent="0.25">
      <c r="A26"/>
      <c r="D26" s="8" t="s">
        <v>755</v>
      </c>
      <c r="E26" s="82">
        <v>599</v>
      </c>
      <c r="F26" s="65" t="s">
        <v>756</v>
      </c>
    </row>
    <row r="27" spans="1:25" ht="20.100000000000001" customHeight="1" x14ac:dyDescent="0.25">
      <c r="A27" s="229" t="s">
        <v>78</v>
      </c>
      <c r="D27" s="107" t="s">
        <v>757</v>
      </c>
      <c r="E27" s="82">
        <v>1326</v>
      </c>
      <c r="F27" s="65" t="s">
        <v>756</v>
      </c>
    </row>
    <row r="28" spans="1:25" ht="20.100000000000001" customHeight="1" x14ac:dyDescent="0.25">
      <c r="A28" s="16" t="str">
        <f>HYPERLINK("#'Constants - Scope 3'!A1", "Constants - Scope 3")</f>
        <v>Constants - Scope 3</v>
      </c>
      <c r="D28" s="8" t="s">
        <v>758</v>
      </c>
      <c r="E28" s="82">
        <v>7</v>
      </c>
      <c r="F28" s="65" t="s">
        <v>759</v>
      </c>
    </row>
    <row r="29" spans="1:25" ht="20.100000000000001" customHeight="1" x14ac:dyDescent="0.25">
      <c r="A29" s="16" t="str">
        <f>HYPERLINK("#'Constants - Solid Waste'!A1", "Constants - Solid Waste")</f>
        <v>Constants - Solid Waste</v>
      </c>
      <c r="D29" s="107" t="s">
        <v>760</v>
      </c>
      <c r="E29" s="49">
        <f>E26/E27</f>
        <v>0.45173453996983409</v>
      </c>
      <c r="F29" s="65"/>
    </row>
    <row r="30" spans="1:25" ht="20.100000000000001" customHeight="1" x14ac:dyDescent="0.25">
      <c r="A30" s="16" t="str">
        <f>HYPERLINK("#'Constants - Fuel'!A1", "Constants - Fuel")</f>
        <v>Constants - Fuel</v>
      </c>
      <c r="D30" s="107" t="s">
        <v>44</v>
      </c>
      <c r="E30" s="49" t="str">
        <f>Common_InputFunctions.Utility_LookupItemFromMinMax(E26,Table_SourceData_RainfallZones[Min rainfall],Table_SourceData_RainfallZones[Max rainfall],Table_SourceData_RainfallZones[Rainfall Zone])</f>
        <v>Low rainfall</v>
      </c>
      <c r="G30" s="117"/>
      <c r="L30" s="118"/>
      <c r="M30" s="118"/>
      <c r="N30" s="118"/>
      <c r="O30" s="118"/>
      <c r="P30" s="118"/>
      <c r="Q30" s="118"/>
      <c r="R30" s="118"/>
      <c r="S30" s="118"/>
      <c r="T30" s="118"/>
      <c r="U30" s="118"/>
      <c r="V30" s="118"/>
      <c r="W30" s="118"/>
      <c r="X30" s="118"/>
      <c r="Y30" s="118"/>
    </row>
    <row r="31" spans="1:25" ht="20.100000000000001" customHeight="1" x14ac:dyDescent="0.25">
      <c r="A31" s="16" t="str">
        <f>HYPERLINK("#'Constants - Poultry'!A1", "Constants - Poultry")</f>
        <v>Constants - Poultry</v>
      </c>
      <c r="D31" s="8" t="s">
        <v>11</v>
      </c>
      <c r="E31" s="49"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6"/>
      <c r="L31" s="119"/>
      <c r="M31" s="119"/>
      <c r="N31" s="119"/>
      <c r="O31" s="119"/>
      <c r="P31" s="119"/>
      <c r="Q31" s="119"/>
      <c r="R31" s="119"/>
      <c r="S31" s="119"/>
      <c r="T31" s="119"/>
      <c r="U31" s="119"/>
      <c r="V31" s="119"/>
      <c r="W31" s="119"/>
      <c r="X31" s="119"/>
      <c r="Y31" s="119"/>
    </row>
    <row r="32" spans="1:25" ht="20.100000000000001" customHeight="1" x14ac:dyDescent="0.25">
      <c r="A32" s="16" t="str">
        <f>HYPERLINK("#'Constants - Swine'!A1", "Constants - Swine")</f>
        <v>Constants - Swine</v>
      </c>
      <c r="D32" s="8" t="s">
        <v>761</v>
      </c>
      <c r="E32" s="49" t="str">
        <f>Common_InputFunctions.Utility_LookupValueInTable($E$31,Table_SourceData_WetDryZones[Climate zone],Table_SourceData_WetDryZones[Wet or Dry Zone])</f>
        <v>Dry climate zone</v>
      </c>
      <c r="F32" s="8"/>
      <c r="G32" s="116"/>
      <c r="L32" s="119"/>
      <c r="M32" s="119"/>
      <c r="N32" s="119"/>
      <c r="O32" s="119"/>
      <c r="P32" s="119"/>
      <c r="Q32" s="119"/>
      <c r="R32" s="119"/>
      <c r="S32" s="119"/>
      <c r="T32" s="119"/>
      <c r="U32" s="119"/>
      <c r="V32" s="119"/>
      <c r="W32" s="119"/>
      <c r="X32" s="119"/>
      <c r="Y32" s="119"/>
    </row>
    <row r="33" spans="1:25" ht="20.100000000000001" customHeight="1" x14ac:dyDescent="0.25">
      <c r="A33" s="16" t="str">
        <f>HYPERLINK("#'Constants - Dairy'!A1", "Constants - Dairy")</f>
        <v>Constants - Dairy</v>
      </c>
      <c r="D33" s="8" t="s">
        <v>48</v>
      </c>
      <c r="E33" s="49" t="str">
        <f>Common_InputFunctions.Utility_LookupItemFromMinMax(E25,Table_SourceData_TemperatureZones[Min MAT],Table_SourceData_TemperatureZones[Max MAT],Table_SourceData_TemperatureZones[Temperature Zone])</f>
        <v>Temperate</v>
      </c>
      <c r="G33" s="120"/>
      <c r="L33" s="119"/>
      <c r="M33" s="119"/>
      <c r="N33" s="119"/>
      <c r="O33" s="119"/>
      <c r="P33" s="119"/>
      <c r="Q33" s="119"/>
      <c r="R33" s="119"/>
      <c r="S33" s="119"/>
      <c r="T33" s="119"/>
      <c r="U33" s="119"/>
      <c r="V33" s="119"/>
      <c r="W33" s="119"/>
      <c r="X33" s="119"/>
      <c r="Y33" s="119"/>
    </row>
    <row r="34" spans="1:25" ht="20.100000000000001" customHeight="1" x14ac:dyDescent="0.25">
      <c r="A34" s="16" t="str">
        <f>HYPERLINK("#'Constants - Pasture Beef'!A1", "Constants - Pasture Beef")</f>
        <v>Constants - Pasture Beef</v>
      </c>
      <c r="J34" s="121"/>
      <c r="K34" s="122"/>
      <c r="L34" s="119"/>
      <c r="M34" s="119"/>
      <c r="N34" s="119"/>
      <c r="O34" s="119"/>
      <c r="P34" s="119"/>
      <c r="Q34" s="119"/>
      <c r="R34" s="119"/>
      <c r="S34" s="119"/>
      <c r="T34" s="119"/>
      <c r="U34" s="119"/>
      <c r="V34" s="119"/>
      <c r="W34" s="119"/>
      <c r="X34" s="119"/>
      <c r="Y34" s="119"/>
    </row>
    <row r="35" spans="1:25" ht="20.100000000000001" customHeight="1" x14ac:dyDescent="0.25">
      <c r="A35" s="16" t="str">
        <f>HYPERLINK("#'Constants - Common Livestock'!A1", "Constants - Common Livestock")</f>
        <v>Constants - Common Livestock</v>
      </c>
      <c r="J35" s="121"/>
      <c r="K35" s="122"/>
      <c r="L35" s="119"/>
      <c r="M35" s="119"/>
      <c r="N35" s="119"/>
      <c r="O35" s="119"/>
      <c r="P35" s="119"/>
      <c r="Q35" s="119"/>
      <c r="R35" s="119"/>
      <c r="S35" s="119"/>
      <c r="T35" s="119"/>
      <c r="U35" s="119"/>
      <c r="V35" s="119"/>
      <c r="W35" s="119"/>
      <c r="X35" s="119"/>
      <c r="Y35" s="119"/>
    </row>
    <row r="36" spans="1:25" ht="20.100000000000001" customHeight="1" x14ac:dyDescent="0.25">
      <c r="A36" s="16" t="str">
        <f>HYPERLINK("#'Constants - Fertiliser'!A1", "Constants - Fertiliser")</f>
        <v>Constants - Fertiliser</v>
      </c>
      <c r="D36" s="123"/>
      <c r="E36" s="123"/>
      <c r="F36" s="124"/>
      <c r="G36" s="121"/>
      <c r="H36" s="121"/>
      <c r="I36" s="125"/>
      <c r="J36" s="121"/>
      <c r="K36" s="122"/>
      <c r="L36" s="119"/>
      <c r="M36" s="119"/>
      <c r="N36" s="119"/>
      <c r="O36" s="119"/>
      <c r="P36" s="119"/>
      <c r="Q36" s="119"/>
      <c r="R36" s="119"/>
      <c r="S36" s="119"/>
      <c r="T36" s="119"/>
      <c r="U36" s="119"/>
      <c r="V36" s="119"/>
      <c r="W36" s="119"/>
      <c r="X36" s="119"/>
      <c r="Y36" s="119"/>
    </row>
    <row r="37" spans="1:25" ht="20.100000000000001" customHeight="1" x14ac:dyDescent="0.25">
      <c r="A37" s="16" t="str">
        <f>HYPERLINK("#'Constants - Electricity'!A1", "Constants - Electricity")</f>
        <v>Constants - Electricity</v>
      </c>
      <c r="D37" s="123"/>
      <c r="E37" s="123"/>
      <c r="F37" s="124"/>
      <c r="G37" s="121"/>
      <c r="H37" s="121"/>
      <c r="I37" s="125"/>
      <c r="J37" s="121"/>
      <c r="K37" s="122"/>
      <c r="L37" s="119"/>
      <c r="M37" s="119"/>
      <c r="N37" s="119"/>
      <c r="O37" s="119"/>
      <c r="P37" s="119"/>
      <c r="Q37" s="119"/>
      <c r="R37" s="119"/>
      <c r="S37" s="119"/>
      <c r="T37" s="119"/>
      <c r="U37" s="119"/>
      <c r="V37" s="119"/>
      <c r="W37" s="119"/>
      <c r="X37" s="119"/>
      <c r="Y37" s="119"/>
    </row>
    <row r="38" spans="1:25" ht="20.100000000000001" customHeight="1" x14ac:dyDescent="0.25">
      <c r="A38" s="16" t="str">
        <f>HYPERLINK("#'Constants - Common'!A1", "Constants - Common")</f>
        <v>Constants - Common</v>
      </c>
      <c r="D38" s="123"/>
      <c r="E38" s="123"/>
      <c r="F38" s="124"/>
      <c r="G38" s="121"/>
      <c r="H38" s="121"/>
      <c r="I38" s="125"/>
      <c r="J38" s="121"/>
      <c r="K38" s="122"/>
      <c r="L38" s="119"/>
      <c r="M38" s="119"/>
      <c r="N38" s="119"/>
      <c r="O38" s="119"/>
      <c r="P38" s="119"/>
      <c r="Q38" s="119"/>
      <c r="R38" s="119"/>
      <c r="S38" s="119"/>
      <c r="T38" s="119"/>
      <c r="U38" s="119"/>
      <c r="V38" s="119"/>
      <c r="W38" s="119"/>
      <c r="X38" s="119"/>
      <c r="Y38" s="119"/>
    </row>
    <row r="39" spans="1:25" ht="20.100000000000001" customHeight="1" x14ac:dyDescent="0.25">
      <c r="A39"/>
      <c r="D39" s="123"/>
      <c r="E39" s="123"/>
      <c r="F39" s="124"/>
      <c r="G39" s="121"/>
      <c r="H39" s="121"/>
      <c r="I39" s="125"/>
      <c r="J39" s="121"/>
      <c r="K39" s="122"/>
      <c r="L39" s="119"/>
      <c r="M39" s="119"/>
      <c r="N39" s="119"/>
      <c r="O39" s="119"/>
      <c r="P39" s="119"/>
      <c r="Q39" s="119"/>
      <c r="R39" s="119"/>
      <c r="S39" s="119"/>
      <c r="T39" s="119"/>
      <c r="U39" s="119"/>
      <c r="V39" s="119"/>
      <c r="W39" s="119"/>
      <c r="X39" s="119"/>
      <c r="Y39" s="119"/>
    </row>
    <row r="40" spans="1:25" ht="20.100000000000001" customHeight="1" x14ac:dyDescent="0.25">
      <c r="A40"/>
      <c r="D40" s="126"/>
      <c r="E40" s="126"/>
      <c r="F40" s="126"/>
      <c r="G40" s="127"/>
      <c r="H40" s="128"/>
      <c r="I40" s="128"/>
      <c r="J40" s="128"/>
      <c r="K40" s="128"/>
      <c r="L40" s="129"/>
      <c r="M40" s="129"/>
      <c r="N40" s="129"/>
      <c r="O40" s="129"/>
      <c r="P40" s="129"/>
      <c r="Q40" s="129"/>
      <c r="R40" s="129"/>
      <c r="S40" s="129"/>
      <c r="T40" s="129"/>
      <c r="U40" s="129"/>
      <c r="V40" s="129"/>
      <c r="W40" s="129"/>
      <c r="X40" s="129"/>
      <c r="Y40" s="12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9"/>
    </row>
    <row r="46" spans="1:25" ht="20.100000000000001" customHeight="1" x14ac:dyDescent="0.25">
      <c r="A46"/>
      <c r="D46" s="9"/>
    </row>
    <row r="47" spans="1:25" ht="20.100000000000001" customHeight="1" x14ac:dyDescent="0.25">
      <c r="A47"/>
      <c r="D47" s="130"/>
      <c r="E47" s="130"/>
      <c r="F47" s="130"/>
      <c r="G47" s="130"/>
      <c r="H47" s="130"/>
    </row>
    <row r="48" spans="1:25" ht="20.100000000000001" customHeight="1" x14ac:dyDescent="0.25">
      <c r="A48"/>
      <c r="D48" s="131"/>
      <c r="E48" s="131"/>
      <c r="F48" s="132"/>
      <c r="G48" s="132"/>
      <c r="H48" s="131"/>
    </row>
    <row r="49" spans="1:8" ht="20.100000000000001" customHeight="1" x14ac:dyDescent="0.25">
      <c r="A49"/>
      <c r="D49" s="131"/>
      <c r="E49" s="131"/>
      <c r="F49" s="132"/>
      <c r="G49" s="132"/>
      <c r="H49" s="131"/>
    </row>
    <row r="50" spans="1:8" ht="20.100000000000001" customHeight="1" x14ac:dyDescent="0.25">
      <c r="A50"/>
      <c r="D50" s="131"/>
      <c r="E50" s="131"/>
      <c r="F50" s="132"/>
      <c r="G50" s="132"/>
      <c r="H50" s="131"/>
    </row>
    <row r="51" spans="1:8" ht="20.100000000000001" customHeight="1" x14ac:dyDescent="0.25">
      <c r="A51"/>
      <c r="D51" s="133"/>
      <c r="E51" s="134"/>
      <c r="F51" s="134"/>
      <c r="G51" s="134"/>
      <c r="H51" s="135"/>
    </row>
    <row r="52" spans="1:8" ht="20.100000000000001" customHeight="1" x14ac:dyDescent="0.25">
      <c r="A52"/>
    </row>
    <row r="53" spans="1:8" ht="20.100000000000001" customHeight="1" x14ac:dyDescent="0.25">
      <c r="A53"/>
    </row>
    <row r="54" spans="1:8" ht="20.100000000000001" customHeight="1" x14ac:dyDescent="0.25">
      <c r="A54"/>
      <c r="G54" s="136"/>
    </row>
    <row r="55" spans="1:8" ht="20.100000000000001" customHeight="1" x14ac:dyDescent="0.25">
      <c r="A55"/>
      <c r="D55" s="9"/>
    </row>
    <row r="56" spans="1:8" ht="20.100000000000001" customHeight="1" x14ac:dyDescent="0.25">
      <c r="A56"/>
    </row>
    <row r="57" spans="1:8" ht="20.100000000000001" customHeight="1" x14ac:dyDescent="0.25">
      <c r="A57"/>
      <c r="D57" s="137"/>
      <c r="F57" s="138"/>
    </row>
    <row r="58" spans="1:8" ht="20.100000000000001" customHeight="1" x14ac:dyDescent="0.25">
      <c r="A58"/>
      <c r="D58" s="8"/>
      <c r="E58" s="139"/>
    </row>
    <row r="59" spans="1:8" ht="20.100000000000001" customHeight="1" x14ac:dyDescent="0.25">
      <c r="A59"/>
      <c r="D59" s="8"/>
      <c r="E59" s="139"/>
    </row>
    <row r="60" spans="1:8" ht="20.100000000000001" customHeight="1" x14ac:dyDescent="0.25">
      <c r="A60"/>
      <c r="D60" s="8"/>
      <c r="E60" s="140"/>
    </row>
    <row r="61" spans="1:8" ht="20.100000000000001" customHeight="1" x14ac:dyDescent="0.25">
      <c r="A61"/>
      <c r="D61" s="8"/>
    </row>
    <row r="62" spans="1:8" ht="20.100000000000001" customHeight="1" x14ac:dyDescent="0.25">
      <c r="A62"/>
    </row>
    <row r="63" spans="1:8" ht="20.100000000000001" customHeight="1" x14ac:dyDescent="0.25">
      <c r="A63"/>
      <c r="D63" s="137"/>
    </row>
    <row r="64" spans="1:8" ht="20.100000000000001" customHeight="1" x14ac:dyDescent="0.25">
      <c r="A64"/>
      <c r="D64" s="8"/>
      <c r="E64" s="139"/>
    </row>
    <row r="65" spans="1:9" ht="20.100000000000001" customHeight="1" x14ac:dyDescent="0.25">
      <c r="A65"/>
      <c r="D65" s="8"/>
      <c r="E65" s="139"/>
    </row>
    <row r="66" spans="1:9" ht="20.100000000000001" customHeight="1" x14ac:dyDescent="0.25">
      <c r="A66"/>
      <c r="D66" s="8"/>
      <c r="E66" s="140"/>
    </row>
    <row r="67" spans="1:9" ht="20.100000000000001" customHeight="1" x14ac:dyDescent="0.25">
      <c r="A67"/>
    </row>
    <row r="68" spans="1:9" ht="20.100000000000001" customHeight="1" x14ac:dyDescent="0.25">
      <c r="A68"/>
    </row>
    <row r="69" spans="1:9" ht="20.100000000000001" customHeight="1" x14ac:dyDescent="0.25">
      <c r="A69"/>
      <c r="D69" s="141"/>
      <c r="E69" s="141"/>
      <c r="F69" s="141"/>
      <c r="G69" s="141"/>
      <c r="H69" s="141"/>
      <c r="I69" s="141"/>
    </row>
    <row r="70" spans="1:9" ht="20.100000000000001" customHeight="1" x14ac:dyDescent="0.25">
      <c r="A70"/>
      <c r="D70" s="141"/>
      <c r="E70" s="141"/>
      <c r="F70" s="141"/>
      <c r="G70" s="141"/>
      <c r="H70" s="141"/>
      <c r="I70" s="141"/>
    </row>
    <row r="71" spans="1:9" ht="20.100000000000001" customHeight="1" x14ac:dyDescent="0.25">
      <c r="A71"/>
      <c r="D71" s="141"/>
      <c r="E71" s="141"/>
      <c r="F71" s="141"/>
      <c r="G71" s="141"/>
      <c r="H71" s="141"/>
      <c r="I71" s="141"/>
    </row>
    <row r="72" spans="1:9" ht="20.100000000000001" customHeight="1" x14ac:dyDescent="0.25">
      <c r="A72"/>
      <c r="D72" s="141"/>
      <c r="E72" s="141"/>
      <c r="F72" s="141"/>
      <c r="G72" s="141"/>
      <c r="H72" s="141"/>
      <c r="I72" s="1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42"/>
    </row>
    <row r="79" spans="1:9" ht="20.100000000000001" customHeight="1" x14ac:dyDescent="0.25">
      <c r="A79"/>
      <c r="D79" s="142"/>
    </row>
    <row r="80" spans="1:9" ht="20.100000000000001" customHeight="1" x14ac:dyDescent="0.25">
      <c r="A80"/>
      <c r="D80" s="142"/>
    </row>
    <row r="81" spans="1:4" ht="20.100000000000001" customHeight="1" x14ac:dyDescent="0.25">
      <c r="A81"/>
      <c r="D81" s="142"/>
    </row>
    <row r="82" spans="1:4" ht="20.100000000000001" customHeight="1" x14ac:dyDescent="0.25">
      <c r="A82"/>
      <c r="D82" s="1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A18974AC-8338-4942-A9DA-A9703F1EF72D}">
      <formula1>"YES - In leaching zone, NO - Not in leaching zone"</formula1>
    </dataValidation>
    <dataValidation type="list" allowBlank="1" showInputMessage="1" showErrorMessage="1" sqref="G36:G39" xr:uid="{BF2DB52A-EB28-40A0-B47D-28DA131AB6AC}">
      <formula1>$D$41:$D$43</formula1>
    </dataValidation>
    <dataValidation type="list" allowBlank="1" showInputMessage="1" showErrorMessage="1" sqref="E22" xr:uid="{C87B5E7D-AFC6-4F08-9BE0-CA4319713090}">
      <formula1>INDIRECT("Table_WASA4Areas[SA 4 Name]")</formula1>
    </dataValidation>
    <dataValidation type="list" allowBlank="1" showInputMessage="1" showErrorMessage="1" sqref="E21" xr:uid="{5699F57F-B65D-42C9-BBAD-F5A7949E2A71}">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EC5F8-AA20-4635-AB42-5440B84E5E9F}">
  <dimension ref="A1:K346"/>
  <sheetViews>
    <sheetView showGridLines="0" topLeftCell="A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10" width="21.75" style="8" customWidth="1"/>
    <col min="11" max="11" width="4.125" style="8" customWidth="1"/>
    <col min="12" max="12" width="4.125" style="3" customWidth="1"/>
    <col min="13" max="16384" width="9" style="3"/>
  </cols>
  <sheetData>
    <row r="1" spans="1:11" s="37" customFormat="1" ht="30" customHeight="1" x14ac:dyDescent="0.35">
      <c r="A1" s="37" t="e" vm="1">
        <v>#VALUE!</v>
      </c>
      <c r="C1" s="37" t="s">
        <v>118</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A5"/>
      <c r="D5" s="9" t="s">
        <v>119</v>
      </c>
      <c r="E5" s="7"/>
      <c r="F5" s="7"/>
      <c r="G5" s="7"/>
      <c r="H5" s="7"/>
    </row>
    <row r="6" spans="1:11" ht="20.100000000000001" customHeight="1" x14ac:dyDescent="0.25">
      <c r="A6"/>
      <c r="D6" s="14"/>
      <c r="E6" s="14"/>
      <c r="F6" s="14"/>
      <c r="G6" s="14"/>
      <c r="H6" s="14"/>
      <c r="I6" s="14"/>
      <c r="J6" s="14"/>
    </row>
    <row r="7" spans="1:11" ht="20.100000000000001" customHeight="1" x14ac:dyDescent="0.25">
      <c r="A7" s="19" t="s">
        <v>67</v>
      </c>
      <c r="D7" s="8" t="s">
        <v>737</v>
      </c>
    </row>
    <row r="8" spans="1:11" ht="20.100000000000001" customHeight="1" x14ac:dyDescent="0.25">
      <c r="A8" s="16" t="str">
        <f>HYPERLINK("#'Input - Site'!A1", "Site")</f>
        <v>Site</v>
      </c>
      <c r="D8" s="8" t="s">
        <v>738</v>
      </c>
    </row>
    <row r="9" spans="1:11" ht="20.100000000000001" customHeight="1" x14ac:dyDescent="0.25">
      <c r="A9" s="42" t="str">
        <f>HYPERLINK("#'Input - Fuel'!A1", "Fuel")</f>
        <v>Fuel</v>
      </c>
      <c r="D9" s="8" t="s">
        <v>739</v>
      </c>
    </row>
    <row r="10" spans="1:11" ht="20.100000000000001" customHeight="1" x14ac:dyDescent="0.25">
      <c r="A10" s="16" t="str">
        <f>HYPERLINK("#'Input - Fertiliser'!A1", "Fertiliser")</f>
        <v>Fertiliser</v>
      </c>
    </row>
    <row r="11" spans="1:11" ht="20.100000000000001" customHeight="1" x14ac:dyDescent="0.25">
      <c r="A11" s="16" t="str">
        <f>HYPERLINK("#'Input - Farm Inputs'!A1", "Farm Inputs")</f>
        <v>Farm Inputs</v>
      </c>
      <c r="D11" s="8" t="s">
        <v>740</v>
      </c>
      <c r="E11" s="47" t="s">
        <v>708</v>
      </c>
      <c r="F11" s="65" t="s">
        <v>194</v>
      </c>
    </row>
    <row r="12" spans="1:11" ht="20.100000000000001" customHeight="1" x14ac:dyDescent="0.25">
      <c r="A12" s="16" t="str">
        <f>HYPERLINK("#'Input - Livestock purchases'!A1", "Livestock purchases")</f>
        <v>Livestock purchases</v>
      </c>
    </row>
    <row r="13" spans="1:11" ht="20.100000000000001" customHeight="1" x14ac:dyDescent="0.25">
      <c r="A13" s="16" t="str">
        <f>HYPERLINK("#'Input - Freight'!A1", "Freight")</f>
        <v>Freight</v>
      </c>
      <c r="D13" s="39" t="s">
        <v>120</v>
      </c>
      <c r="E13" s="40"/>
      <c r="F13" s="40"/>
      <c r="G13" s="40"/>
      <c r="H13" s="41"/>
    </row>
    <row r="14" spans="1:11" ht="20.100000000000001" customHeight="1" x14ac:dyDescent="0.25">
      <c r="A14" s="16" t="str">
        <f>HYPERLINK("#'Input - Solid waste'!A1", "Solid waste")</f>
        <v>Solid waste</v>
      </c>
      <c r="D14" s="43" t="s">
        <v>121</v>
      </c>
      <c r="E14" s="44"/>
      <c r="F14" s="44"/>
      <c r="G14" s="44"/>
      <c r="H14" s="45"/>
    </row>
    <row r="15" spans="1:11" ht="20.100000000000001" customHeight="1" x14ac:dyDescent="0.25">
      <c r="A15" s="16" t="str">
        <f>HYPERLINK("#'Input - Manure sent off-site'!A1", "Manure sent off-site")</f>
        <v>Manure sent off-site</v>
      </c>
      <c r="D15" s="14"/>
      <c r="E15" s="14"/>
      <c r="F15" s="14"/>
      <c r="G15" s="14"/>
      <c r="H15" s="14"/>
      <c r="I15" s="14"/>
      <c r="J15" s="14"/>
    </row>
    <row r="16" spans="1:11" ht="20.100000000000001" customHeight="1" x14ac:dyDescent="0.25">
      <c r="A16" s="16" t="str">
        <f>HYPERLINK("#'Input - Electricity'!A1", "Electricity")</f>
        <v>Electricity</v>
      </c>
      <c r="D16" s="46" t="s">
        <v>122</v>
      </c>
      <c r="E16" s="46" t="s">
        <v>123</v>
      </c>
      <c r="F16" s="46" t="s">
        <v>124</v>
      </c>
      <c r="G16" s="46" t="s">
        <v>125</v>
      </c>
      <c r="H16" s="46" t="s">
        <v>126</v>
      </c>
      <c r="I16" s="46" t="s">
        <v>127</v>
      </c>
      <c r="J16" s="46" t="s">
        <v>875</v>
      </c>
    </row>
    <row r="17" spans="1:10" ht="20.100000000000001" customHeight="1" x14ac:dyDescent="0.25">
      <c r="A17"/>
      <c r="D17" s="47" t="s">
        <v>89</v>
      </c>
      <c r="E17" s="47" t="s">
        <v>117</v>
      </c>
      <c r="F17" s="48">
        <v>100</v>
      </c>
      <c r="G17" s="49" t="str" cm="1">
        <f t="array" ref="G17">Common_InputFunctions.Utility_LookupValueInTable(Table_Input_Fuel[[#This Row],[Fuel type (select)]],Table_FuelTypes_Units[Fuel type], Table_FuelTypes_Units[Input Unit])</f>
        <v>GJ</v>
      </c>
      <c r="H17" s="50">
        <f>1</f>
        <v>1</v>
      </c>
      <c r="I17" s="49">
        <f>Table_Input_Fuel[[#This Row],[Amount purchased]]*Table_Input_Fuel[[#This Row],[Percent consumed]]*IF(Table_Input_Fuel[[#This Row],[Amount unit]]="L", 10^-3, 1)</f>
        <v>100</v>
      </c>
      <c r="J17" s="49" t="str" cm="1">
        <f t="array" ref="J17">Common_InputFunctions.Utility_LookupValueInTable(Table_Input_Fuel[[#This Row],[Fuel type (select)]],Table_FuelTypes_Units[Fuel type], Table_FuelTypes_Units[Unit])</f>
        <v>GJ</v>
      </c>
    </row>
    <row r="18" spans="1:10" ht="20.100000000000001" customHeight="1" x14ac:dyDescent="0.25">
      <c r="A18"/>
      <c r="D18" s="47" t="s">
        <v>89</v>
      </c>
      <c r="E18" s="47" t="s">
        <v>97</v>
      </c>
      <c r="F18" s="48">
        <v>10000</v>
      </c>
      <c r="G18" s="49" t="str" cm="1">
        <f t="array" ref="G18">Common_InputFunctions.Utility_LookupValueInTable(Table_Input_Fuel[[#This Row],[Fuel type (select)]],Table_FuelTypes_Units[Fuel type], Table_FuelTypes_Units[Input Unit])</f>
        <v>L</v>
      </c>
      <c r="H18" s="223">
        <f>1</f>
        <v>1</v>
      </c>
      <c r="I18" s="49">
        <f>Table_Input_Fuel[[#This Row],[Amount purchased]]*Table_Input_Fuel[[#This Row],[Percent consumed]]*IF(Table_Input_Fuel[[#This Row],[Amount unit]]="L", 10^-3, 1)</f>
        <v>10</v>
      </c>
      <c r="J18" s="49" t="str" cm="1">
        <f t="array" ref="J18">Common_InputFunctions.Utility_LookupValueInTable(Table_Input_Fuel[[#This Row],[Fuel type (select)]],Table_FuelTypes_Units[Fuel type], Table_FuelTypes_Units[Unit])</f>
        <v>kL</v>
      </c>
    </row>
    <row r="19" spans="1:10" ht="20.100000000000001" customHeight="1" x14ac:dyDescent="0.25">
      <c r="A19" s="21" t="s">
        <v>77</v>
      </c>
      <c r="D19" s="47" t="s">
        <v>91</v>
      </c>
      <c r="E19" s="47" t="s">
        <v>99</v>
      </c>
      <c r="F19" s="48">
        <v>10000</v>
      </c>
      <c r="G19" s="49" t="str" cm="1">
        <f t="array" ref="G19">Common_InputFunctions.Utility_LookupValueInTable(Table_Input_Fuel[[#This Row],[Fuel type (select)]],Table_FuelTypes_Units[Fuel type], Table_FuelTypes_Units[Input Unit])</f>
        <v>L</v>
      </c>
      <c r="H19" s="223">
        <f>1</f>
        <v>1</v>
      </c>
      <c r="I19" s="49">
        <f>Table_Input_Fuel[[#This Row],[Amount purchased]]*Table_Input_Fuel[[#This Row],[Percent consumed]]*IF(Table_Input_Fuel[[#This Row],[Amount unit]]="L", 10^-3, 1)</f>
        <v>10</v>
      </c>
      <c r="J19" s="49" t="str" cm="1">
        <f t="array" ref="J19">Common_InputFunctions.Utility_LookupValueInTable(Table_Input_Fuel[[#This Row],[Fuel type (select)]],Table_FuelTypes_Units[Fuel type], Table_FuelTypes_Units[Unit])</f>
        <v>kL</v>
      </c>
    </row>
    <row r="20" spans="1:10" ht="20.100000000000001" customHeight="1" x14ac:dyDescent="0.25">
      <c r="A20" s="16" t="str">
        <f>HYPERLINK("#'15 Scope 3'!A1", "15 Scope 3")</f>
        <v>15 Scope 3</v>
      </c>
      <c r="D20" s="47" t="s">
        <v>92</v>
      </c>
      <c r="E20" s="47" t="s">
        <v>99</v>
      </c>
      <c r="F20" s="48">
        <v>10000</v>
      </c>
      <c r="G20" s="49" t="str" cm="1">
        <f t="array" ref="G20">Common_InputFunctions.Utility_LookupValueInTable(Table_Input_Fuel[[#This Row],[Fuel type (select)]],Table_FuelTypes_Units[Fuel type], Table_FuelTypes_Units[Input Unit])</f>
        <v>L</v>
      </c>
      <c r="H20" s="223">
        <f>1</f>
        <v>1</v>
      </c>
      <c r="I20" s="49">
        <f>Table_Input_Fuel[[#This Row],[Amount purchased]]*Table_Input_Fuel[[#This Row],[Percent consumed]]*IF(Table_Input_Fuel[[#This Row],[Amount unit]]="L", 10^-3, 1)</f>
        <v>10</v>
      </c>
      <c r="J20" s="49" t="str" cm="1">
        <f t="array" ref="J20">Common_InputFunctions.Utility_LookupValueInTable(Table_Input_Fuel[[#This Row],[Fuel type (select)]],Table_FuelTypes_Units[Fuel type], Table_FuelTypes_Units[Unit])</f>
        <v>kL</v>
      </c>
    </row>
    <row r="21" spans="1:10" ht="20.100000000000001" customHeight="1" x14ac:dyDescent="0.25">
      <c r="A21" s="16" t="str">
        <f>HYPERLINK("#'10.1.1-2 Solid waste treatment'!A1", "10.1.1-2 Solid waste treatment")</f>
        <v>10.1.1-2 Solid waste treatment</v>
      </c>
      <c r="D21" s="149" t="s">
        <v>93</v>
      </c>
      <c r="E21" s="149" t="s">
        <v>94</v>
      </c>
      <c r="F21" s="48">
        <v>10000</v>
      </c>
      <c r="G21" s="161" t="str" cm="1">
        <f t="array" ref="G21">Common_InputFunctions.Utility_LookupValueInTable(Table_Input_Fuel[[#This Row],[Fuel type (select)]],Table_FuelTypes_Units[Fuel type], Table_FuelTypes_Units[Input Unit])</f>
        <v>L</v>
      </c>
      <c r="H21" s="224">
        <f>1</f>
        <v>1</v>
      </c>
      <c r="I21" s="161">
        <f>Table_Input_Fuel[[#This Row],[Amount purchased]]*Table_Input_Fuel[[#This Row],[Percent consumed]]*IF(Table_Input_Fuel[[#This Row],[Amount unit]]="L", 10^-3, 1)</f>
        <v>10</v>
      </c>
      <c r="J21" s="49" t="str" cm="1">
        <f t="array" ref="J21">Common_InputFunctions.Utility_LookupValueInTable(Table_Input_Fuel[[#This Row],[Fuel type (select)]],Table_FuelTypes_Units[Fuel type], Table_FuelTypes_Units[Unit])</f>
        <v>kL</v>
      </c>
    </row>
    <row r="22" spans="1:10" ht="20.100000000000001" customHeight="1" x14ac:dyDescent="0.25">
      <c r="A22" s="16" t="str">
        <f>HYPERLINK("#'Calcs - Manure sent off-site'!A1", "Calcs - Manure sent off-site")</f>
        <v>Calcs - Manure sent off-site</v>
      </c>
    </row>
    <row r="23" spans="1:10" ht="20.100000000000001" customHeight="1" x14ac:dyDescent="0.25">
      <c r="A23" s="16" t="str">
        <f>HYPERLINK("#'8.1.1.1-2 Transport fuel'!A1", "8.1.1.1-2 Transport fuel")</f>
        <v>8.1.1.1-2 Transport fuel</v>
      </c>
    </row>
    <row r="24" spans="1:10" ht="20.100000000000001" customHeight="1" x14ac:dyDescent="0.25">
      <c r="A24" s="16" t="str">
        <f>HYPERLINK("#'8.2.1.1-2 Stationary fuel'!A1", "8.2.1.1-2 Stationary fuel")</f>
        <v>8.2.1.1-2 Stationary fuel</v>
      </c>
    </row>
    <row r="25" spans="1:10" ht="20.100000000000001" customHeight="1" x14ac:dyDescent="0.25">
      <c r="A25"/>
    </row>
    <row r="26" spans="1:10" ht="20.100000000000001" customHeight="1" x14ac:dyDescent="0.25">
      <c r="A26"/>
    </row>
    <row r="27" spans="1:10" ht="20.100000000000001" customHeight="1" x14ac:dyDescent="0.25">
      <c r="A27" s="229" t="s">
        <v>78</v>
      </c>
    </row>
    <row r="28" spans="1:10" ht="20.100000000000001" customHeight="1" x14ac:dyDescent="0.25">
      <c r="A28" s="16" t="str">
        <f>HYPERLINK("#'Constants - Scope 3'!A1", "Constants - Scope 3")</f>
        <v>Constants - Scope 3</v>
      </c>
    </row>
    <row r="29" spans="1:10" ht="20.100000000000001" customHeight="1" x14ac:dyDescent="0.25">
      <c r="A29" s="16" t="str">
        <f>HYPERLINK("#'Constants - Solid Waste'!A1", "Constants - Solid Waste")</f>
        <v>Constants - Solid Waste</v>
      </c>
    </row>
    <row r="30" spans="1:10" ht="20.100000000000001" customHeight="1" x14ac:dyDescent="0.25">
      <c r="A30" s="16" t="str">
        <f>HYPERLINK("#'Constants - Fuel'!A1", "Constants - Fuel")</f>
        <v>Constants - Fuel</v>
      </c>
    </row>
    <row r="31" spans="1:10" ht="20.100000000000001" customHeight="1" x14ac:dyDescent="0.25">
      <c r="A31" s="16" t="str">
        <f>HYPERLINK("#'Constants - Poultry'!A1", "Constants - Poultry")</f>
        <v>Constants - Poultry</v>
      </c>
    </row>
    <row r="32" spans="1:10" ht="20.100000000000001" customHeight="1" x14ac:dyDescent="0.25">
      <c r="A32" s="16" t="str">
        <f>HYPERLINK("#'Constants - Swine'!A1", "Constants - Swine")</f>
        <v>Constants - Swine</v>
      </c>
    </row>
    <row r="33" spans="1:11" ht="20.100000000000001" customHeight="1" x14ac:dyDescent="0.25">
      <c r="A33" s="16" t="str">
        <f>HYPERLINK("#'Constants - Dairy'!A1", "Constants - Dairy")</f>
        <v>Constants - Dairy</v>
      </c>
    </row>
    <row r="34" spans="1:11" ht="20.100000000000001" customHeight="1" x14ac:dyDescent="0.25">
      <c r="A34" s="16" t="str">
        <f>HYPERLINK("#'Constants - Pasture Beef'!A1", "Constants - Pasture Beef")</f>
        <v>Constants - Pasture Beef</v>
      </c>
    </row>
    <row r="35" spans="1:11" ht="20.100000000000001" customHeight="1" x14ac:dyDescent="0.25">
      <c r="A35" s="16" t="str">
        <f>HYPERLINK("#'Constants - Common Livestock'!A1", "Constants - Common Livestock")</f>
        <v>Constants - Common Livestock</v>
      </c>
    </row>
    <row r="36" spans="1:11" ht="20.100000000000001" customHeight="1" x14ac:dyDescent="0.25">
      <c r="A36" s="16" t="str">
        <f>HYPERLINK("#'Constants - Fertiliser'!A1", "Constants - Fertiliser")</f>
        <v>Constants - Fertiliser</v>
      </c>
    </row>
    <row r="37" spans="1:11" ht="20.100000000000001" customHeight="1" x14ac:dyDescent="0.25">
      <c r="A37" s="16" t="str">
        <f>HYPERLINK("#'Constants - Electricity'!A1", "Constants - Electricity")</f>
        <v>Constants - Electricity</v>
      </c>
    </row>
    <row r="38" spans="1:11" ht="20.100000000000001" customHeight="1" x14ac:dyDescent="0.25">
      <c r="A38" s="16" t="str">
        <f>HYPERLINK("#'Constants - Common'!A1", "Constants - Common")</f>
        <v>Constants - Common</v>
      </c>
      <c r="C38" s="51"/>
      <c r="K38" s="51"/>
    </row>
    <row r="39" spans="1:11" ht="20.100000000000001" customHeight="1" x14ac:dyDescent="0.25">
      <c r="A39"/>
      <c r="C39" s="51"/>
      <c r="K39" s="51"/>
    </row>
    <row r="40" spans="1:11" s="52" customFormat="1" ht="20.100000000000001" customHeight="1" x14ac:dyDescent="0.25">
      <c r="A40"/>
      <c r="C40" s="8"/>
      <c r="D40" s="8"/>
      <c r="E40" s="8"/>
      <c r="F40" s="8"/>
      <c r="G40" s="8"/>
      <c r="H40" s="8"/>
      <c r="I40" s="8"/>
      <c r="J40" s="8"/>
      <c r="K40" s="8"/>
    </row>
    <row r="41" spans="1:11" s="52" customFormat="1" ht="20.100000000000001" customHeight="1" x14ac:dyDescent="0.25">
      <c r="A41"/>
      <c r="C41" s="8"/>
      <c r="D41" s="8"/>
      <c r="E41" s="8"/>
      <c r="F41" s="8"/>
      <c r="G41" s="8"/>
      <c r="H41" s="8"/>
      <c r="I41" s="8"/>
      <c r="J41" s="8"/>
      <c r="K41" s="8"/>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54"/>
    </row>
  </sheetData>
  <conditionalFormatting sqref="F32">
    <cfRule type="cellIs" dxfId="78" priority="9" operator="lessThan">
      <formula>0</formula>
    </cfRule>
  </conditionalFormatting>
  <conditionalFormatting sqref="F111:F112">
    <cfRule type="cellIs" dxfId="77" priority="8" operator="lessThan">
      <formula>0</formula>
    </cfRule>
  </conditionalFormatting>
  <conditionalFormatting sqref="F123:F124">
    <cfRule type="cellIs" dxfId="76" priority="7" operator="lessThan">
      <formula>0</formula>
    </cfRule>
  </conditionalFormatting>
  <conditionalFormatting sqref="F135:F136">
    <cfRule type="cellIs" dxfId="75" priority="6" operator="lessThan">
      <formula>0</formula>
    </cfRule>
  </conditionalFormatting>
  <conditionalFormatting sqref="F147:F148">
    <cfRule type="cellIs" dxfId="74" priority="5" operator="lessThan">
      <formula>0</formula>
    </cfRule>
  </conditionalFormatting>
  <conditionalFormatting sqref="F235:F236">
    <cfRule type="cellIs" dxfId="73" priority="17" operator="lessThan">
      <formula>0</formula>
    </cfRule>
  </conditionalFormatting>
  <conditionalFormatting sqref="F240:F241">
    <cfRule type="cellIs" dxfId="72" priority="16" operator="lessThan">
      <formula>0</formula>
    </cfRule>
  </conditionalFormatting>
  <conditionalFormatting sqref="F245:F246">
    <cfRule type="cellIs" dxfId="71" priority="15" operator="lessThan">
      <formula>0</formula>
    </cfRule>
  </conditionalFormatting>
  <conditionalFormatting sqref="F269:F270">
    <cfRule type="cellIs" dxfId="70" priority="14" operator="lessThan">
      <formula>0</formula>
    </cfRule>
  </conditionalFormatting>
  <conditionalFormatting sqref="F274:F275">
    <cfRule type="cellIs" dxfId="69" priority="13" operator="lessThan">
      <formula>0</formula>
    </cfRule>
  </conditionalFormatting>
  <conditionalFormatting sqref="F279:F280">
    <cfRule type="cellIs" dxfId="68" priority="12" operator="lessThan">
      <formula>0</formula>
    </cfRule>
  </conditionalFormatting>
  <conditionalFormatting sqref="I26:J27 H28:H30 I31:J31 I33:J35 I37:J38 I189:J189 E195:G195 I195:J195">
    <cfRule type="cellIs" dxfId="67" priority="11" operator="lessThan">
      <formula>0</formula>
    </cfRule>
  </conditionalFormatting>
  <conditionalFormatting sqref="I42:J46">
    <cfRule type="cellIs" dxfId="66" priority="4" operator="lessThan">
      <formula>0</formula>
    </cfRule>
  </conditionalFormatting>
  <conditionalFormatting sqref="I50:J50 I109:J109">
    <cfRule type="cellIs" dxfId="65" priority="10" operator="lessThan">
      <formula>0</formula>
    </cfRule>
  </conditionalFormatting>
  <conditionalFormatting sqref="I61:J63">
    <cfRule type="cellIs" dxfId="64" priority="3" operator="lessThan">
      <formula>0</formula>
    </cfRule>
  </conditionalFormatting>
  <conditionalFormatting sqref="I67:J70">
    <cfRule type="cellIs" dxfId="63" priority="2" operator="lessThan">
      <formula>0</formula>
    </cfRule>
  </conditionalFormatting>
  <conditionalFormatting sqref="I74:J78">
    <cfRule type="cellIs" dxfId="62" priority="1" operator="lessThan">
      <formula>0</formula>
    </cfRule>
  </conditionalFormatting>
  <dataValidations count="9">
    <dataValidation type="list" allowBlank="1" showInputMessage="1" showErrorMessage="1" sqref="E17:E21" xr:uid="{1735A978-6472-462B-AA88-8DC6098DF4DE}">
      <formula1>_xlfn.TRIMRANGE(INDIRECT("Table_FuelTypesPerUse["&amp;D17&amp;"]"))</formula1>
    </dataValidation>
    <dataValidation type="list" allowBlank="1" showInputMessage="1" showErrorMessage="1" sqref="D17:D21" xr:uid="{C721E2F4-4C0F-4C93-9FC8-96956285A930}">
      <formula1>INDIRECT("Table_FuelTypesPerUse[#Headers]")</formula1>
    </dataValidation>
    <dataValidation type="list" allowBlank="1" showInputMessage="1" showErrorMessage="1" sqref="E11" xr:uid="{820E1150-A5B9-43CE-BB60-A6B2920CB918}">
      <formula1>"Metro, Non-metro"</formula1>
    </dataValidation>
    <dataValidation type="list" allowBlank="1" showInputMessage="1" showErrorMessage="1" sqref="D29:D30" xr:uid="{4033ADC2-FE78-45E7-8F5F-3CC654A6920E}">
      <formula1>INDIRECT("Table_SourceData_OrganicFertiliserTypes[Organic fertiliser type]")</formula1>
    </dataValidation>
    <dataValidation type="list" allowBlank="1" showInputMessage="1" showErrorMessage="1" sqref="E49" xr:uid="{0EBC7B29-D547-40AE-8AFD-0C60C2A13764}">
      <formula1>INDIRECT("Table_SourceData_Swine_CropProdSystems[Production system]")</formula1>
    </dataValidation>
    <dataValidation type="list" allowBlank="1" showInputMessage="1" showErrorMessage="1" sqref="E50" xr:uid="{AF89658B-E72C-494E-BB29-87213680707B}">
      <formula1>INDIRECT("Table_SourceData_Swine_IrrigationMethods[Irrigation method]")</formula1>
    </dataValidation>
    <dataValidation type="list" allowBlank="1" showInputMessage="1" showErrorMessage="1" sqref="E234 E239 E244 E278 E273 E268 E146 E134 E110 E122" xr:uid="{7B8395E8-813B-439C-9EDD-1696EFE85A0F}">
      <formula1>"Yes, No"</formula1>
    </dataValidation>
    <dataValidation type="list" allowBlank="1" showInputMessage="1" showErrorMessage="1" sqref="E210" xr:uid="{A26022F4-AF19-4020-847E-565FB2675B6F}">
      <formula1>INDIRECT("Table_SourceData_Dairy_ProductionSystemTemplates[Area]")</formula1>
    </dataValidation>
    <dataValidation type="list" allowBlank="1" showInputMessage="1" showErrorMessage="1" sqref="D262" xr:uid="{72A8EF7B-B80F-4E5A-9B69-99D0FF8DB5FE}">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17CEE-A694-4836-BD0E-DF31393D0093}">
  <dimension ref="A1:Y366"/>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7" customFormat="1" ht="30" customHeight="1" x14ac:dyDescent="0.35">
      <c r="A1" s="37" t="e" vm="1">
        <v>#VALUE!</v>
      </c>
      <c r="C1" s="37" t="s">
        <v>193</v>
      </c>
    </row>
    <row r="2" spans="1:25" s="2" customFormat="1" ht="20.100000000000001" customHeight="1" x14ac:dyDescent="0.25">
      <c r="A2"/>
    </row>
    <row r="3" spans="1:25"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row>
    <row r="4" spans="1:25" ht="20.100000000000001" customHeight="1" x14ac:dyDescent="0.25">
      <c r="A4" s="16" t="str">
        <f>HYPERLINK("#'Results'!A1", "Results")</f>
        <v>Results</v>
      </c>
    </row>
    <row r="5" spans="1:25" ht="20.100000000000001" customHeight="1" x14ac:dyDescent="0.25">
      <c r="A5"/>
    </row>
    <row r="6" spans="1:25" ht="20.100000000000001" customHeight="1" x14ac:dyDescent="0.25">
      <c r="A6"/>
      <c r="D6" s="8" t="s">
        <v>144</v>
      </c>
      <c r="E6" s="47" t="s">
        <v>149</v>
      </c>
      <c r="F6" s="65" t="s">
        <v>194</v>
      </c>
    </row>
    <row r="7" spans="1:25" ht="20.100000000000001" customHeight="1" x14ac:dyDescent="0.25">
      <c r="A7" s="19" t="s">
        <v>67</v>
      </c>
      <c r="D7" s="8" t="s">
        <v>195</v>
      </c>
      <c r="E7" s="47" t="s">
        <v>150</v>
      </c>
      <c r="F7" s="65" t="s">
        <v>194</v>
      </c>
    </row>
    <row r="8" spans="1:25" ht="20.100000000000001" customHeight="1" x14ac:dyDescent="0.25">
      <c r="A8" s="16" t="str">
        <f>HYPERLINK("#'Input - Site'!A1", "Site")</f>
        <v>Site</v>
      </c>
      <c r="D8" s="8" t="s">
        <v>43</v>
      </c>
      <c r="E8" s="47" t="s">
        <v>154</v>
      </c>
      <c r="F8" s="65" t="s">
        <v>194</v>
      </c>
    </row>
    <row r="9" spans="1:25" ht="20.100000000000001" customHeight="1" x14ac:dyDescent="0.25">
      <c r="A9" s="16" t="str">
        <f>HYPERLINK("#'Input - Fuel'!A1", "Fuel")</f>
        <v>Fuel</v>
      </c>
      <c r="D9" s="8" t="s">
        <v>196</v>
      </c>
      <c r="E9" s="66">
        <v>100</v>
      </c>
      <c r="F9" s="65" t="s">
        <v>197</v>
      </c>
    </row>
    <row r="10" spans="1:25" ht="20.100000000000001" customHeight="1" x14ac:dyDescent="0.25">
      <c r="A10" s="42" t="str">
        <f>HYPERLINK("#'Input - Fertiliser'!A1", "Fertiliser")</f>
        <v>Fertiliser</v>
      </c>
    </row>
    <row r="11" spans="1:25" ht="20.100000000000001" customHeight="1" x14ac:dyDescent="0.25">
      <c r="A11" s="16" t="str">
        <f>HYPERLINK("#'Input - Farm Inputs'!A1", "Farm Inputs")</f>
        <v>Farm Inputs</v>
      </c>
      <c r="D11" s="9" t="s">
        <v>198</v>
      </c>
      <c r="E11" s="7"/>
      <c r="F11" s="7"/>
      <c r="G11" s="7"/>
      <c r="H11" s="7"/>
      <c r="I11" s="7"/>
      <c r="J11" s="7"/>
      <c r="K11" s="7"/>
      <c r="L11" s="7"/>
      <c r="M11" s="7"/>
    </row>
    <row r="12" spans="1:25" ht="20.100000000000001" customHeight="1" x14ac:dyDescent="0.25">
      <c r="A12" s="16" t="str">
        <f>HYPERLINK("#'Input - Livestock purchases'!A1", "Livestock purchases")</f>
        <v>Livestock purchases</v>
      </c>
      <c r="D12" s="14"/>
      <c r="E12" s="14"/>
      <c r="F12" s="14"/>
      <c r="G12" s="14"/>
      <c r="H12" s="14"/>
      <c r="I12" s="14"/>
      <c r="J12" s="14"/>
      <c r="K12" s="14"/>
      <c r="L12" s="14"/>
      <c r="M12" s="14"/>
    </row>
    <row r="13" spans="1:25" ht="20.100000000000001" customHeight="1" x14ac:dyDescent="0.25">
      <c r="A13" s="16" t="str">
        <f>HYPERLINK("#'Input - Freight'!A1", "Freight")</f>
        <v>Freight</v>
      </c>
      <c r="D13" s="39" t="s">
        <v>199</v>
      </c>
      <c r="E13" s="40"/>
      <c r="F13" s="40"/>
      <c r="G13" s="40"/>
      <c r="H13" s="41"/>
      <c r="I13" s="67"/>
      <c r="J13" s="68"/>
      <c r="K13" s="69"/>
      <c r="L13" s="69"/>
      <c r="M13" s="69"/>
    </row>
    <row r="14" spans="1:25" ht="20.100000000000001" customHeight="1" x14ac:dyDescent="0.25">
      <c r="A14" s="16" t="str">
        <f>HYPERLINK("#'Input - Solid waste'!A1", "Solid waste")</f>
        <v>Solid waste</v>
      </c>
      <c r="D14" s="43" t="s">
        <v>200</v>
      </c>
      <c r="E14" s="44"/>
      <c r="F14" s="44"/>
      <c r="G14" s="45"/>
      <c r="H14" s="70"/>
      <c r="I14" s="14"/>
      <c r="J14" s="14"/>
      <c r="K14" s="14"/>
      <c r="L14" s="14"/>
      <c r="M14" s="14"/>
    </row>
    <row r="15" spans="1:25" ht="20.100000000000001" customHeight="1" x14ac:dyDescent="0.25">
      <c r="A15" s="16" t="str">
        <f>HYPERLINK("#'Input - Manure sent off-site'!A1", "Manure sent off-site")</f>
        <v>Manure sent off-site</v>
      </c>
      <c r="D15" s="14"/>
      <c r="E15" s="14"/>
      <c r="F15" s="14"/>
      <c r="G15" s="14"/>
      <c r="H15" s="14"/>
      <c r="I15" s="14"/>
      <c r="J15" s="14"/>
      <c r="K15" s="14"/>
      <c r="L15" s="14"/>
      <c r="M15" s="14"/>
    </row>
    <row r="16" spans="1:25" ht="20.100000000000001" customHeight="1" x14ac:dyDescent="0.25">
      <c r="A16" s="16" t="str">
        <f>HYPERLINK("#'Input - Electricity'!A1", "Electricity")</f>
        <v>Electricity</v>
      </c>
      <c r="D16" s="71" t="s">
        <v>201</v>
      </c>
      <c r="E16" s="14"/>
      <c r="F16" s="14"/>
      <c r="G16" s="14"/>
      <c r="H16" s="14"/>
      <c r="I16" s="14"/>
      <c r="J16" s="14"/>
      <c r="K16" s="14"/>
      <c r="L16" s="14"/>
      <c r="M16" s="14"/>
    </row>
    <row r="17" spans="1:24" ht="36" customHeight="1" x14ac:dyDescent="0.25">
      <c r="A17"/>
      <c r="D17" s="221" t="s">
        <v>202</v>
      </c>
      <c r="E17" s="64" t="s">
        <v>856</v>
      </c>
      <c r="F17" s="64" t="s">
        <v>312</v>
      </c>
      <c r="G17" s="64" t="s">
        <v>313</v>
      </c>
      <c r="H17" s="64" t="s">
        <v>203</v>
      </c>
      <c r="I17" s="64" t="s">
        <v>204</v>
      </c>
      <c r="J17" s="221" t="s">
        <v>173</v>
      </c>
      <c r="K17" s="221" t="s">
        <v>174</v>
      </c>
      <c r="L17" s="221" t="s">
        <v>175</v>
      </c>
      <c r="M17" s="221" t="s">
        <v>176</v>
      </c>
      <c r="N17" s="221" t="s">
        <v>177</v>
      </c>
      <c r="O17" s="221" t="s">
        <v>178</v>
      </c>
      <c r="P17" s="221" t="s">
        <v>179</v>
      </c>
      <c r="Q17" s="221" t="s">
        <v>180</v>
      </c>
      <c r="R17" s="221" t="s">
        <v>181</v>
      </c>
      <c r="S17" s="221" t="s">
        <v>182</v>
      </c>
      <c r="T17" s="221" t="s">
        <v>183</v>
      </c>
      <c r="U17" s="221" t="s">
        <v>184</v>
      </c>
      <c r="V17" s="221" t="s">
        <v>205</v>
      </c>
      <c r="W17" s="221" t="s">
        <v>171</v>
      </c>
      <c r="X17" s="221" t="s">
        <v>172</v>
      </c>
    </row>
    <row r="18" spans="1:24" ht="36" customHeight="1" x14ac:dyDescent="0.25">
      <c r="A18"/>
      <c r="D18" s="72" t="s">
        <v>857</v>
      </c>
      <c r="E18" s="73">
        <v>100</v>
      </c>
      <c r="F18" s="49" t="str">
        <f>_xlfn.XLOOKUP(Table_Input_InorganicFertiliser_Brands[[#This Row],[Product (select)]],FertiliserProducts[Product name],FertiliserProducts[Unit])</f>
        <v>L</v>
      </c>
      <c r="G18" s="49">
        <f>_xlfn.XLOOKUP(Table_Input_InorganicFertiliser_Brands[[#This Row],[Product (select)]],FertiliserProducts[Product name],FertiliserProducts[Density / gravity])</f>
        <v>1.26</v>
      </c>
      <c r="H18" s="73">
        <f>$E$9</f>
        <v>100</v>
      </c>
      <c r="I18" s="74">
        <f>(Table_Input_InorganicFertiliser_Brands[[#This Row],[Amount applied per hectare]]*Table_Input_InorganicFertiliser_Brands[[#This Row],[Density]])*Table_Input_InorganicFertiliser_Brands[[#This Row],[Application area (ha)]]</f>
        <v>12600</v>
      </c>
      <c r="J18" s="74"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74"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7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74"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74"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74"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74"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7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74"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7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7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7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49" t="str">
        <f>_xlfn.XLOOKUP(Table_Input_InorganicFertiliser_Brands[[#This Row],[Product (select)]],FertiliserProducts[Product name],FertiliserProducts[Urea source])</f>
        <v/>
      </c>
      <c r="X18" s="49" t="str">
        <f>_xlfn.XLOOKUP(Table_Input_InorganicFertiliser_Brands[[#This Row],[Product (select)]],FertiliserProducts[Product name],FertiliserProducts[Ammonia source])</f>
        <v/>
      </c>
    </row>
    <row r="19" spans="1:24" ht="36" customHeight="1" x14ac:dyDescent="0.25">
      <c r="A19" s="21" t="s">
        <v>77</v>
      </c>
      <c r="D19" s="72" t="s">
        <v>858</v>
      </c>
      <c r="E19" s="73">
        <v>100</v>
      </c>
      <c r="F19" s="49" t="str">
        <f>_xlfn.XLOOKUP(Table_Input_InorganicFertiliser_Brands[[#This Row],[Product (select)]],FertiliserProducts[Product name],FertiliserProducts[Unit])</f>
        <v>L</v>
      </c>
      <c r="G19" s="49">
        <f>_xlfn.XLOOKUP(Table_Input_InorganicFertiliser_Brands[[#This Row],[Product (select)]],FertiliserProducts[Product name],FertiliserProducts[Density / gravity])</f>
        <v>1.2849999999999999</v>
      </c>
      <c r="H19" s="73">
        <f>$E$9</f>
        <v>100</v>
      </c>
      <c r="I19" s="74">
        <f>(Table_Input_InorganicFertiliser_Brands[[#This Row],[Amount applied per hectare]]*Table_Input_InorganicFertiliser_Brands[[#This Row],[Density]])*Table_Input_InorganicFertiliser_Brands[[#This Row],[Application area (ha)]]</f>
        <v>12850</v>
      </c>
      <c r="J19" s="74"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74"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7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74"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74"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74"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74"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74"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74"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74"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74"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74"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74" t="str">
        <f>_xlfn.XLOOKUP(Table_Input_InorganicFertiliser_Brands[[#This Row],[Product (select)]],FertiliserProducts[Product name],FertiliserProducts[Urea source])</f>
        <v/>
      </c>
      <c r="X19" s="74" t="str">
        <f>_xlfn.XLOOKUP(Table_Input_InorganicFertiliser_Brands[[#This Row],[Product (select)]],FertiliserProducts[Product name],FertiliserProducts[Ammonia source])</f>
        <v/>
      </c>
    </row>
    <row r="20" spans="1:24" ht="36" customHeight="1" x14ac:dyDescent="0.25">
      <c r="A20" s="16" t="str">
        <f>HYPERLINK("#'15 Scope 3'!A1", "15 Scope 3")</f>
        <v>15 Scope 3</v>
      </c>
      <c r="D20" s="72" t="s">
        <v>858</v>
      </c>
      <c r="E20" s="73">
        <v>100</v>
      </c>
      <c r="F20" s="49" t="str">
        <f>_xlfn.XLOOKUP(Table_Input_InorganicFertiliser_Brands[[#This Row],[Product (select)]],FertiliserProducts[Product name],FertiliserProducts[Unit])</f>
        <v>L</v>
      </c>
      <c r="G20" s="49">
        <f>_xlfn.XLOOKUP(Table_Input_InorganicFertiliser_Brands[[#This Row],[Product (select)]],FertiliserProducts[Product name],FertiliserProducts[Density / gravity])</f>
        <v>1.2849999999999999</v>
      </c>
      <c r="H20" s="73">
        <f>$E$9</f>
        <v>100</v>
      </c>
      <c r="I20" s="74">
        <f>(Table_Input_InorganicFertiliser_Brands[[#This Row],[Amount applied per hectare]]*Table_Input_InorganicFertiliser_Brands[[#This Row],[Density]])*Table_Input_InorganicFertiliser_Brands[[#This Row],[Application area (ha)]]</f>
        <v>12850</v>
      </c>
      <c r="J20" s="74"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74"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74"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74"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74"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74"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74"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74"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74"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74"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74"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74"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74" t="str">
        <f>_xlfn.XLOOKUP(Table_Input_InorganicFertiliser_Brands[[#This Row],[Product (select)]],FertiliserProducts[Product name],FertiliserProducts[Urea source])</f>
        <v/>
      </c>
      <c r="X20" s="74" t="str">
        <f>_xlfn.XLOOKUP(Table_Input_InorganicFertiliser_Brands[[#This Row],[Product (select)]],FertiliserProducts[Product name],FertiliserProducts[Ammonia source])</f>
        <v/>
      </c>
    </row>
    <row r="21" spans="1:24" ht="36" customHeight="1" x14ac:dyDescent="0.25">
      <c r="A21" s="16" t="str">
        <f>HYPERLINK("#'10.1.1-2 Solid waste treatment'!A1", "10.1.1-2 Solid waste treatment")</f>
        <v>10.1.1-2 Solid waste treatment</v>
      </c>
      <c r="D21" s="72" t="s">
        <v>859</v>
      </c>
      <c r="E21" s="73">
        <v>100</v>
      </c>
      <c r="F21" s="49" t="str">
        <f>_xlfn.XLOOKUP(Table_Input_InorganicFertiliser_Brands[[#This Row],[Product (select)]],FertiliserProducts[Product name],FertiliserProducts[Unit])</f>
        <v>L</v>
      </c>
      <c r="G21" s="49">
        <f>_xlfn.XLOOKUP(Table_Input_InorganicFertiliser_Brands[[#This Row],[Product (select)]],FertiliserProducts[Product name],FertiliserProducts[Density / gravity])</f>
        <v>1.26</v>
      </c>
      <c r="H21" s="73">
        <f>$E$9</f>
        <v>100</v>
      </c>
      <c r="I21" s="74">
        <f>(Table_Input_InorganicFertiliser_Brands[[#This Row],[Amount applied per hectare]]*Table_Input_InorganicFertiliser_Brands[[#This Row],[Density]])*Table_Input_InorganicFertiliser_Brands[[#This Row],[Application area (ha)]]</f>
        <v>12600</v>
      </c>
      <c r="J21" s="74"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74"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74"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74"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74"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74"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74"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74"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74"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74"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74"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74"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74" t="str">
        <f>_xlfn.XLOOKUP(Table_Input_InorganicFertiliser_Brands[[#This Row],[Product (select)]],FertiliserProducts[Product name],FertiliserProducts[Urea source])</f>
        <v/>
      </c>
      <c r="X21" s="74" t="str">
        <f>_xlfn.XLOOKUP(Table_Input_InorganicFertiliser_Brands[[#This Row],[Product (select)]],FertiliserProducts[Product name],FertiliserProducts[Ammonia source])</f>
        <v/>
      </c>
    </row>
    <row r="22" spans="1:24" ht="36" customHeight="1" x14ac:dyDescent="0.25">
      <c r="A22" s="16" t="str">
        <f>HYPERLINK("#'Calcs - Manure sent off-site'!A1", "Calcs - Manure sent off-site")</f>
        <v>Calcs - Manure sent off-site</v>
      </c>
      <c r="D22" s="72" t="s">
        <v>860</v>
      </c>
      <c r="E22" s="73">
        <v>100</v>
      </c>
      <c r="F22" s="49" t="str">
        <f>_xlfn.XLOOKUP(Table_Input_InorganicFertiliser_Brands[[#This Row],[Product (select)]],FertiliserProducts[Product name],FertiliserProducts[Unit])</f>
        <v>L</v>
      </c>
      <c r="G22" s="49">
        <f>_xlfn.XLOOKUP(Table_Input_InorganicFertiliser_Brands[[#This Row],[Product (select)]],FertiliserProducts[Product name],FertiliserProducts[Density / gravity])</f>
        <v>1.5</v>
      </c>
      <c r="H22" s="73">
        <f>$E$9</f>
        <v>100</v>
      </c>
      <c r="I22" s="74">
        <f>(Table_Input_InorganicFertiliser_Brands[[#This Row],[Amount applied per hectare]]*Table_Input_InorganicFertiliser_Brands[[#This Row],[Density]])*Table_Input_InorganicFertiliser_Brands[[#This Row],[Application area (ha)]]</f>
        <v>15000</v>
      </c>
      <c r="J22" s="74"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74"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74"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74"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74"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74"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74"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74"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74"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74"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74"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74"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74" t="str">
        <f>_xlfn.XLOOKUP(Table_Input_InorganicFertiliser_Brands[[#This Row],[Product (select)]],FertiliserProducts[Product name],FertiliserProducts[Urea source])</f>
        <v/>
      </c>
      <c r="X22" s="74" t="str">
        <f>_xlfn.XLOOKUP(Table_Input_InorganicFertiliser_Brands[[#This Row],[Product (select)]],FertiliserProducts[Product name],FertiliserProducts[Ammonia source])</f>
        <v/>
      </c>
    </row>
    <row r="23" spans="1:24" ht="36" customHeight="1" x14ac:dyDescent="0.25">
      <c r="A23" s="16" t="str">
        <f>HYPERLINK("#'8.1.1.1-2 Transport fuel'!A1", "8.1.1.1-2 Transport fuel")</f>
        <v>8.1.1.1-2 Transport fuel</v>
      </c>
      <c r="D23" s="75"/>
      <c r="E23" s="76"/>
      <c r="F23" s="77"/>
      <c r="G23" s="77"/>
      <c r="H23" s="77"/>
      <c r="I23" s="77"/>
      <c r="J23" s="78"/>
      <c r="K23" s="78"/>
      <c r="L23" s="79"/>
      <c r="M23" s="79"/>
      <c r="N23" s="51"/>
      <c r="O23" s="51"/>
      <c r="P23" s="51"/>
      <c r="Q23" s="51"/>
      <c r="R23" s="51"/>
      <c r="S23" s="51"/>
      <c r="T23" s="51"/>
      <c r="U23" s="51"/>
      <c r="V23" s="51"/>
      <c r="W23" s="51"/>
      <c r="X23" s="51"/>
    </row>
    <row r="24" spans="1:24" ht="36" customHeight="1" x14ac:dyDescent="0.25">
      <c r="A24" s="16" t="str">
        <f>HYPERLINK("#'8.2.1.1-2 Stationary fuel'!A1", "8.2.1.1-2 Stationary fuel")</f>
        <v>8.2.1.1-2 Stationary fuel</v>
      </c>
      <c r="D24" s="80" t="s">
        <v>206</v>
      </c>
      <c r="E24" s="81"/>
      <c r="F24" s="81"/>
      <c r="G24" s="81"/>
      <c r="H24" s="81"/>
      <c r="I24" s="81"/>
      <c r="J24" s="81"/>
      <c r="K24" s="81"/>
      <c r="L24" s="81"/>
      <c r="M24" s="81"/>
      <c r="N24" s="51"/>
      <c r="O24" s="51"/>
      <c r="P24" s="51"/>
      <c r="Q24" s="51"/>
      <c r="R24" s="51"/>
      <c r="S24" s="51"/>
      <c r="T24" s="51"/>
      <c r="V24" s="51"/>
      <c r="W24" s="51"/>
      <c r="X24" s="51"/>
    </row>
    <row r="25" spans="1:24" ht="36" customHeight="1" x14ac:dyDescent="0.25">
      <c r="A25"/>
      <c r="D25" s="64" t="s">
        <v>207</v>
      </c>
      <c r="E25" s="64" t="s">
        <v>861</v>
      </c>
      <c r="F25" s="64" t="s">
        <v>203</v>
      </c>
      <c r="G25" s="64" t="s">
        <v>204</v>
      </c>
      <c r="H25" s="64" t="s">
        <v>208</v>
      </c>
      <c r="I25" s="64" t="s">
        <v>174</v>
      </c>
      <c r="J25" s="64" t="s">
        <v>175</v>
      </c>
      <c r="K25" s="64" t="s">
        <v>176</v>
      </c>
      <c r="L25" s="64" t="s">
        <v>177</v>
      </c>
      <c r="M25" s="64" t="s">
        <v>178</v>
      </c>
      <c r="N25" s="64" t="s">
        <v>179</v>
      </c>
      <c r="O25" s="64" t="s">
        <v>180</v>
      </c>
      <c r="P25" s="64" t="s">
        <v>205</v>
      </c>
      <c r="Q25" s="221" t="s">
        <v>862</v>
      </c>
      <c r="R25" s="221" t="s">
        <v>863</v>
      </c>
      <c r="S25" s="51"/>
      <c r="T25" s="51"/>
      <c r="V25" s="51"/>
      <c r="W25" s="51"/>
      <c r="X25" s="51"/>
    </row>
    <row r="26" spans="1:24" ht="36" customHeight="1" x14ac:dyDescent="0.25">
      <c r="A26"/>
      <c r="D26" s="82" t="s">
        <v>209</v>
      </c>
      <c r="E26" s="64">
        <v>100</v>
      </c>
      <c r="F26" s="73">
        <f>$E$9</f>
        <v>100</v>
      </c>
      <c r="G26" s="74">
        <f>Table_Input_InorganicFertiliser_Custom[[#This Row],[Amount applied (kg / ha)]]*Table_Input_InorganicFertiliser_Custom[[#This Row],[Application area (ha)]]</f>
        <v>10000</v>
      </c>
      <c r="H26" s="83" t="s">
        <v>316</v>
      </c>
      <c r="I26" s="84">
        <v>0.5</v>
      </c>
      <c r="J26" s="83" t="s">
        <v>864</v>
      </c>
      <c r="K26" s="84">
        <v>0.2</v>
      </c>
      <c r="L26" s="83" t="s">
        <v>211</v>
      </c>
      <c r="M26" s="84">
        <v>0.2</v>
      </c>
      <c r="N26" s="85" t="s">
        <v>212</v>
      </c>
      <c r="O26" s="86">
        <v>0.1</v>
      </c>
      <c r="P26"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47"/>
      <c r="R26" s="47"/>
      <c r="T26" s="27"/>
    </row>
    <row r="27" spans="1:24" ht="20.100000000000001" customHeight="1" x14ac:dyDescent="0.25">
      <c r="A27" s="229" t="s">
        <v>78</v>
      </c>
      <c r="D27" s="82" t="s">
        <v>865</v>
      </c>
      <c r="E27" s="64">
        <v>100</v>
      </c>
      <c r="F27" s="148">
        <f>$E$9</f>
        <v>100</v>
      </c>
      <c r="G27" s="74">
        <f>Table_Input_InorganicFertiliser_Custom[[#This Row],[Amount applied (kg / ha)]]*Table_Input_InorganicFertiliser_Custom[[#This Row],[Application area (ha)]]</f>
        <v>10000</v>
      </c>
      <c r="H27" s="83" t="s">
        <v>210</v>
      </c>
      <c r="I27" s="87">
        <v>1</v>
      </c>
      <c r="J27" s="83"/>
      <c r="K27" s="87"/>
      <c r="L27" s="83"/>
      <c r="M27" s="87"/>
      <c r="N27" s="85"/>
      <c r="O27" s="86"/>
      <c r="P27"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47"/>
      <c r="R27" s="47"/>
      <c r="W27" s="27"/>
    </row>
    <row r="28" spans="1:24" ht="20.100000000000001" customHeight="1" x14ac:dyDescent="0.25">
      <c r="A28" s="16" t="str">
        <f>HYPERLINK("#'Constants - Scope 3'!A1", "Constants - Scope 3")</f>
        <v>Constants - Scope 3</v>
      </c>
      <c r="D28" s="82" t="s">
        <v>866</v>
      </c>
      <c r="E28" s="64">
        <v>100</v>
      </c>
      <c r="F28" s="148">
        <f>$E$9</f>
        <v>100</v>
      </c>
      <c r="G28" s="74">
        <f>Table_Input_InorganicFertiliser_Custom[[#This Row],[Amount applied (kg / ha)]]*Table_Input_InorganicFertiliser_Custom[[#This Row],[Application area (ha)]]</f>
        <v>10000</v>
      </c>
      <c r="H28" s="83" t="s">
        <v>317</v>
      </c>
      <c r="I28" s="87">
        <v>0.5</v>
      </c>
      <c r="J28" s="83"/>
      <c r="K28" s="87"/>
      <c r="L28" s="83"/>
      <c r="M28" s="87"/>
      <c r="N28" s="85"/>
      <c r="O28" s="86"/>
      <c r="P28"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47"/>
      <c r="R28" s="47"/>
    </row>
    <row r="29" spans="1:24" ht="20.100000000000001" customHeight="1" x14ac:dyDescent="0.25">
      <c r="A29" s="16" t="str">
        <f>HYPERLINK("#'Constants - Solid Waste'!A1", "Constants - Solid Waste")</f>
        <v>Constants - Solid Waste</v>
      </c>
      <c r="V29" s="27"/>
    </row>
    <row r="30" spans="1:24" ht="20.100000000000001" customHeight="1" x14ac:dyDescent="0.25">
      <c r="A30" s="16" t="str">
        <f>HYPERLINK("#'Constants - Fuel'!A1", "Constants - Fuel")</f>
        <v>Constants - Fuel</v>
      </c>
      <c r="D30" s="9" t="s">
        <v>827</v>
      </c>
      <c r="E30" s="7"/>
      <c r="F30" s="7"/>
      <c r="G30" s="7"/>
      <c r="H30" s="7"/>
      <c r="I30" s="7"/>
      <c r="J30" s="7"/>
      <c r="K30" s="14"/>
      <c r="L30" s="14"/>
      <c r="M30" s="14"/>
    </row>
    <row r="31" spans="1:24" ht="20.100000000000001" customHeight="1" x14ac:dyDescent="0.25">
      <c r="A31" s="16" t="str">
        <f>HYPERLINK("#'Constants - Poultry'!A1", "Constants - Poultry")</f>
        <v>Constants - Poultry</v>
      </c>
      <c r="D31" s="14"/>
      <c r="E31" s="14"/>
      <c r="F31" s="14"/>
      <c r="G31" s="14"/>
      <c r="H31" s="14"/>
      <c r="I31" s="14"/>
      <c r="J31" s="14"/>
      <c r="K31" s="14"/>
      <c r="L31" s="14"/>
      <c r="M31" s="7"/>
    </row>
    <row r="32" spans="1:24" ht="30" customHeight="1" x14ac:dyDescent="0.25">
      <c r="A32" s="16" t="str">
        <f>HYPERLINK("#'Constants - Swine'!A1", "Constants - Swine")</f>
        <v>Constants - Swine</v>
      </c>
      <c r="D32" s="39" t="s">
        <v>213</v>
      </c>
      <c r="E32" s="40"/>
      <c r="F32" s="41"/>
      <c r="G32" s="39"/>
      <c r="H32" s="41"/>
      <c r="I32" s="7"/>
      <c r="J32" s="7"/>
      <c r="K32" s="14"/>
      <c r="L32" s="14"/>
      <c r="M32" s="14"/>
    </row>
    <row r="33" spans="1:25" ht="36" customHeight="1" x14ac:dyDescent="0.25">
      <c r="A33" s="16" t="str">
        <f>HYPERLINK("#'Constants - Dairy'!A1", "Constants - Dairy")</f>
        <v>Constants - Dairy</v>
      </c>
      <c r="D33" s="88" t="s">
        <v>214</v>
      </c>
      <c r="E33" s="89"/>
      <c r="F33" s="90"/>
      <c r="G33" s="88"/>
      <c r="H33" s="90"/>
      <c r="I33" s="14"/>
      <c r="J33" s="14"/>
      <c r="K33" s="14"/>
      <c r="L33" s="14"/>
      <c r="M33" s="7"/>
    </row>
    <row r="34" spans="1:25" ht="36" customHeight="1" x14ac:dyDescent="0.25">
      <c r="A34" s="16" t="str">
        <f>HYPERLINK("#'Constants - Pasture Beef'!A1", "Constants - Pasture Beef")</f>
        <v>Constants - Pasture Beef</v>
      </c>
      <c r="D34" s="43" t="s">
        <v>200</v>
      </c>
      <c r="E34" s="44"/>
      <c r="F34" s="44"/>
      <c r="G34" s="44"/>
      <c r="H34" s="45"/>
      <c r="I34" s="14"/>
      <c r="J34" s="14"/>
      <c r="K34" s="14"/>
      <c r="L34" s="14"/>
      <c r="M34" s="7"/>
    </row>
    <row r="35" spans="1:25" ht="36" customHeight="1" x14ac:dyDescent="0.25">
      <c r="A35" s="16" t="str">
        <f>HYPERLINK("#'Constants - Common Livestock'!A1", "Constants - Common Livestock")</f>
        <v>Constants - Common Livestock</v>
      </c>
      <c r="D35" s="54" t="str">
        <f>IF(MAX(Table_Input_Lime[Total]) &gt; 1, "There can not be more than 100% ingredients in a product. Check the table below.", "")</f>
        <v/>
      </c>
    </row>
    <row r="36" spans="1:25" ht="36" customHeight="1" x14ac:dyDescent="0.25">
      <c r="A36" s="16" t="str">
        <f>HYPERLINK("#'Constants - Fertiliser'!A1", "Constants - Fertiliser")</f>
        <v>Constants - Fertiliser</v>
      </c>
      <c r="D36" s="91" t="s">
        <v>215</v>
      </c>
      <c r="E36" s="91" t="s">
        <v>216</v>
      </c>
      <c r="F36" s="91" t="s">
        <v>203</v>
      </c>
      <c r="G36" s="91" t="s">
        <v>217</v>
      </c>
      <c r="H36" s="91" t="s">
        <v>218</v>
      </c>
      <c r="I36" s="91" t="s">
        <v>219</v>
      </c>
      <c r="J36" s="91" t="s">
        <v>220</v>
      </c>
      <c r="K36" s="91" t="s">
        <v>221</v>
      </c>
    </row>
    <row r="37" spans="1:25" ht="20.100000000000001" customHeight="1" x14ac:dyDescent="0.25">
      <c r="A37" s="16" t="str">
        <f>HYPERLINK("#'Constants - Electricity'!A1", "Constants - Electricity")</f>
        <v>Constants - Electricity</v>
      </c>
      <c r="D37" s="92" t="s">
        <v>222</v>
      </c>
      <c r="E37" s="73">
        <v>1</v>
      </c>
      <c r="F37" s="73">
        <f>$E$9</f>
        <v>100</v>
      </c>
      <c r="G37" s="74">
        <f>IFERROR(Table_Input_Lime[[#This Row],[Amount applied (t/hectare)]]*Table_Input_Lime[[#This Row],[Application area (ha)]], 0)</f>
        <v>100</v>
      </c>
      <c r="H37" s="222">
        <v>0.8</v>
      </c>
      <c r="I37" s="222">
        <v>0.1</v>
      </c>
      <c r="J37" s="222">
        <v>0.1</v>
      </c>
      <c r="K37" s="93">
        <f>SUM(Table_Input_Lime[[#This Row],[Percent Lime CaCO3]:[Percent Gypsum]])</f>
        <v>1</v>
      </c>
    </row>
    <row r="38" spans="1:25" ht="20.100000000000001" customHeight="1" x14ac:dyDescent="0.25">
      <c r="A38" s="16" t="str">
        <f>HYPERLINK("#'Constants - Common'!A1", "Constants - Common")</f>
        <v>Constants - Common</v>
      </c>
      <c r="C38" s="51"/>
      <c r="D38" s="92" t="s">
        <v>223</v>
      </c>
      <c r="E38" s="73">
        <v>1</v>
      </c>
      <c r="F38" s="73">
        <f>$E$9</f>
        <v>100</v>
      </c>
      <c r="G38" s="74">
        <f>IFERROR(Table_Input_Lime[[#This Row],[Amount applied (t/hectare)]]*Table_Input_Lime[[#This Row],[Application area (ha)]], 0)</f>
        <v>100</v>
      </c>
      <c r="H38" s="222">
        <v>1</v>
      </c>
      <c r="I38" s="222"/>
      <c r="J38" s="222"/>
      <c r="K38" s="93">
        <f>SUM(Table_Input_Lime[[#This Row],[Percent Lime CaCO3]:[Percent Gypsum]])</f>
        <v>1</v>
      </c>
      <c r="L38" s="7"/>
    </row>
    <row r="39" spans="1:25" ht="20.100000000000001" customHeight="1" x14ac:dyDescent="0.25">
      <c r="A39"/>
      <c r="C39" s="51"/>
      <c r="D39" s="92" t="s">
        <v>867</v>
      </c>
      <c r="E39" s="73">
        <v>1</v>
      </c>
      <c r="F39" s="73">
        <f>$E$9</f>
        <v>100</v>
      </c>
      <c r="G39" s="74">
        <f>IFERROR(Table_Input_Lime[[#This Row],[Amount applied (t/hectare)]]*Table_Input_Lime[[#This Row],[Application area (ha)]], 0)</f>
        <v>100</v>
      </c>
      <c r="H39" s="222">
        <v>0</v>
      </c>
      <c r="I39" s="222"/>
      <c r="J39" s="222">
        <v>1</v>
      </c>
      <c r="K39" s="93">
        <f>SUM(Table_Input_Lime[[#This Row],[Percent Lime CaCO3]:[Percent Gypsum]])</f>
        <v>1</v>
      </c>
      <c r="L39" s="7"/>
      <c r="M39" s="7"/>
    </row>
    <row r="40" spans="1:25" s="52" customFormat="1" ht="20.100000000000001" customHeight="1" x14ac:dyDescent="0.25">
      <c r="A40"/>
      <c r="C40" s="8"/>
      <c r="D40" s="14"/>
      <c r="E40" s="14"/>
      <c r="F40" s="14"/>
      <c r="G40" s="14"/>
      <c r="H40" s="14"/>
      <c r="I40" s="14"/>
      <c r="J40" s="14"/>
      <c r="K40" s="8"/>
      <c r="L40" s="14"/>
      <c r="M40" s="7"/>
      <c r="N40" s="8"/>
      <c r="O40" s="8"/>
      <c r="P40" s="8"/>
      <c r="Q40" s="8"/>
      <c r="R40" s="8"/>
      <c r="S40" s="8"/>
      <c r="T40" s="8"/>
      <c r="U40" s="8"/>
      <c r="V40" s="8"/>
      <c r="W40" s="8"/>
      <c r="X40" s="8"/>
      <c r="Y40" s="8"/>
    </row>
    <row r="41" spans="1:25" s="52" customFormat="1" ht="20.100000000000001" customHeight="1" x14ac:dyDescent="0.25">
      <c r="A41"/>
      <c r="C41" s="8"/>
      <c r="D41" s="14"/>
      <c r="E41" s="14"/>
      <c r="F41" s="14"/>
      <c r="G41" s="14"/>
      <c r="H41" s="14"/>
      <c r="I41" s="14"/>
      <c r="J41" s="94"/>
      <c r="K41" s="7"/>
      <c r="L41" s="14"/>
      <c r="M41" s="14"/>
      <c r="N41" s="8"/>
      <c r="O41" s="8"/>
      <c r="P41" s="8"/>
      <c r="Q41" s="8"/>
      <c r="R41" s="8"/>
      <c r="S41" s="8"/>
      <c r="T41" s="8"/>
      <c r="U41" s="8"/>
      <c r="V41" s="8"/>
      <c r="W41" s="8"/>
      <c r="X41" s="8"/>
      <c r="Y41" s="8"/>
    </row>
    <row r="42" spans="1:25" ht="30" customHeight="1" x14ac:dyDescent="0.25">
      <c r="A42"/>
      <c r="D42" s="9" t="s">
        <v>868</v>
      </c>
      <c r="E42" s="7"/>
      <c r="F42" s="7"/>
      <c r="G42" s="7"/>
      <c r="H42" s="14"/>
      <c r="I42" s="14"/>
      <c r="J42" s="14"/>
      <c r="K42" s="14"/>
      <c r="L42" s="14"/>
      <c r="M42" s="14"/>
      <c r="S42" s="51"/>
    </row>
    <row r="43" spans="1:25" ht="36" customHeight="1" x14ac:dyDescent="0.25">
      <c r="A43"/>
      <c r="D43" s="14"/>
      <c r="E43" s="14"/>
      <c r="F43" s="14"/>
      <c r="G43" s="14"/>
      <c r="H43" s="14"/>
      <c r="I43" s="14"/>
      <c r="J43" s="14"/>
      <c r="K43" s="14"/>
      <c r="L43" s="14"/>
      <c r="M43" s="14"/>
      <c r="Q43" s="51"/>
      <c r="R43" s="51"/>
      <c r="S43" s="51"/>
    </row>
    <row r="44" spans="1:25" ht="36" customHeight="1" x14ac:dyDescent="0.25">
      <c r="A44"/>
      <c r="D44" s="39" t="s">
        <v>213</v>
      </c>
      <c r="E44" s="40"/>
      <c r="F44" s="40"/>
      <c r="G44" s="40"/>
      <c r="H44" s="41"/>
      <c r="I44" s="14"/>
      <c r="J44" s="14"/>
      <c r="K44" s="14"/>
      <c r="L44" s="14"/>
      <c r="M44" s="14"/>
      <c r="O44" s="51"/>
      <c r="P44" s="51"/>
      <c r="Q44" s="51"/>
      <c r="R44" s="51"/>
    </row>
    <row r="45" spans="1:25" ht="36" customHeight="1" x14ac:dyDescent="0.25">
      <c r="A45"/>
      <c r="D45" s="43" t="s">
        <v>200</v>
      </c>
      <c r="E45" s="44"/>
      <c r="F45" s="44"/>
      <c r="G45" s="44"/>
      <c r="H45" s="45"/>
      <c r="I45" s="14"/>
      <c r="J45" s="14"/>
      <c r="K45" s="14"/>
      <c r="L45" s="81"/>
      <c r="M45" s="51"/>
      <c r="N45" s="51"/>
      <c r="O45" s="51"/>
      <c r="P45" s="51"/>
    </row>
    <row r="46" spans="1:25" ht="36" customHeight="1" x14ac:dyDescent="0.25">
      <c r="A46"/>
      <c r="D46" s="14"/>
      <c r="E46" s="14"/>
      <c r="F46" s="14"/>
      <c r="G46" s="14"/>
      <c r="H46" s="14"/>
      <c r="I46" s="14"/>
      <c r="J46" s="14"/>
      <c r="K46" s="14"/>
      <c r="L46" s="81"/>
      <c r="M46" s="51"/>
      <c r="N46" s="51"/>
    </row>
    <row r="47" spans="1:25" ht="20.100000000000001" customHeight="1" x14ac:dyDescent="0.25">
      <c r="A47"/>
      <c r="D47" s="91" t="s">
        <v>869</v>
      </c>
      <c r="E47" s="91" t="s">
        <v>870</v>
      </c>
      <c r="F47" s="91" t="s">
        <v>871</v>
      </c>
      <c r="G47" s="91" t="s">
        <v>872</v>
      </c>
      <c r="H47" s="91" t="s">
        <v>203</v>
      </c>
      <c r="I47" s="91" t="s">
        <v>873</v>
      </c>
      <c r="J47" s="91" t="s">
        <v>874</v>
      </c>
      <c r="K47" s="81"/>
    </row>
    <row r="48" spans="1:25" ht="20.100000000000001" customHeight="1" x14ac:dyDescent="0.25">
      <c r="A48"/>
      <c r="D48" s="72" t="s">
        <v>158</v>
      </c>
      <c r="E48" s="222">
        <v>0.3</v>
      </c>
      <c r="F48" s="73">
        <v>10</v>
      </c>
      <c r="G48" s="74">
        <f>Table_Input_OrganicFertiliser[[#This Row],[Amount applied (kg/hectare)]]*Table_Input_OrganicFertiliser[[#This Row],[Percentage of N in fertiliser]]</f>
        <v>3</v>
      </c>
      <c r="H48" s="73">
        <f>$E$9</f>
        <v>100</v>
      </c>
      <c r="I48" s="74">
        <f>Table_Input_OrganicFertiliser[[#This Row],[Amount applied (kg/hectare)]]*Table_Input_OrganicFertiliser[[#This Row],[Application area (ha)]]</f>
        <v>1000</v>
      </c>
      <c r="J48" s="74">
        <f>IFERROR(Table_Input_OrganicFertiliser[[#This Row],[Amount N applied (kg/hectare)]]*Table_Input_OrganicFertiliser[[#This Row],[Application area (ha)]], 0)</f>
        <v>300</v>
      </c>
      <c r="K48" s="81"/>
    </row>
    <row r="49" spans="1:10" ht="20.100000000000001" customHeight="1" x14ac:dyDescent="0.25">
      <c r="A49"/>
      <c r="D49" s="72" t="s">
        <v>152</v>
      </c>
      <c r="E49" s="222">
        <v>0.25</v>
      </c>
      <c r="F49" s="73">
        <v>10</v>
      </c>
      <c r="G49" s="74">
        <f>Table_Input_OrganicFertiliser[[#This Row],[Amount applied (kg/hectare)]]*Table_Input_OrganicFertiliser[[#This Row],[Percentage of N in fertiliser]]</f>
        <v>2.5</v>
      </c>
      <c r="H49" s="73">
        <f>$E$9</f>
        <v>100</v>
      </c>
      <c r="I49" s="74">
        <f>Table_Input_OrganicFertiliser[[#This Row],[Amount applied (kg/hectare)]]*Table_Input_OrganicFertiliser[[#This Row],[Application area (ha)]]</f>
        <v>1000</v>
      </c>
      <c r="J49" s="74">
        <f>IFERROR(Table_Input_OrganicFertiliser[[#This Row],[Amount N applied (kg/hectare)]]*Table_Input_OrganicFertiliser[[#This Row],[Application area (ha)]], 0)</f>
        <v>250</v>
      </c>
    </row>
    <row r="50" spans="1:10" ht="20.100000000000001" customHeight="1" x14ac:dyDescent="0.25">
      <c r="A50"/>
      <c r="D50" s="72" t="s">
        <v>160</v>
      </c>
      <c r="E50" s="222">
        <v>0.16</v>
      </c>
      <c r="F50" s="73">
        <v>10</v>
      </c>
      <c r="G50" s="74">
        <f>Table_Input_OrganicFertiliser[[#This Row],[Amount applied (kg/hectare)]]*Table_Input_OrganicFertiliser[[#This Row],[Percentage of N in fertiliser]]</f>
        <v>1.6</v>
      </c>
      <c r="H50" s="73">
        <f>$E$9</f>
        <v>100</v>
      </c>
      <c r="I50" s="74">
        <f>Table_Input_OrganicFertiliser[[#This Row],[Amount applied (kg/hectare)]]*Table_Input_OrganicFertiliser[[#This Row],[Application area (ha)]]</f>
        <v>1000</v>
      </c>
      <c r="J50" s="74">
        <f>IFERROR(Table_Input_OrganicFertiliser[[#This Row],[Amount N applied (kg/hectare)]]*Table_Input_OrganicFertiliser[[#This Row],[Application area (ha)]], 0)</f>
        <v>160</v>
      </c>
    </row>
    <row r="51" spans="1:10" ht="20.100000000000001" customHeight="1" x14ac:dyDescent="0.25">
      <c r="A51"/>
    </row>
    <row r="52" spans="1:10" ht="20.100000000000001" customHeight="1" x14ac:dyDescent="0.25">
      <c r="A52"/>
    </row>
    <row r="53" spans="1:10" ht="20.100000000000001" customHeight="1" x14ac:dyDescent="0.25">
      <c r="A53"/>
    </row>
    <row r="54" spans="1:10" ht="20.100000000000001" customHeight="1" x14ac:dyDescent="0.25">
      <c r="A54"/>
    </row>
    <row r="55" spans="1:10" ht="20.100000000000001" customHeight="1" x14ac:dyDescent="0.25">
      <c r="A55"/>
    </row>
    <row r="56" spans="1:10" ht="20.100000000000001" customHeight="1" x14ac:dyDescent="0.25">
      <c r="A56"/>
    </row>
    <row r="57" spans="1:10" ht="20.100000000000001" customHeight="1" x14ac:dyDescent="0.25">
      <c r="A57"/>
    </row>
    <row r="58" spans="1:10" ht="20.100000000000001" customHeight="1" x14ac:dyDescent="0.25">
      <c r="A58"/>
    </row>
    <row r="59" spans="1:10" ht="20.100000000000001" customHeight="1" x14ac:dyDescent="0.25">
      <c r="A59"/>
    </row>
    <row r="60" spans="1:10" ht="20.100000000000001" customHeight="1" x14ac:dyDescent="0.25">
      <c r="A60"/>
    </row>
    <row r="61" spans="1:10" ht="20.100000000000001" customHeight="1" x14ac:dyDescent="0.25">
      <c r="A61"/>
    </row>
    <row r="62" spans="1:10" ht="20.100000000000001" customHeight="1" x14ac:dyDescent="0.25">
      <c r="A62"/>
    </row>
    <row r="63" spans="1:10" ht="20.100000000000001" customHeight="1" x14ac:dyDescent="0.25">
      <c r="A63"/>
    </row>
    <row r="64" spans="1:10"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c r="M114" s="7"/>
    </row>
    <row r="115" spans="1:13" ht="20.100000000000001" customHeight="1" x14ac:dyDescent="0.25">
      <c r="A115"/>
      <c r="M115" s="7"/>
    </row>
    <row r="116" spans="1:13" ht="20.100000000000001" customHeight="1" x14ac:dyDescent="0.25">
      <c r="A116"/>
      <c r="M116" s="7"/>
    </row>
    <row r="117" spans="1:13" ht="20.100000000000001" customHeight="1" x14ac:dyDescent="0.25">
      <c r="A117"/>
      <c r="M117" s="7"/>
    </row>
    <row r="118" spans="1:13" ht="20.100000000000001" customHeight="1" x14ac:dyDescent="0.25">
      <c r="A118"/>
      <c r="M118" s="7"/>
    </row>
    <row r="119" spans="1:13" ht="20.100000000000001" customHeight="1" x14ac:dyDescent="0.25">
      <c r="A119"/>
      <c r="M119" s="7"/>
    </row>
    <row r="120" spans="1:13" ht="20.100000000000001" customHeight="1" x14ac:dyDescent="0.25">
      <c r="A120"/>
      <c r="M120" s="7"/>
    </row>
    <row r="121" spans="1:13" ht="20.100000000000001" customHeight="1" x14ac:dyDescent="0.25">
      <c r="A121"/>
      <c r="M121" s="7"/>
    </row>
    <row r="122" spans="1:13" ht="20.100000000000001" customHeight="1" x14ac:dyDescent="0.25">
      <c r="A122"/>
      <c r="M122" s="7"/>
    </row>
    <row r="123" spans="1:13" ht="20.100000000000001" customHeight="1" x14ac:dyDescent="0.25">
      <c r="A123"/>
      <c r="M123" s="7"/>
    </row>
    <row r="124" spans="1:13" ht="20.100000000000001" customHeight="1" x14ac:dyDescent="0.25">
      <c r="A124"/>
      <c r="M124" s="7"/>
    </row>
    <row r="125" spans="1:13" ht="20.100000000000001" customHeight="1" x14ac:dyDescent="0.25">
      <c r="A125"/>
      <c r="M125" s="7"/>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c r="M133" s="7"/>
    </row>
    <row r="134" spans="1:13" ht="20.100000000000001" customHeight="1" x14ac:dyDescent="0.25">
      <c r="A134"/>
      <c r="M134" s="7"/>
    </row>
    <row r="135" spans="1:13" ht="20.100000000000001" customHeight="1" x14ac:dyDescent="0.25">
      <c r="A135"/>
      <c r="M135" s="7"/>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65"/>
    </row>
    <row r="213" spans="12:12" x14ac:dyDescent="0.25">
      <c r="L213" s="65"/>
    </row>
    <row r="214" spans="12:12" x14ac:dyDescent="0.25">
      <c r="L214" s="65"/>
    </row>
    <row r="215" spans="12:12" x14ac:dyDescent="0.25">
      <c r="L215" s="65"/>
    </row>
    <row r="216" spans="12:12" x14ac:dyDescent="0.25">
      <c r="L216" s="65"/>
    </row>
    <row r="218" spans="12:12" x14ac:dyDescent="0.25">
      <c r="L218" s="65"/>
    </row>
    <row r="220" spans="12:12" x14ac:dyDescent="0.25">
      <c r="L220" s="65"/>
    </row>
    <row r="221" spans="12:12" x14ac:dyDescent="0.25">
      <c r="L221" s="65"/>
    </row>
    <row r="222" spans="12:12" x14ac:dyDescent="0.25">
      <c r="L222" s="65"/>
    </row>
    <row r="223" spans="12:12" x14ac:dyDescent="0.25">
      <c r="L223" s="65"/>
    </row>
    <row r="225" spans="12:12" x14ac:dyDescent="0.25">
      <c r="L225" s="65"/>
    </row>
    <row r="233" spans="12:12" x14ac:dyDescent="0.25">
      <c r="L233" s="65"/>
    </row>
    <row r="234" spans="12:12" x14ac:dyDescent="0.25">
      <c r="L234" s="65"/>
    </row>
    <row r="235" spans="12:12" x14ac:dyDescent="0.25">
      <c r="L235" s="65"/>
    </row>
    <row r="238" spans="12:12" x14ac:dyDescent="0.25">
      <c r="L238" s="65"/>
    </row>
    <row r="239" spans="12:12" x14ac:dyDescent="0.25">
      <c r="L239" s="65"/>
    </row>
    <row r="240" spans="12:12" x14ac:dyDescent="0.25">
      <c r="L240" s="65"/>
    </row>
    <row r="243" spans="11:12" x14ac:dyDescent="0.25">
      <c r="L243" s="65"/>
    </row>
    <row r="244" spans="11:12" x14ac:dyDescent="0.25">
      <c r="L244" s="65"/>
    </row>
    <row r="245" spans="11:12" x14ac:dyDescent="0.25">
      <c r="L245" s="65"/>
    </row>
    <row r="248" spans="11:12" x14ac:dyDescent="0.25">
      <c r="L248" s="65"/>
    </row>
    <row r="249" spans="11:12" x14ac:dyDescent="0.25">
      <c r="L249" s="65"/>
    </row>
    <row r="250" spans="11:12" x14ac:dyDescent="0.25">
      <c r="L250" s="65"/>
    </row>
    <row r="251" spans="11:12" x14ac:dyDescent="0.25">
      <c r="K251" s="65"/>
    </row>
    <row r="256" spans="11:12" x14ac:dyDescent="0.25">
      <c r="K256" s="65"/>
    </row>
    <row r="257" spans="11:12" x14ac:dyDescent="0.25">
      <c r="L257" s="65"/>
    </row>
    <row r="258" spans="11:12" x14ac:dyDescent="0.25">
      <c r="L258" s="65"/>
    </row>
    <row r="259" spans="11:12" x14ac:dyDescent="0.25">
      <c r="L259" s="65"/>
    </row>
    <row r="261" spans="11:12" x14ac:dyDescent="0.25">
      <c r="K261" s="65"/>
    </row>
    <row r="262" spans="11:12" x14ac:dyDescent="0.25">
      <c r="L262" s="65"/>
    </row>
    <row r="263" spans="11:12" x14ac:dyDescent="0.25">
      <c r="L263" s="65"/>
    </row>
    <row r="264" spans="11:12" x14ac:dyDescent="0.25">
      <c r="L264" s="65"/>
    </row>
    <row r="266" spans="11:12" x14ac:dyDescent="0.25">
      <c r="K266" s="65"/>
    </row>
    <row r="267" spans="11:12" x14ac:dyDescent="0.25">
      <c r="K267" s="65"/>
      <c r="L267" s="65"/>
    </row>
    <row r="268" spans="11:12" x14ac:dyDescent="0.25">
      <c r="K268" s="65"/>
      <c r="L268" s="65"/>
    </row>
    <row r="269" spans="11:12" x14ac:dyDescent="0.25">
      <c r="K269" s="65"/>
      <c r="L269" s="65"/>
    </row>
    <row r="270" spans="11:12" x14ac:dyDescent="0.25">
      <c r="K270" s="65"/>
    </row>
    <row r="272" spans="11:12" x14ac:dyDescent="0.25">
      <c r="K272" s="65"/>
      <c r="L272" s="65"/>
    </row>
    <row r="273" spans="11:12" x14ac:dyDescent="0.25">
      <c r="L273" s="65"/>
    </row>
    <row r="274" spans="11:12" x14ac:dyDescent="0.25">
      <c r="K274" s="65"/>
      <c r="L274" s="65"/>
    </row>
    <row r="275" spans="11:12" x14ac:dyDescent="0.25">
      <c r="K275" s="65"/>
    </row>
    <row r="276" spans="11:12" x14ac:dyDescent="0.25">
      <c r="K276" s="65"/>
    </row>
    <row r="277" spans="11:12" x14ac:dyDescent="0.25">
      <c r="K277" s="65"/>
    </row>
    <row r="279" spans="11:12" x14ac:dyDescent="0.25">
      <c r="K279" s="65"/>
    </row>
    <row r="285" spans="11:12" x14ac:dyDescent="0.25">
      <c r="K285" s="65"/>
    </row>
    <row r="290" spans="11:11" x14ac:dyDescent="0.25">
      <c r="K290" s="65"/>
    </row>
    <row r="295" spans="11:11" x14ac:dyDescent="0.25">
      <c r="K295" s="65"/>
    </row>
    <row r="300" spans="11:11" x14ac:dyDescent="0.25">
      <c r="K300" s="65"/>
    </row>
    <row r="301" spans="11:11" x14ac:dyDescent="0.25">
      <c r="K301" s="65"/>
    </row>
    <row r="302" spans="11:11" x14ac:dyDescent="0.25">
      <c r="K302" s="65"/>
    </row>
    <row r="303" spans="11:11" x14ac:dyDescent="0.25">
      <c r="K303" s="65"/>
    </row>
    <row r="304" spans="11:11" x14ac:dyDescent="0.25">
      <c r="K304" s="65"/>
    </row>
    <row r="306" spans="11:11" x14ac:dyDescent="0.25">
      <c r="K306" s="65"/>
    </row>
    <row r="308" spans="11:11" x14ac:dyDescent="0.25">
      <c r="K308" s="65"/>
    </row>
    <row r="309" spans="11:11" x14ac:dyDescent="0.25">
      <c r="K309" s="65"/>
    </row>
    <row r="310" spans="11:11" x14ac:dyDescent="0.25">
      <c r="K310" s="65"/>
    </row>
    <row r="311" spans="11:11" x14ac:dyDescent="0.25">
      <c r="K311" s="65"/>
    </row>
    <row r="313" spans="11:11" x14ac:dyDescent="0.25">
      <c r="K313" s="65"/>
    </row>
    <row r="321" spans="11:11" x14ac:dyDescent="0.25">
      <c r="K321" s="65"/>
    </row>
    <row r="322" spans="11:11" x14ac:dyDescent="0.25">
      <c r="K322" s="65"/>
    </row>
    <row r="323" spans="11:11" x14ac:dyDescent="0.25">
      <c r="K323" s="65"/>
    </row>
    <row r="326" spans="11:11" x14ac:dyDescent="0.25">
      <c r="K326" s="65"/>
    </row>
    <row r="327" spans="11:11" x14ac:dyDescent="0.25">
      <c r="K327" s="65"/>
    </row>
    <row r="328" spans="11:11" x14ac:dyDescent="0.25">
      <c r="K328" s="65"/>
    </row>
    <row r="331" spans="11:11" x14ac:dyDescent="0.25">
      <c r="K331" s="65"/>
    </row>
    <row r="332" spans="11:11" x14ac:dyDescent="0.25">
      <c r="K332" s="65"/>
    </row>
    <row r="333" spans="11:11" x14ac:dyDescent="0.25">
      <c r="K333" s="65"/>
    </row>
    <row r="336" spans="11:11" x14ac:dyDescent="0.25">
      <c r="K336" s="65"/>
    </row>
    <row r="337" spans="11:11" x14ac:dyDescent="0.25">
      <c r="K337" s="65"/>
    </row>
    <row r="338" spans="11:11" x14ac:dyDescent="0.25">
      <c r="K338" s="65"/>
    </row>
    <row r="345" spans="11:11" x14ac:dyDescent="0.25">
      <c r="K345" s="65"/>
    </row>
    <row r="346" spans="11:11" x14ac:dyDescent="0.25">
      <c r="K346" s="65"/>
    </row>
    <row r="347" spans="11:11" x14ac:dyDescent="0.25">
      <c r="K347" s="65"/>
    </row>
    <row r="350" spans="11:11" x14ac:dyDescent="0.25">
      <c r="K350" s="65"/>
    </row>
    <row r="351" spans="11:11" x14ac:dyDescent="0.25">
      <c r="K351" s="65"/>
    </row>
    <row r="352" spans="11:11" x14ac:dyDescent="0.25">
      <c r="K352" s="65"/>
    </row>
    <row r="355" spans="4:11" x14ac:dyDescent="0.25">
      <c r="K355" s="65"/>
    </row>
    <row r="356" spans="4:11" x14ac:dyDescent="0.25">
      <c r="K356" s="65"/>
    </row>
    <row r="357" spans="4:11" x14ac:dyDescent="0.25">
      <c r="K357" s="65"/>
    </row>
    <row r="360" spans="4:11" x14ac:dyDescent="0.25">
      <c r="K360" s="65"/>
    </row>
    <row r="361" spans="4:11" x14ac:dyDescent="0.25">
      <c r="K361" s="65"/>
    </row>
    <row r="362" spans="4:11" x14ac:dyDescent="0.25">
      <c r="K362" s="65"/>
    </row>
    <row r="366" spans="4:11" x14ac:dyDescent="0.25">
      <c r="D366" s="54"/>
    </row>
  </sheetData>
  <conditionalFormatting sqref="F52 L186 K188 L190:L191 K192:K193 L194:L195 K196:K197 L200:L201 K202:K203 L204:L205 K206:K207 L211:L216 K213">
    <cfRule type="cellIs" dxfId="61" priority="19" operator="lessThan">
      <formula>0</formula>
    </cfRule>
  </conditionalFormatting>
  <conditionalFormatting sqref="F155:F156">
    <cfRule type="cellIs" dxfId="60" priority="15" operator="lessThan">
      <formula>0</formula>
    </cfRule>
  </conditionalFormatting>
  <conditionalFormatting sqref="F167:F168">
    <cfRule type="cellIs" dxfId="59" priority="14" operator="lessThan">
      <formula>0</formula>
    </cfRule>
  </conditionalFormatting>
  <conditionalFormatting sqref="F255:F256">
    <cfRule type="cellIs" dxfId="58" priority="27" operator="lessThan">
      <formula>0</formula>
    </cfRule>
  </conditionalFormatting>
  <conditionalFormatting sqref="F260:F261">
    <cfRule type="cellIs" dxfId="57" priority="26" operator="lessThan">
      <formula>0</formula>
    </cfRule>
  </conditionalFormatting>
  <conditionalFormatting sqref="F265:F266">
    <cfRule type="cellIs" dxfId="56" priority="25" operator="lessThan">
      <formula>0</formula>
    </cfRule>
  </conditionalFormatting>
  <conditionalFormatting sqref="F289:F290">
    <cfRule type="cellIs" dxfId="55" priority="24" operator="lessThan">
      <formula>0</formula>
    </cfRule>
  </conditionalFormatting>
  <conditionalFormatting sqref="F294:F295">
    <cfRule type="cellIs" dxfId="54" priority="23" operator="lessThan">
      <formula>0</formula>
    </cfRule>
  </conditionalFormatting>
  <conditionalFormatting sqref="F299:F300">
    <cfRule type="cellIs" dxfId="53" priority="22" operator="lessThan">
      <formula>0</formula>
    </cfRule>
  </conditionalFormatting>
  <conditionalFormatting sqref="H47:H50 F131:F132">
    <cfRule type="cellIs" dxfId="52"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51" priority="21" operator="lessThan">
      <formula>0</formula>
    </cfRule>
  </conditionalFormatting>
  <conditionalFormatting sqref="I36:I41 F143:F144">
    <cfRule type="cellIs" dxfId="50" priority="16" operator="lessThan">
      <formula>0</formula>
    </cfRule>
  </conditionalFormatting>
  <conditionalFormatting sqref="I62:I66">
    <cfRule type="cellIs" dxfId="49" priority="4" operator="lessThan">
      <formula>0</formula>
    </cfRule>
  </conditionalFormatting>
  <conditionalFormatting sqref="I70 M107 I129:J129">
    <cfRule type="cellIs" dxfId="48" priority="20" operator="lessThan">
      <formula>0</formula>
    </cfRule>
  </conditionalFormatting>
  <conditionalFormatting sqref="I81:I83">
    <cfRule type="cellIs" dxfId="47" priority="3" operator="lessThan">
      <formula>0</formula>
    </cfRule>
  </conditionalFormatting>
  <conditionalFormatting sqref="I87:I90">
    <cfRule type="cellIs" dxfId="46" priority="2" operator="lessThan">
      <formula>0</formula>
    </cfRule>
  </conditionalFormatting>
  <conditionalFormatting sqref="I94:I98">
    <cfRule type="cellIs" dxfId="45" priority="1" operator="lessThan">
      <formula>0</formula>
    </cfRule>
  </conditionalFormatting>
  <conditionalFormatting sqref="J157">
    <cfRule type="cellIs" dxfId="44" priority="18" operator="lessThan">
      <formula>0</formula>
    </cfRule>
  </conditionalFormatting>
  <conditionalFormatting sqref="L119:L122">
    <cfRule type="cellIs" dxfId="43" priority="8" operator="lessThan">
      <formula>0</formula>
    </cfRule>
  </conditionalFormatting>
  <conditionalFormatting sqref="L125">
    <cfRule type="cellIs" dxfId="42" priority="13" operator="lessThan">
      <formula>0</formula>
    </cfRule>
  </conditionalFormatting>
  <conditionalFormatting sqref="L131:L134">
    <cfRule type="cellIs" dxfId="41" priority="7" operator="lessThan">
      <formula>0</formula>
    </cfRule>
  </conditionalFormatting>
  <conditionalFormatting sqref="L137">
    <cfRule type="cellIs" dxfId="40" priority="12" operator="lessThan">
      <formula>0</formula>
    </cfRule>
  </conditionalFormatting>
  <conditionalFormatting sqref="L143:L146">
    <cfRule type="cellIs" dxfId="39" priority="6" operator="lessThan">
      <formula>0</formula>
    </cfRule>
  </conditionalFormatting>
  <conditionalFormatting sqref="L149">
    <cfRule type="cellIs" dxfId="38" priority="11" operator="lessThan">
      <formula>0</formula>
    </cfRule>
  </conditionalFormatting>
  <conditionalFormatting sqref="L155:L158">
    <cfRule type="cellIs" dxfId="37" priority="5" operator="lessThan">
      <formula>0</formula>
    </cfRule>
  </conditionalFormatting>
  <conditionalFormatting sqref="L161">
    <cfRule type="cellIs" dxfId="36" priority="10" operator="lessThan">
      <formula>0</formula>
    </cfRule>
  </conditionalFormatting>
  <conditionalFormatting sqref="L165:L166">
    <cfRule type="cellIs" dxfId="35" priority="9" operator="lessThan">
      <formula>0</formula>
    </cfRule>
  </conditionalFormatting>
  <conditionalFormatting sqref="L218 L220:L223 L225 J233:J235 J238:J240">
    <cfRule type="cellIs" dxfId="34" priority="28" operator="lessThan">
      <formula>0</formula>
    </cfRule>
  </conditionalFormatting>
  <dataValidations count="12">
    <dataValidation type="list" allowBlank="1" showInputMessage="1" showErrorMessage="1" sqref="Q26:R28" xr:uid="{DA567033-44C4-4C95-BCCD-B82C3ED2316F}">
      <formula1>INDIRECT("Table_SourceData_Fertiliser_UreaAmmoniaSources[Source]")</formula1>
    </dataValidation>
    <dataValidation type="list" allowBlank="1" showInputMessage="1" showErrorMessage="1" sqref="D18:D22" xr:uid="{8FC37C7C-2173-41E6-8D59-72A35A53C5AC}">
      <formula1>INDIRECT("FertiliserProducts[Product Name]")</formula1>
    </dataValidation>
    <dataValidation type="list" allowBlank="1" showInputMessage="1" showErrorMessage="1" sqref="D48:D50" xr:uid="{8601513F-47EC-45D6-8C1A-2F44EE852B82}">
      <formula1>INDIRECT("Table_SourceData_OrganicFertiliserTypes[Organic fertiliser type]")</formula1>
    </dataValidation>
    <dataValidation type="list" allowBlank="1" showInputMessage="1" showErrorMessage="1" sqref="H26:H28 J26:J28 L26:L28 N26:N28" xr:uid="{1375E4BB-685A-4966-AC32-D2A38AAB3621}">
      <formula1>INDIRECT("Table_Fertiliser_ChemicalCompounds[Fertiliser type f]")</formula1>
    </dataValidation>
    <dataValidation type="list" allowBlank="1" showInputMessage="1" showErrorMessage="1" sqref="E7" xr:uid="{19BBF4AB-629F-4509-B685-3CF986C04282}">
      <formula1>INDIRECT("Table_SourceData_Fertiliser_CropTypes[Production system]")</formula1>
    </dataValidation>
    <dataValidation type="list" allowBlank="1" showInputMessage="1" showErrorMessage="1" sqref="E8" xr:uid="{78D49972-B505-451F-B92F-CDE0E28A93A4}">
      <formula1>INDIRECT("Table_SourceData_Fertiliser_IrrigationMethods[Irrigation method]")</formula1>
    </dataValidation>
    <dataValidation type="list" allowBlank="1" showInputMessage="1" showErrorMessage="1" sqref="E6" xr:uid="{2B9FBD35-CD8B-4A35-8665-DEF880E8425A}">
      <formula1>INDIRECT("Table_SourceData_Fertiliser_CropProdSystems[Production system]")</formula1>
    </dataValidation>
    <dataValidation type="list" allowBlank="1" showInputMessage="1" showErrorMessage="1" sqref="E69" xr:uid="{1BD6E8B8-CD01-49FC-8CD1-BBA98D9D6D23}">
      <formula1>INDIRECT("Table_SourceData_Swine_CropProdSystems[Production system]")</formula1>
    </dataValidation>
    <dataValidation type="list" allowBlank="1" showInputMessage="1" showErrorMessage="1" sqref="E70" xr:uid="{8359AED7-806C-4B5F-A5C1-39362A22DB58}">
      <formula1>INDIRECT("Table_SourceData_Swine_IrrigationMethods[Irrigation method]")</formula1>
    </dataValidation>
    <dataValidation type="list" allowBlank="1" showInputMessage="1" showErrorMessage="1" sqref="E254 E259 E264 E298 E293 E288 E166 E154 E130 E142" xr:uid="{2D5BB35D-B035-43C1-AA3F-A7DBABECB723}">
      <formula1>"Yes, No"</formula1>
    </dataValidation>
    <dataValidation type="list" allowBlank="1" showInputMessage="1" showErrorMessage="1" sqref="E230" xr:uid="{1A3AD273-EA69-46D2-A267-E511AA5F6F35}">
      <formula1>INDIRECT("Table_SourceData_Dairy_ProductionSystemTemplates[Area]")</formula1>
    </dataValidation>
    <dataValidation type="list" allowBlank="1" showInputMessage="1" showErrorMessage="1" sqref="D282" xr:uid="{885405AD-0964-41AC-8B4B-F054E2654F50}">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72" zoomScaleNormal="100" workbookViewId="0">
      <selection activeCell="A38" sqref="A38"/>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102" t="s">
        <v>825</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359</v>
      </c>
      <c r="E5" s="7"/>
      <c r="F5" s="7"/>
      <c r="G5" s="7"/>
      <c r="H5" s="7"/>
      <c r="I5" s="7"/>
      <c r="J5" s="7"/>
    </row>
    <row r="6" spans="1:19" ht="20.100000000000001" customHeight="1" x14ac:dyDescent="0.25">
      <c r="A6"/>
      <c r="C6" s="8"/>
      <c r="D6" s="144" t="s">
        <v>363</v>
      </c>
      <c r="E6" s="147"/>
      <c r="F6" s="147"/>
      <c r="G6" s="147"/>
      <c r="H6" s="147"/>
      <c r="I6" s="147"/>
      <c r="J6" s="147"/>
    </row>
    <row r="7" spans="1:19" ht="20.100000000000001" customHeight="1" x14ac:dyDescent="0.25">
      <c r="A7" s="19" t="s">
        <v>67</v>
      </c>
      <c r="C7" s="8"/>
      <c r="D7" s="173" t="s">
        <v>299</v>
      </c>
      <c r="E7" s="173"/>
      <c r="F7" s="39"/>
      <c r="G7" s="41"/>
      <c r="H7" s="7"/>
      <c r="I7" s="7"/>
      <c r="J7" s="7"/>
    </row>
    <row r="8" spans="1:19" ht="20.100000000000001" customHeight="1" x14ac:dyDescent="0.25">
      <c r="A8" s="16" t="str">
        <f>HYPERLINK("#'Input - Site'!A1", "Site")</f>
        <v>Site</v>
      </c>
      <c r="C8" s="8"/>
      <c r="D8" s="43" t="s">
        <v>300</v>
      </c>
      <c r="E8" s="44"/>
      <c r="F8" s="44"/>
      <c r="G8" s="45"/>
      <c r="H8" s="7"/>
      <c r="I8" s="7"/>
      <c r="J8" s="7"/>
    </row>
    <row r="9" spans="1:19" ht="20.100000000000001" customHeight="1" x14ac:dyDescent="0.25">
      <c r="A9" s="16" t="str">
        <f>HYPERLINK("#'Input - Fuel'!A1", "Fuel")</f>
        <v>Fuel</v>
      </c>
      <c r="C9" s="8"/>
      <c r="D9" s="147"/>
      <c r="E9" s="147"/>
      <c r="F9" s="147"/>
      <c r="G9" s="147"/>
      <c r="H9" s="147"/>
      <c r="I9" s="147"/>
      <c r="J9" s="147"/>
      <c r="K9" s="54"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4"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4"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16" t="str">
        <f>HYPERLINK("#'Input - Fertiliser'!A1", "Fertiliser")</f>
        <v>Fertiliser</v>
      </c>
      <c r="D10" s="154" t="s">
        <v>169</v>
      </c>
      <c r="E10" s="154" t="s">
        <v>301</v>
      </c>
      <c r="F10" s="154" t="s">
        <v>302</v>
      </c>
      <c r="G10" s="154" t="s">
        <v>203</v>
      </c>
      <c r="H10" s="154" t="s">
        <v>303</v>
      </c>
      <c r="I10" s="154" t="s">
        <v>420</v>
      </c>
      <c r="J10" s="154" t="s">
        <v>304</v>
      </c>
      <c r="K10" s="162" t="s">
        <v>305</v>
      </c>
      <c r="L10" s="162" t="s">
        <v>416</v>
      </c>
      <c r="M10" s="162" t="s">
        <v>306</v>
      </c>
      <c r="N10" s="162" t="s">
        <v>307</v>
      </c>
      <c r="O10" s="162" t="s">
        <v>417</v>
      </c>
      <c r="P10" s="162" t="s">
        <v>308</v>
      </c>
      <c r="Q10" s="162" t="s">
        <v>309</v>
      </c>
      <c r="R10" s="162" t="s">
        <v>418</v>
      </c>
    </row>
    <row r="11" spans="1:19" ht="20.100000000000001" customHeight="1" x14ac:dyDescent="0.25">
      <c r="A11" s="42" t="str">
        <f>HYPERLINK("#'Input - Farm Inputs'!A1", "Farm Inputs")</f>
        <v>Farm Inputs</v>
      </c>
      <c r="D11" s="143" t="s">
        <v>422</v>
      </c>
      <c r="E11" s="155">
        <v>10</v>
      </c>
      <c r="F11" s="47" t="s">
        <v>412</v>
      </c>
      <c r="G11" s="66">
        <v>100</v>
      </c>
      <c r="H11" s="49">
        <f>Table_Input_Pesticides[[#This Row],[Amount applied per ha]]*Table_Input_Pesticides[[#This Row],[Application area (ha)]]</f>
        <v>1000</v>
      </c>
      <c r="I11" s="47" t="s">
        <v>411</v>
      </c>
      <c r="J11" s="47" t="s">
        <v>410</v>
      </c>
      <c r="K11" s="66">
        <v>100</v>
      </c>
      <c r="L11" s="49">
        <f>Table_Input_Pesticides[[#This Row],[Total applied]]*Table_Input_Pesticides[[#This Row],[Active ingredient 1 amount]]*IF(Table_Input_Pesticides[[#This Row],[Constituent unit (select)]]="fraction of product", 1, 10^-3)</f>
        <v>100</v>
      </c>
      <c r="M11" s="47" t="s">
        <v>410</v>
      </c>
      <c r="N11" s="66">
        <v>100</v>
      </c>
      <c r="O11" s="49">
        <f>Table_Input_Pesticides[[#This Row],[Total applied]]*Table_Input_Pesticides[[#This Row],[Active ingredient 2 amount]]*IF(Table_Input_Pesticides[[#This Row],[Constituent unit (select)]]="fraction of product", 1, 10^-3)</f>
        <v>100</v>
      </c>
      <c r="P11" s="47" t="s">
        <v>677</v>
      </c>
      <c r="Q11" s="66">
        <v>100</v>
      </c>
      <c r="R11" s="49">
        <f>Table_Input_Pesticides[[#This Row],[Total applied]]*Table_Input_Pesticides[[#This Row],[Active ingredient 3 amount]]*IF(Table_Input_Pesticides[[#This Row],[Constituent unit (select)]]="fraction of product", 1, 10^-3)</f>
        <v>100</v>
      </c>
    </row>
    <row r="12" spans="1:19" ht="20.100000000000001" customHeight="1" x14ac:dyDescent="0.25">
      <c r="A12" s="16" t="str">
        <f>HYPERLINK("#'Input - Livestock purchases'!A1", "Livestock purchases")</f>
        <v>Livestock purchases</v>
      </c>
      <c r="C12" s="8"/>
      <c r="D12" s="143" t="s">
        <v>421</v>
      </c>
      <c r="E12" s="155">
        <v>10</v>
      </c>
      <c r="F12" s="47" t="s">
        <v>310</v>
      </c>
      <c r="G12" s="66">
        <v>100</v>
      </c>
      <c r="H12" s="49">
        <f>Table_Input_Pesticides[[#This Row],[Amount applied per ha]]*Table_Input_Pesticides[[#This Row],[Application area (ha)]]</f>
        <v>1000</v>
      </c>
      <c r="I12" s="47" t="s">
        <v>411</v>
      </c>
      <c r="J12" s="47" t="s">
        <v>410</v>
      </c>
      <c r="K12" s="66">
        <v>100</v>
      </c>
      <c r="L12" s="49">
        <f>Table_Input_Pesticides[[#This Row],[Total applied]]*Table_Input_Pesticides[[#This Row],[Active ingredient 1 amount]]*IF(Table_Input_Pesticides[[#This Row],[Constituent unit (select)]]="fraction of product", 1, 10^-3)</f>
        <v>100</v>
      </c>
      <c r="M12" s="47" t="s">
        <v>675</v>
      </c>
      <c r="N12" s="66">
        <v>100</v>
      </c>
      <c r="O12" s="49">
        <f>Table_Input_Pesticides[[#This Row],[Total applied]]*Table_Input_Pesticides[[#This Row],[Active ingredient 2 amount]]*IF(Table_Input_Pesticides[[#This Row],[Constituent unit (select)]]="fraction of product", 1, 10^-3)</f>
        <v>100</v>
      </c>
      <c r="P12" s="47" t="s">
        <v>678</v>
      </c>
      <c r="Q12" s="66">
        <v>100</v>
      </c>
      <c r="R12" s="49">
        <f>Table_Input_Pesticides[[#This Row],[Total applied]]*Table_Input_Pesticides[[#This Row],[Active ingredient 3 amount]]*IF(Table_Input_Pesticides[[#This Row],[Constituent unit (select)]]="fraction of product", 1, 10^-3)</f>
        <v>100</v>
      </c>
    </row>
    <row r="13" spans="1:19" ht="20.100000000000001" customHeight="1" x14ac:dyDescent="0.25">
      <c r="A13" s="16" t="str">
        <f>HYPERLINK("#'Input - Freight'!A1", "Freight")</f>
        <v>Freight</v>
      </c>
      <c r="C13" s="8"/>
      <c r="D13" s="143" t="s">
        <v>419</v>
      </c>
      <c r="E13" s="155">
        <v>10</v>
      </c>
      <c r="F13" s="47" t="s">
        <v>412</v>
      </c>
      <c r="G13" s="66">
        <v>100</v>
      </c>
      <c r="H13" s="49">
        <f>Table_Input_Pesticides[[#This Row],[Amount applied per ha]]*Table_Input_Pesticides[[#This Row],[Application area (ha)]]</f>
        <v>1000</v>
      </c>
      <c r="I13" s="47" t="s">
        <v>411</v>
      </c>
      <c r="J13" s="47" t="s">
        <v>410</v>
      </c>
      <c r="K13" s="66">
        <v>100</v>
      </c>
      <c r="L13" s="49">
        <f>Table_Input_Pesticides[[#This Row],[Total applied]]*Table_Input_Pesticides[[#This Row],[Active ingredient 1 amount]]*IF(Table_Input_Pesticides[[#This Row],[Constituent unit (select)]]="fraction of product", 1, 10^-3)</f>
        <v>100</v>
      </c>
      <c r="M13" s="47" t="s">
        <v>676</v>
      </c>
      <c r="N13" s="66">
        <v>100</v>
      </c>
      <c r="O13" s="49">
        <f>Table_Input_Pesticides[[#This Row],[Total applied]]*Table_Input_Pesticides[[#This Row],[Active ingredient 2 amount]]*IF(Table_Input_Pesticides[[#This Row],[Constituent unit (select)]]="fraction of product", 1, 10^-3)</f>
        <v>100</v>
      </c>
      <c r="P13" s="47" t="s">
        <v>679</v>
      </c>
      <c r="Q13" s="66">
        <v>100</v>
      </c>
      <c r="R13" s="49">
        <f>Table_Input_Pesticides[[#This Row],[Total applied]]*Table_Input_Pesticides[[#This Row],[Active ingredient 3 amount]]*IF(Table_Input_Pesticides[[#This Row],[Constituent unit (select)]]="fraction of product", 1, 10^-3)</f>
        <v>100</v>
      </c>
    </row>
    <row r="14" spans="1:19" ht="20.100000000000001" customHeight="1" x14ac:dyDescent="0.25">
      <c r="A14" s="16" t="str">
        <f>HYPERLINK("#'Input - Solid waste'!A1", "Solid waste")</f>
        <v>Solid waste</v>
      </c>
      <c r="D14" s="143"/>
      <c r="E14" s="155"/>
      <c r="F14" s="47"/>
      <c r="G14" s="66"/>
      <c r="H14" s="49">
        <f>Table_Input_Pesticides[[#This Row],[Amount applied per ha]]*Table_Input_Pesticides[[#This Row],[Application area (ha)]]</f>
        <v>0</v>
      </c>
      <c r="I14" s="47"/>
      <c r="J14" s="47"/>
      <c r="K14" s="66"/>
      <c r="L14" s="49">
        <f>Table_Input_Pesticides[[#This Row],[Total applied]]*Table_Input_Pesticides[[#This Row],[Active ingredient 1 amount]]*IF(Table_Input_Pesticides[[#This Row],[Constituent unit (select)]]="fraction of product", 1, 10^-3)</f>
        <v>0</v>
      </c>
      <c r="M14" s="47"/>
      <c r="N14" s="66"/>
      <c r="O14" s="49">
        <f>Table_Input_Pesticides[[#This Row],[Total applied]]*Table_Input_Pesticides[[#This Row],[Active ingredient 2 amount]]*IF(Table_Input_Pesticides[[#This Row],[Constituent unit (select)]]="fraction of product", 1, 10^-3)</f>
        <v>0</v>
      </c>
      <c r="P14" s="47"/>
      <c r="Q14" s="66"/>
      <c r="R14" s="49">
        <f>Table_Input_Pesticides[[#This Row],[Total applied]]*Table_Input_Pesticides[[#This Row],[Active ingredient 3 amount]]*IF(Table_Input_Pesticides[[#This Row],[Constituent unit (select)]]="fraction of product", 1, 10^-3)</f>
        <v>0</v>
      </c>
    </row>
    <row r="15" spans="1:19" ht="20.100000000000001" customHeight="1" x14ac:dyDescent="0.25">
      <c r="A15" s="16" t="str">
        <f>HYPERLINK("#'Input - Manure sent off-site'!A1", "Manure sent off-site")</f>
        <v>Manure sent off-site</v>
      </c>
      <c r="D15" s="143"/>
      <c r="E15" s="155"/>
      <c r="F15" s="47"/>
      <c r="G15" s="66"/>
      <c r="H15" s="49">
        <f>Table_Input_Pesticides[[#This Row],[Amount applied per ha]]*Table_Input_Pesticides[[#This Row],[Application area (ha)]]</f>
        <v>0</v>
      </c>
      <c r="I15" s="47"/>
      <c r="J15" s="47"/>
      <c r="K15" s="66"/>
      <c r="L15" s="49">
        <f>Table_Input_Pesticides[[#This Row],[Total applied]]*Table_Input_Pesticides[[#This Row],[Active ingredient 1 amount]]*IF(Table_Input_Pesticides[[#This Row],[Constituent unit (select)]]="fraction of product", 1, 10^-3)</f>
        <v>0</v>
      </c>
      <c r="M15" s="47"/>
      <c r="N15" s="66"/>
      <c r="O15" s="49">
        <f>Table_Input_Pesticides[[#This Row],[Total applied]]*Table_Input_Pesticides[[#This Row],[Active ingredient 2 amount]]*IF(Table_Input_Pesticides[[#This Row],[Constituent unit (select)]]="fraction of product", 1, 10^-3)</f>
        <v>0</v>
      </c>
      <c r="P15" s="47"/>
      <c r="Q15" s="66"/>
      <c r="R15" s="49">
        <f>Table_Input_Pesticides[[#This Row],[Total applied]]*Table_Input_Pesticides[[#This Row],[Active ingredient 3 amount]]*IF(Table_Input_Pesticides[[#This Row],[Constituent unit (select)]]="fraction of product", 1, 10^-3)</f>
        <v>0</v>
      </c>
    </row>
    <row r="16" spans="1:19" ht="20.100000000000001" customHeight="1" x14ac:dyDescent="0.25">
      <c r="A16" s="16" t="str">
        <f>HYPERLINK("#'Input - Electricity'!A1", "Electricity")</f>
        <v>Electricity</v>
      </c>
      <c r="D16" s="143"/>
      <c r="E16" s="155"/>
      <c r="F16" s="47"/>
      <c r="G16" s="66"/>
      <c r="H16" s="49">
        <f>Table_Input_Pesticides[[#This Row],[Amount applied per ha]]*Table_Input_Pesticides[[#This Row],[Application area (ha)]]</f>
        <v>0</v>
      </c>
      <c r="I16" s="47"/>
      <c r="J16" s="47"/>
      <c r="K16" s="66"/>
      <c r="L16" s="49">
        <f>Table_Input_Pesticides[[#This Row],[Total applied]]*Table_Input_Pesticides[[#This Row],[Active ingredient 1 amount]]*IF(Table_Input_Pesticides[[#This Row],[Constituent unit (select)]]="fraction of product", 1, 10^-3)</f>
        <v>0</v>
      </c>
      <c r="M16" s="47"/>
      <c r="N16" s="66"/>
      <c r="O16" s="49">
        <f>Table_Input_Pesticides[[#This Row],[Total applied]]*Table_Input_Pesticides[[#This Row],[Active ingredient 2 amount]]*IF(Table_Input_Pesticides[[#This Row],[Constituent unit (select)]]="fraction of product", 1, 10^-3)</f>
        <v>0</v>
      </c>
      <c r="P16" s="47"/>
      <c r="Q16" s="66"/>
      <c r="R16" s="49">
        <f>Table_Input_Pesticides[[#This Row],[Total applied]]*Table_Input_Pesticides[[#This Row],[Active ingredient 3 amount]]*IF(Table_Input_Pesticides[[#This Row],[Constituent unit (select)]]="fraction of product", 1, 10^-3)</f>
        <v>0</v>
      </c>
    </row>
    <row r="17" spans="1:18" ht="20.100000000000001" customHeight="1" x14ac:dyDescent="0.25">
      <c r="A17"/>
      <c r="C17" s="8"/>
      <c r="D17" s="143"/>
      <c r="E17" s="155"/>
      <c r="F17" s="47"/>
      <c r="G17" s="66"/>
      <c r="H17" s="49">
        <f>Table_Input_Pesticides[[#This Row],[Amount applied per ha]]*Table_Input_Pesticides[[#This Row],[Application area (ha)]]</f>
        <v>0</v>
      </c>
      <c r="I17" s="47"/>
      <c r="J17" s="47"/>
      <c r="K17" s="66"/>
      <c r="L17" s="49">
        <f>Table_Input_Pesticides[[#This Row],[Total applied]]*Table_Input_Pesticides[[#This Row],[Active ingredient 1 amount]]*IF(Table_Input_Pesticides[[#This Row],[Constituent unit (select)]]="fraction of product", 1, 10^-3)</f>
        <v>0</v>
      </c>
      <c r="M17" s="47"/>
      <c r="N17" s="66"/>
      <c r="O17" s="49">
        <f>Table_Input_Pesticides[[#This Row],[Total applied]]*Table_Input_Pesticides[[#This Row],[Active ingredient 2 amount]]*IF(Table_Input_Pesticides[[#This Row],[Constituent unit (select)]]="fraction of product", 1, 10^-3)</f>
        <v>0</v>
      </c>
      <c r="P17" s="47"/>
      <c r="Q17" s="66"/>
      <c r="R17" s="49">
        <f>Table_Input_Pesticides[[#This Row],[Total applied]]*Table_Input_Pesticides[[#This Row],[Active ingredient 3 amount]]*IF(Table_Input_Pesticides[[#This Row],[Constituent unit (select)]]="fraction of product", 1, 10^-3)</f>
        <v>0</v>
      </c>
    </row>
    <row r="18" spans="1:18" ht="20.100000000000001" customHeight="1" x14ac:dyDescent="0.25">
      <c r="A18"/>
      <c r="C18" s="8"/>
      <c r="D18" s="143"/>
      <c r="E18" s="155"/>
      <c r="F18" s="47"/>
      <c r="G18" s="66"/>
      <c r="H18" s="49">
        <f>Table_Input_Pesticides[[#This Row],[Amount applied per ha]]*Table_Input_Pesticides[[#This Row],[Application area (ha)]]</f>
        <v>0</v>
      </c>
      <c r="I18" s="47"/>
      <c r="J18" s="47"/>
      <c r="K18" s="66"/>
      <c r="L18" s="49">
        <f>Table_Input_Pesticides[[#This Row],[Total applied]]*Table_Input_Pesticides[[#This Row],[Active ingredient 1 amount]]*IF(Table_Input_Pesticides[[#This Row],[Constituent unit (select)]]="fraction of product", 1, 10^-3)</f>
        <v>0</v>
      </c>
      <c r="M18" s="47"/>
      <c r="N18" s="66"/>
      <c r="O18" s="49">
        <f>Table_Input_Pesticides[[#This Row],[Total applied]]*Table_Input_Pesticides[[#This Row],[Active ingredient 2 amount]]*IF(Table_Input_Pesticides[[#This Row],[Constituent unit (select)]]="fraction of product", 1, 10^-3)</f>
        <v>0</v>
      </c>
      <c r="P18" s="47"/>
      <c r="Q18" s="66"/>
      <c r="R18" s="49">
        <f>Table_Input_Pesticides[[#This Row],[Total applied]]*Table_Input_Pesticides[[#This Row],[Active ingredient 3 amount]]*IF(Table_Input_Pesticides[[#This Row],[Constituent unit (select)]]="fraction of product", 1, 10^-3)</f>
        <v>0</v>
      </c>
    </row>
    <row r="19" spans="1:18" ht="20.100000000000001" customHeight="1" x14ac:dyDescent="0.25">
      <c r="A19" s="21" t="s">
        <v>77</v>
      </c>
      <c r="D19" s="143"/>
      <c r="E19" s="155"/>
      <c r="F19" s="47"/>
      <c r="G19" s="66"/>
      <c r="H19" s="49">
        <f>Table_Input_Pesticides[[#This Row],[Amount applied per ha]]*Table_Input_Pesticides[[#This Row],[Application area (ha)]]</f>
        <v>0</v>
      </c>
      <c r="I19" s="47"/>
      <c r="J19" s="47"/>
      <c r="K19" s="66"/>
      <c r="L19" s="49">
        <f>Table_Input_Pesticides[[#This Row],[Total applied]]*Table_Input_Pesticides[[#This Row],[Active ingredient 1 amount]]*IF(Table_Input_Pesticides[[#This Row],[Constituent unit (select)]]="fraction of product", 1, 10^-3)</f>
        <v>0</v>
      </c>
      <c r="M19" s="47"/>
      <c r="N19" s="66"/>
      <c r="O19" s="49">
        <f>Table_Input_Pesticides[[#This Row],[Total applied]]*Table_Input_Pesticides[[#This Row],[Active ingredient 2 amount]]*IF(Table_Input_Pesticides[[#This Row],[Constituent unit (select)]]="fraction of product", 1, 10^-3)</f>
        <v>0</v>
      </c>
      <c r="P19" s="47"/>
      <c r="Q19" s="66"/>
      <c r="R19" s="49">
        <f>Table_Input_Pesticides[[#This Row],[Total applied]]*Table_Input_Pesticides[[#This Row],[Active ingredient 3 amount]]*IF(Table_Input_Pesticides[[#This Row],[Constituent unit (select)]]="fraction of product", 1, 10^-3)</f>
        <v>0</v>
      </c>
    </row>
    <row r="20" spans="1:18" ht="20.100000000000001" customHeight="1" x14ac:dyDescent="0.25">
      <c r="A20" s="16" t="str">
        <f>HYPERLINK("#'15 Scope 3'!A1", "15 Scope 3")</f>
        <v>15 Scope 3</v>
      </c>
      <c r="D20" s="143"/>
      <c r="E20" s="155"/>
      <c r="F20" s="47"/>
      <c r="G20" s="66"/>
      <c r="H20" s="49">
        <f>Table_Input_Pesticides[[#This Row],[Amount applied per ha]]*Table_Input_Pesticides[[#This Row],[Application area (ha)]]</f>
        <v>0</v>
      </c>
      <c r="I20" s="47"/>
      <c r="J20" s="47"/>
      <c r="K20" s="66"/>
      <c r="L20" s="49">
        <f>Table_Input_Pesticides[[#This Row],[Total applied]]*Table_Input_Pesticides[[#This Row],[Active ingredient 1 amount]]*IF(Table_Input_Pesticides[[#This Row],[Constituent unit (select)]]="fraction of product", 1, 10^-3)</f>
        <v>0</v>
      </c>
      <c r="M20" s="47"/>
      <c r="N20" s="66"/>
      <c r="O20" s="49">
        <f>Table_Input_Pesticides[[#This Row],[Total applied]]*Table_Input_Pesticides[[#This Row],[Active ingredient 2 amount]]*IF(Table_Input_Pesticides[[#This Row],[Constituent unit (select)]]="fraction of product", 1, 10^-3)</f>
        <v>0</v>
      </c>
      <c r="P20" s="47"/>
      <c r="Q20" s="66"/>
      <c r="R20" s="49">
        <f>Table_Input_Pesticides[[#This Row],[Total applied]]*Table_Input_Pesticides[[#This Row],[Active ingredient 3 amount]]*IF(Table_Input_Pesticides[[#This Row],[Constituent unit (select)]]="fraction of product", 1, 10^-3)</f>
        <v>0</v>
      </c>
    </row>
    <row r="21" spans="1:18" ht="20.100000000000001" customHeight="1" x14ac:dyDescent="0.25">
      <c r="A21" s="16" t="str">
        <f>HYPERLINK("#'10.1.1-2 Solid waste treatment'!A1", "10.1.1-2 Solid waste treatment")</f>
        <v>10.1.1-2 Solid waste treatment</v>
      </c>
      <c r="D21" s="7"/>
      <c r="E21" s="7"/>
      <c r="F21" s="7"/>
      <c r="G21" s="7"/>
      <c r="H21" s="7"/>
      <c r="I21" s="7"/>
      <c r="J21" s="7"/>
    </row>
    <row r="22" spans="1:18" ht="20.100000000000001" customHeight="1" x14ac:dyDescent="0.25">
      <c r="A22" s="16" t="str">
        <f>HYPERLINK("#'Calcs - Manure sent off-site'!A1", "Calcs - Manure sent off-site")</f>
        <v>Calcs - Manure sent off-site</v>
      </c>
      <c r="D22" s="144" t="s">
        <v>287</v>
      </c>
      <c r="E22" s="8"/>
      <c r="F22" s="8"/>
    </row>
    <row r="23" spans="1:18" ht="20.100000000000001" customHeight="1" x14ac:dyDescent="0.25">
      <c r="A23" s="16" t="str">
        <f>HYPERLINK("#'8.1.1.1-2 Transport fuel'!A1", "8.1.1.1-2 Transport fuel")</f>
        <v>8.1.1.1-2 Transport fuel</v>
      </c>
      <c r="D23" s="46" t="s">
        <v>169</v>
      </c>
      <c r="E23" s="46" t="s">
        <v>340</v>
      </c>
      <c r="F23" s="46" t="s">
        <v>343</v>
      </c>
    </row>
    <row r="24" spans="1:18" ht="20.100000000000001" customHeight="1" x14ac:dyDescent="0.25">
      <c r="A24" s="16" t="str">
        <f>HYPERLINK("#'8.2.1.1-2 Stationary fuel'!A1", "8.2.1.1-2 Stationary fuel")</f>
        <v>8.2.1.1-2 Stationary fuel</v>
      </c>
      <c r="D24" s="82" t="s">
        <v>380</v>
      </c>
      <c r="E24" s="47" t="s">
        <v>342</v>
      </c>
      <c r="F24" s="66">
        <v>100</v>
      </c>
    </row>
    <row r="25" spans="1:18" ht="20.100000000000001" customHeight="1" x14ac:dyDescent="0.25">
      <c r="A25"/>
      <c r="C25" s="8"/>
      <c r="D25" s="82" t="s">
        <v>379</v>
      </c>
      <c r="E25" s="149" t="s">
        <v>341</v>
      </c>
      <c r="F25" s="150">
        <v>100</v>
      </c>
    </row>
    <row r="26" spans="1:18" ht="20.100000000000001" customHeight="1" x14ac:dyDescent="0.25">
      <c r="A26"/>
      <c r="C26" s="8"/>
      <c r="D26" s="82" t="s">
        <v>288</v>
      </c>
      <c r="E26" s="149" t="s">
        <v>289</v>
      </c>
      <c r="F26" s="150">
        <v>100</v>
      </c>
    </row>
    <row r="27" spans="1:18" ht="20.100000000000001" customHeight="1" x14ac:dyDescent="0.25">
      <c r="A27" s="229" t="s">
        <v>78</v>
      </c>
      <c r="C27" s="8"/>
      <c r="D27" s="82" t="s">
        <v>288</v>
      </c>
      <c r="E27" s="149" t="s">
        <v>289</v>
      </c>
      <c r="F27" s="150">
        <v>100</v>
      </c>
    </row>
    <row r="28" spans="1:18" ht="20.100000000000001" customHeight="1" x14ac:dyDescent="0.25">
      <c r="A28" s="16" t="str">
        <f>HYPERLINK("#'Constants - Scope 3'!A1", "Constants - Scope 3")</f>
        <v>Constants - Scope 3</v>
      </c>
      <c r="D28" s="82" t="s">
        <v>380</v>
      </c>
      <c r="E28" s="149" t="s">
        <v>342</v>
      </c>
      <c r="F28" s="150">
        <v>100</v>
      </c>
    </row>
    <row r="29" spans="1:18" ht="20.100000000000001" customHeight="1" x14ac:dyDescent="0.25">
      <c r="A29" s="16" t="str">
        <f>HYPERLINK("#'Constants - Solid Waste'!A1", "Constants - Solid Waste")</f>
        <v>Constants - Solid Waste</v>
      </c>
      <c r="D29" s="82" t="s">
        <v>380</v>
      </c>
      <c r="E29" s="149" t="s">
        <v>342</v>
      </c>
      <c r="F29" s="150">
        <v>100</v>
      </c>
    </row>
    <row r="30" spans="1:18" ht="20.100000000000001" customHeight="1" x14ac:dyDescent="0.25">
      <c r="A30" s="16" t="str">
        <f>HYPERLINK("#'Constants - Fuel'!A1", "Constants - Fuel")</f>
        <v>Constants - Fuel</v>
      </c>
      <c r="D30" s="82"/>
      <c r="E30" s="47"/>
      <c r="F30" s="66"/>
    </row>
    <row r="31" spans="1:18" ht="20.100000000000001" customHeight="1" x14ac:dyDescent="0.25">
      <c r="A31" s="16" t="str">
        <f>HYPERLINK("#'Constants - Poultry'!A1", "Constants - Poultry")</f>
        <v>Constants - Poultry</v>
      </c>
      <c r="D31" s="82"/>
      <c r="E31" s="47"/>
      <c r="F31" s="66"/>
    </row>
    <row r="32" spans="1:18" ht="20.100000000000001" customHeight="1" x14ac:dyDescent="0.25">
      <c r="A32" s="16" t="str">
        <f>HYPERLINK("#'Constants - Swine'!A1", "Constants - Swine")</f>
        <v>Constants - Swine</v>
      </c>
      <c r="D32" s="82"/>
      <c r="E32" s="47"/>
      <c r="F32" s="66"/>
    </row>
    <row r="33" spans="1:6" ht="20.100000000000001" customHeight="1" x14ac:dyDescent="0.25">
      <c r="A33" s="16" t="str">
        <f>HYPERLINK("#'Constants - Dairy'!A1", "Constants - Dairy")</f>
        <v>Constants - Dairy</v>
      </c>
      <c r="D33" s="82"/>
      <c r="E33" s="47"/>
      <c r="F33" s="66"/>
    </row>
    <row r="34" spans="1:6" ht="20.100000000000001" customHeight="1" x14ac:dyDescent="0.25">
      <c r="A34" s="16" t="str">
        <f>HYPERLINK("#'Constants - Pasture Beef'!A1", "Constants - Pasture Beef")</f>
        <v>Constants - Pasture Beef</v>
      </c>
    </row>
    <row r="35" spans="1:6" ht="20.100000000000001" customHeight="1" x14ac:dyDescent="0.25">
      <c r="A35" s="16" t="str">
        <f>HYPERLINK("#'Constants - Common Livestock'!A1", "Constants - Common Livestock")</f>
        <v>Constants - Common Livestock</v>
      </c>
      <c r="D35" s="144" t="s">
        <v>824</v>
      </c>
      <c r="E35" s="8"/>
      <c r="F35" s="8"/>
    </row>
    <row r="36" spans="1:6" ht="20.100000000000001" customHeight="1" x14ac:dyDescent="0.25">
      <c r="A36" s="16" t="str">
        <f>HYPERLINK("#'Constants - Fertiliser'!A1", "Constants - Fertiliser")</f>
        <v>Constants - Fertiliser</v>
      </c>
      <c r="D36" s="46" t="s">
        <v>169</v>
      </c>
      <c r="E36" s="46" t="s">
        <v>340</v>
      </c>
      <c r="F36" s="46" t="s">
        <v>371</v>
      </c>
    </row>
    <row r="37" spans="1:6" ht="20.100000000000001" customHeight="1" x14ac:dyDescent="0.25">
      <c r="A37" s="16" t="str">
        <f>HYPERLINK("#'Constants - Electricity'!A1", "Constants - Electricity")</f>
        <v>Constants - Electricity</v>
      </c>
      <c r="D37" s="82" t="s">
        <v>375</v>
      </c>
      <c r="E37" s="72" t="s">
        <v>367</v>
      </c>
      <c r="F37" s="66">
        <v>100</v>
      </c>
    </row>
    <row r="38" spans="1:6" ht="20.100000000000001" customHeight="1" x14ac:dyDescent="0.25">
      <c r="A38" s="16" t="str">
        <f>HYPERLINK("#'Constants - Common'!A1", "Constants - Common")</f>
        <v>Constants - Common</v>
      </c>
      <c r="D38" s="82" t="s">
        <v>376</v>
      </c>
      <c r="E38" s="163" t="s">
        <v>368</v>
      </c>
      <c r="F38" s="150">
        <v>100</v>
      </c>
    </row>
    <row r="39" spans="1:6" ht="20.100000000000001" customHeight="1" x14ac:dyDescent="0.25">
      <c r="A39"/>
      <c r="D39" s="82" t="s">
        <v>377</v>
      </c>
      <c r="E39" s="163" t="s">
        <v>369</v>
      </c>
      <c r="F39" s="150">
        <v>100</v>
      </c>
    </row>
    <row r="40" spans="1:6" ht="20.100000000000001" customHeight="1" x14ac:dyDescent="0.25">
      <c r="A40"/>
      <c r="D40" s="82" t="s">
        <v>378</v>
      </c>
      <c r="E40" s="163" t="s">
        <v>370</v>
      </c>
      <c r="F40" s="150">
        <v>100</v>
      </c>
    </row>
    <row r="41" spans="1:6" ht="20.100000000000001" customHeight="1" x14ac:dyDescent="0.25">
      <c r="A41"/>
      <c r="D41" s="82" t="s">
        <v>375</v>
      </c>
      <c r="E41" s="163" t="s">
        <v>367</v>
      </c>
      <c r="F41" s="150">
        <v>100</v>
      </c>
    </row>
    <row r="42" spans="1:6" ht="20.100000000000001" customHeight="1" x14ac:dyDescent="0.25">
      <c r="A42"/>
      <c r="D42" s="82" t="s">
        <v>376</v>
      </c>
      <c r="E42" s="163" t="s">
        <v>368</v>
      </c>
      <c r="F42" s="150">
        <v>100</v>
      </c>
    </row>
    <row r="43" spans="1:6" ht="20.100000000000001" customHeight="1" x14ac:dyDescent="0.25">
      <c r="A43"/>
      <c r="D43" s="82"/>
      <c r="E43" s="72"/>
      <c r="F43" s="66"/>
    </row>
    <row r="44" spans="1:6" ht="20.100000000000001" customHeight="1" x14ac:dyDescent="0.25">
      <c r="A44"/>
      <c r="C44" s="8"/>
      <c r="D44" s="82"/>
      <c r="E44" s="72"/>
      <c r="F44" s="66"/>
    </row>
    <row r="45" spans="1:6" ht="20.100000000000001" customHeight="1" x14ac:dyDescent="0.25">
      <c r="A45"/>
      <c r="C45" s="8"/>
      <c r="D45" s="82"/>
      <c r="E45" s="72"/>
      <c r="F45" s="66"/>
    </row>
    <row r="46" spans="1:6" ht="20.100000000000001" customHeight="1" x14ac:dyDescent="0.25">
      <c r="A46"/>
      <c r="C46" s="8"/>
      <c r="D46" s="82"/>
      <c r="E46" s="72"/>
      <c r="F46" s="66"/>
    </row>
    <row r="47" spans="1:6" ht="20.100000000000001" customHeight="1" x14ac:dyDescent="0.25">
      <c r="A47"/>
      <c r="C47" s="8"/>
    </row>
    <row r="48" spans="1:6" ht="20.100000000000001" customHeight="1" x14ac:dyDescent="0.25">
      <c r="A48"/>
      <c r="C48" s="8"/>
    </row>
    <row r="49" spans="1:17" ht="20.100000000000001" customHeight="1" x14ac:dyDescent="0.25">
      <c r="A49"/>
      <c r="C49" s="8"/>
      <c r="D49" s="9" t="s">
        <v>360</v>
      </c>
    </row>
    <row r="50" spans="1:17" ht="20.100000000000001" customHeight="1" x14ac:dyDescent="0.25">
      <c r="A50"/>
      <c r="D50" s="144" t="s">
        <v>290</v>
      </c>
      <c r="E50" s="145"/>
      <c r="F50" s="67"/>
    </row>
    <row r="51" spans="1:17" ht="20.100000000000001" customHeight="1" x14ac:dyDescent="0.25">
      <c r="A51"/>
      <c r="D51" s="8" t="str" cm="1">
        <f t="array" ref="D51:D53">Table_SourceData_Scope3_LickBlocks[Product]</f>
        <v>Lick block, dry season mix</v>
      </c>
      <c r="E51" s="66">
        <v>100</v>
      </c>
      <c r="F51" s="65" t="s">
        <v>346</v>
      </c>
    </row>
    <row r="52" spans="1:17" ht="20.100000000000001" customHeight="1" x14ac:dyDescent="0.25">
      <c r="A52"/>
      <c r="D52" s="8" t="str">
        <v>Lick block, mineral</v>
      </c>
      <c r="E52" s="66">
        <v>100</v>
      </c>
      <c r="F52" s="65" t="s">
        <v>346</v>
      </c>
    </row>
    <row r="53" spans="1:17" ht="20.100000000000001" customHeight="1" x14ac:dyDescent="0.25">
      <c r="A53"/>
      <c r="D53" s="8" t="str">
        <v>Lick block, weaner</v>
      </c>
      <c r="E53" s="66">
        <v>100</v>
      </c>
      <c r="F53" s="65" t="s">
        <v>346</v>
      </c>
    </row>
    <row r="54" spans="1:17" ht="20.100000000000001" customHeight="1" x14ac:dyDescent="0.25">
      <c r="A54"/>
      <c r="D54" s="8"/>
      <c r="E54" s="8"/>
      <c r="F54" s="8"/>
    </row>
    <row r="55" spans="1:17" ht="20.100000000000001" customHeight="1" x14ac:dyDescent="0.25">
      <c r="A55"/>
      <c r="D55" s="144" t="s">
        <v>395</v>
      </c>
      <c r="E55" s="7"/>
      <c r="F55" s="7"/>
    </row>
    <row r="56" spans="1:17" ht="20.100000000000001" customHeight="1" x14ac:dyDescent="0.25">
      <c r="A56"/>
      <c r="D56" s="8" t="str" cm="1">
        <f t="array" ref="D56:D59">Table_SourceData_Scope3_MixedRations[Product]</f>
        <v>Feed for chickens</v>
      </c>
      <c r="E56" s="66">
        <v>100</v>
      </c>
      <c r="F56" s="65" t="s">
        <v>346</v>
      </c>
    </row>
    <row r="57" spans="1:17" ht="20.100000000000001" customHeight="1" x14ac:dyDescent="0.25">
      <c r="A57"/>
      <c r="D57" s="8" t="str">
        <v>Feed for dairy calves</v>
      </c>
      <c r="E57" s="66">
        <v>100</v>
      </c>
      <c r="F57" s="65" t="s">
        <v>346</v>
      </c>
    </row>
    <row r="58" spans="1:17" ht="20.100000000000001" customHeight="1" x14ac:dyDescent="0.25">
      <c r="A58"/>
      <c r="D58" s="8" t="str">
        <v>Feed for dairy cows</v>
      </c>
      <c r="E58" s="66">
        <v>100</v>
      </c>
      <c r="F58" s="65" t="s">
        <v>346</v>
      </c>
    </row>
    <row r="59" spans="1:17" ht="20.100000000000001" customHeight="1" x14ac:dyDescent="0.25">
      <c r="A59"/>
      <c r="D59" s="8" t="str">
        <v>Feed for pigs</v>
      </c>
      <c r="E59" s="66">
        <v>100</v>
      </c>
      <c r="F59" s="65" t="s">
        <v>346</v>
      </c>
    </row>
    <row r="60" spans="1:17" ht="20.100000000000001" customHeight="1" x14ac:dyDescent="0.25">
      <c r="A60"/>
      <c r="D60" s="7"/>
      <c r="E60" s="7"/>
      <c r="F60" s="7"/>
    </row>
    <row r="61" spans="1:17" ht="20.100000000000001" customHeight="1" x14ac:dyDescent="0.25">
      <c r="A61"/>
      <c r="D61" s="144" t="s">
        <v>616</v>
      </c>
      <c r="E61" s="7"/>
      <c r="F61" s="7"/>
    </row>
    <row r="62" spans="1:17" ht="20.100000000000001" customHeight="1" x14ac:dyDescent="0.25">
      <c r="A62"/>
      <c r="D62" s="48" t="s">
        <v>292</v>
      </c>
      <c r="E62" s="48" t="s">
        <v>293</v>
      </c>
      <c r="F62" s="48" t="s">
        <v>208</v>
      </c>
      <c r="G62" s="48" t="s">
        <v>386</v>
      </c>
      <c r="H62" s="48" t="s">
        <v>174</v>
      </c>
      <c r="I62" s="48" t="s">
        <v>294</v>
      </c>
      <c r="J62" s="48" t="s">
        <v>391</v>
      </c>
      <c r="K62" s="48" t="s">
        <v>176</v>
      </c>
      <c r="L62" s="48" t="s">
        <v>295</v>
      </c>
      <c r="M62" s="48" t="s">
        <v>392</v>
      </c>
      <c r="N62" s="48" t="s">
        <v>178</v>
      </c>
      <c r="O62" s="48" t="s">
        <v>296</v>
      </c>
      <c r="P62" s="48" t="s">
        <v>393</v>
      </c>
      <c r="Q62" s="48" t="s">
        <v>180</v>
      </c>
    </row>
    <row r="63" spans="1:17" ht="20.100000000000001" customHeight="1" x14ac:dyDescent="0.25">
      <c r="A63"/>
      <c r="D63" s="15"/>
      <c r="E63" s="146">
        <v>1200</v>
      </c>
      <c r="F63" s="47" t="s">
        <v>841</v>
      </c>
      <c r="G63" s="47" t="s">
        <v>388</v>
      </c>
      <c r="H63" s="50">
        <v>0.35</v>
      </c>
      <c r="I63" s="47" t="s">
        <v>383</v>
      </c>
      <c r="J63" s="47" t="s">
        <v>388</v>
      </c>
      <c r="K63" s="50">
        <v>0.22</v>
      </c>
      <c r="L63" s="47" t="s">
        <v>297</v>
      </c>
      <c r="M63" s="47" t="s">
        <v>331</v>
      </c>
      <c r="N63" s="50">
        <v>0.12</v>
      </c>
      <c r="O63" s="47" t="s">
        <v>394</v>
      </c>
      <c r="P63" s="47" t="s">
        <v>333</v>
      </c>
      <c r="Q63" s="50">
        <v>0.05</v>
      </c>
    </row>
    <row r="64" spans="1:17" ht="20.100000000000001" customHeight="1" x14ac:dyDescent="0.25">
      <c r="A64"/>
      <c r="D64" s="15"/>
      <c r="E64" s="146">
        <v>3456</v>
      </c>
      <c r="F64" s="47" t="s">
        <v>389</v>
      </c>
      <c r="G64" s="47" t="s">
        <v>339</v>
      </c>
      <c r="H64" s="50">
        <v>0.2</v>
      </c>
      <c r="I64" s="47" t="s">
        <v>389</v>
      </c>
      <c r="J64" s="47" t="s">
        <v>332</v>
      </c>
      <c r="K64" s="50">
        <v>0.2</v>
      </c>
      <c r="L64" s="47"/>
      <c r="M64" s="47"/>
      <c r="N64" s="50"/>
      <c r="O64" s="47"/>
      <c r="P64" s="47"/>
      <c r="Q64" s="50"/>
    </row>
    <row r="65" spans="1:17" ht="20.100000000000001" customHeight="1" x14ac:dyDescent="0.25">
      <c r="A65"/>
      <c r="D65" s="15" t="s">
        <v>298</v>
      </c>
      <c r="E65" s="146">
        <v>300</v>
      </c>
      <c r="F65" s="47" t="s">
        <v>387</v>
      </c>
      <c r="G65" s="47" t="s">
        <v>338</v>
      </c>
      <c r="H65" s="50">
        <v>0.8</v>
      </c>
      <c r="I65" s="47" t="s">
        <v>384</v>
      </c>
      <c r="J65" s="47" t="s">
        <v>390</v>
      </c>
      <c r="K65" s="50">
        <v>0.2</v>
      </c>
      <c r="L65" s="47"/>
      <c r="M65" s="47"/>
      <c r="N65" s="50"/>
      <c r="O65" s="47"/>
      <c r="P65" s="47"/>
      <c r="Q65" s="50"/>
    </row>
    <row r="66" spans="1:17" ht="20.100000000000001" customHeight="1" x14ac:dyDescent="0.25">
      <c r="A66"/>
      <c r="D66" s="15"/>
      <c r="E66" s="146">
        <v>500</v>
      </c>
      <c r="F66" s="47" t="s">
        <v>396</v>
      </c>
      <c r="G66" s="47" t="s">
        <v>338</v>
      </c>
      <c r="H66" s="50">
        <v>1</v>
      </c>
      <c r="I66" s="47"/>
      <c r="J66" s="47"/>
      <c r="K66" s="50"/>
      <c r="L66" s="47"/>
      <c r="M66" s="47"/>
      <c r="N66" s="50"/>
      <c r="O66" s="47"/>
      <c r="P66" s="47"/>
      <c r="Q66" s="50"/>
    </row>
    <row r="67" spans="1:17" ht="20.100000000000001" customHeight="1" x14ac:dyDescent="0.25">
      <c r="A67"/>
      <c r="D67" s="15"/>
      <c r="E67" s="146"/>
      <c r="F67" s="47"/>
      <c r="G67" s="47"/>
      <c r="H67" s="50"/>
      <c r="I67" s="47"/>
      <c r="J67" s="47"/>
      <c r="K67" s="50"/>
      <c r="L67" s="47"/>
      <c r="M67" s="47"/>
      <c r="N67" s="50"/>
      <c r="O67" s="47"/>
      <c r="P67" s="47"/>
      <c r="Q67" s="50"/>
    </row>
    <row r="68" spans="1:17" ht="20.100000000000001" customHeight="1" x14ac:dyDescent="0.25">
      <c r="A68"/>
      <c r="D68" s="15"/>
      <c r="E68" s="146"/>
      <c r="F68" s="47"/>
      <c r="G68" s="47"/>
      <c r="H68" s="50"/>
      <c r="I68" s="47"/>
      <c r="J68" s="47"/>
      <c r="K68" s="50"/>
      <c r="L68" s="47"/>
      <c r="M68" s="47"/>
      <c r="N68" s="50"/>
      <c r="O68" s="47"/>
      <c r="P68" s="47"/>
      <c r="Q68" s="50"/>
    </row>
    <row r="69" spans="1:17" ht="20.100000000000001" customHeight="1" x14ac:dyDescent="0.25">
      <c r="A69"/>
      <c r="D69" s="15"/>
      <c r="E69" s="146"/>
      <c r="F69" s="47"/>
      <c r="G69" s="47"/>
      <c r="H69" s="50"/>
      <c r="I69" s="47"/>
      <c r="J69" s="47"/>
      <c r="K69" s="50"/>
      <c r="L69" s="47"/>
      <c r="M69" s="47"/>
      <c r="N69" s="50"/>
      <c r="O69" s="47"/>
      <c r="P69" s="47"/>
      <c r="Q69" s="50"/>
    </row>
    <row r="70" spans="1:17" ht="20.100000000000001" customHeight="1" x14ac:dyDescent="0.25">
      <c r="A70"/>
      <c r="D70" s="15"/>
      <c r="E70" s="146"/>
      <c r="F70" s="47"/>
      <c r="G70" s="47"/>
      <c r="H70" s="50"/>
      <c r="I70" s="47"/>
      <c r="J70" s="47"/>
      <c r="K70" s="50"/>
      <c r="L70" s="47"/>
      <c r="M70" s="47"/>
      <c r="N70" s="50"/>
      <c r="O70" s="47"/>
      <c r="P70" s="47"/>
      <c r="Q70" s="50"/>
    </row>
    <row r="71" spans="1:17" ht="20.100000000000001" customHeight="1" x14ac:dyDescent="0.25">
      <c r="A71"/>
      <c r="D71" s="15"/>
      <c r="E71" s="146"/>
      <c r="F71" s="47"/>
      <c r="G71" s="47"/>
      <c r="H71" s="50"/>
      <c r="I71" s="47"/>
      <c r="J71" s="47"/>
      <c r="K71" s="50"/>
      <c r="L71" s="47"/>
      <c r="M71" s="47"/>
      <c r="N71" s="50"/>
      <c r="O71" s="47"/>
      <c r="P71" s="47"/>
      <c r="Q71" s="50"/>
    </row>
    <row r="72" spans="1:17" ht="20.100000000000001" customHeight="1" x14ac:dyDescent="0.25">
      <c r="A72"/>
      <c r="D72" s="15"/>
      <c r="E72" s="146"/>
      <c r="F72" s="47"/>
      <c r="G72" s="47"/>
      <c r="H72" s="50"/>
      <c r="I72" s="47"/>
      <c r="J72" s="47"/>
      <c r="K72" s="50"/>
      <c r="L72" s="47"/>
      <c r="M72" s="47"/>
      <c r="N72" s="50"/>
      <c r="O72" s="47"/>
      <c r="P72" s="47"/>
      <c r="Q72" s="50"/>
    </row>
    <row r="73" spans="1:17" ht="20.100000000000001" customHeight="1" x14ac:dyDescent="0.25">
      <c r="A73"/>
    </row>
    <row r="74" spans="1:17" ht="20.100000000000001" customHeight="1" x14ac:dyDescent="0.25">
      <c r="A74"/>
      <c r="K74" s="14"/>
    </row>
    <row r="75" spans="1:17" ht="20.100000000000001" customHeight="1" x14ac:dyDescent="0.25">
      <c r="A75"/>
      <c r="D75" s="9" t="s">
        <v>604</v>
      </c>
    </row>
    <row r="76" spans="1:17" ht="20.100000000000001" customHeight="1" x14ac:dyDescent="0.25">
      <c r="A76"/>
      <c r="D76" s="12"/>
    </row>
    <row r="77" spans="1:17" ht="20.100000000000001" customHeight="1" x14ac:dyDescent="0.25">
      <c r="A77"/>
      <c r="D77" s="164" t="s">
        <v>605</v>
      </c>
      <c r="E77" s="164" t="s">
        <v>615</v>
      </c>
      <c r="F77" s="164" t="s">
        <v>610</v>
      </c>
      <c r="G77" s="164" t="s">
        <v>125</v>
      </c>
    </row>
    <row r="78" spans="1:17" ht="20.100000000000001" customHeight="1" x14ac:dyDescent="0.25">
      <c r="A78"/>
      <c r="D78" s="82" t="s">
        <v>606</v>
      </c>
      <c r="E78" s="82" t="s">
        <v>607</v>
      </c>
      <c r="F78" s="66">
        <v>10000</v>
      </c>
      <c r="G78" s="47" t="s">
        <v>612</v>
      </c>
    </row>
    <row r="79" spans="1:17" ht="20.100000000000001" customHeight="1" x14ac:dyDescent="0.25">
      <c r="A79"/>
      <c r="D79" s="82" t="s">
        <v>608</v>
      </c>
      <c r="E79" s="82" t="s">
        <v>614</v>
      </c>
      <c r="F79" s="66">
        <v>1000</v>
      </c>
      <c r="G79" s="47" t="s">
        <v>613</v>
      </c>
    </row>
    <row r="80" spans="1:17" ht="20.100000000000001" customHeight="1" x14ac:dyDescent="0.25">
      <c r="A80"/>
      <c r="D80" s="82"/>
      <c r="E80" s="82"/>
      <c r="F80" s="66"/>
      <c r="G80" s="47"/>
    </row>
    <row r="81" spans="1:10" ht="20.100000000000001" customHeight="1" x14ac:dyDescent="0.25">
      <c r="A81"/>
      <c r="D81" s="82"/>
      <c r="E81" s="82"/>
      <c r="F81" s="66"/>
      <c r="G81" s="47"/>
    </row>
    <row r="82" spans="1:10" ht="20.100000000000001" customHeight="1" x14ac:dyDescent="0.25">
      <c r="A82"/>
      <c r="D82" s="82"/>
      <c r="E82" s="82"/>
      <c r="F82" s="66"/>
      <c r="G82" s="47"/>
    </row>
    <row r="83" spans="1:10" ht="20.100000000000001" customHeight="1" x14ac:dyDescent="0.25">
      <c r="A83"/>
      <c r="D83" s="82"/>
      <c r="E83" s="82"/>
      <c r="F83" s="66"/>
      <c r="G83" s="47"/>
    </row>
    <row r="84" spans="1:10" ht="20.100000000000001" customHeight="1" x14ac:dyDescent="0.25">
      <c r="A84"/>
      <c r="D84" s="82"/>
      <c r="E84" s="82"/>
      <c r="F84" s="66"/>
      <c r="G84" s="47"/>
    </row>
    <row r="85" spans="1:10" ht="20.100000000000001" customHeight="1" x14ac:dyDescent="0.25">
      <c r="A85"/>
      <c r="D85" s="82"/>
      <c r="E85" s="82"/>
      <c r="F85" s="66"/>
      <c r="G85" s="47"/>
    </row>
    <row r="86" spans="1:10" ht="20.100000000000001" customHeight="1" x14ac:dyDescent="0.25">
      <c r="A86"/>
      <c r="D86" s="82"/>
      <c r="E86" s="82"/>
      <c r="F86" s="66"/>
      <c r="G86" s="47"/>
    </row>
    <row r="87" spans="1:10" ht="20.100000000000001" customHeight="1" x14ac:dyDescent="0.25">
      <c r="A87"/>
      <c r="D87" s="82"/>
      <c r="E87" s="82"/>
      <c r="F87" s="66"/>
      <c r="G87" s="47"/>
    </row>
    <row r="88" spans="1:10" ht="20.100000000000001" customHeight="1" x14ac:dyDescent="0.25">
      <c r="A88"/>
    </row>
    <row r="89" spans="1:10" ht="20.100000000000001" customHeight="1" x14ac:dyDescent="0.25">
      <c r="A89"/>
    </row>
    <row r="90" spans="1:10" ht="20.100000000000001" customHeight="1" x14ac:dyDescent="0.25">
      <c r="A90"/>
      <c r="D90" s="9" t="s">
        <v>362</v>
      </c>
    </row>
    <row r="91" spans="1:10" ht="20.100000000000001" customHeight="1" x14ac:dyDescent="0.25">
      <c r="A91"/>
    </row>
    <row r="92" spans="1:10" ht="20.100000000000001" customHeight="1" x14ac:dyDescent="0.25">
      <c r="A92"/>
      <c r="D92" s="91" t="s">
        <v>285</v>
      </c>
      <c r="E92" s="91" t="s">
        <v>286</v>
      </c>
      <c r="F92" s="91" t="s">
        <v>403</v>
      </c>
      <c r="G92" s="91" t="s">
        <v>404</v>
      </c>
      <c r="H92" s="91" t="s">
        <v>599</v>
      </c>
      <c r="J92" s="7"/>
    </row>
    <row r="93" spans="1:10" ht="20.100000000000001" customHeight="1" x14ac:dyDescent="0.25">
      <c r="A93"/>
      <c r="D93" s="143" t="s">
        <v>405</v>
      </c>
      <c r="E93" s="66">
        <v>100000</v>
      </c>
      <c r="F93" s="47" t="s">
        <v>406</v>
      </c>
      <c r="G93" s="66">
        <v>0.02</v>
      </c>
      <c r="H93" s="49">
        <f>Table_Input_Packaging[[#This Row],[Quantity purchased]]*Table_Input_Packaging[[#This Row],[Weight per unit (kg)]]</f>
        <v>2000</v>
      </c>
      <c r="J93" s="7"/>
    </row>
    <row r="94" spans="1:10" ht="20.100000000000001" customHeight="1" x14ac:dyDescent="0.25">
      <c r="A94"/>
      <c r="D94" s="143"/>
      <c r="E94" s="165"/>
      <c r="F94" s="47"/>
      <c r="G94" s="66"/>
      <c r="H94" s="49">
        <f>Table_Input_Packaging[[#This Row],[Quantity purchased]]*Table_Input_Packaging[[#This Row],[Weight per unit (kg)]]</f>
        <v>0</v>
      </c>
      <c r="J94" s="7"/>
    </row>
    <row r="95" spans="1:10" ht="20.100000000000001" customHeight="1" x14ac:dyDescent="0.25">
      <c r="A95"/>
      <c r="D95" s="143"/>
      <c r="E95" s="165"/>
      <c r="F95" s="47"/>
      <c r="G95" s="66"/>
      <c r="H95" s="49">
        <f>Table_Input_Packaging[[#This Row],[Quantity purchased]]*Table_Input_Packaging[[#This Row],[Weight per unit (kg)]]</f>
        <v>0</v>
      </c>
      <c r="J95" s="7"/>
    </row>
    <row r="96" spans="1:10" ht="20.100000000000001" customHeight="1" x14ac:dyDescent="0.25">
      <c r="A96"/>
      <c r="D96" s="143"/>
      <c r="E96" s="165"/>
      <c r="F96" s="47"/>
      <c r="G96" s="66"/>
      <c r="H96" s="49">
        <f>Table_Input_Packaging[[#This Row],[Quantity purchased]]*Table_Input_Packaging[[#This Row],[Weight per unit (kg)]]</f>
        <v>0</v>
      </c>
      <c r="J96" s="7"/>
    </row>
    <row r="97" spans="1:10" ht="20.100000000000001" customHeight="1" x14ac:dyDescent="0.25">
      <c r="A97"/>
      <c r="D97" s="143"/>
      <c r="E97" s="165"/>
      <c r="F97" s="47"/>
      <c r="G97" s="66"/>
      <c r="H97" s="49">
        <f>Table_Input_Packaging[[#This Row],[Quantity purchased]]*Table_Input_Packaging[[#This Row],[Weight per unit (kg)]]</f>
        <v>0</v>
      </c>
      <c r="J97" s="9"/>
    </row>
    <row r="98" spans="1:10" ht="20.100000000000001" customHeight="1" x14ac:dyDescent="0.25">
      <c r="A98"/>
      <c r="D98" s="143"/>
      <c r="E98" s="165"/>
      <c r="F98" s="47"/>
      <c r="G98" s="66"/>
      <c r="H98" s="49">
        <f>Table_Input_Packaging[[#This Row],[Quantity purchased]]*Table_Input_Packaging[[#This Row],[Weight per unit (kg)]]</f>
        <v>0</v>
      </c>
      <c r="J98" s="8"/>
    </row>
    <row r="99" spans="1:10" ht="20.100000000000001" customHeight="1" x14ac:dyDescent="0.25">
      <c r="A99"/>
      <c r="D99" s="143"/>
      <c r="E99" s="165"/>
      <c r="F99" s="47"/>
      <c r="G99" s="66"/>
      <c r="H99" s="49">
        <f>Table_Input_Packaging[[#This Row],[Quantity purchased]]*Table_Input_Packaging[[#This Row],[Weight per unit (kg)]]</f>
        <v>0</v>
      </c>
      <c r="J99" s="8"/>
    </row>
    <row r="100" spans="1:10" ht="20.100000000000001" customHeight="1" x14ac:dyDescent="0.25">
      <c r="A100"/>
      <c r="D100" s="143"/>
      <c r="E100" s="165"/>
      <c r="F100" s="47"/>
      <c r="G100" s="66"/>
      <c r="H100" s="49">
        <f>Table_Input_Packaging[[#This Row],[Quantity purchased]]*Table_Input_Packaging[[#This Row],[Weight per unit (kg)]]</f>
        <v>0</v>
      </c>
      <c r="J100" s="8"/>
    </row>
    <row r="101" spans="1:10" ht="20.100000000000001" customHeight="1" x14ac:dyDescent="0.25">
      <c r="A101"/>
      <c r="D101" s="143"/>
      <c r="E101" s="165"/>
      <c r="F101" s="47"/>
      <c r="G101" s="66"/>
      <c r="H101" s="49">
        <f>Table_Input_Packaging[[#This Row],[Quantity purchased]]*Table_Input_Packaging[[#This Row],[Weight per unit (kg)]]</f>
        <v>0</v>
      </c>
      <c r="J101" s="8"/>
    </row>
    <row r="102" spans="1:10" ht="20.100000000000001" customHeight="1" x14ac:dyDescent="0.25">
      <c r="A102"/>
      <c r="D102" s="143"/>
      <c r="E102" s="165"/>
      <c r="F102" s="47"/>
      <c r="G102" s="66"/>
      <c r="H102" s="49">
        <f>Table_Input_Packaging[[#This Row],[Quantity purchased]]*Table_Input_Packaging[[#This Row],[Weight per unit (kg)]]</f>
        <v>0</v>
      </c>
      <c r="J102" s="8"/>
    </row>
    <row r="103" spans="1:10" ht="20.100000000000001" customHeight="1" x14ac:dyDescent="0.25">
      <c r="A103"/>
    </row>
    <row r="104" spans="1:10" ht="20.100000000000001" customHeight="1" x14ac:dyDescent="0.25">
      <c r="A104"/>
    </row>
    <row r="105" spans="1:10" ht="20.100000000000001" customHeight="1" x14ac:dyDescent="0.25">
      <c r="A105"/>
      <c r="D105" s="9" t="s">
        <v>695</v>
      </c>
    </row>
    <row r="106" spans="1:10" ht="20.100000000000001" customHeight="1" x14ac:dyDescent="0.25">
      <c r="A106"/>
      <c r="D106" s="12"/>
    </row>
    <row r="107" spans="1:10" ht="20.100000000000001" customHeight="1" x14ac:dyDescent="0.25">
      <c r="A107"/>
      <c r="D107" s="164" t="s">
        <v>696</v>
      </c>
      <c r="E107" s="164" t="s">
        <v>610</v>
      </c>
      <c r="F107" s="164" t="s">
        <v>125</v>
      </c>
      <c r="J107" s="8"/>
    </row>
    <row r="108" spans="1:10" ht="20.100000000000001" customHeight="1" x14ac:dyDescent="0.25">
      <c r="A108"/>
      <c r="D108" s="82" t="s">
        <v>698</v>
      </c>
      <c r="E108" s="66">
        <v>10000</v>
      </c>
      <c r="F108" s="47" t="s">
        <v>346</v>
      </c>
      <c r="J108" s="8"/>
    </row>
    <row r="109" spans="1:10" ht="20.100000000000001" customHeight="1" x14ac:dyDescent="0.25">
      <c r="A109"/>
      <c r="D109" s="82" t="s">
        <v>699</v>
      </c>
      <c r="E109" s="66">
        <v>100</v>
      </c>
      <c r="F109" s="47" t="s">
        <v>697</v>
      </c>
      <c r="J109" s="8"/>
    </row>
    <row r="110" spans="1:10" ht="20.100000000000001" customHeight="1" x14ac:dyDescent="0.25">
      <c r="A110"/>
      <c r="D110" s="82" t="s">
        <v>700</v>
      </c>
      <c r="E110" s="66">
        <v>10000</v>
      </c>
      <c r="F110" s="47" t="s">
        <v>346</v>
      </c>
      <c r="J110" s="8"/>
    </row>
    <row r="111" spans="1:10" ht="20.100000000000001" customHeight="1" x14ac:dyDescent="0.25">
      <c r="A111"/>
      <c r="D111" s="82"/>
      <c r="E111" s="66"/>
      <c r="F111" s="47"/>
      <c r="J111" s="8"/>
    </row>
    <row r="112" spans="1:10" ht="20.100000000000001" customHeight="1" x14ac:dyDescent="0.25">
      <c r="A112"/>
      <c r="D112" s="82"/>
      <c r="E112" s="66"/>
      <c r="F112" s="47"/>
      <c r="J112" s="8"/>
    </row>
    <row r="113" spans="1:16" ht="20.100000000000001" customHeight="1" x14ac:dyDescent="0.25">
      <c r="A113"/>
      <c r="D113" s="82"/>
      <c r="E113" s="66"/>
      <c r="F113" s="47"/>
      <c r="J113" s="8"/>
      <c r="L113" s="7"/>
      <c r="M113" s="7"/>
      <c r="N113" s="7"/>
      <c r="O113" s="7"/>
      <c r="P113" s="7"/>
    </row>
    <row r="114" spans="1:16" ht="20.100000000000001" customHeight="1" x14ac:dyDescent="0.25">
      <c r="A114"/>
      <c r="D114" s="82"/>
      <c r="E114" s="66"/>
      <c r="F114" s="47"/>
      <c r="J114" s="8"/>
      <c r="L114" s="7"/>
      <c r="M114" s="7"/>
      <c r="N114" s="7"/>
      <c r="O114" s="7"/>
      <c r="P114" s="7"/>
    </row>
    <row r="115" spans="1:16" ht="20.100000000000001" customHeight="1" x14ac:dyDescent="0.25">
      <c r="A115"/>
      <c r="D115" s="82"/>
      <c r="E115" s="66"/>
      <c r="F115" s="47"/>
      <c r="J115" s="8"/>
      <c r="L115" s="7"/>
      <c r="M115" s="7"/>
      <c r="N115" s="7"/>
      <c r="O115" s="7"/>
      <c r="P115" s="7"/>
    </row>
    <row r="116" spans="1:16" ht="20.100000000000001" customHeight="1" x14ac:dyDescent="0.25">
      <c r="A116"/>
      <c r="D116" s="82"/>
      <c r="E116" s="66"/>
      <c r="F116" s="47"/>
      <c r="I116" s="7"/>
      <c r="J116" s="8"/>
      <c r="N116" s="7"/>
      <c r="O116" s="7"/>
      <c r="P116" s="7"/>
    </row>
    <row r="117" spans="1:16" ht="20.100000000000001" customHeight="1" x14ac:dyDescent="0.25">
      <c r="A117"/>
      <c r="D117" s="82"/>
      <c r="E117" s="66"/>
      <c r="F117" s="4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47"/>
    </row>
    <row r="120" spans="1:16" ht="20.100000000000001" customHeight="1" x14ac:dyDescent="0.25">
      <c r="A120"/>
      <c r="D120" s="9" t="s">
        <v>409</v>
      </c>
      <c r="J120" s="7"/>
      <c r="P120" s="147"/>
    </row>
    <row r="121" spans="1:16" ht="20.100000000000001" customHeight="1" x14ac:dyDescent="0.25">
      <c r="A121"/>
      <c r="D121" s="8" t="str">
        <f>'Constants - Scope 3'!E204</f>
        <v>Barley grain (for seed)</v>
      </c>
      <c r="E121" s="66">
        <v>500</v>
      </c>
      <c r="F121" s="65" t="s">
        <v>346</v>
      </c>
      <c r="J121" s="9"/>
      <c r="P121" s="147"/>
    </row>
    <row r="122" spans="1:16" ht="20.100000000000001" customHeight="1" x14ac:dyDescent="0.25">
      <c r="A122"/>
      <c r="D122" s="8" t="str">
        <f>'Constants - Scope 3'!E205</f>
        <v>Maize grain (for seed)</v>
      </c>
      <c r="E122" s="66">
        <v>600</v>
      </c>
      <c r="F122" s="65" t="s">
        <v>346</v>
      </c>
      <c r="G122" s="7"/>
      <c r="H122" s="8"/>
      <c r="J122" s="8"/>
      <c r="P122" s="147"/>
    </row>
    <row r="123" spans="1:16" ht="20.100000000000001" customHeight="1" x14ac:dyDescent="0.25">
      <c r="A123"/>
      <c r="D123" s="8" t="str">
        <f>'Constants - Scope 3'!E207</f>
        <v>Oat grain (for seed)</v>
      </c>
      <c r="E123" s="66">
        <v>700</v>
      </c>
      <c r="F123" s="65" t="s">
        <v>346</v>
      </c>
      <c r="G123" s="7"/>
      <c r="H123" s="8"/>
      <c r="J123" s="8"/>
      <c r="P123" s="147"/>
    </row>
    <row r="124" spans="1:16" ht="20.100000000000001" customHeight="1" x14ac:dyDescent="0.25">
      <c r="A124"/>
      <c r="D124" s="8" t="str">
        <f>'Constants - Scope 3'!E208</f>
        <v>Sorghum grain (for seed)</v>
      </c>
      <c r="E124" s="66">
        <v>800</v>
      </c>
      <c r="F124" s="65" t="s">
        <v>346</v>
      </c>
      <c r="G124" s="7"/>
      <c r="H124" s="7"/>
      <c r="J124" s="8"/>
      <c r="N124" s="7"/>
      <c r="O124" s="7"/>
      <c r="P124" s="7"/>
    </row>
    <row r="125" spans="1:16" ht="20.100000000000001" customHeight="1" x14ac:dyDescent="0.25">
      <c r="A125"/>
      <c r="D125" s="8" t="str">
        <f>'Constants - Scope 3'!E209</f>
        <v>Wheat grain (for seed)</v>
      </c>
      <c r="E125" s="66">
        <v>900</v>
      </c>
      <c r="F125" s="65" t="s">
        <v>346</v>
      </c>
      <c r="G125" s="7"/>
      <c r="H125" s="7"/>
      <c r="I125" s="7"/>
      <c r="J125" s="8"/>
      <c r="N125" s="7"/>
      <c r="O125" s="7"/>
      <c r="P125" s="7"/>
    </row>
    <row r="126" spans="1:16" ht="20.100000000000001" customHeight="1" x14ac:dyDescent="0.25">
      <c r="A126"/>
      <c r="G126" s="7"/>
      <c r="I126" s="7"/>
      <c r="J126" s="8"/>
    </row>
    <row r="127" spans="1:16" ht="20.100000000000001" customHeight="1" x14ac:dyDescent="0.25">
      <c r="A127"/>
      <c r="D127" s="9" t="s">
        <v>415</v>
      </c>
      <c r="G127" s="8"/>
      <c r="I127" s="7"/>
      <c r="J127" s="7"/>
    </row>
    <row r="128" spans="1:16" ht="20.100000000000001" customHeight="1" x14ac:dyDescent="0.25">
      <c r="A128"/>
      <c r="D128" s="8" t="str">
        <f>'Constants - Scope 3'!E202</f>
        <v>Animal ear tags (large)</v>
      </c>
      <c r="E128" s="66">
        <v>100</v>
      </c>
      <c r="F128" s="65" t="s">
        <v>402</v>
      </c>
      <c r="G128" s="8"/>
      <c r="I128" s="7"/>
      <c r="J128" s="7"/>
    </row>
    <row r="129" spans="1:13" ht="20.100000000000001" customHeight="1" x14ac:dyDescent="0.25">
      <c r="A129"/>
      <c r="D129" s="8" t="str">
        <f>'Constants - Scope 3'!E203</f>
        <v>Animal ear tags (small)</v>
      </c>
      <c r="E129" s="66">
        <v>200</v>
      </c>
      <c r="F129" s="65" t="s">
        <v>402</v>
      </c>
      <c r="G129" s="8"/>
      <c r="I129" s="7"/>
      <c r="L129" s="7"/>
      <c r="M129" s="7"/>
    </row>
    <row r="130" spans="1:13" ht="20.100000000000001" customHeight="1" x14ac:dyDescent="0.25">
      <c r="A130"/>
      <c r="D130" s="8" t="str">
        <f>'Constants - Scope 3'!E206</f>
        <v>Nylon netting</v>
      </c>
      <c r="E130" s="66">
        <v>300</v>
      </c>
      <c r="F130" s="65" t="s">
        <v>346</v>
      </c>
      <c r="G130" s="8"/>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D133" s="9" t="s">
        <v>603</v>
      </c>
      <c r="G133" s="7"/>
      <c r="I133" s="8"/>
    </row>
    <row r="134" spans="1:13" ht="20.100000000000001" customHeight="1" x14ac:dyDescent="0.25">
      <c r="A134"/>
      <c r="D134" s="12"/>
      <c r="I134" s="8"/>
    </row>
    <row r="135" spans="1:13" ht="20.100000000000001" customHeight="1" x14ac:dyDescent="0.25">
      <c r="A135"/>
      <c r="D135" s="46" t="s">
        <v>598</v>
      </c>
      <c r="E135" s="46" t="s">
        <v>597</v>
      </c>
      <c r="F135" s="46" t="s">
        <v>125</v>
      </c>
      <c r="I135" s="8"/>
    </row>
    <row r="136" spans="1:13" ht="20.100000000000001" customHeight="1" x14ac:dyDescent="0.25">
      <c r="A136"/>
      <c r="D136" s="82" t="s">
        <v>701</v>
      </c>
      <c r="E136" s="66">
        <v>1000</v>
      </c>
      <c r="F136" s="82" t="s">
        <v>346</v>
      </c>
      <c r="I136" s="7"/>
    </row>
    <row r="137" spans="1:13" ht="20.100000000000001" customHeight="1" x14ac:dyDescent="0.25">
      <c r="A137"/>
      <c r="D137" s="82"/>
      <c r="E137" s="66"/>
      <c r="F137" s="82"/>
      <c r="I137" s="7"/>
      <c r="L137" s="7"/>
      <c r="M137" s="7"/>
    </row>
    <row r="138" spans="1:13" ht="20.100000000000001" customHeight="1" x14ac:dyDescent="0.25">
      <c r="A138"/>
      <c r="D138" s="82"/>
      <c r="E138" s="66"/>
      <c r="F138" s="82"/>
      <c r="L138" s="7"/>
      <c r="M138" s="7"/>
    </row>
    <row r="139" spans="1:13" ht="20.100000000000001" customHeight="1" x14ac:dyDescent="0.25">
      <c r="A139"/>
      <c r="D139" s="82"/>
      <c r="E139" s="66"/>
      <c r="F139" s="82"/>
    </row>
    <row r="140" spans="1:13" ht="20.100000000000001" customHeight="1" x14ac:dyDescent="0.25">
      <c r="A140"/>
      <c r="D140" s="82"/>
      <c r="E140" s="66"/>
      <c r="F140" s="82"/>
    </row>
    <row r="141" spans="1:13" ht="20.100000000000001" customHeight="1" x14ac:dyDescent="0.25">
      <c r="A141"/>
      <c r="D141" s="82"/>
      <c r="E141" s="66"/>
      <c r="F141" s="82"/>
    </row>
    <row r="142" spans="1:13" ht="20.100000000000001" customHeight="1" x14ac:dyDescent="0.25">
      <c r="A142"/>
      <c r="D142" s="82"/>
      <c r="E142" s="66"/>
      <c r="F142" s="82"/>
    </row>
    <row r="143" spans="1:13" ht="20.100000000000001" customHeight="1" x14ac:dyDescent="0.25">
      <c r="A143"/>
      <c r="D143" s="82"/>
      <c r="E143" s="66"/>
      <c r="F143" s="82"/>
    </row>
    <row r="144" spans="1:13" ht="20.100000000000001" customHeight="1" x14ac:dyDescent="0.25">
      <c r="A144"/>
      <c r="D144" s="82"/>
      <c r="E144" s="66"/>
      <c r="F144" s="82"/>
    </row>
    <row r="145" spans="1:6" ht="20.100000000000001" customHeight="1" x14ac:dyDescent="0.25">
      <c r="A145"/>
      <c r="D145" s="82"/>
      <c r="E145" s="66"/>
      <c r="F145" s="82"/>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3" type="noConversion"/>
  <dataValidations count="11">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93:F102"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G78:G87" xr:uid="{92F419C3-BB6B-4ED0-BE3F-195DAC4808A6}">
      <formula1>"Hour, Hectare"</formula1>
    </dataValidation>
    <dataValidation type="list" allowBlank="1" showInputMessage="1" showErrorMessage="1" sqref="M63:M72 P63:P72 J63:J72 G63:G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 type="list" allowBlank="1" showInputMessage="1" showErrorMessage="1" sqref="F108:F117" xr:uid="{9C8B3973-FAC4-43D3-9591-1F01F0AB4558}">
      <formula1>"kg, m3"</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K63"/>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1" width="30.625" style="8" customWidth="1"/>
    <col min="12" max="16" width="30.625" customWidth="1"/>
  </cols>
  <sheetData>
    <row r="1" spans="1:11" ht="25.5" x14ac:dyDescent="0.35">
      <c r="A1" s="37" t="e" vm="1">
        <v>#VALUE!</v>
      </c>
      <c r="B1" s="3"/>
      <c r="C1" s="37" t="s">
        <v>854</v>
      </c>
      <c r="D1" s="37"/>
      <c r="E1" s="37"/>
      <c r="F1" s="37"/>
      <c r="G1" s="37"/>
      <c r="H1" s="37"/>
      <c r="I1" s="37"/>
      <c r="J1" s="37"/>
      <c r="K1" s="37"/>
    </row>
    <row r="2" spans="1:11" x14ac:dyDescent="0.25">
      <c r="C2" s="2"/>
      <c r="D2" s="2"/>
      <c r="E2" s="2"/>
      <c r="F2" s="2"/>
      <c r="G2" s="2"/>
      <c r="H2" s="2"/>
      <c r="I2" s="2"/>
      <c r="J2" s="2"/>
      <c r="K2" s="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423</v>
      </c>
      <c r="E5" s="14"/>
      <c r="F5" s="14"/>
      <c r="G5" s="14"/>
      <c r="H5" s="14"/>
      <c r="I5" s="14"/>
      <c r="J5" s="14"/>
    </row>
    <row r="6" spans="1:11" ht="18.75" x14ac:dyDescent="0.25">
      <c r="D6" s="144" t="s">
        <v>321</v>
      </c>
      <c r="E6" s="14"/>
      <c r="F6" s="14"/>
      <c r="G6" s="14"/>
      <c r="H6" s="14"/>
      <c r="I6" s="14"/>
      <c r="J6" s="14"/>
    </row>
    <row r="7" spans="1:11" x14ac:dyDescent="0.25">
      <c r="A7" s="19" t="s">
        <v>67</v>
      </c>
      <c r="D7" s="10" t="s">
        <v>354</v>
      </c>
      <c r="E7" s="10" t="s">
        <v>427</v>
      </c>
      <c r="F7" s="10" t="s">
        <v>319</v>
      </c>
      <c r="G7" s="10" t="s">
        <v>424</v>
      </c>
      <c r="H7" s="10" t="s">
        <v>322</v>
      </c>
      <c r="I7" s="10" t="s">
        <v>320</v>
      </c>
      <c r="J7" s="162" t="s">
        <v>425</v>
      </c>
      <c r="K7" s="162" t="s">
        <v>426</v>
      </c>
    </row>
    <row r="8" spans="1:11" x14ac:dyDescent="0.25">
      <c r="A8" s="16" t="str">
        <f>HYPERLINK("#'Input - Site'!A1", "Site")</f>
        <v>Site</v>
      </c>
      <c r="D8" s="82" t="s">
        <v>514</v>
      </c>
      <c r="E8" s="158">
        <v>45547</v>
      </c>
      <c r="F8" s="47" t="s">
        <v>485</v>
      </c>
      <c r="G8" s="72" t="s">
        <v>330</v>
      </c>
      <c r="H8" s="47" t="s">
        <v>433</v>
      </c>
      <c r="I8" s="66">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8" s="66">
        <v>205</v>
      </c>
    </row>
    <row r="9" spans="1:11" x14ac:dyDescent="0.25">
      <c r="A9" s="16" t="str">
        <f>HYPERLINK("#'Input - Fuel'!A1", "Fuel")</f>
        <v>Fuel</v>
      </c>
      <c r="D9" s="82"/>
      <c r="E9" s="158">
        <v>45292</v>
      </c>
      <c r="F9" s="149" t="s">
        <v>486</v>
      </c>
      <c r="G9" s="72" t="s">
        <v>329</v>
      </c>
      <c r="H9" s="47" t="s">
        <v>432</v>
      </c>
      <c r="I9" s="66">
        <v>100</v>
      </c>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9" s="66">
        <v>465</v>
      </c>
    </row>
    <row r="10" spans="1:11" x14ac:dyDescent="0.25">
      <c r="A10" s="16" t="str">
        <f>HYPERLINK("#'Input - Fertiliser'!A1", "Fertiliser")</f>
        <v>Fertiliser</v>
      </c>
      <c r="D10" s="82"/>
      <c r="E10" s="82"/>
      <c r="F10" s="149"/>
      <c r="G10" s="72"/>
      <c r="H10" s="47"/>
      <c r="I10" s="66"/>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6"/>
    </row>
    <row r="11" spans="1:11" x14ac:dyDescent="0.25">
      <c r="A11" s="16" t="str">
        <f>HYPERLINK("#'Input - Farm Inputs'!A1", "Farm Inputs")</f>
        <v>Farm Inputs</v>
      </c>
      <c r="D11" s="82"/>
      <c r="E11" s="82"/>
      <c r="F11" s="149"/>
      <c r="G11" s="72"/>
      <c r="H11" s="47"/>
      <c r="I11" s="66"/>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6"/>
    </row>
    <row r="12" spans="1:11" x14ac:dyDescent="0.25">
      <c r="A12" s="42" t="str">
        <f>HYPERLINK("#'Input - Livestock purchases'!A1", "Livestock purchases")</f>
        <v>Livestock purchases</v>
      </c>
      <c r="D12" s="82"/>
      <c r="E12" s="82"/>
      <c r="F12" s="149"/>
      <c r="G12" s="72"/>
      <c r="H12" s="47"/>
      <c r="I12" s="66"/>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6"/>
    </row>
    <row r="13" spans="1:11" x14ac:dyDescent="0.25">
      <c r="A13" s="16" t="str">
        <f>HYPERLINK("#'Input - Freight'!A1", "Freight")</f>
        <v>Freight</v>
      </c>
      <c r="D13" s="82"/>
      <c r="E13" s="82"/>
      <c r="F13" s="149"/>
      <c r="G13" s="72"/>
      <c r="H13" s="47"/>
      <c r="I13" s="66"/>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6"/>
    </row>
    <row r="14" spans="1:11" x14ac:dyDescent="0.25">
      <c r="A14" s="16" t="str">
        <f>HYPERLINK("#'Input - Solid waste'!A1", "Solid waste")</f>
        <v>Solid waste</v>
      </c>
      <c r="D14" s="82"/>
      <c r="E14" s="82"/>
      <c r="F14" s="149"/>
      <c r="G14" s="72"/>
      <c r="H14" s="47"/>
      <c r="I14" s="66"/>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6"/>
    </row>
    <row r="15" spans="1:11" x14ac:dyDescent="0.25">
      <c r="A15" s="16" t="str">
        <f>HYPERLINK("#'Input - Manure sent off-site'!A1", "Manure sent off-site")</f>
        <v>Manure sent off-site</v>
      </c>
      <c r="D15" s="82"/>
      <c r="E15" s="82"/>
      <c r="F15" s="149"/>
      <c r="G15" s="72"/>
      <c r="H15" s="47"/>
      <c r="I15" s="66"/>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6"/>
    </row>
    <row r="16" spans="1:11" x14ac:dyDescent="0.25">
      <c r="A16" s="16" t="str">
        <f>HYPERLINK("#'Input - Electricity'!A1", "Electricity")</f>
        <v>Electricity</v>
      </c>
      <c r="D16" s="82"/>
      <c r="E16" s="82"/>
      <c r="F16" s="149"/>
      <c r="G16" s="72"/>
      <c r="H16" s="47"/>
      <c r="I16" s="66"/>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6"/>
    </row>
    <row r="17" spans="1:11" x14ac:dyDescent="0.25">
      <c r="D17" s="82"/>
      <c r="E17" s="82"/>
      <c r="F17" s="149"/>
      <c r="G17" s="72"/>
      <c r="H17" s="47"/>
      <c r="I17" s="66"/>
      <c r="J17" s="49" cm="1">
        <f t="array" ref="J1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7" s="66"/>
    </row>
    <row r="18" spans="1:11" x14ac:dyDescent="0.25">
      <c r="D18" s="14"/>
      <c r="E18" s="14"/>
      <c r="F18" s="14"/>
      <c r="G18" s="14"/>
      <c r="H18" s="14"/>
      <c r="I18" s="14"/>
      <c r="J18" s="14"/>
    </row>
    <row r="19" spans="1:11" ht="18.75" x14ac:dyDescent="0.25">
      <c r="A19" s="21" t="s">
        <v>77</v>
      </c>
      <c r="D19" s="144" t="s">
        <v>337</v>
      </c>
      <c r="E19" s="14"/>
      <c r="F19" s="14"/>
      <c r="G19" s="14"/>
      <c r="H19" s="14"/>
      <c r="I19" s="14"/>
      <c r="J19" s="14"/>
    </row>
    <row r="20" spans="1:11" x14ac:dyDescent="0.25">
      <c r="A20" s="16" t="str">
        <f>HYPERLINK("#'15 Scope 3'!A1", "15 Scope 3")</f>
        <v>15 Scope 3</v>
      </c>
      <c r="D20" s="162" t="s">
        <v>354</v>
      </c>
      <c r="E20" s="162" t="s">
        <v>319</v>
      </c>
      <c r="F20" s="162" t="s">
        <v>516</v>
      </c>
      <c r="G20" s="162" t="s">
        <v>320</v>
      </c>
      <c r="H20" s="162" t="s">
        <v>425</v>
      </c>
      <c r="I20" s="162" t="s">
        <v>426</v>
      </c>
      <c r="J20" s="14"/>
    </row>
    <row r="21" spans="1:11" x14ac:dyDescent="0.25">
      <c r="A21" s="16" t="str">
        <f>HYPERLINK("#'10.1.1-2 Solid waste treatment'!A1", "10.1.1-2 Solid waste treatment")</f>
        <v>10.1.1-2 Solid waste treatment</v>
      </c>
      <c r="D21" s="82" t="s">
        <v>515</v>
      </c>
      <c r="E21" s="47" t="s">
        <v>513</v>
      </c>
      <c r="F21" s="47" t="s">
        <v>839</v>
      </c>
      <c r="G21" s="66">
        <v>100</v>
      </c>
      <c r="H21" s="49" cm="1">
        <f t="array" ref="H2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21" s="66">
        <v>350</v>
      </c>
      <c r="J21" s="14"/>
    </row>
    <row r="22" spans="1:11" x14ac:dyDescent="0.25">
      <c r="A22" s="16" t="str">
        <f>HYPERLINK("#'Calcs - Manure sent off-site'!A1", "Calcs - Manure sent off-site")</f>
        <v>Calcs - Manure sent off-site</v>
      </c>
      <c r="D22" s="82"/>
      <c r="E22" s="149" t="s">
        <v>512</v>
      </c>
      <c r="F22" s="47" t="s">
        <v>840</v>
      </c>
      <c r="G22" s="66">
        <v>100</v>
      </c>
      <c r="H22" s="49" cm="1">
        <f t="array" ref="H2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22" s="66">
        <v>625</v>
      </c>
      <c r="J22" s="14"/>
    </row>
    <row r="23" spans="1:11" x14ac:dyDescent="0.25">
      <c r="A23" s="16" t="str">
        <f>HYPERLINK("#'8.1.1.1-2 Transport fuel'!A1", "8.1.1.1-2 Transport fuel")</f>
        <v>8.1.1.1-2 Transport fuel</v>
      </c>
      <c r="D23" s="82"/>
      <c r="E23" s="149" t="s">
        <v>521</v>
      </c>
      <c r="F23" s="47" t="s">
        <v>839</v>
      </c>
      <c r="G23" s="66"/>
      <c r="H23" s="49" cm="1">
        <f t="array" ref="H2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23" s="66"/>
      <c r="J23" s="14"/>
    </row>
    <row r="24" spans="1:11" x14ac:dyDescent="0.25">
      <c r="A24" s="16" t="str">
        <f>HYPERLINK("#'8.2.1.1-2 Stationary fuel'!A1", "8.2.1.1-2 Stationary fuel")</f>
        <v>8.2.1.1-2 Stationary fuel</v>
      </c>
      <c r="D24" s="82"/>
      <c r="E24" s="149"/>
      <c r="F24" s="47"/>
      <c r="G24" s="66"/>
      <c r="H24" s="49" cm="1">
        <f t="array" ref="H2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4" s="66"/>
      <c r="J24" s="14"/>
    </row>
    <row r="25" spans="1:11" x14ac:dyDescent="0.25">
      <c r="D25" s="82"/>
      <c r="E25" s="149"/>
      <c r="F25" s="47"/>
      <c r="G25" s="66"/>
      <c r="H25" s="49" cm="1">
        <f t="array" ref="H2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5" s="66"/>
      <c r="J25" s="14"/>
    </row>
    <row r="26" spans="1:11" x14ac:dyDescent="0.25">
      <c r="D26" s="82"/>
      <c r="E26" s="149"/>
      <c r="F26" s="47"/>
      <c r="G26" s="66"/>
      <c r="H26" s="49" cm="1">
        <f t="array" ref="H2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6" s="66"/>
      <c r="J26" s="14"/>
    </row>
    <row r="27" spans="1:11" x14ac:dyDescent="0.25">
      <c r="A27" s="229" t="s">
        <v>78</v>
      </c>
      <c r="D27" s="82"/>
      <c r="E27" s="149"/>
      <c r="F27" s="47"/>
      <c r="G27" s="66"/>
      <c r="H27" s="49" cm="1">
        <f t="array" ref="H2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7" s="66"/>
      <c r="J27" s="14"/>
    </row>
    <row r="28" spans="1:11" x14ac:dyDescent="0.25">
      <c r="A28" s="16" t="str">
        <f>HYPERLINK("#'Constants - Scope 3'!A1", "Constants - Scope 3")</f>
        <v>Constants - Scope 3</v>
      </c>
      <c r="D28" s="82"/>
      <c r="E28" s="149"/>
      <c r="F28" s="47"/>
      <c r="G28" s="66"/>
      <c r="H28" s="49" cm="1">
        <f t="array" ref="H2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8" s="66"/>
      <c r="J28" s="14"/>
    </row>
    <row r="29" spans="1:11" x14ac:dyDescent="0.25">
      <c r="A29" s="16" t="str">
        <f>HYPERLINK("#'Constants - Solid Waste'!A1", "Constants - Solid Waste")</f>
        <v>Constants - Solid Waste</v>
      </c>
      <c r="D29" s="82"/>
      <c r="E29" s="149"/>
      <c r="F29" s="47"/>
      <c r="G29" s="66"/>
      <c r="H29" s="49" cm="1">
        <f t="array" ref="H2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29" s="66"/>
      <c r="J29" s="14"/>
    </row>
    <row r="30" spans="1:11" x14ac:dyDescent="0.25">
      <c r="A30" s="16" t="str">
        <f>HYPERLINK("#'Constants - Fuel'!A1", "Constants - Fuel")</f>
        <v>Constants - Fuel</v>
      </c>
      <c r="D30" s="82"/>
      <c r="E30" s="149"/>
      <c r="F30" s="47"/>
      <c r="G30" s="66"/>
      <c r="H30" s="49" cm="1">
        <f t="array" ref="H3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30" s="66"/>
      <c r="J30" s="14"/>
    </row>
    <row r="31" spans="1:11" x14ac:dyDescent="0.25">
      <c r="A31" s="16" t="str">
        <f>HYPERLINK("#'Constants - Poultry'!A1", "Constants - Poultry")</f>
        <v>Constants - Poultry</v>
      </c>
      <c r="D31" s="14"/>
      <c r="E31" s="14"/>
      <c r="F31" s="14"/>
      <c r="G31" s="14"/>
      <c r="H31" s="14"/>
      <c r="I31" s="14"/>
      <c r="J31" s="14"/>
    </row>
    <row r="32" spans="1:11" ht="18.75" x14ac:dyDescent="0.25">
      <c r="A32" s="16" t="str">
        <f>HYPERLINK("#'Constants - Swine'!A1", "Constants - Swine")</f>
        <v>Constants - Swine</v>
      </c>
      <c r="D32" s="144" t="s">
        <v>540</v>
      </c>
      <c r="E32" s="14"/>
      <c r="F32" s="14"/>
      <c r="G32" s="14"/>
      <c r="H32" s="14"/>
      <c r="I32" s="14"/>
      <c r="J32" s="14"/>
    </row>
    <row r="33" spans="1:10" x14ac:dyDescent="0.25">
      <c r="A33" s="16" t="str">
        <f>HYPERLINK("#'Constants - Dairy'!A1", "Constants - Dairy")</f>
        <v>Constants - Dairy</v>
      </c>
      <c r="D33" s="162" t="s">
        <v>354</v>
      </c>
      <c r="E33" s="162" t="s">
        <v>319</v>
      </c>
      <c r="F33" s="162" t="s">
        <v>320</v>
      </c>
      <c r="G33" s="162" t="s">
        <v>425</v>
      </c>
      <c r="H33" s="162" t="s">
        <v>426</v>
      </c>
      <c r="I33" s="14"/>
      <c r="J33" s="14"/>
    </row>
    <row r="34" spans="1:10" x14ac:dyDescent="0.25">
      <c r="A34" s="16" t="str">
        <f>HYPERLINK("#'Constants - Pasture Beef'!A1", "Constants - Pasture Beef")</f>
        <v>Constants - Pasture Beef</v>
      </c>
      <c r="D34" s="82" t="s">
        <v>561</v>
      </c>
      <c r="E34" s="47" t="s">
        <v>562</v>
      </c>
      <c r="F34" s="66">
        <v>100</v>
      </c>
      <c r="G34" s="49" cm="1">
        <f t="array" ref="G34">Common_InputFunctions.Utility_LookupValueInTableNumber(Table_Input_LivestockPurchases_Pigs[[#This Row],[Class (select)]],#REF!,#REF!)</f>
        <v>0</v>
      </c>
      <c r="H34" s="66">
        <v>180</v>
      </c>
      <c r="I34" s="14"/>
      <c r="J34" s="14"/>
    </row>
    <row r="35" spans="1:10" x14ac:dyDescent="0.25">
      <c r="A35" s="16" t="str">
        <f>HYPERLINK("#'Constants - Common Livestock'!A1", "Constants - Common Livestock")</f>
        <v>Constants - Common Livestock</v>
      </c>
      <c r="D35" s="82" t="s">
        <v>564</v>
      </c>
      <c r="E35" s="149" t="s">
        <v>563</v>
      </c>
      <c r="F35" s="66">
        <v>100</v>
      </c>
      <c r="G35" s="49" cm="1">
        <f t="array" ref="G35">Common_InputFunctions.Utility_LookupValueInTableNumber(Table_Input_LivestockPurchases_Pigs[[#This Row],[Class (select)]],#REF!,#REF!)</f>
        <v>0</v>
      </c>
      <c r="H35" s="66">
        <v>38</v>
      </c>
      <c r="I35" s="14"/>
      <c r="J35" s="14"/>
    </row>
    <row r="36" spans="1:10" x14ac:dyDescent="0.25">
      <c r="A36" s="16" t="str">
        <f>HYPERLINK("#'Constants - Fertiliser'!A1", "Constants - Fertiliser")</f>
        <v>Constants - Fertiliser</v>
      </c>
      <c r="D36" s="82"/>
      <c r="E36" s="149"/>
      <c r="F36" s="66"/>
      <c r="G36" s="49" cm="1">
        <f t="array" ref="G36">Common_InputFunctions.Utility_LookupValueInTableNumber(Table_Input_LivestockPurchases_Pigs[[#This Row],[Class (select)]],#REF!,#REF!)</f>
        <v>0</v>
      </c>
      <c r="H36" s="66"/>
      <c r="I36" s="14"/>
      <c r="J36" s="14"/>
    </row>
    <row r="37" spans="1:10" x14ac:dyDescent="0.25">
      <c r="A37" s="16" t="str">
        <f>HYPERLINK("#'Constants - Electricity'!A1", "Constants - Electricity")</f>
        <v>Constants - Electricity</v>
      </c>
      <c r="D37" s="82"/>
      <c r="E37" s="149"/>
      <c r="F37" s="66"/>
      <c r="G37" s="49" cm="1">
        <f t="array" ref="G37">Common_InputFunctions.Utility_LookupValueInTableNumber(Table_Input_LivestockPurchases_Pigs[[#This Row],[Class (select)]],#REF!,#REF!)</f>
        <v>0</v>
      </c>
      <c r="H37" s="66"/>
      <c r="I37" s="14"/>
      <c r="J37" s="14"/>
    </row>
    <row r="38" spans="1:10" x14ac:dyDescent="0.25">
      <c r="A38" s="16" t="str">
        <f>HYPERLINK("#'Constants - Common'!A1", "Constants - Common")</f>
        <v>Constants - Common</v>
      </c>
      <c r="D38" s="82"/>
      <c r="E38" s="149"/>
      <c r="F38" s="66"/>
      <c r="G38" s="49" cm="1">
        <f t="array" ref="G38">Common_InputFunctions.Utility_LookupValueInTableNumber(Table_Input_LivestockPurchases_Pigs[[#This Row],[Class (select)]],#REF!,#REF!)</f>
        <v>0</v>
      </c>
      <c r="H38" s="66"/>
      <c r="I38" s="14"/>
      <c r="J38" s="14"/>
    </row>
    <row r="39" spans="1:10" x14ac:dyDescent="0.25">
      <c r="D39" s="82"/>
      <c r="E39" s="149"/>
      <c r="F39" s="66"/>
      <c r="G39" s="49" cm="1">
        <f t="array" ref="G39">Common_InputFunctions.Utility_LookupValueInTableNumber(Table_Input_LivestockPurchases_Pigs[[#This Row],[Class (select)]],#REF!,#REF!)</f>
        <v>0</v>
      </c>
      <c r="H39" s="66"/>
      <c r="I39" s="14"/>
      <c r="J39" s="14"/>
    </row>
    <row r="40" spans="1:10" x14ac:dyDescent="0.25">
      <c r="D40" s="82"/>
      <c r="E40" s="149"/>
      <c r="F40" s="66"/>
      <c r="G40" s="49" cm="1">
        <f t="array" ref="G40">Common_InputFunctions.Utility_LookupValueInTableNumber(Table_Input_LivestockPurchases_Pigs[[#This Row],[Class (select)]],#REF!,#REF!)</f>
        <v>0</v>
      </c>
      <c r="H40" s="66"/>
      <c r="I40" s="14"/>
      <c r="J40" s="14"/>
    </row>
    <row r="41" spans="1:10" x14ac:dyDescent="0.25">
      <c r="D41" s="82"/>
      <c r="E41" s="149"/>
      <c r="F41" s="66"/>
      <c r="G41" s="49" cm="1">
        <f t="array" ref="G41">Common_InputFunctions.Utility_LookupValueInTableNumber(Table_Input_LivestockPurchases_Pigs[[#This Row],[Class (select)]],#REF!,#REF!)</f>
        <v>0</v>
      </c>
      <c r="H41" s="66"/>
      <c r="I41" s="14"/>
      <c r="J41" s="14"/>
    </row>
    <row r="42" spans="1:10" x14ac:dyDescent="0.25">
      <c r="D42" s="82"/>
      <c r="E42" s="149"/>
      <c r="F42" s="66"/>
      <c r="G42" s="49" cm="1">
        <f t="array" ref="G42">Common_InputFunctions.Utility_LookupValueInTableNumber(Table_Input_LivestockPurchases_Pigs[[#This Row],[Class (select)]],#REF!,#REF!)</f>
        <v>0</v>
      </c>
      <c r="H42" s="66"/>
      <c r="I42" s="14"/>
      <c r="J42" s="14"/>
    </row>
    <row r="43" spans="1:10" x14ac:dyDescent="0.25">
      <c r="D43" s="82"/>
      <c r="E43" s="149"/>
      <c r="F43" s="66"/>
      <c r="G43" s="49" cm="1">
        <f t="array" ref="G43">Common_InputFunctions.Utility_LookupValueInTableNumber(Table_Input_LivestockPurchases_Pigs[[#This Row],[Class (select)]],#REF!,#REF!)</f>
        <v>0</v>
      </c>
      <c r="H43" s="66"/>
      <c r="I43" s="14"/>
      <c r="J43" s="14"/>
    </row>
    <row r="44" spans="1:10" x14ac:dyDescent="0.25">
      <c r="D44" s="14"/>
      <c r="E44" s="14"/>
      <c r="F44" s="14"/>
      <c r="G44" s="14"/>
      <c r="H44" s="14"/>
      <c r="I44" s="14"/>
      <c r="J44" s="14"/>
    </row>
    <row r="45" spans="1:10" ht="18.75" x14ac:dyDescent="0.25">
      <c r="D45" s="144" t="s">
        <v>566</v>
      </c>
      <c r="E45" s="14"/>
      <c r="F45" s="14"/>
      <c r="G45" s="14"/>
      <c r="H45" s="14"/>
      <c r="I45" s="14"/>
      <c r="J45" s="14"/>
    </row>
    <row r="46" spans="1:10" x14ac:dyDescent="0.25">
      <c r="D46" s="162" t="s">
        <v>354</v>
      </c>
      <c r="E46" s="162" t="s">
        <v>319</v>
      </c>
      <c r="F46" s="162" t="s">
        <v>320</v>
      </c>
      <c r="G46" s="162" t="s">
        <v>425</v>
      </c>
      <c r="H46" s="162" t="s">
        <v>426</v>
      </c>
      <c r="I46" s="14"/>
      <c r="J46" s="14"/>
    </row>
    <row r="47" spans="1:10" x14ac:dyDescent="0.25">
      <c r="D47" s="82" t="s">
        <v>567</v>
      </c>
      <c r="E47" s="47" t="s">
        <v>595</v>
      </c>
      <c r="F47" s="66">
        <v>100</v>
      </c>
      <c r="G47" s="49" cm="1">
        <f t="array" ref="G47">Common_InputFunctions.Utility_LookupValueInTableNumber(Table_Input_LivestockPurchases_Poultry[[#This Row],[Class (select)]], Table_SourceData_Poultry_Liveweights[Livestock class j],Table_SourceData_Poultry_Liveweights[Average liveweight (kg)])</f>
        <v>1.3</v>
      </c>
      <c r="H47" s="66">
        <v>1.3</v>
      </c>
      <c r="I47" s="14"/>
      <c r="J47" s="14"/>
    </row>
    <row r="48" spans="1:10" x14ac:dyDescent="0.25">
      <c r="D48" s="82" t="s">
        <v>568</v>
      </c>
      <c r="E48" s="149" t="s">
        <v>596</v>
      </c>
      <c r="F48" s="66">
        <v>100</v>
      </c>
      <c r="G48" s="49" cm="1">
        <f t="array" ref="G48">Common_InputFunctions.Utility_LookupValueInTableNumber(Table_Input_LivestockPurchases_Poultry[[#This Row],[Class (select)]], Table_SourceData_Poultry_Liveweights[Livestock class j],Table_SourceData_Poultry_Liveweights[Average liveweight (kg)])</f>
        <v>1.4</v>
      </c>
      <c r="H48" s="66">
        <v>1.4</v>
      </c>
      <c r="I48" s="14"/>
      <c r="J48" s="14"/>
    </row>
    <row r="49" spans="4:10" x14ac:dyDescent="0.25">
      <c r="D49" s="82"/>
      <c r="E49" s="149"/>
      <c r="F49" s="66"/>
      <c r="G49" s="49" cm="1">
        <f t="array" ref="G49">Common_InputFunctions.Utility_LookupValueInTableNumber(Table_Input_LivestockPurchases_Poultry[[#This Row],[Class (select)]], Table_SourceData_Poultry_Liveweights[Livestock class j],Table_SourceData_Poultry_Liveweights[Average liveweight (kg)])</f>
        <v>0</v>
      </c>
      <c r="H49" s="66"/>
      <c r="I49" s="14"/>
      <c r="J49" s="14"/>
    </row>
    <row r="50" spans="4:10" x14ac:dyDescent="0.25">
      <c r="D50" s="82"/>
      <c r="E50" s="149"/>
      <c r="F50" s="66"/>
      <c r="G50" s="49" cm="1">
        <f t="array" ref="G50">Common_InputFunctions.Utility_LookupValueInTableNumber(Table_Input_LivestockPurchases_Poultry[[#This Row],[Class (select)]], Table_SourceData_Poultry_Liveweights[Livestock class j],Table_SourceData_Poultry_Liveweights[Average liveweight (kg)])</f>
        <v>0</v>
      </c>
      <c r="H50" s="66"/>
      <c r="I50" s="14"/>
      <c r="J50" s="14"/>
    </row>
    <row r="51" spans="4:10" x14ac:dyDescent="0.25">
      <c r="D51" s="82"/>
      <c r="E51" s="149"/>
      <c r="F51" s="66"/>
      <c r="G51" s="49" cm="1">
        <f t="array" ref="G51">Common_InputFunctions.Utility_LookupValueInTableNumber(Table_Input_LivestockPurchases_Poultry[[#This Row],[Class (select)]], Table_SourceData_Poultry_Liveweights[Livestock class j],Table_SourceData_Poultry_Liveweights[Average liveweight (kg)])</f>
        <v>0</v>
      </c>
      <c r="H51" s="66"/>
      <c r="I51" s="14"/>
      <c r="J51" s="14"/>
    </row>
    <row r="52" spans="4:10" x14ac:dyDescent="0.25">
      <c r="D52" s="82"/>
      <c r="E52" s="149"/>
      <c r="F52" s="66"/>
      <c r="G52" s="49" cm="1">
        <f t="array" ref="G52">Common_InputFunctions.Utility_LookupValueInTableNumber(Table_Input_LivestockPurchases_Poultry[[#This Row],[Class (select)]], Table_SourceData_Poultry_Liveweights[Livestock class j],Table_SourceData_Poultry_Liveweights[Average liveweight (kg)])</f>
        <v>0</v>
      </c>
      <c r="H52" s="66"/>
      <c r="I52" s="14"/>
      <c r="J52" s="14"/>
    </row>
    <row r="53" spans="4:10" x14ac:dyDescent="0.25">
      <c r="D53" s="82"/>
      <c r="E53" s="149"/>
      <c r="F53" s="66"/>
      <c r="G53" s="49" cm="1">
        <f t="array" ref="G53">Common_InputFunctions.Utility_LookupValueInTableNumber(Table_Input_LivestockPurchases_Poultry[[#This Row],[Class (select)]], Table_SourceData_Poultry_Liveweights[Livestock class j],Table_SourceData_Poultry_Liveweights[Average liveweight (kg)])</f>
        <v>0</v>
      </c>
      <c r="H53" s="66"/>
      <c r="I53" s="14"/>
      <c r="J53" s="14"/>
    </row>
    <row r="54" spans="4:10" x14ac:dyDescent="0.25">
      <c r="D54" s="82"/>
      <c r="E54" s="149"/>
      <c r="F54" s="66"/>
      <c r="G54" s="49" cm="1">
        <f t="array" ref="G54">Common_InputFunctions.Utility_LookupValueInTableNumber(Table_Input_LivestockPurchases_Poultry[[#This Row],[Class (select)]], Table_SourceData_Poultry_Liveweights[Livestock class j],Table_SourceData_Poultry_Liveweights[Average liveweight (kg)])</f>
        <v>0</v>
      </c>
      <c r="H54" s="66"/>
      <c r="I54" s="14"/>
      <c r="J54" s="14"/>
    </row>
    <row r="55" spans="4:10" x14ac:dyDescent="0.25">
      <c r="D55" s="82"/>
      <c r="E55" s="149"/>
      <c r="F55" s="66"/>
      <c r="G55" s="49" cm="1">
        <f t="array" ref="G55">Common_InputFunctions.Utility_LookupValueInTableNumber(Table_Input_LivestockPurchases_Poultry[[#This Row],[Class (select)]], Table_SourceData_Poultry_Liveweights[Livestock class j],Table_SourceData_Poultry_Liveweights[Average liveweight (kg)])</f>
        <v>0</v>
      </c>
      <c r="H55" s="66"/>
      <c r="I55" s="14"/>
      <c r="J55" s="14"/>
    </row>
    <row r="56" spans="4:10" x14ac:dyDescent="0.25">
      <c r="D56" s="82"/>
      <c r="E56" s="149"/>
      <c r="F56" s="66"/>
      <c r="G56" s="49" cm="1">
        <f t="array" ref="G56">Common_InputFunctions.Utility_LookupValueInTableNumber(Table_Input_LivestockPurchases_Poultry[[#This Row],[Class (select)]], Table_SourceData_Poultry_Liveweights[Livestock class j],Table_SourceData_Poultry_Liveweights[Average liveweight (kg)])</f>
        <v>0</v>
      </c>
      <c r="H56" s="66"/>
      <c r="I56" s="14"/>
      <c r="J56" s="14"/>
    </row>
    <row r="57" spans="4:10" x14ac:dyDescent="0.25">
      <c r="D57" s="14"/>
      <c r="E57" s="14"/>
      <c r="F57" s="14"/>
      <c r="G57" s="14"/>
      <c r="H57" s="14"/>
      <c r="I57" s="14"/>
      <c r="J57" s="14"/>
    </row>
    <row r="58" spans="4:10" ht="18.75" x14ac:dyDescent="0.25">
      <c r="D58" s="144" t="s">
        <v>609</v>
      </c>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7">
    <dataValidation type="list" allowBlank="1" showInputMessage="1" showErrorMessage="1" sqref="E47:E56" xr:uid="{EF3323C3-C624-43FE-8DC3-2DC12C1B5DDD}">
      <formula1>INDIRECT("Table_SourceData_Poultry_Liveweights[Livestock class j]")</formula1>
    </dataValidation>
    <dataValidation type="list" allowBlank="1" showInputMessage="1" showErrorMessage="1" sqref="E34:E43" xr:uid="{4ACF2D94-C615-4145-8F1B-25113D24F04E}">
      <formula1>INDIRECT("Table_SourceData_Swine_Liveweight[Livestock type j]")</formula1>
    </dataValidation>
    <dataValidation type="list" allowBlank="1" showInputMessage="1" showErrorMessage="1" sqref="E21:E30" xr:uid="{5781C060-ED70-4962-97D0-9C205A1D4D9A}">
      <formula1>INDIRECT("Table_SourceData_Dairy_WjCowsHeifers[[#Headers],[Milking cows]:[Heifers &lt; 1 (weaned)]]")</formula1>
    </dataValidation>
    <dataValidation type="list" allowBlank="1" showInputMessage="1" showErrorMessage="1" sqref="F21:F30" xr:uid="{6C01C856-27C6-4CD3-9F44-CB174DFAC047}">
      <formula1>INDIRECT("Table_SourceData_Dairy_WjCowsHeifers[Breed]")</formula1>
    </dataValidation>
    <dataValidation type="list" allowBlank="1" showInputMessage="1" showErrorMessage="1" sqref="F8:F17" xr:uid="{E820CFC8-651A-4AAE-8CFC-0434A22A2CFE}">
      <formula1>INDIRECT("Table_LivestockClasses_Beefcattle[Livestock class]")</formula1>
    </dataValidation>
    <dataValidation type="list" allowBlank="1" showInputMessage="1" showErrorMessage="1" sqref="G8:G17" xr:uid="{D038D161-4CB4-4F66-9EA9-1B3DFD795E64}">
      <formula1>INDIRECT(TRIM("Table_SourceData_LivestockProduct_Beefcattle[Product]"))</formula1>
    </dataValidation>
    <dataValidation type="list" allowBlank="1" showInputMessage="1" showErrorMessage="1" sqref="H8:H17" xr:uid="{579B6E80-B21D-49A6-A5CC-E0740A79C06C}">
      <formula1>INDIRECT("Table_ProductRegions_Beefcattle[Region]")</formula1>
    </dataValidation>
  </dataValidations>
  <pageMargins left="0.7" right="0.7" top="0.75" bottom="0.75" header="0.3" footer="0.3"/>
  <tableParts count="4">
    <tablePart r:id="rId1"/>
    <tablePart r:id="rId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826</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803</v>
      </c>
    </row>
    <row r="7" spans="1:10" ht="20.100000000000001" customHeight="1" x14ac:dyDescent="0.25">
      <c r="A7" s="19" t="s">
        <v>67</v>
      </c>
    </row>
    <row r="8" spans="1:10" ht="20.100000000000001" customHeight="1" x14ac:dyDescent="0.25">
      <c r="A8" s="16" t="str">
        <f>HYPERLINK("#'Input - Site'!A1", "Site")</f>
        <v>Site</v>
      </c>
      <c r="D8" s="10" t="s">
        <v>805</v>
      </c>
      <c r="E8" s="10" t="s">
        <v>808</v>
      </c>
      <c r="F8" s="10" t="s">
        <v>809</v>
      </c>
      <c r="G8" s="10" t="s">
        <v>806</v>
      </c>
      <c r="H8" s="10" t="s">
        <v>807</v>
      </c>
    </row>
    <row r="9" spans="1:10" ht="20.100000000000001" customHeight="1" x14ac:dyDescent="0.25">
      <c r="A9" s="16" t="str">
        <f>HYPERLINK("#'Input - Fuel'!A1", "Fuel")</f>
        <v>Fuel</v>
      </c>
      <c r="D9" s="10" t="s">
        <v>812</v>
      </c>
      <c r="E9" s="47" t="s">
        <v>810</v>
      </c>
      <c r="F9" s="10">
        <v>986</v>
      </c>
      <c r="G9" s="10">
        <v>10</v>
      </c>
      <c r="H9" s="10">
        <v>52</v>
      </c>
    </row>
    <row r="10" spans="1:10" ht="20.100000000000001" customHeight="1" x14ac:dyDescent="0.25">
      <c r="A10" s="16" t="str">
        <f>HYPERLINK("#'Input - Fertiliser'!A1", "Fertiliser")</f>
        <v>Fertiliser</v>
      </c>
      <c r="D10" s="10" t="s">
        <v>814</v>
      </c>
      <c r="E10" s="47" t="s">
        <v>815</v>
      </c>
      <c r="F10" s="10">
        <v>65</v>
      </c>
      <c r="G10" s="10">
        <v>10</v>
      </c>
      <c r="H10" s="10">
        <v>6</v>
      </c>
    </row>
    <row r="11" spans="1:10" ht="20.100000000000001" customHeight="1" x14ac:dyDescent="0.25">
      <c r="A11" s="16" t="str">
        <f>HYPERLINK("#'Input - Farm Inputs'!A1", "Farm Inputs")</f>
        <v>Farm Inputs</v>
      </c>
      <c r="D11" s="10"/>
      <c r="E11" s="47"/>
      <c r="F11" s="10"/>
      <c r="G11" s="10"/>
      <c r="H11" s="10"/>
    </row>
    <row r="12" spans="1:10" ht="20.100000000000001" customHeight="1" x14ac:dyDescent="0.25">
      <c r="A12" s="16" t="str">
        <f>HYPERLINK("#'Input - Livestock purchases'!A1", "Livestock purchases")</f>
        <v>Livestock purchases</v>
      </c>
      <c r="D12" s="10"/>
      <c r="E12" s="47"/>
      <c r="F12" s="10"/>
      <c r="G12" s="10"/>
      <c r="H12" s="10"/>
    </row>
    <row r="13" spans="1:10" ht="20.100000000000001" customHeight="1" x14ac:dyDescent="0.25">
      <c r="A13" s="42" t="str">
        <f>HYPERLINK("#'Input - Freight'!A1", "Freight")</f>
        <v>Freight</v>
      </c>
      <c r="D13" s="10"/>
      <c r="E13" s="47"/>
      <c r="F13" s="10"/>
      <c r="G13" s="10"/>
      <c r="H13" s="10"/>
    </row>
    <row r="14" spans="1:10" ht="20.100000000000001" customHeight="1" x14ac:dyDescent="0.25">
      <c r="A14" s="16" t="str">
        <f>HYPERLINK("#'Input - Solid waste'!A1", "Solid waste")</f>
        <v>Solid waste</v>
      </c>
      <c r="D14" s="10"/>
      <c r="E14" s="47"/>
      <c r="F14" s="10"/>
      <c r="G14" s="10"/>
      <c r="H14" s="10"/>
    </row>
    <row r="15" spans="1:10" ht="20.100000000000001" customHeight="1" x14ac:dyDescent="0.25">
      <c r="A15" s="16" t="str">
        <f>HYPERLINK("#'Input - Manure sent off-site'!A1", "Manure sent off-site")</f>
        <v>Manure sent off-site</v>
      </c>
      <c r="D15" s="10"/>
      <c r="E15" s="47"/>
      <c r="F15" s="10"/>
      <c r="G15" s="10"/>
      <c r="H15" s="10"/>
    </row>
    <row r="16" spans="1:10" ht="20.100000000000001" customHeight="1" x14ac:dyDescent="0.25">
      <c r="A16" s="16" t="str">
        <f>HYPERLINK("#'Input - Electricity'!A1", "Electricity")</f>
        <v>Electricity</v>
      </c>
      <c r="D16" s="10"/>
      <c r="E16" s="47"/>
      <c r="F16" s="10"/>
      <c r="G16" s="10"/>
      <c r="H16" s="10"/>
    </row>
    <row r="17" spans="1:8" ht="20.100000000000001" customHeight="1" x14ac:dyDescent="0.25">
      <c r="D17" s="10"/>
      <c r="E17" s="47"/>
      <c r="F17" s="10"/>
      <c r="G17" s="10"/>
      <c r="H17" s="10"/>
    </row>
    <row r="18" spans="1:8" ht="20.100000000000001" customHeight="1" x14ac:dyDescent="0.25">
      <c r="D18" s="10"/>
      <c r="E18" s="47"/>
      <c r="F18" s="10"/>
      <c r="G18" s="10"/>
      <c r="H18" s="10"/>
    </row>
    <row r="19" spans="1:8" ht="20.100000000000001" customHeight="1" x14ac:dyDescent="0.25">
      <c r="A19" s="21" t="s">
        <v>77</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row>
    <row r="22" spans="1:8" ht="20.100000000000001" customHeight="1" x14ac:dyDescent="0.25">
      <c r="A22" s="16" t="str">
        <f>HYPERLINK("#'Calcs - Manure sent off-site'!A1", "Calcs - Manure sent off-site")</f>
        <v>Calcs - Manure sent off-site</v>
      </c>
      <c r="D22" s="9" t="s">
        <v>811</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10" t="s">
        <v>805</v>
      </c>
      <c r="E24" s="10" t="s">
        <v>808</v>
      </c>
      <c r="F24" s="10" t="s">
        <v>809</v>
      </c>
      <c r="G24" s="10" t="s">
        <v>806</v>
      </c>
      <c r="H24" s="10" t="s">
        <v>807</v>
      </c>
    </row>
    <row r="25" spans="1:8" ht="20.100000000000001" customHeight="1" x14ac:dyDescent="0.25">
      <c r="D25" s="10" t="s">
        <v>813</v>
      </c>
      <c r="E25" s="47" t="s">
        <v>810</v>
      </c>
      <c r="F25" s="10">
        <v>65</v>
      </c>
      <c r="G25" s="10">
        <v>20</v>
      </c>
      <c r="H25" s="10">
        <v>52</v>
      </c>
    </row>
    <row r="26" spans="1:8" ht="20.100000000000001" customHeight="1" x14ac:dyDescent="0.25">
      <c r="D26" s="10"/>
      <c r="E26" s="47"/>
      <c r="F26" s="10"/>
      <c r="G26" s="10"/>
      <c r="H26" s="10"/>
    </row>
    <row r="27" spans="1:8" ht="20.100000000000001" customHeight="1" x14ac:dyDescent="0.25">
      <c r="A27" s="229" t="s">
        <v>78</v>
      </c>
      <c r="D27" s="10"/>
      <c r="E27" s="47"/>
      <c r="F27" s="10"/>
      <c r="G27" s="10"/>
      <c r="H27" s="10"/>
    </row>
    <row r="28" spans="1:8" ht="20.100000000000001" customHeight="1" x14ac:dyDescent="0.25">
      <c r="A28" s="16" t="str">
        <f>HYPERLINK("#'Constants - Scope 3'!A1", "Constants - Scope 3")</f>
        <v>Constants - Scope 3</v>
      </c>
      <c r="D28" s="10"/>
      <c r="E28" s="47"/>
      <c r="F28" s="10"/>
      <c r="G28" s="10"/>
      <c r="H28" s="10"/>
    </row>
    <row r="29" spans="1:8" ht="20.100000000000001" customHeight="1" x14ac:dyDescent="0.25">
      <c r="A29" s="16" t="str">
        <f>HYPERLINK("#'Constants - Solid Waste'!A1", "Constants - Solid Waste")</f>
        <v>Constants - Solid Waste</v>
      </c>
      <c r="D29" s="10"/>
      <c r="E29" s="47"/>
      <c r="F29" s="10"/>
      <c r="G29" s="10"/>
      <c r="H29" s="10"/>
    </row>
    <row r="30" spans="1:8" ht="20.100000000000001" customHeight="1" x14ac:dyDescent="0.25">
      <c r="A30" s="16" t="str">
        <f>HYPERLINK("#'Constants - Fuel'!A1", "Constants - Fuel")</f>
        <v>Constants - Fuel</v>
      </c>
      <c r="D30" s="10"/>
      <c r="E30" s="47"/>
      <c r="F30" s="10"/>
      <c r="G30" s="10"/>
      <c r="H30" s="10"/>
    </row>
    <row r="31" spans="1:8" ht="20.100000000000001" customHeight="1" x14ac:dyDescent="0.25">
      <c r="A31" s="16" t="str">
        <f>HYPERLINK("#'Constants - Poultry'!A1", "Constants - Poultry")</f>
        <v>Constants - Poultry</v>
      </c>
      <c r="D31" s="10"/>
      <c r="E31" s="47"/>
      <c r="F31" s="10"/>
      <c r="G31" s="10"/>
      <c r="H31" s="10"/>
    </row>
    <row r="32" spans="1:8" ht="20.100000000000001" customHeight="1" x14ac:dyDescent="0.25">
      <c r="A32" s="16" t="str">
        <f>HYPERLINK("#'Constants - Swine'!A1", "Constants - Swine")</f>
        <v>Constants - Swine</v>
      </c>
      <c r="D32" s="10"/>
      <c r="E32" s="47"/>
      <c r="F32" s="10"/>
      <c r="G32" s="10"/>
      <c r="H32" s="10"/>
    </row>
    <row r="33" spans="1:8" ht="20.100000000000001" customHeight="1" x14ac:dyDescent="0.25">
      <c r="A33" s="16" t="str">
        <f>HYPERLINK("#'Constants - Dairy'!A1", "Constants - Dairy")</f>
        <v>Constants - Dairy</v>
      </c>
      <c r="D33" s="10"/>
      <c r="E33" s="47"/>
      <c r="F33" s="10"/>
      <c r="G33" s="10"/>
      <c r="H33" s="10"/>
    </row>
    <row r="34" spans="1:8" ht="20.100000000000001" customHeight="1" x14ac:dyDescent="0.25">
      <c r="A34" s="16" t="str">
        <f>HYPERLINK("#'Constants - Pasture Beef'!A1", "Constants - Pasture Beef")</f>
        <v>Constants - Pasture Beef</v>
      </c>
      <c r="D34" s="10"/>
      <c r="E34" s="47"/>
      <c r="F34" s="10"/>
      <c r="G34" s="10"/>
      <c r="H34" s="10"/>
    </row>
    <row r="35" spans="1:8" ht="20.100000000000001" customHeight="1" x14ac:dyDescent="0.25">
      <c r="A35" s="16" t="str">
        <f>HYPERLINK("#'Constants - Common Livestock'!A1", "Constants - Common Livestock")</f>
        <v>Constants - Common Livestock</v>
      </c>
    </row>
    <row r="36" spans="1:8" ht="20.100000000000001" customHeight="1" x14ac:dyDescent="0.25">
      <c r="A36" s="16" t="str">
        <f>HYPERLINK("#'Constants - Fertiliser'!A1", "Constants - Fertiliser")</f>
        <v>Constants - Fertiliser</v>
      </c>
    </row>
    <row r="37" spans="1:8" ht="20.100000000000001" customHeight="1" x14ac:dyDescent="0.25">
      <c r="A37" s="16" t="str">
        <f>HYPERLINK("#'Constants - Electricity'!A1", "Constants - Electricity")</f>
        <v>Constants - Electricity</v>
      </c>
    </row>
    <row r="38" spans="1:8" ht="20.100000000000001" customHeight="1" x14ac:dyDescent="0.25">
      <c r="A38" s="16" t="str">
        <f>HYPERLINK("#'Constants - Common'!A1", "Constants - Common")</f>
        <v>Constants - Common</v>
      </c>
    </row>
    <row r="39" spans="1:8" ht="20.100000000000001" customHeight="1" x14ac:dyDescent="0.25"/>
    <row r="40" spans="1:8" ht="20.100000000000001" customHeight="1" x14ac:dyDescent="0.25"/>
    <row r="41" spans="1:8" ht="20.100000000000001" customHeight="1" x14ac:dyDescent="0.25"/>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5BFEE-1C12-42AF-9132-EF41B100F966}">
  <sheetPr>
    <tabColor theme="5" tint="-0.249977111117893"/>
  </sheetPr>
  <dimension ref="A1:L385"/>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6" width="59.25" style="8" customWidth="1"/>
    <col min="7" max="7" width="27" style="8" customWidth="1"/>
    <col min="8"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876</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877</v>
      </c>
    </row>
    <row r="6" spans="1:10" ht="20.100000000000001" customHeight="1" x14ac:dyDescent="0.25">
      <c r="A6"/>
    </row>
    <row r="7" spans="1:10" ht="20.100000000000001" customHeight="1" x14ac:dyDescent="0.25">
      <c r="A7" s="19" t="s">
        <v>67</v>
      </c>
      <c r="D7" s="95" t="s">
        <v>120</v>
      </c>
      <c r="E7" s="96"/>
    </row>
    <row r="8" spans="1:10" ht="20.100000000000001" customHeight="1" x14ac:dyDescent="0.25">
      <c r="A8" s="16" t="str">
        <f>HYPERLINK("#'Input - Site'!A1", "Site")</f>
        <v>Site</v>
      </c>
    </row>
    <row r="9" spans="1:10" ht="20.100000000000001" customHeight="1" x14ac:dyDescent="0.25">
      <c r="A9" s="16" t="str">
        <f>HYPERLINK("#'Input - Fuel'!A1", "Fuel")</f>
        <v>Fuel</v>
      </c>
      <c r="D9" s="46" t="s">
        <v>249</v>
      </c>
      <c r="E9" s="46" t="s">
        <v>777</v>
      </c>
      <c r="F9" s="46" t="s">
        <v>778</v>
      </c>
      <c r="G9" s="46" t="s">
        <v>779</v>
      </c>
      <c r="H9" s="46" t="s">
        <v>597</v>
      </c>
      <c r="I9" s="46" t="s">
        <v>780</v>
      </c>
    </row>
    <row r="10" spans="1:10" ht="20.100000000000001" customHeight="1" x14ac:dyDescent="0.25">
      <c r="A10" s="16" t="str">
        <f>HYPERLINK("#'Input - Fertiliser'!A1", "Fertiliser")</f>
        <v>Fertiliser</v>
      </c>
      <c r="D10" s="10" t="s">
        <v>878</v>
      </c>
      <c r="E10" s="47" t="s">
        <v>879</v>
      </c>
      <c r="F10" s="47" t="s">
        <v>782</v>
      </c>
      <c r="G10" s="47" t="s">
        <v>783</v>
      </c>
      <c r="H10" s="66">
        <v>50</v>
      </c>
      <c r="I10" s="47" t="s">
        <v>785</v>
      </c>
    </row>
    <row r="11" spans="1:10" ht="20.100000000000001" customHeight="1" x14ac:dyDescent="0.25">
      <c r="A11" s="16" t="str">
        <f>HYPERLINK("#'Input - Farm Inputs'!A1", "Farm Inputs")</f>
        <v>Farm Inputs</v>
      </c>
      <c r="D11" s="10" t="s">
        <v>880</v>
      </c>
      <c r="E11" s="47" t="s">
        <v>879</v>
      </c>
      <c r="F11" s="47" t="s">
        <v>782</v>
      </c>
      <c r="G11" s="47" t="s">
        <v>881</v>
      </c>
      <c r="H11" s="66">
        <v>50</v>
      </c>
      <c r="I11" s="47" t="s">
        <v>784</v>
      </c>
    </row>
    <row r="12" spans="1:10" ht="20.100000000000001" customHeight="1" x14ac:dyDescent="0.25">
      <c r="A12" s="16" t="str">
        <f>HYPERLINK("#'Input - Livestock purchases'!A1", "Livestock purchases")</f>
        <v>Livestock purchases</v>
      </c>
      <c r="D12" s="10" t="s">
        <v>882</v>
      </c>
      <c r="E12" s="47" t="s">
        <v>879</v>
      </c>
      <c r="F12" s="47" t="s">
        <v>787</v>
      </c>
      <c r="G12" s="47" t="s">
        <v>783</v>
      </c>
      <c r="H12" s="66">
        <v>50</v>
      </c>
      <c r="I12" s="47" t="s">
        <v>785</v>
      </c>
    </row>
    <row r="13" spans="1:10" ht="20.100000000000001" customHeight="1" x14ac:dyDescent="0.25">
      <c r="A13" s="16" t="str">
        <f>HYPERLINK("#'Input - Freight'!A1", "Freight")</f>
        <v>Freight</v>
      </c>
      <c r="D13" s="10" t="s">
        <v>883</v>
      </c>
      <c r="E13" s="47" t="s">
        <v>879</v>
      </c>
      <c r="F13" s="47" t="s">
        <v>787</v>
      </c>
      <c r="G13" s="47" t="s">
        <v>881</v>
      </c>
      <c r="H13" s="66">
        <v>50</v>
      </c>
      <c r="I13" s="47" t="s">
        <v>784</v>
      </c>
    </row>
    <row r="14" spans="1:10" ht="20.100000000000001" customHeight="1" x14ac:dyDescent="0.25">
      <c r="A14" s="42" t="str">
        <f>HYPERLINK("#'Input - Solid waste'!A1", "Solid waste")</f>
        <v>Solid waste</v>
      </c>
      <c r="D14" s="10" t="s">
        <v>884</v>
      </c>
      <c r="E14" s="47" t="s">
        <v>786</v>
      </c>
      <c r="F14" s="47" t="s">
        <v>787</v>
      </c>
      <c r="G14" s="47" t="s">
        <v>783</v>
      </c>
      <c r="H14" s="66">
        <v>50</v>
      </c>
      <c r="I14" s="47" t="s">
        <v>785</v>
      </c>
    </row>
    <row r="15" spans="1:10" ht="20.100000000000001" customHeight="1" x14ac:dyDescent="0.25">
      <c r="A15" s="16" t="str">
        <f>HYPERLINK("#'Input - Manure sent off-site'!A1", "Manure sent off-site")</f>
        <v>Manure sent off-site</v>
      </c>
      <c r="D15" s="10" t="s">
        <v>885</v>
      </c>
      <c r="E15" s="47" t="s">
        <v>786</v>
      </c>
      <c r="F15" s="47" t="s">
        <v>787</v>
      </c>
      <c r="G15" s="47" t="s">
        <v>783</v>
      </c>
      <c r="H15" s="66">
        <v>50</v>
      </c>
      <c r="I15" s="47" t="s">
        <v>784</v>
      </c>
    </row>
    <row r="16" spans="1:10" ht="20.100000000000001" customHeight="1" x14ac:dyDescent="0.25">
      <c r="A16" s="16" t="str">
        <f>HYPERLINK("#'Input - Electricity'!A1", "Electricity")</f>
        <v>Electricity</v>
      </c>
      <c r="D16" s="10" t="s">
        <v>886</v>
      </c>
      <c r="E16" s="47" t="s">
        <v>786</v>
      </c>
      <c r="F16" s="47" t="s">
        <v>787</v>
      </c>
      <c r="G16" s="47" t="s">
        <v>881</v>
      </c>
      <c r="H16" s="66">
        <v>50</v>
      </c>
      <c r="I16" s="47" t="s">
        <v>785</v>
      </c>
    </row>
    <row r="17" spans="1:11" ht="20.100000000000001" customHeight="1" x14ac:dyDescent="0.25">
      <c r="A17"/>
      <c r="D17" s="10" t="s">
        <v>887</v>
      </c>
      <c r="E17" s="47" t="s">
        <v>786</v>
      </c>
      <c r="F17" s="47" t="s">
        <v>787</v>
      </c>
      <c r="G17" s="47" t="s">
        <v>881</v>
      </c>
      <c r="H17" s="66">
        <v>50</v>
      </c>
      <c r="I17" s="47" t="s">
        <v>784</v>
      </c>
    </row>
    <row r="18" spans="1:11" ht="20.100000000000001" customHeight="1" x14ac:dyDescent="0.25">
      <c r="A18"/>
      <c r="D18" s="10" t="s">
        <v>888</v>
      </c>
      <c r="E18" s="47" t="s">
        <v>786</v>
      </c>
      <c r="F18" s="47" t="s">
        <v>782</v>
      </c>
      <c r="G18" s="47" t="s">
        <v>783</v>
      </c>
      <c r="H18" s="66">
        <v>50</v>
      </c>
      <c r="I18" s="47" t="s">
        <v>785</v>
      </c>
    </row>
    <row r="19" spans="1:11" ht="20.100000000000001" customHeight="1" x14ac:dyDescent="0.25">
      <c r="A19" s="21" t="s">
        <v>77</v>
      </c>
      <c r="D19" s="10" t="s">
        <v>889</v>
      </c>
      <c r="E19" s="47" t="s">
        <v>786</v>
      </c>
      <c r="F19" s="47" t="s">
        <v>782</v>
      </c>
      <c r="G19" s="47" t="s">
        <v>783</v>
      </c>
      <c r="H19" s="66">
        <v>50</v>
      </c>
      <c r="I19" s="47" t="s">
        <v>784</v>
      </c>
    </row>
    <row r="20" spans="1:11" ht="20.100000000000001" customHeight="1" x14ac:dyDescent="0.25">
      <c r="A20" s="16" t="str">
        <f>HYPERLINK("#'15 Scope 3'!A1", "15 Scope 3")</f>
        <v>15 Scope 3</v>
      </c>
      <c r="D20" s="10" t="s">
        <v>890</v>
      </c>
      <c r="E20" s="47" t="s">
        <v>786</v>
      </c>
      <c r="F20" s="47" t="s">
        <v>782</v>
      </c>
      <c r="G20" s="47" t="s">
        <v>881</v>
      </c>
      <c r="H20" s="66">
        <v>50</v>
      </c>
      <c r="I20" s="47" t="s">
        <v>785</v>
      </c>
    </row>
    <row r="21" spans="1:11" ht="20.100000000000001" customHeight="1" x14ac:dyDescent="0.25">
      <c r="A21" s="16" t="str">
        <f>HYPERLINK("#'10.1.1-2 Solid waste treatment'!A1", "10.1.1-2 Solid waste treatment")</f>
        <v>10.1.1-2 Solid waste treatment</v>
      </c>
      <c r="D21" s="10" t="s">
        <v>891</v>
      </c>
      <c r="E21" s="47" t="s">
        <v>786</v>
      </c>
      <c r="F21" s="47" t="s">
        <v>782</v>
      </c>
      <c r="G21" s="47" t="s">
        <v>881</v>
      </c>
      <c r="H21" s="66">
        <v>50</v>
      </c>
      <c r="I21" s="47" t="s">
        <v>784</v>
      </c>
    </row>
    <row r="22" spans="1:11" ht="20.100000000000001" customHeight="1" x14ac:dyDescent="0.25">
      <c r="A22" s="16" t="str">
        <f>HYPERLINK("#'Calcs - Manure sent off-site'!A1", "Calcs - Manure sent off-site")</f>
        <v>Calcs - Manure sent off-site</v>
      </c>
      <c r="D22" s="10" t="s">
        <v>892</v>
      </c>
      <c r="E22" s="47" t="s">
        <v>786</v>
      </c>
      <c r="F22" s="47" t="s">
        <v>893</v>
      </c>
      <c r="G22" s="47" t="s">
        <v>783</v>
      </c>
      <c r="H22" s="66">
        <v>50</v>
      </c>
      <c r="I22" s="47" t="s">
        <v>785</v>
      </c>
    </row>
    <row r="23" spans="1:11" ht="20.100000000000001" customHeight="1" x14ac:dyDescent="0.25">
      <c r="A23" s="16" t="str">
        <f>HYPERLINK("#'8.1.1.1-2 Transport fuel'!A1", "8.1.1.1-2 Transport fuel")</f>
        <v>8.1.1.1-2 Transport fuel</v>
      </c>
      <c r="D23" s="10" t="s">
        <v>894</v>
      </c>
      <c r="E23" s="47" t="s">
        <v>786</v>
      </c>
      <c r="F23" s="47" t="s">
        <v>893</v>
      </c>
      <c r="G23" s="47" t="s">
        <v>783</v>
      </c>
      <c r="H23" s="66">
        <v>50</v>
      </c>
      <c r="I23" s="47" t="s">
        <v>784</v>
      </c>
    </row>
    <row r="24" spans="1:11" ht="20.100000000000001" customHeight="1" x14ac:dyDescent="0.25">
      <c r="A24" s="16" t="str">
        <f>HYPERLINK("#'8.2.1.1-2 Stationary fuel'!A1", "8.2.1.1-2 Stationary fuel")</f>
        <v>8.2.1.1-2 Stationary fuel</v>
      </c>
      <c r="D24" s="10" t="s">
        <v>895</v>
      </c>
      <c r="E24" s="47" t="s">
        <v>786</v>
      </c>
      <c r="F24" s="47" t="s">
        <v>893</v>
      </c>
      <c r="G24" s="47" t="s">
        <v>881</v>
      </c>
      <c r="H24" s="66">
        <v>50</v>
      </c>
      <c r="I24" s="47" t="s">
        <v>785</v>
      </c>
    </row>
    <row r="25" spans="1:11" ht="20.100000000000001" customHeight="1" x14ac:dyDescent="0.25">
      <c r="A25"/>
      <c r="D25" s="10" t="s">
        <v>896</v>
      </c>
      <c r="E25" s="47" t="s">
        <v>786</v>
      </c>
      <c r="F25" s="47" t="s">
        <v>893</v>
      </c>
      <c r="G25" s="47" t="s">
        <v>881</v>
      </c>
      <c r="H25" s="66">
        <v>50</v>
      </c>
      <c r="I25" s="47" t="s">
        <v>784</v>
      </c>
    </row>
    <row r="26" spans="1:11" ht="20.100000000000001" customHeight="1" x14ac:dyDescent="0.25">
      <c r="A26"/>
      <c r="D26" s="10" t="s">
        <v>897</v>
      </c>
      <c r="E26" s="47" t="s">
        <v>781</v>
      </c>
      <c r="F26" s="47" t="s">
        <v>782</v>
      </c>
      <c r="G26" s="47" t="s">
        <v>881</v>
      </c>
      <c r="H26" s="66">
        <v>50</v>
      </c>
      <c r="I26" s="47" t="s">
        <v>785</v>
      </c>
    </row>
    <row r="27" spans="1:11" ht="20.100000000000001" customHeight="1" x14ac:dyDescent="0.25">
      <c r="A27" s="229" t="s">
        <v>78</v>
      </c>
      <c r="D27" s="10" t="s">
        <v>898</v>
      </c>
      <c r="E27" s="47" t="s">
        <v>781</v>
      </c>
      <c r="F27" s="47" t="s">
        <v>782</v>
      </c>
      <c r="G27" s="47" t="s">
        <v>881</v>
      </c>
      <c r="H27" s="66">
        <v>50</v>
      </c>
      <c r="I27" s="47" t="s">
        <v>784</v>
      </c>
    </row>
    <row r="28" spans="1:11" ht="20.100000000000001" customHeight="1" x14ac:dyDescent="0.25">
      <c r="A28" s="16" t="str">
        <f>HYPERLINK("#'Constants - Scope 3'!A1", "Constants - Scope 3")</f>
        <v>Constants - Scope 3</v>
      </c>
      <c r="D28" s="10" t="s">
        <v>899</v>
      </c>
      <c r="E28" s="47" t="s">
        <v>781</v>
      </c>
      <c r="F28" s="47" t="s">
        <v>893</v>
      </c>
      <c r="G28" s="47" t="s">
        <v>881</v>
      </c>
      <c r="H28" s="66">
        <v>50</v>
      </c>
      <c r="I28" s="47" t="s">
        <v>785</v>
      </c>
    </row>
    <row r="29" spans="1:11" ht="20.100000000000001" customHeight="1" x14ac:dyDescent="0.25">
      <c r="A29" s="16" t="str">
        <f>HYPERLINK("#'Constants - Solid Waste'!A1", "Constants - Solid Waste")</f>
        <v>Constants - Solid Waste</v>
      </c>
      <c r="D29" s="10" t="s">
        <v>900</v>
      </c>
      <c r="E29" s="47" t="s">
        <v>781</v>
      </c>
      <c r="F29" s="47" t="s">
        <v>893</v>
      </c>
      <c r="G29" s="47" t="s">
        <v>881</v>
      </c>
      <c r="H29" s="66">
        <v>50</v>
      </c>
      <c r="I29" s="47" t="s">
        <v>784</v>
      </c>
      <c r="K29" s="52"/>
    </row>
    <row r="30" spans="1:11" ht="20.100000000000001" customHeight="1" x14ac:dyDescent="0.25">
      <c r="A30" s="16" t="str">
        <f>HYPERLINK("#'Constants - Fuel'!A1", "Constants - Fuel")</f>
        <v>Constants - Fuel</v>
      </c>
      <c r="D30" s="10" t="s">
        <v>901</v>
      </c>
      <c r="E30" s="47" t="s">
        <v>781</v>
      </c>
      <c r="F30" s="47" t="s">
        <v>893</v>
      </c>
      <c r="G30" s="47" t="s">
        <v>783</v>
      </c>
      <c r="H30" s="66">
        <v>50</v>
      </c>
      <c r="I30" s="47" t="s">
        <v>785</v>
      </c>
      <c r="K30" s="52"/>
    </row>
    <row r="31" spans="1:11" ht="20.100000000000001" customHeight="1" x14ac:dyDescent="0.25">
      <c r="A31" s="16" t="str">
        <f>HYPERLINK("#'Constants - Poultry'!A1", "Constants - Poultry")</f>
        <v>Constants - Poultry</v>
      </c>
      <c r="D31" s="10" t="s">
        <v>902</v>
      </c>
      <c r="E31" s="47" t="s">
        <v>781</v>
      </c>
      <c r="F31" s="47" t="s">
        <v>893</v>
      </c>
      <c r="G31" s="47" t="s">
        <v>783</v>
      </c>
      <c r="H31" s="66">
        <v>50</v>
      </c>
      <c r="I31" s="47" t="s">
        <v>784</v>
      </c>
      <c r="K31" s="52"/>
    </row>
    <row r="32" spans="1:11" ht="20.100000000000001" customHeight="1" x14ac:dyDescent="0.25">
      <c r="A32" s="16" t="str">
        <f>HYPERLINK("#'Constants - Swine'!A1", "Constants - Swine")</f>
        <v>Constants - Swine</v>
      </c>
      <c r="D32" s="10" t="s">
        <v>900</v>
      </c>
      <c r="E32" s="47" t="s">
        <v>781</v>
      </c>
      <c r="F32" s="47" t="s">
        <v>893</v>
      </c>
      <c r="G32" s="47" t="s">
        <v>881</v>
      </c>
      <c r="H32" s="66">
        <v>50</v>
      </c>
      <c r="I32" s="47" t="s">
        <v>784</v>
      </c>
      <c r="K32" s="52"/>
    </row>
    <row r="33" spans="1:12" ht="20.100000000000001" customHeight="1" x14ac:dyDescent="0.25">
      <c r="A33" s="16" t="str">
        <f>HYPERLINK("#'Constants - Dairy'!A1", "Constants - Dairy")</f>
        <v>Constants - Dairy</v>
      </c>
      <c r="K33" s="52"/>
    </row>
    <row r="34" spans="1:12" ht="20.100000000000001" customHeight="1" x14ac:dyDescent="0.25">
      <c r="A34" s="16" t="str">
        <f>HYPERLINK("#'Constants - Pasture Beef'!A1", "Constants - Pasture Beef")</f>
        <v>Constants - Pasture Beef</v>
      </c>
      <c r="K34" s="52"/>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c r="L36" s="52"/>
    </row>
    <row r="37" spans="1:12" ht="20.100000000000001" customHeight="1" x14ac:dyDescent="0.25">
      <c r="A37" s="16" t="str">
        <f>HYPERLINK("#'Constants - Electricity'!A1", "Constants - Electricity")</f>
        <v>Constants - Electricity</v>
      </c>
      <c r="L37" s="52"/>
    </row>
    <row r="38" spans="1:12" ht="20.100000000000001" customHeight="1" x14ac:dyDescent="0.25">
      <c r="A38" s="16" t="str">
        <f>HYPERLINK("#'Constants - Common'!A1", "Constants - Common")</f>
        <v>Constants - Common</v>
      </c>
      <c r="C38" s="51"/>
    </row>
    <row r="39" spans="1:12" ht="20.100000000000001" customHeight="1" x14ac:dyDescent="0.25">
      <c r="A39"/>
      <c r="C39" s="51"/>
      <c r="J39" s="51"/>
    </row>
    <row r="40" spans="1:12" s="52" customFormat="1" ht="20.100000000000001" customHeight="1" x14ac:dyDescent="0.25">
      <c r="A40"/>
      <c r="C40" s="8"/>
      <c r="D40" s="8"/>
      <c r="E40" s="8"/>
      <c r="F40" s="8"/>
      <c r="G40" s="8"/>
      <c r="H40" s="8"/>
      <c r="I40" s="8"/>
      <c r="J40" s="8"/>
    </row>
    <row r="41" spans="1:12" s="52" customFormat="1" ht="20.100000000000001" customHeight="1" x14ac:dyDescent="0.25">
      <c r="A41"/>
      <c r="C41" s="8"/>
      <c r="D41" s="8"/>
      <c r="E41" s="8"/>
      <c r="F41" s="8"/>
      <c r="G41" s="8"/>
      <c r="H41" s="8"/>
      <c r="I41" s="8"/>
      <c r="J41" s="8"/>
      <c r="L41" s="52" t="s">
        <v>259</v>
      </c>
    </row>
    <row r="42" spans="1:12" ht="20.100000000000001" customHeight="1" x14ac:dyDescent="0.25">
      <c r="A42"/>
    </row>
    <row r="43" spans="1:12" ht="20.100000000000001" customHeight="1" x14ac:dyDescent="0.25">
      <c r="A43"/>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4" ht="20.100000000000001" customHeight="1" x14ac:dyDescent="0.25">
      <c r="A65"/>
    </row>
    <row r="66" spans="1:4" ht="20.100000000000001" customHeight="1" x14ac:dyDescent="0.25">
      <c r="A66"/>
    </row>
    <row r="67" spans="1:4" ht="20.100000000000001" customHeight="1" x14ac:dyDescent="0.25">
      <c r="A67"/>
    </row>
    <row r="68" spans="1:4" ht="20.100000000000001" customHeight="1" x14ac:dyDescent="0.25">
      <c r="A68"/>
    </row>
    <row r="69" spans="1:4" ht="20.100000000000001" customHeight="1" x14ac:dyDescent="0.25">
      <c r="A69"/>
    </row>
    <row r="70" spans="1:4" ht="20.100000000000001" customHeight="1" x14ac:dyDescent="0.25">
      <c r="A70"/>
    </row>
    <row r="71" spans="1:4" ht="20.100000000000001" customHeight="1" x14ac:dyDescent="0.25">
      <c r="A71"/>
    </row>
    <row r="72" spans="1:4" ht="20.100000000000001" customHeight="1" x14ac:dyDescent="0.25">
      <c r="A72"/>
    </row>
    <row r="73" spans="1:4" ht="20.100000000000001" customHeight="1" x14ac:dyDescent="0.25">
      <c r="A73"/>
      <c r="D73" s="101"/>
    </row>
    <row r="74" spans="1:4" ht="20.100000000000001" customHeight="1" x14ac:dyDescent="0.25">
      <c r="A74"/>
    </row>
    <row r="75" spans="1:4" ht="20.100000000000001" customHeight="1" x14ac:dyDescent="0.25">
      <c r="A75"/>
      <c r="D75" s="101"/>
    </row>
    <row r="76" spans="1:4" ht="20.100000000000001" customHeight="1" x14ac:dyDescent="0.25">
      <c r="A76"/>
      <c r="D76" s="101"/>
    </row>
    <row r="77" spans="1:4" ht="20.100000000000001" customHeight="1" x14ac:dyDescent="0.25">
      <c r="A77"/>
    </row>
    <row r="78" spans="1:4" ht="20.100000000000001" customHeight="1" x14ac:dyDescent="0.25">
      <c r="A78"/>
    </row>
    <row r="79" spans="1:4" ht="20.100000000000001" customHeight="1" x14ac:dyDescent="0.25">
      <c r="A79"/>
    </row>
    <row r="80" spans="1:4"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54"/>
    </row>
  </sheetData>
  <conditionalFormatting sqref="F162:F163">
    <cfRule type="cellIs" dxfId="33" priority="7" operator="lessThan">
      <formula>0</formula>
    </cfRule>
  </conditionalFormatting>
  <conditionalFormatting sqref="F174:F175">
    <cfRule type="cellIs" dxfId="32" priority="6" operator="lessThan">
      <formula>0</formula>
    </cfRule>
  </conditionalFormatting>
  <conditionalFormatting sqref="F186:F187">
    <cfRule type="cellIs" dxfId="31" priority="5" operator="lessThan">
      <formula>0</formula>
    </cfRule>
  </conditionalFormatting>
  <conditionalFormatting sqref="F274:F275">
    <cfRule type="cellIs" dxfId="30" priority="17" operator="lessThan">
      <formula>0</formula>
    </cfRule>
  </conditionalFormatting>
  <conditionalFormatting sqref="F279:F280">
    <cfRule type="cellIs" dxfId="29" priority="16" operator="lessThan">
      <formula>0</formula>
    </cfRule>
  </conditionalFormatting>
  <conditionalFormatting sqref="F284:F285">
    <cfRule type="cellIs" dxfId="28" priority="15" operator="lessThan">
      <formula>0</formula>
    </cfRule>
  </conditionalFormatting>
  <conditionalFormatting sqref="F308:F309">
    <cfRule type="cellIs" dxfId="27" priority="14" operator="lessThan">
      <formula>0</formula>
    </cfRule>
  </conditionalFormatting>
  <conditionalFormatting sqref="F313:F314">
    <cfRule type="cellIs" dxfId="26" priority="13" operator="lessThan">
      <formula>0</formula>
    </cfRule>
  </conditionalFormatting>
  <conditionalFormatting sqref="F318:F319">
    <cfRule type="cellIs" dxfId="25" priority="12" operator="lessThan">
      <formula>0</formula>
    </cfRule>
  </conditionalFormatting>
  <conditionalFormatting sqref="I33 F71">
    <cfRule type="cellIs" dxfId="24" priority="9" operator="lessThan">
      <formula>0</formula>
    </cfRule>
  </conditionalFormatting>
  <conditionalFormatting sqref="I79:I83">
    <cfRule type="cellIs" dxfId="23" priority="4" operator="lessThan">
      <formula>0</formula>
    </cfRule>
  </conditionalFormatting>
  <conditionalFormatting sqref="I87 I146">
    <cfRule type="cellIs" dxfId="22" priority="10" operator="lessThan">
      <formula>0</formula>
    </cfRule>
  </conditionalFormatting>
  <conditionalFormatting sqref="I98:I100">
    <cfRule type="cellIs" dxfId="21" priority="3" operator="lessThan">
      <formula>0</formula>
    </cfRule>
  </conditionalFormatting>
  <conditionalFormatting sqref="I104:I107">
    <cfRule type="cellIs" dxfId="20" priority="2" operator="lessThan">
      <formula>0</formula>
    </cfRule>
  </conditionalFormatting>
  <conditionalFormatting sqref="I111:I115">
    <cfRule type="cellIs" dxfId="19" priority="1" operator="lessThan">
      <formula>0</formula>
    </cfRule>
  </conditionalFormatting>
  <conditionalFormatting sqref="J8 I65:I66 H67:H69 I68 I70:I72 I74:I75 I226 I232 E234:G234">
    <cfRule type="cellIs" dxfId="18" priority="11" operator="lessThan">
      <formula>0</formula>
    </cfRule>
  </conditionalFormatting>
  <conditionalFormatting sqref="J37 I59 F150:F151">
    <cfRule type="cellIs" dxfId="17" priority="8" operator="lessThan">
      <formula>0</formula>
    </cfRule>
  </conditionalFormatting>
  <dataValidations count="9">
    <dataValidation type="list" allowBlank="1" showInputMessage="1" showErrorMessage="1" sqref="F10:F32" xr:uid="{6D94E9A2-3C66-42DE-A6D5-A1BF9C25F099}">
      <formula1>INDIRECT("Table_WasteTypes_" &amp; SUBSTITUTE(E10, " ", "") &amp; "[Waste type w]")</formula1>
    </dataValidation>
    <dataValidation type="list" allowBlank="1" showInputMessage="1" showErrorMessage="1" sqref="I10:I32" xr:uid="{D876DB82-AA0C-4E51-ACB9-D21029659591}">
      <formula1>"tonnes, cubic metres m3"</formula1>
    </dataValidation>
    <dataValidation type="list" allowBlank="1" showInputMessage="1" showErrorMessage="1" sqref="G10:G32" xr:uid="{0B301F69-D4FE-4E2F-B243-8721639A7E58}">
      <formula1>"Treated on-site, Removed and treated off-site"</formula1>
    </dataValidation>
    <dataValidation type="list" allowBlank="1" showInputMessage="1" showErrorMessage="1" sqref="E10:E32" xr:uid="{C10215DF-0122-46F1-9B18-465AE08E545F}">
      <formula1>INDIRECT(_xlfn.UNIQUE("Table_SourceData_WasteSolid_WasteTreatmentEFs[Treatment type t]"))</formula1>
    </dataValidation>
    <dataValidation type="list" allowBlank="1" showInputMessage="1" showErrorMessage="1" sqref="E35" xr:uid="{4EF83F33-FF1D-44CE-83EC-D92261A3ACE9}">
      <formula1>INDIRECT("Table_SourceData_ElectricityEFs[State, Territory or grid description]")</formula1>
    </dataValidation>
    <dataValidation type="list" allowBlank="1" showInputMessage="1" showErrorMessage="1" sqref="E89" xr:uid="{BC1DF229-08B2-4E47-BE90-5192CC731AD8}">
      <formula1>INDIRECT("Table_SourceData_Swine_IrrigationMethods[Irrigation method]")</formula1>
    </dataValidation>
    <dataValidation type="list" allowBlank="1" showInputMessage="1" showErrorMessage="1" sqref="E273 E278 E283 E317 E312 E307 E185 E173 E149 E161" xr:uid="{B7A2A6C0-0911-4F87-94A7-96213179A0EA}">
      <formula1>"Yes, No"</formula1>
    </dataValidation>
    <dataValidation type="list" allowBlank="1" showInputMessage="1" showErrorMessage="1" sqref="E249" xr:uid="{C62467BB-BD52-4364-9346-08AD77E79CC3}">
      <formula1>INDIRECT("Table_SourceData_Dairy_ProductionSystemTemplates[Area]")</formula1>
    </dataValidation>
    <dataValidation type="list" allowBlank="1" showInputMessage="1" showErrorMessage="1" sqref="D301" xr:uid="{5F8DF108-0EBA-4DC1-83BF-9BD9FA53E607}">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38"/>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849</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743</v>
      </c>
    </row>
    <row r="7" spans="1:11" x14ac:dyDescent="0.25">
      <c r="A7" s="19" t="s">
        <v>67</v>
      </c>
      <c r="D7" s="8" t="s">
        <v>765</v>
      </c>
    </row>
    <row r="8" spans="1:11" ht="18.75" x14ac:dyDescent="0.25">
      <c r="A8" s="16" t="str">
        <f>HYPERLINK("#'Input - Site'!A1", "Site")</f>
        <v>Site</v>
      </c>
      <c r="D8" s="8" t="s">
        <v>766</v>
      </c>
    </row>
    <row r="9" spans="1:11" x14ac:dyDescent="0.25">
      <c r="A9" s="16" t="str">
        <f>HYPERLINK("#'Input - Fuel'!A1", "Fuel")</f>
        <v>Fuel</v>
      </c>
    </row>
    <row r="10" spans="1:11" x14ac:dyDescent="0.25">
      <c r="A10" s="16" t="str">
        <f>HYPERLINK("#'Input - Fertiliser'!A1", "Fertiliser")</f>
        <v>Fertiliser</v>
      </c>
      <c r="D10" s="8" t="s">
        <v>850</v>
      </c>
      <c r="F10" s="66">
        <v>1000</v>
      </c>
      <c r="G10" s="65" t="s">
        <v>744</v>
      </c>
    </row>
    <row r="11" spans="1:11" x14ac:dyDescent="0.25">
      <c r="A11" s="16" t="str">
        <f>HYPERLINK("#'Input - Farm Inputs'!A1", "Farm Inputs")</f>
        <v>Farm Inputs</v>
      </c>
      <c r="D11" s="8" t="s">
        <v>851</v>
      </c>
      <c r="F11" s="66">
        <v>2000</v>
      </c>
      <c r="G11" s="65" t="s">
        <v>744</v>
      </c>
    </row>
    <row r="12" spans="1:11" x14ac:dyDescent="0.25">
      <c r="A12" s="16" t="str">
        <f>HYPERLINK("#'Input - Livestock purchases'!A1", "Livestock purchases")</f>
        <v>Livestock purchases</v>
      </c>
    </row>
    <row r="13" spans="1:11" x14ac:dyDescent="0.25">
      <c r="A13" s="16" t="str">
        <f>HYPERLINK("#'Input - Freight'!A1", "Freight")</f>
        <v>Freight</v>
      </c>
      <c r="D13" s="8" t="s">
        <v>745</v>
      </c>
      <c r="F13" s="47" t="s">
        <v>149</v>
      </c>
      <c r="G13" s="65" t="s">
        <v>194</v>
      </c>
    </row>
    <row r="14" spans="1:11" x14ac:dyDescent="0.25">
      <c r="A14" s="16" t="str">
        <f>HYPERLINK("#'Input - Solid waste'!A1", "Solid waste")</f>
        <v>Solid waste</v>
      </c>
      <c r="D14" s="8" t="s">
        <v>749</v>
      </c>
      <c r="F14" s="47" t="s">
        <v>154</v>
      </c>
      <c r="G14" s="65" t="s">
        <v>194</v>
      </c>
    </row>
    <row r="15" spans="1:11" x14ac:dyDescent="0.25">
      <c r="A15" s="42" t="str">
        <f>HYPERLINK("#'Input - Manure sent off-site'!A1", "Manure sent off-site")</f>
        <v>Manure sent off-site</v>
      </c>
    </row>
    <row r="16" spans="1:11" x14ac:dyDescent="0.25">
      <c r="A16" s="16" t="str">
        <f>HYPERLINK("#'Input - Electricity'!A1", "Electricity")</f>
        <v>Electricity</v>
      </c>
    </row>
    <row r="19" spans="1:1" x14ac:dyDescent="0.25">
      <c r="A19" s="21" t="s">
        <v>77</v>
      </c>
    </row>
    <row r="20" spans="1:1" x14ac:dyDescent="0.25">
      <c r="A20" s="16" t="str">
        <f>HYPERLINK("#'15 Scope 3'!A1", "15 Scope 3")</f>
        <v>15 Scope 3</v>
      </c>
    </row>
    <row r="21" spans="1:1" x14ac:dyDescent="0.25">
      <c r="A21" s="16" t="str">
        <f>HYPERLINK("#'10.1.1-2 Solid waste treatment'!A1", "10.1.1-2 Solid waste treatment")</f>
        <v>10.1.1-2 Solid waste treatment</v>
      </c>
    </row>
    <row r="22" spans="1:1" x14ac:dyDescent="0.25">
      <c r="A22" s="16" t="str">
        <f>HYPERLINK("#'Calcs - Manure sent off-site'!A1", "Calcs - Manure sent off-site")</f>
        <v>Calcs - Manure sent off-site</v>
      </c>
    </row>
    <row r="23" spans="1:1" x14ac:dyDescent="0.25">
      <c r="A23" s="16" t="str">
        <f>HYPERLINK("#'8.1.1.1-2 Transport fuel'!A1", "8.1.1.1-2 Transport fuel")</f>
        <v>8.1.1.1-2 Transport fuel</v>
      </c>
    </row>
    <row r="24" spans="1:1" x14ac:dyDescent="0.25">
      <c r="A24" s="16" t="str">
        <f>HYPERLINK("#'8.2.1.1-2 Stationary fuel'!A1", "8.2.1.1-2 Stationary fuel")</f>
        <v>8.2.1.1-2 Stationary fuel</v>
      </c>
    </row>
    <row r="27" spans="1:1" x14ac:dyDescent="0.25">
      <c r="A27" s="229" t="s">
        <v>78</v>
      </c>
    </row>
    <row r="28" spans="1:1" x14ac:dyDescent="0.25">
      <c r="A28" s="16" t="str">
        <f>HYPERLINK("#'Constants - Scope 3'!A1", "Constants - Scope 3")</f>
        <v>Constants - Scope 3</v>
      </c>
    </row>
    <row r="29" spans="1:1" x14ac:dyDescent="0.25">
      <c r="A29" s="16" t="str">
        <f>HYPERLINK("#'Constants - Solid Waste'!A1", "Constants - Solid Waste")</f>
        <v>Constants - Solid Waste</v>
      </c>
    </row>
    <row r="30" spans="1:1" x14ac:dyDescent="0.25">
      <c r="A30" s="16" t="str">
        <f>HYPERLINK("#'Constants - Fuel'!A1", "Constants - Fuel")</f>
        <v>Constants - Fuel</v>
      </c>
    </row>
    <row r="31" spans="1:1" x14ac:dyDescent="0.25">
      <c r="A31" s="16" t="str">
        <f>HYPERLINK("#'Constants - Poultry'!A1", "Constants - Poultry")</f>
        <v>Constants - Poultry</v>
      </c>
    </row>
    <row r="32" spans="1:1" x14ac:dyDescent="0.25">
      <c r="A32" s="16" t="str">
        <f>HYPERLINK("#'Constants - Swine'!A1", "Constants - Swine")</f>
        <v>Constants - Swine</v>
      </c>
    </row>
    <row r="33" spans="1:1" x14ac:dyDescent="0.25">
      <c r="A33" s="16" t="str">
        <f>HYPERLINK("#'Constants - Dairy'!A1", "Constants - Dairy")</f>
        <v>Constants - Dairy</v>
      </c>
    </row>
    <row r="34" spans="1:1" x14ac:dyDescent="0.25">
      <c r="A34" s="16" t="str">
        <f>HYPERLINK("#'Constants - Pasture Beef'!A1", "Constants - Pasture Beef")</f>
        <v>Constants - Pasture Beef</v>
      </c>
    </row>
    <row r="35" spans="1:1" x14ac:dyDescent="0.25">
      <c r="A35" s="16" t="str">
        <f>HYPERLINK("#'Constants - Common Livestock'!A1", "Constants - Common Livestock")</f>
        <v>Constants - Common Livestock</v>
      </c>
    </row>
    <row r="36" spans="1:1" x14ac:dyDescent="0.25">
      <c r="A36" s="16" t="str">
        <f>HYPERLINK("#'Constants - Fertiliser'!A1", "Constants - Fertiliser")</f>
        <v>Constants - Fertiliser</v>
      </c>
    </row>
    <row r="37" spans="1:1" x14ac:dyDescent="0.25">
      <c r="A37" s="16" t="str">
        <f>HYPERLINK("#'Constants - Electricity'!A1", "Constants - Electricity")</f>
        <v>Constants - Electricity</v>
      </c>
    </row>
    <row r="38" spans="1:1" x14ac:dyDescent="0.25">
      <c r="A38"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8C732-66F8-4CC4-ADF6-95C32B825951}">
  <dimension ref="A1:L365"/>
  <sheetViews>
    <sheetView showGridLines="0" topLeftCell="A24"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232</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837</v>
      </c>
      <c r="E5" s="47" t="s">
        <v>838</v>
      </c>
      <c r="F5" s="65" t="s">
        <v>194</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98"/>
      <c r="D8" s="98"/>
      <c r="E8" s="98"/>
      <c r="F8" s="98"/>
      <c r="G8" s="98"/>
      <c r="H8" s="98"/>
      <c r="I8" s="98"/>
      <c r="J8" s="98"/>
    </row>
    <row r="9" spans="1:10" ht="20.100000000000001" customHeight="1" x14ac:dyDescent="0.25">
      <c r="A9" s="16" t="str">
        <f>HYPERLINK("#'Input - Fuel'!A1", "Fuel")</f>
        <v>Fuel</v>
      </c>
      <c r="D9" s="9" t="s">
        <v>233</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71" t="s">
        <v>234</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95" t="s">
        <v>235</v>
      </c>
      <c r="E13" s="96"/>
      <c r="F13" s="14"/>
    </row>
    <row r="14" spans="1:10" ht="20.100000000000001" customHeight="1" x14ac:dyDescent="0.25">
      <c r="A14" s="16" t="str">
        <f>HYPERLINK("#'Input - Solid waste'!A1", "Solid waste")</f>
        <v>Solid waste</v>
      </c>
      <c r="D14" s="14"/>
      <c r="E14" s="14"/>
      <c r="F14" s="14"/>
    </row>
    <row r="15" spans="1:10" ht="20.100000000000001" customHeight="1" x14ac:dyDescent="0.25">
      <c r="A15" s="16" t="str">
        <f>HYPERLINK("#'Input - Manure sent off-site'!A1", "Manure sent off-site")</f>
        <v>Manure sent off-site</v>
      </c>
      <c r="D15" s="8" t="s">
        <v>236</v>
      </c>
      <c r="E15" s="97">
        <v>30000</v>
      </c>
      <c r="F15" s="65" t="s">
        <v>237</v>
      </c>
    </row>
    <row r="16" spans="1:10" ht="20.100000000000001" customHeight="1" x14ac:dyDescent="0.25">
      <c r="A16" s="42" t="str">
        <f>HYPERLINK("#'Input - Electricity'!A1", "Electricity")</f>
        <v>Electricity</v>
      </c>
      <c r="D16" s="8" t="s">
        <v>238</v>
      </c>
      <c r="E16" s="49" t="str">
        <f>IF(X_Cell_Site_State="Western Australia", X_Cell_Site_Region, X_Cell_Site_State)</f>
        <v>Western Australia - Outback (South)</v>
      </c>
      <c r="F16" s="14"/>
    </row>
    <row r="17" spans="1:11" ht="20.100000000000001" customHeight="1" x14ac:dyDescent="0.25">
      <c r="A17"/>
      <c r="D17" s="8" t="s">
        <v>239</v>
      </c>
      <c r="E17" s="47" t="s">
        <v>903</v>
      </c>
      <c r="F17" s="65" t="s">
        <v>194</v>
      </c>
    </row>
    <row r="18" spans="1:11" ht="20.100000000000001" customHeight="1" x14ac:dyDescent="0.25">
      <c r="A18"/>
    </row>
    <row r="19" spans="1:11" ht="20.100000000000001" customHeight="1" x14ac:dyDescent="0.25">
      <c r="A19" s="21" t="s">
        <v>77</v>
      </c>
    </row>
    <row r="20" spans="1:11" ht="20.100000000000001" customHeight="1" x14ac:dyDescent="0.25">
      <c r="A20" s="16" t="str">
        <f>HYPERLINK("#'15 Scope 3'!A1", "15 Scope 3")</f>
        <v>15 Scope 3</v>
      </c>
      <c r="C20" s="98"/>
      <c r="D20" s="98"/>
      <c r="E20" s="98"/>
      <c r="F20" s="98"/>
      <c r="G20" s="98"/>
      <c r="H20" s="98"/>
      <c r="I20" s="98"/>
      <c r="J20" s="98"/>
    </row>
    <row r="21" spans="1:11" ht="20.100000000000001" customHeight="1" x14ac:dyDescent="0.25">
      <c r="A21" s="16" t="str">
        <f>HYPERLINK("#'10.1.1-2 Solid waste treatment'!A1", "10.1.1-2 Solid waste treatment")</f>
        <v>10.1.1-2 Solid waste treatment</v>
      </c>
      <c r="D21" s="9" t="s">
        <v>240</v>
      </c>
    </row>
    <row r="22" spans="1:11" ht="20.100000000000001" customHeight="1" x14ac:dyDescent="0.25">
      <c r="A22" s="16" t="str">
        <f>HYPERLINK("#'Calcs - Manure sent off-site'!A1", "Calcs - Manure sent off-site")</f>
        <v>Calcs - Manure sent off-site</v>
      </c>
      <c r="E22" s="54" t="str">
        <f>IF(E16="ACT", "", "ALERT: Your farm is not in the ACT, so the JRPP is not applicable")</f>
        <v>ALERT: Your farm is not in the ACT, so the JRPP is not applicable</v>
      </c>
    </row>
    <row r="23" spans="1:11" ht="20.100000000000001" customHeight="1" x14ac:dyDescent="0.25">
      <c r="A23" s="16" t="str">
        <f>HYPERLINK("#'8.1.1.1-2 Transport fuel'!A1", "8.1.1.1-2 Transport fuel")</f>
        <v>8.1.1.1-2 Transport fuel</v>
      </c>
      <c r="D23" s="8" t="s">
        <v>241</v>
      </c>
      <c r="E23" s="97">
        <v>30000</v>
      </c>
      <c r="F23" s="65" t="s">
        <v>237</v>
      </c>
    </row>
    <row r="24" spans="1:11" ht="20.100000000000001" customHeight="1" x14ac:dyDescent="0.25">
      <c r="A24" s="16" t="str">
        <f>HYPERLINK("#'8.2.1.1-2 Stationary fuel'!A1", "8.2.1.1-2 Stationary fuel")</f>
        <v>8.2.1.1-2 Stationary fuel</v>
      </c>
      <c r="D24" s="8" t="s">
        <v>242</v>
      </c>
      <c r="E24" s="86">
        <v>0.1</v>
      </c>
      <c r="F24" s="65" t="s">
        <v>243</v>
      </c>
    </row>
    <row r="25" spans="1:11" ht="20.100000000000001" customHeight="1" x14ac:dyDescent="0.25">
      <c r="A25"/>
      <c r="D25" s="8" t="s">
        <v>244</v>
      </c>
      <c r="E25" s="86">
        <v>0.1</v>
      </c>
      <c r="F25" s="65" t="s">
        <v>243</v>
      </c>
    </row>
    <row r="26" spans="1:11" ht="20.100000000000001" customHeight="1" x14ac:dyDescent="0.25">
      <c r="A26"/>
    </row>
    <row r="27" spans="1:11" ht="20.100000000000001" customHeight="1" x14ac:dyDescent="0.25">
      <c r="A27" s="229" t="s">
        <v>78</v>
      </c>
      <c r="D27" s="8" t="s">
        <v>245</v>
      </c>
      <c r="E27" s="97">
        <v>10000</v>
      </c>
      <c r="F27" s="65" t="s">
        <v>237</v>
      </c>
    </row>
    <row r="28" spans="1:11" ht="20.100000000000001" customHeight="1" x14ac:dyDescent="0.25">
      <c r="A28" s="16" t="str">
        <f>HYPERLINK("#'Constants - Scope 3'!A1", "Constants - Scope 3")</f>
        <v>Constants - Scope 3</v>
      </c>
    </row>
    <row r="29" spans="1:11" ht="20.100000000000001" customHeight="1" x14ac:dyDescent="0.25">
      <c r="A29" s="16" t="str">
        <f>HYPERLINK("#'Constants - Solid Waste'!A1", "Constants - Solid Waste")</f>
        <v>Constants - Solid Waste</v>
      </c>
      <c r="D29" s="8" t="s">
        <v>246</v>
      </c>
      <c r="E29" s="99" t="str">
        <f>TEXT('Input - Site'!E12, "dd mmm yyyy")</f>
        <v>01 Jan 2024</v>
      </c>
      <c r="K29" s="52"/>
    </row>
    <row r="30" spans="1:11" ht="20.100000000000001" customHeight="1" x14ac:dyDescent="0.25">
      <c r="A30" s="16" t="str">
        <f>HYPERLINK("#'Constants - Fuel'!A1", "Constants - Fuel")</f>
        <v>Constants - Fuel</v>
      </c>
      <c r="D30" s="8" t="s">
        <v>247</v>
      </c>
      <c r="E30" s="99" t="str">
        <f>TEXT('Input - Site'!E13, "dd mmm yyyy")</f>
        <v>31 Dec 2024</v>
      </c>
      <c r="K30" s="52"/>
    </row>
    <row r="31" spans="1:11" ht="20.100000000000001" customHeight="1" x14ac:dyDescent="0.25">
      <c r="A31" s="16" t="str">
        <f>HYPERLINK("#'Constants - Poultry'!A1", "Constants - Poultry")</f>
        <v>Constants - Poultry</v>
      </c>
      <c r="K31" s="52"/>
    </row>
    <row r="32" spans="1:11" ht="20.100000000000001" customHeight="1" x14ac:dyDescent="0.25">
      <c r="A32" s="16" t="str">
        <f>HYPERLINK("#'Constants - Swine'!A1", "Constants - Swine")</f>
        <v>Constants - Swine</v>
      </c>
      <c r="D32" s="71" t="s">
        <v>248</v>
      </c>
      <c r="K32" s="52"/>
    </row>
    <row r="33" spans="1:12" ht="20.100000000000001" customHeight="1" x14ac:dyDescent="0.25">
      <c r="A33" s="16" t="str">
        <f>HYPERLINK("#'Constants - Dairy'!A1", "Constants - Dairy")</f>
        <v>Constants - Dairy</v>
      </c>
      <c r="K33" s="52"/>
    </row>
    <row r="34" spans="1:12" ht="20.100000000000001" customHeight="1" x14ac:dyDescent="0.25">
      <c r="A34" s="16" t="str">
        <f>HYPERLINK("#'Constants - Pasture Beef'!A1", "Constants - Pasture Beef")</f>
        <v>Constants - Pasture Beef</v>
      </c>
      <c r="D34" s="95" t="s">
        <v>120</v>
      </c>
      <c r="E34" s="96"/>
      <c r="K34" s="52"/>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c r="D36" s="46" t="s">
        <v>249</v>
      </c>
      <c r="E36" s="46" t="s">
        <v>250</v>
      </c>
      <c r="F36" s="46" t="s">
        <v>251</v>
      </c>
      <c r="G36" s="46" t="s">
        <v>252</v>
      </c>
      <c r="H36" s="46" t="s">
        <v>253</v>
      </c>
      <c r="I36" s="46" t="s">
        <v>254</v>
      </c>
      <c r="L36" s="52"/>
    </row>
    <row r="37" spans="1:12" ht="20.100000000000001" customHeight="1" x14ac:dyDescent="0.25">
      <c r="A37" s="16" t="str">
        <f>HYPERLINK("#'Constants - Electricity'!A1", "Constants - Electricity")</f>
        <v>Constants - Electricity</v>
      </c>
      <c r="D37" s="10" t="s">
        <v>904</v>
      </c>
      <c r="E37" s="47" t="s">
        <v>255</v>
      </c>
      <c r="F37" s="100">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Common'!A1", "Constants - Common")</f>
        <v>Constants - Common</v>
      </c>
      <c r="D38" s="10" t="s">
        <v>905</v>
      </c>
      <c r="E38" s="47" t="s">
        <v>256</v>
      </c>
      <c r="F38" s="100">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c r="D39" s="10" t="s">
        <v>906</v>
      </c>
      <c r="E39" s="47" t="s">
        <v>255</v>
      </c>
      <c r="F39" s="100">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c r="C40" s="8"/>
      <c r="D40" s="8"/>
      <c r="E40" s="8"/>
      <c r="F40" s="8"/>
      <c r="G40" s="8"/>
      <c r="H40" s="8"/>
      <c r="I40" s="8"/>
      <c r="J40" s="8"/>
    </row>
    <row r="41" spans="1:12" s="52" customFormat="1" ht="20.100000000000001" customHeight="1" x14ac:dyDescent="0.25">
      <c r="A41"/>
      <c r="C41" s="8"/>
      <c r="D41" s="8" t="s">
        <v>257</v>
      </c>
      <c r="E41" s="49">
        <f>SUMIF(Table_Input_RECSurrendered[Elegibility], "Elegible", Table_Input_RECSurrendered[MWh])</f>
        <v>10</v>
      </c>
      <c r="F41" s="65" t="s">
        <v>253</v>
      </c>
      <c r="G41" s="8"/>
      <c r="H41" s="8"/>
      <c r="I41" s="8"/>
      <c r="J41" s="8"/>
      <c r="L41" s="52" t="s">
        <v>259</v>
      </c>
    </row>
    <row r="42" spans="1:12" ht="20.100000000000001" customHeight="1" x14ac:dyDescent="0.25">
      <c r="A42"/>
      <c r="C42" s="51"/>
    </row>
    <row r="43" spans="1:12" ht="20.100000000000001" customHeight="1" x14ac:dyDescent="0.25">
      <c r="A43"/>
      <c r="C43" s="51"/>
      <c r="D43" s="71" t="s">
        <v>258</v>
      </c>
      <c r="J43" s="51"/>
    </row>
    <row r="44" spans="1:12" ht="20.100000000000001" customHeight="1" x14ac:dyDescent="0.25">
      <c r="A44"/>
    </row>
    <row r="45" spans="1:12" ht="20.100000000000001" customHeight="1" x14ac:dyDescent="0.25">
      <c r="A45"/>
      <c r="D45" s="46" t="s">
        <v>249</v>
      </c>
      <c r="E45" s="46" t="s">
        <v>139</v>
      </c>
      <c r="F45" s="46" t="s">
        <v>251</v>
      </c>
      <c r="G45" s="46" t="s">
        <v>252</v>
      </c>
      <c r="H45" s="46" t="s">
        <v>253</v>
      </c>
      <c r="I45" s="46" t="s">
        <v>254</v>
      </c>
    </row>
    <row r="46" spans="1:12" ht="20.100000000000001" customHeight="1" x14ac:dyDescent="0.25">
      <c r="A46"/>
      <c r="D46" s="10" t="s">
        <v>260</v>
      </c>
      <c r="E46" s="225" t="str">
        <f>"Issued for generated electricity"</f>
        <v>Issued for generated electricity</v>
      </c>
      <c r="F46" s="100">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t="s">
        <v>907</v>
      </c>
      <c r="E47" s="225" t="str">
        <f>"Issued for generated electricity"</f>
        <v>Issued for generated electricity</v>
      </c>
      <c r="F47" s="100">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226">
        <v>45597</v>
      </c>
      <c r="E48" s="225" t="str">
        <f>"Issued for generated electricity"</f>
        <v>Issued for generated electricity</v>
      </c>
      <c r="F48" s="100">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261</v>
      </c>
      <c r="E50" s="49">
        <f>SUMIF(Table_Input_RECConsumedByEntity[Elegibility], "Elegible", Table_Input_RECConsumedByEntity[Number of certificates])</f>
        <v>11</v>
      </c>
      <c r="F50" s="65" t="s">
        <v>253</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c r="D55" s="101"/>
    </row>
    <row r="56" spans="1:6" ht="20.100000000000001" customHeight="1" x14ac:dyDescent="0.25">
      <c r="A56"/>
      <c r="D56" s="101"/>
    </row>
    <row r="57" spans="1:6" ht="20.100000000000001" customHeight="1" x14ac:dyDescent="0.25">
      <c r="A57"/>
    </row>
    <row r="58" spans="1:6" ht="20.100000000000001" customHeight="1" x14ac:dyDescent="0.25">
      <c r="A58"/>
    </row>
    <row r="59" spans="1:6" ht="20.100000000000001" customHeight="1" x14ac:dyDescent="0.25">
      <c r="A59"/>
    </row>
    <row r="60" spans="1:6" ht="20.100000000000001" customHeight="1" x14ac:dyDescent="0.25">
      <c r="A60"/>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11" operator="lessThan">
      <formula>0</formula>
    </cfRule>
  </conditionalFormatting>
  <conditionalFormatting sqref="J39 I40 J41 I43">
    <cfRule type="cellIs" dxfId="0" priority="9" operator="lessThan">
      <formula>0</formula>
    </cfRule>
  </conditionalFormatting>
  <dataValidations count="7">
    <dataValidation type="list" allowBlank="1" showInputMessage="1" showErrorMessage="1" sqref="E5" xr:uid="{F67F9D12-DB27-4266-8EA2-F95C4458BFE8}">
      <formula1>"Location-based (simpler), Market-based (more complex)"</formula1>
    </dataValidation>
    <dataValidation type="list" allowBlank="1" showInputMessage="1" showErrorMessage="1" sqref="E37:E39" xr:uid="{72ADA029-2DDC-4794-AFB0-C57E0EC86C65}">
      <formula1>"Purchased certificate, Issued for generated electricity"</formula1>
    </dataValidation>
    <dataValidation type="list" allowBlank="1" showInputMessage="1" showErrorMessage="1" sqref="E17" xr:uid="{867BDD41-76AF-46B0-A082-379AFA3EC3B0}">
      <formula1>INDIRECT("Table_SourceData_ElectricityEFs[State, Territory or grid description]")</formula1>
    </dataValidation>
    <dataValidation type="list" allowBlank="1" showInputMessage="1" showErrorMessage="1" sqref="E69" xr:uid="{2CD556E5-72A9-4398-9512-92EFB9FFA0A3}">
      <formula1>INDIRECT("Table_SourceData_Swine_IrrigationMethods[Irrigation method]")</formula1>
    </dataValidation>
    <dataValidation type="list" allowBlank="1" showInputMessage="1" showErrorMessage="1" sqref="E253 E258 E263 E297 E292 E287 E165 E153 E129 E141" xr:uid="{CD0DAA70-7CCA-440B-B598-3FC90A15D9E8}">
      <formula1>"Yes, No"</formula1>
    </dataValidation>
    <dataValidation type="list" allowBlank="1" showInputMessage="1" showErrorMessage="1" sqref="E229" xr:uid="{052A54FE-EE02-414E-8055-686688D2CB2F}">
      <formula1>INDIRECT("Table_SourceData_Dairy_ProductionSystemTemplates[Area]")</formula1>
    </dataValidation>
    <dataValidation type="list" allowBlank="1" showInputMessage="1" showErrorMessage="1" sqref="D281" xr:uid="{2EACCD29-1AF7-4486-AECB-E1806D596732}">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42"/>
  <sheetViews>
    <sheetView showGridLines="0" topLeftCell="A285"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828</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72" t="s">
        <v>626</v>
      </c>
      <c r="E7" s="172"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72"/>
    </row>
    <row r="10" spans="1:41" ht="20.100000000000001" customHeight="1" x14ac:dyDescent="0.25">
      <c r="A10" s="16" t="str">
        <f>HYPERLINK("#'Input - Fertiliser'!A1", "Fertiliser")</f>
        <v>Fertiliser</v>
      </c>
      <c r="D10" s="27" t="s">
        <v>627</v>
      </c>
      <c r="E10" s="8" t="str" cm="1">
        <f t="array" ref="E10">Scope3_Equations.VEERG_15_1_1_1__1_EmissionsFromPurchasedLivestock_Variable()</f>
        <v>E</v>
      </c>
    </row>
    <row r="11" spans="1:41" ht="20.100000000000001" customHeight="1" x14ac:dyDescent="0.25">
      <c r="A11" s="16" t="str">
        <f>HYPERLINK("#'Input - Farm Inputs'!A1", "Farm Inputs")</f>
        <v>Farm Inputs</v>
      </c>
      <c r="D11" s="27" t="s">
        <v>96</v>
      </c>
      <c r="E11" s="13" t="str" cm="1">
        <f t="array" ref="E11">Scope3_Equations.VEERG_15_1_1_1__1_EmissionsFromPurchasedLivestock_Unit()</f>
        <v>t CO2e</v>
      </c>
    </row>
    <row r="12" spans="1:41" ht="20.100000000000001" customHeight="1" x14ac:dyDescent="0.25">
      <c r="A12" s="16" t="str">
        <f>HYPERLINK("#'Input - Livestock purchases'!A1", "Livestock purchases")</f>
        <v>Livestock purchases</v>
      </c>
    </row>
    <row r="13" spans="1:41" ht="20.100000000000001" customHeight="1" x14ac:dyDescent="0.25">
      <c r="A13" s="16" t="str">
        <f>HYPERLINK("#'Input - Freight'!A1", "Freight")</f>
        <v>Freight</v>
      </c>
      <c r="D13" s="167" t="str" cm="1">
        <f t="array" ref="D13:E17">_xlfn.CHOOSECOLS(Scope3_Equations.VEERG_15_1_1_1__1_EmissionsFromPurchasedLivestock_Arguments(),1,2)</f>
        <v>N_co</v>
      </c>
      <c r="E13" s="171" t="str">
        <v>number of animals purchased in livestock type c from origin o</v>
      </c>
      <c r="F13" s="166"/>
      <c r="G13" s="167" t="str" cm="1">
        <f t="array" ref="G13:H17">_xlfn.CHOOSECOLS(Scope3_Equations.VEERG_15_1_1_1__1_EmissionsFromPurchasedLivestock_Arguments(),3,4)</f>
        <v>head</v>
      </c>
      <c r="H13" s="168" t="str">
        <v>Input</v>
      </c>
    </row>
    <row r="14" spans="1:41" ht="20.100000000000001" customHeight="1" x14ac:dyDescent="0.25">
      <c r="A14" s="16" t="str">
        <f>HYPERLINK("#'Input - Solid waste'!A1", "Solid waste")</f>
        <v>Solid waste</v>
      </c>
      <c r="D14" s="167" t="str">
        <v>W_co</v>
      </c>
      <c r="E14" s="171" t="str">
        <v>average liveweight of purchased livestock at point of purchase</v>
      </c>
      <c r="F14" s="166"/>
      <c r="G14" s="167" t="str">
        <v>kg/head</v>
      </c>
      <c r="H14" s="168" t="str">
        <v>Input</v>
      </c>
    </row>
    <row r="15" spans="1:41" ht="20.100000000000001" customHeight="1" x14ac:dyDescent="0.25">
      <c r="A15" s="16" t="str">
        <f>HYPERLINK("#'Input - Manure sent off-site'!A1", "Manure sent off-site")</f>
        <v>Manure sent off-site</v>
      </c>
      <c r="D15" s="167" t="str">
        <v>EF_co</v>
      </c>
      <c r="E15" s="171" t="str">
        <v>emission factor per livestock type and origin</v>
      </c>
      <c r="F15" s="166"/>
      <c r="G15" s="167" t="str">
        <v>kg CO2e/kg</v>
      </c>
      <c r="H15" s="169" t="str">
        <v>Constant</v>
      </c>
    </row>
    <row r="16" spans="1:41" ht="20.100000000000001" customHeight="1" x14ac:dyDescent="0.25">
      <c r="A16" s="16" t="str">
        <f>HYPERLINK("#'Input - Electricity'!A1", "Electricity")</f>
        <v>Electricity</v>
      </c>
      <c r="D16" s="167" t="str">
        <v>c</v>
      </c>
      <c r="E16" s="171" t="str">
        <v>livestock type</v>
      </c>
      <c r="F16" s="166"/>
      <c r="G16" s="167" t="str">
        <v/>
      </c>
      <c r="H16" s="168" t="str">
        <v>Input</v>
      </c>
    </row>
    <row r="17" spans="1:16" ht="20.100000000000001" customHeight="1" x14ac:dyDescent="0.25">
      <c r="D17" s="167" t="str">
        <v>o</v>
      </c>
      <c r="E17" s="171" t="str">
        <v>origin</v>
      </c>
      <c r="F17" s="166"/>
      <c r="G17" s="167" t="str">
        <v/>
      </c>
      <c r="H17" s="168" t="str">
        <v>Input</v>
      </c>
    </row>
    <row r="18" spans="1:16" ht="20.100000000000001" customHeight="1" x14ac:dyDescent="0.25"/>
    <row r="19" spans="1:16" ht="20.100000000000001" customHeight="1" x14ac:dyDescent="0.25">
      <c r="A19" s="21" t="s">
        <v>77</v>
      </c>
      <c r="D19" s="95" t="s">
        <v>565</v>
      </c>
      <c r="E19" s="110"/>
      <c r="F19" s="96"/>
    </row>
    <row r="20" spans="1:16" ht="20.100000000000001" customHeight="1" x14ac:dyDescent="0.25">
      <c r="A20" s="180" t="str">
        <f>HYPERLINK("#'15 Scope 3'!A1", "15 Scope 3")</f>
        <v>15 Scope 3</v>
      </c>
    </row>
    <row r="21" spans="1:16" ht="20.100000000000001" customHeight="1" x14ac:dyDescent="0.25">
      <c r="A21" s="16" t="str">
        <f>HYPERLINK("#'10.1.1-2 Solid waste treatment'!A1", "10.1.1-2 Solid waste treatment")</f>
        <v>10.1.1-2 Solid waste treatment</v>
      </c>
      <c r="D21" s="144" t="s">
        <v>321</v>
      </c>
    </row>
    <row r="22" spans="1:16" ht="20.100000000000001" customHeight="1" x14ac:dyDescent="0.25">
      <c r="A22" s="16" t="str">
        <f>HYPERLINK("#'Calcs - Manure sent off-site'!A1", "Calcs - Manure sent off-site")</f>
        <v>Calcs - Manure sent off-site</v>
      </c>
      <c r="D22" s="46" t="s">
        <v>358</v>
      </c>
      <c r="E22" s="152" t="s">
        <v>620</v>
      </c>
      <c r="F22" s="152" t="s">
        <v>619</v>
      </c>
      <c r="G22" s="152" t="s">
        <v>621</v>
      </c>
      <c r="H22" s="152" t="s">
        <v>622</v>
      </c>
      <c r="I22" s="57" t="s">
        <v>624</v>
      </c>
      <c r="J22" s="57" t="s">
        <v>633</v>
      </c>
      <c r="K22" s="152" t="s">
        <v>623</v>
      </c>
      <c r="L22" s="46" t="s">
        <v>625</v>
      </c>
      <c r="M22" s="57" t="s">
        <v>635</v>
      </c>
      <c r="N22" s="46" t="s">
        <v>629</v>
      </c>
      <c r="O22" s="46" t="s">
        <v>630</v>
      </c>
      <c r="P22" s="46" t="s">
        <v>631</v>
      </c>
    </row>
    <row r="23" spans="1:16" ht="20.100000000000001" customHeight="1" x14ac:dyDescent="0.25">
      <c r="A23" s="16" t="str">
        <f>HYPERLINK("#'8.1.1.1-2 Transport fuel'!A1", "8.1.1.1-2 Transport fuel")</f>
        <v>8.1.1.1-2 Transport fuel</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origin],Table_SourceData_Scope3_Animals[AusLCI Emissions intensity], 0)</f>
        <v>20.8</v>
      </c>
      <c r="J23" s="151" cm="1">
        <f t="array" ref="J23">Scope3_Equations.VEERG_15_1_1_1__1_EmissionsFromPurchasedLivestock(G23,H23,I23)</f>
        <v>436.8</v>
      </c>
      <c r="K23" s="49" cm="1">
        <f t="array" ref="K23:K32">IFERROR(INDEX(Table_Input_LivestockPurchases_Beefcattle[Liveweight (kg/head) Method 2], _xlfn.SEQUENCE(10)), "")</f>
        <v>205</v>
      </c>
      <c r="L23" s="66">
        <v>20</v>
      </c>
      <c r="M23" s="151" cm="1">
        <f t="array" ref="M23">Scope3_Equations.VEERG_15_1_1_1__1_EmissionsFromPurchasedLivestock(G23,K23,IF(L23, L23, I23))</f>
        <v>410</v>
      </c>
      <c r="N23" s="82" t="s">
        <v>601</v>
      </c>
      <c r="O23" s="47" t="s">
        <v>600</v>
      </c>
      <c r="P23" t="s">
        <v>602</v>
      </c>
    </row>
    <row r="24" spans="1:16" ht="20.100000000000001" customHeight="1" x14ac:dyDescent="0.25">
      <c r="A24" s="16" t="str">
        <f>HYPERLINK("#'8.2.1.1-2 Stationary fuel'!A1", "8.2.1.1-2 Stationary fuel")</f>
        <v>8.2.1.1-2 Stationary fuel</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origin],Table_SourceData_Scope3_Animals[AusLCI Emissions intensity], 0)</f>
        <v>13.1</v>
      </c>
      <c r="J24" s="151" cm="1">
        <f t="array" ref="J24">Scope3_Equations.VEERG_15_1_1_1__1_EmissionsFromPurchasedLivestock(G24,H24,I24)</f>
        <v>615.70000000000005</v>
      </c>
      <c r="K24" s="49">
        <v>465</v>
      </c>
      <c r="L24" s="66">
        <v>13</v>
      </c>
      <c r="M24" s="151" cm="1">
        <f t="array" ref="M24">Scope3_Equations.VEERG_15_1_1_1__1_EmissionsFromPurchasedLivestock(G24,K24,IF(L24, L24, I24))</f>
        <v>604.5</v>
      </c>
      <c r="N24" s="82"/>
      <c r="O24" s="47"/>
      <c r="P24" s="82"/>
    </row>
    <row r="25" spans="1:16" ht="20.100000000000001" customHeight="1" x14ac:dyDescent="0.25">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origin],Table_SourceData_Scope3_Animals[AusLCI Emissions intensity], 0)</f>
        <v>0</v>
      </c>
      <c r="J25" s="151" cm="1">
        <f t="array" ref="J25">Scope3_Equations.VEERG_15_1_1_1__1_EmissionsFromPurchasedLivestock(G25,H25,I25)</f>
        <v>0</v>
      </c>
      <c r="K25" s="49">
        <v>0</v>
      </c>
      <c r="L25" s="66"/>
      <c r="M25" s="151" cm="1">
        <f t="array" ref="M25">Scope3_Equations.VEERG_15_1_1_1__1_EmissionsFromPurchasedLivestock(G25,K25,IF(L25, L25, I25))</f>
        <v>0</v>
      </c>
      <c r="N25" s="82"/>
      <c r="O25" s="47"/>
      <c r="P25" s="82"/>
    </row>
    <row r="26" spans="1:16" ht="20.100000000000001" customHeight="1" x14ac:dyDescent="0.25">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origin],Table_SourceData_Scope3_Animals[AusLCI Emissions intensity], 0)</f>
        <v>0</v>
      </c>
      <c r="J26" s="151" cm="1">
        <f t="array" ref="J26">Scope3_Equations.VEERG_15_1_1_1__1_EmissionsFromPurchasedLivestock(G26,H26,I26)</f>
        <v>0</v>
      </c>
      <c r="K26" s="49">
        <v>0</v>
      </c>
      <c r="L26" s="66"/>
      <c r="M26" s="151" cm="1">
        <f t="array" ref="M26">Scope3_Equations.VEERG_15_1_1_1__1_EmissionsFromPurchasedLivestock(G26,K26,IF(L26, L26, I26))</f>
        <v>0</v>
      </c>
      <c r="N26" s="82"/>
      <c r="O26" s="47"/>
      <c r="P26" s="82"/>
    </row>
    <row r="27" spans="1:16" ht="20.100000000000001" customHeight="1" x14ac:dyDescent="0.25">
      <c r="A27" s="229" t="s">
        <v>78</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origin],Table_SourceData_Scope3_Animals[AusLCI Emissions intensity], 0)</f>
        <v>0</v>
      </c>
      <c r="J27" s="151" cm="1">
        <f t="array" ref="J27">Scope3_Equations.VEERG_15_1_1_1__1_EmissionsFromPurchasedLivestock(G27,H27,I27)</f>
        <v>0</v>
      </c>
      <c r="K27" s="49">
        <v>0</v>
      </c>
      <c r="L27" s="66"/>
      <c r="M27" s="151" cm="1">
        <f t="array" ref="M27">Scope3_Equations.VEERG_15_1_1_1__1_EmissionsFromPurchasedLivestock(G27,K27,IF(L27, L27, I27))</f>
        <v>0</v>
      </c>
      <c r="N27" s="82"/>
      <c r="O27" s="47"/>
      <c r="P27" s="82"/>
    </row>
    <row r="28" spans="1:16" ht="20.100000000000001" customHeight="1" x14ac:dyDescent="0.25">
      <c r="A28" s="16" t="str">
        <f>HYPERLINK("#'Constants - Scope 3'!A1", "Constants - Scope 3")</f>
        <v>Constants - Scope 3</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origin],Table_SourceData_Scope3_Animals[AusLCI Emissions intensity], 0)</f>
        <v>0</v>
      </c>
      <c r="J28" s="151" cm="1">
        <f t="array" ref="J28">Scope3_Equations.VEERG_15_1_1_1__1_EmissionsFromPurchasedLivestock(G28,H28,I28)</f>
        <v>0</v>
      </c>
      <c r="K28" s="49">
        <v>0</v>
      </c>
      <c r="L28" s="66"/>
      <c r="M28" s="151" cm="1">
        <f t="array" ref="M28">Scope3_Equations.VEERG_15_1_1_1__1_EmissionsFromPurchasedLivestock(G28,K28,IF(L28, L28, I28))</f>
        <v>0</v>
      </c>
      <c r="N28" s="82"/>
      <c r="O28" s="47"/>
      <c r="P28" s="82"/>
    </row>
    <row r="29" spans="1:16" ht="20.100000000000001" customHeight="1" x14ac:dyDescent="0.25">
      <c r="A29" s="16" t="str">
        <f>HYPERLINK("#'Constants - Solid Waste'!A1", "Constants - Solid Waste")</f>
        <v>Constants - Solid Waste</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origin],Table_SourceData_Scope3_Animals[AusLCI Emissions intensity], 0)</f>
        <v>0</v>
      </c>
      <c r="J29" s="151" cm="1">
        <f t="array" ref="J29">Scope3_Equations.VEERG_15_1_1_1__1_EmissionsFromPurchasedLivestock(G29,H29,I29)</f>
        <v>0</v>
      </c>
      <c r="K29" s="49">
        <v>0</v>
      </c>
      <c r="L29" s="66"/>
      <c r="M29" s="151" cm="1">
        <f t="array" ref="M29">Scope3_Equations.VEERG_15_1_1_1__1_EmissionsFromPurchasedLivestock(G29,K29,IF(L29, L29, I29))</f>
        <v>0</v>
      </c>
      <c r="N29" s="82"/>
      <c r="O29" s="47"/>
      <c r="P29" s="82"/>
    </row>
    <row r="30" spans="1:16" ht="20.100000000000001" customHeight="1" x14ac:dyDescent="0.25">
      <c r="A30" s="16" t="str">
        <f>HYPERLINK("#'Constants - Fuel'!A1", "Constants - Fuel")</f>
        <v>Constants - Fuel</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origin],Table_SourceData_Scope3_Animals[AusLCI Emissions intensity], 0)</f>
        <v>0</v>
      </c>
      <c r="J30" s="151" cm="1">
        <f t="array" ref="J30">Scope3_Equations.VEERG_15_1_1_1__1_EmissionsFromPurchasedLivestock(G30,H30,I30)</f>
        <v>0</v>
      </c>
      <c r="K30" s="49">
        <v>0</v>
      </c>
      <c r="L30" s="66"/>
      <c r="M30" s="151" cm="1">
        <f t="array" ref="M30">Scope3_Equations.VEERG_15_1_1_1__1_EmissionsFromPurchasedLivestock(G30,K30,IF(L30, L30, I30))</f>
        <v>0</v>
      </c>
      <c r="N30" s="82"/>
      <c r="O30" s="47"/>
      <c r="P30" s="82"/>
    </row>
    <row r="31" spans="1:16" ht="20.100000000000001" customHeight="1" x14ac:dyDescent="0.25">
      <c r="A31" s="16" t="str">
        <f>HYPERLINK("#'Constants - Poultry'!A1", "Constants - Poultry")</f>
        <v>Constants - Poultry</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origin],Table_SourceData_Scope3_Animals[AusLCI Emissions intensity], 0)</f>
        <v>0</v>
      </c>
      <c r="J31" s="151" cm="1">
        <f t="array" ref="J31">Scope3_Equations.VEERG_15_1_1_1__1_EmissionsFromPurchasedLivestock(G31,H31,I31)</f>
        <v>0</v>
      </c>
      <c r="K31" s="49">
        <v>0</v>
      </c>
      <c r="L31" s="66"/>
      <c r="M31" s="151" cm="1">
        <f t="array" ref="M31">Scope3_Equations.VEERG_15_1_1_1__1_EmissionsFromPurchasedLivestock(G31,K31,IF(L31, L31, I31))</f>
        <v>0</v>
      </c>
      <c r="N31" s="82"/>
      <c r="O31" s="47"/>
      <c r="P31" s="82"/>
    </row>
    <row r="32" spans="1:16" ht="20.100000000000001" customHeight="1" x14ac:dyDescent="0.25">
      <c r="A32" s="16" t="str">
        <f>HYPERLINK("#'Constants - Swine'!A1", "Constants - Swine")</f>
        <v>Constants - Swine</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origin],Table_SourceData_Scope3_Animals[AusLCI Emissions intensity], 0)</f>
        <v>0</v>
      </c>
      <c r="J32" s="151" cm="1">
        <f t="array" ref="J32">Scope3_Equations.VEERG_15_1_1_1__1_EmissionsFromPurchasedLivestock(G32,H32,I32)</f>
        <v>0</v>
      </c>
      <c r="K32" s="49">
        <v>0</v>
      </c>
      <c r="L32" s="66"/>
      <c r="M32" s="151" cm="1">
        <f t="array" ref="M32">Scope3_Equations.VEERG_15_1_1_1__1_EmissionsFromPurchasedLivestock(G32,K32,IF(L32, L32, I32))</f>
        <v>0</v>
      </c>
      <c r="N32" s="82"/>
      <c r="O32" s="47"/>
      <c r="P32" s="82"/>
    </row>
    <row r="33" spans="1:13" ht="20.100000000000001" customHeight="1" x14ac:dyDescent="0.25">
      <c r="A33" s="16" t="str">
        <f>HYPERLINK("#'Constants - Dairy'!A1", "Constants - Dairy")</f>
        <v>Constants - Dairy</v>
      </c>
    </row>
    <row r="34" spans="1:13" ht="20.100000000000001" customHeight="1" x14ac:dyDescent="0.25">
      <c r="A34" s="16" t="str">
        <f>HYPERLINK("#'Constants - Pasture Beef'!A1", "Constants - Pasture Beef")</f>
        <v>Constants - Pasture Beef</v>
      </c>
      <c r="D34" s="174" t="s">
        <v>649</v>
      </c>
      <c r="E34" s="98">
        <f>SUM(J23:J32)</f>
        <v>1052.5</v>
      </c>
      <c r="F34" s="175" t="str">
        <f>$E$11</f>
        <v>t CO2e</v>
      </c>
    </row>
    <row r="35" spans="1:13" ht="20.100000000000001" customHeight="1" x14ac:dyDescent="0.25">
      <c r="A35" s="16" t="str">
        <f>HYPERLINK("#'Constants - Common Livestock'!A1", "Constants - Common Livestock")</f>
        <v>Constants - Common Livestock</v>
      </c>
      <c r="D35" s="174" t="s">
        <v>650</v>
      </c>
      <c r="E35" s="98">
        <f>SUM(M23:M32)</f>
        <v>1014.5</v>
      </c>
      <c r="F35" s="175" t="str">
        <f>$E$11</f>
        <v>t CO2e</v>
      </c>
    </row>
    <row r="36" spans="1:13" ht="20.100000000000001" customHeight="1" x14ac:dyDescent="0.25">
      <c r="A36" s="16" t="str">
        <f>HYPERLINK("#'Constants - Fertiliser'!A1", "Constants - Fertiliser")</f>
        <v>Constants - Fertiliser</v>
      </c>
    </row>
    <row r="37" spans="1:13" ht="20.100000000000001" customHeight="1" x14ac:dyDescent="0.25">
      <c r="A37" s="16" t="str">
        <f>HYPERLINK("#'Constants - Electricity'!A1", "Constants - Electricity")</f>
        <v>Constants - Electricity</v>
      </c>
    </row>
    <row r="38" spans="1:13" ht="20.100000000000001" customHeight="1" x14ac:dyDescent="0.25">
      <c r="A38" s="16" t="str">
        <f>HYPERLINK("#'Constants - Common'!A1", "Constants - Common")</f>
        <v>Constants - Common</v>
      </c>
      <c r="D38" s="144" t="s">
        <v>337</v>
      </c>
    </row>
    <row r="39" spans="1:13" ht="20.100000000000001" customHeight="1" x14ac:dyDescent="0.25">
      <c r="D39" s="167" t="s">
        <v>628</v>
      </c>
      <c r="E39" s="49" cm="1">
        <f t="array" ref="E39">Common_InputFunctions.Utility_LookupValueInTableNumber("Dairy cows", Table_SourceData_Scope3_Animals[Product],Table_SourceData_Scope3_Animals[AusLCI Emissions intensity])</f>
        <v>4.41</v>
      </c>
    </row>
    <row r="40" spans="1:13" ht="20.100000000000001" customHeight="1" x14ac:dyDescent="0.25"/>
    <row r="41" spans="1:13" ht="20.100000000000001" customHeight="1" x14ac:dyDescent="0.25">
      <c r="D41" s="46" t="s">
        <v>358</v>
      </c>
      <c r="E41" s="152" t="s">
        <v>621</v>
      </c>
      <c r="F41" s="152" t="s">
        <v>622</v>
      </c>
      <c r="G41" s="57" t="s">
        <v>633</v>
      </c>
      <c r="H41" s="152" t="s">
        <v>623</v>
      </c>
      <c r="I41" s="46" t="s">
        <v>625</v>
      </c>
      <c r="J41" s="57" t="s">
        <v>635</v>
      </c>
      <c r="K41" s="46" t="s">
        <v>629</v>
      </c>
      <c r="L41" s="46" t="s">
        <v>630</v>
      </c>
      <c r="M41" s="46" t="s">
        <v>631</v>
      </c>
    </row>
    <row r="42" spans="1:13" ht="20.100000000000001" customHeight="1" x14ac:dyDescent="0.25">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51" cm="1">
        <f t="array" ref="G42">Scope3_Equations.VEERG_15_1_1_1__1_EmissionsFromPurchasedLivestock(E42,F42,$E$39)</f>
        <v>57.33</v>
      </c>
      <c r="H42" s="49" cm="1">
        <f t="array" ref="H42:H51">IFERROR(INDEX(Table_Input_LivestockPurchases_Dairy[Liveweight (kg/head) Method 2], _xlfn.SEQUENCE(10)), "")</f>
        <v>350</v>
      </c>
      <c r="I42" s="66">
        <v>4</v>
      </c>
      <c r="J42" s="151" cm="1">
        <f t="array" ref="J42">Scope3_Equations.VEERG_15_1_1_1__1_EmissionsFromPurchasedLivestock(E42,H42,IF(I42,I42,$E$39))</f>
        <v>140</v>
      </c>
      <c r="K42" s="82" t="s">
        <v>601</v>
      </c>
      <c r="L42" s="47" t="s">
        <v>600</v>
      </c>
      <c r="M42" t="s">
        <v>602</v>
      </c>
    </row>
    <row r="43" spans="1:13" ht="20.100000000000001" customHeight="1" x14ac:dyDescent="0.25">
      <c r="D43" s="49">
        <v>0</v>
      </c>
      <c r="E43" s="49">
        <v>100</v>
      </c>
      <c r="F43" s="49">
        <v>540</v>
      </c>
      <c r="G43" s="151" cm="1">
        <f t="array" ref="G43">Scope3_Equations.VEERG_15_1_1_1__1_EmissionsFromPurchasedLivestock(E43,F43,$E$39)</f>
        <v>238.14000000000001</v>
      </c>
      <c r="H43" s="49">
        <v>625</v>
      </c>
      <c r="I43" s="66"/>
      <c r="J43" s="151" cm="1">
        <f t="array" ref="J43">Scope3_Equations.VEERG_15_1_1_1__1_EmissionsFromPurchasedLivestock(E43,H43,IF(I43,I43,$E$39))</f>
        <v>275.625</v>
      </c>
      <c r="K43" s="82"/>
      <c r="L43" s="47"/>
      <c r="M43" s="82"/>
    </row>
    <row r="44" spans="1:13" ht="20.100000000000001" customHeight="1" x14ac:dyDescent="0.25">
      <c r="D44" s="49">
        <v>0</v>
      </c>
      <c r="E44" s="49">
        <v>0</v>
      </c>
      <c r="F44" s="49">
        <v>315</v>
      </c>
      <c r="G44" s="151" cm="1">
        <f t="array" ref="G44">Scope3_Equations.VEERG_15_1_1_1__1_EmissionsFromPurchasedLivestock(E44,F44,$E$39)</f>
        <v>0</v>
      </c>
      <c r="H44" s="49">
        <v>0</v>
      </c>
      <c r="I44" s="66"/>
      <c r="J44" s="151" cm="1">
        <f t="array" ref="J44">Scope3_Equations.VEERG_15_1_1_1__1_EmissionsFromPurchasedLivestock(E44,H44,IF(I44,I44,$E$39))</f>
        <v>0</v>
      </c>
      <c r="K44" s="82"/>
      <c r="L44" s="47"/>
      <c r="M44" s="82"/>
    </row>
    <row r="45" spans="1:13" ht="20.100000000000001" customHeight="1" x14ac:dyDescent="0.25">
      <c r="D45" s="49">
        <v>0</v>
      </c>
      <c r="E45" s="49">
        <v>0</v>
      </c>
      <c r="F45" s="49">
        <v>0</v>
      </c>
      <c r="G45" s="151" cm="1">
        <f t="array" ref="G45">Scope3_Equations.VEERG_15_1_1_1__1_EmissionsFromPurchasedLivestock(E45,F45,$E$39)</f>
        <v>0</v>
      </c>
      <c r="H45" s="49">
        <v>0</v>
      </c>
      <c r="I45" s="66"/>
      <c r="J45" s="151" cm="1">
        <f t="array" ref="J45">Scope3_Equations.VEERG_15_1_1_1__1_EmissionsFromPurchasedLivestock(E45,H45,IF(I45,I45,$E$39))</f>
        <v>0</v>
      </c>
      <c r="K45" s="82"/>
      <c r="L45" s="47"/>
      <c r="M45" s="82"/>
    </row>
    <row r="46" spans="1:13" ht="20.100000000000001" customHeight="1" x14ac:dyDescent="0.25">
      <c r="D46" s="49">
        <v>0</v>
      </c>
      <c r="E46" s="49">
        <v>0</v>
      </c>
      <c r="F46" s="49">
        <v>0</v>
      </c>
      <c r="G46" s="151" cm="1">
        <f t="array" ref="G46">Scope3_Equations.VEERG_15_1_1_1__1_EmissionsFromPurchasedLivestock(E46,F46,$E$39)</f>
        <v>0</v>
      </c>
      <c r="H46" s="49">
        <v>0</v>
      </c>
      <c r="I46" s="66"/>
      <c r="J46" s="151" cm="1">
        <f t="array" ref="J46">Scope3_Equations.VEERG_15_1_1_1__1_EmissionsFromPurchasedLivestock(E46,H46,IF(I46,I46,$E$39))</f>
        <v>0</v>
      </c>
      <c r="K46" s="82"/>
      <c r="L46" s="47"/>
      <c r="M46" s="82"/>
    </row>
    <row r="47" spans="1:13" ht="20.100000000000001" customHeight="1" x14ac:dyDescent="0.25">
      <c r="D47" s="49">
        <v>0</v>
      </c>
      <c r="E47" s="49">
        <v>0</v>
      </c>
      <c r="F47" s="49">
        <v>0</v>
      </c>
      <c r="G47" s="151" cm="1">
        <f t="array" ref="G47">Scope3_Equations.VEERG_15_1_1_1__1_EmissionsFromPurchasedLivestock(E47,F47,$E$39)</f>
        <v>0</v>
      </c>
      <c r="H47" s="49">
        <v>0</v>
      </c>
      <c r="I47" s="66"/>
      <c r="J47" s="151" cm="1">
        <f t="array" ref="J47">Scope3_Equations.VEERG_15_1_1_1__1_EmissionsFromPurchasedLivestock(E47,H47,IF(I47,I47,$E$39))</f>
        <v>0</v>
      </c>
      <c r="K47" s="82"/>
      <c r="L47" s="47"/>
      <c r="M47" s="82"/>
    </row>
    <row r="48" spans="1:13" ht="20.100000000000001" customHeight="1" x14ac:dyDescent="0.25">
      <c r="D48" s="49">
        <v>0</v>
      </c>
      <c r="E48" s="49">
        <v>0</v>
      </c>
      <c r="F48" s="49">
        <v>0</v>
      </c>
      <c r="G48" s="151" cm="1">
        <f t="array" ref="G48">Scope3_Equations.VEERG_15_1_1_1__1_EmissionsFromPurchasedLivestock(E48,F48,$E$39)</f>
        <v>0</v>
      </c>
      <c r="H48" s="49">
        <v>0</v>
      </c>
      <c r="I48" s="66"/>
      <c r="J48" s="151" cm="1">
        <f t="array" ref="J48">Scope3_Equations.VEERG_15_1_1_1__1_EmissionsFromPurchasedLivestock(E48,H48,IF(I48,I48,$E$39))</f>
        <v>0</v>
      </c>
      <c r="K48" s="82"/>
      <c r="L48" s="47"/>
      <c r="M48" s="82"/>
    </row>
    <row r="49" spans="4:13" ht="20.100000000000001" customHeight="1" x14ac:dyDescent="0.25">
      <c r="D49" s="49">
        <v>0</v>
      </c>
      <c r="E49" s="49">
        <v>0</v>
      </c>
      <c r="F49" s="49">
        <v>0</v>
      </c>
      <c r="G49" s="151" cm="1">
        <f t="array" ref="G49">Scope3_Equations.VEERG_15_1_1_1__1_EmissionsFromPurchasedLivestock(E49,F49,$E$39)</f>
        <v>0</v>
      </c>
      <c r="H49" s="49">
        <v>0</v>
      </c>
      <c r="I49" s="66"/>
      <c r="J49" s="151" cm="1">
        <f t="array" ref="J49">Scope3_Equations.VEERG_15_1_1_1__1_EmissionsFromPurchasedLivestock(E49,H49,IF(I49,I49,$E$39))</f>
        <v>0</v>
      </c>
      <c r="K49" s="82"/>
      <c r="L49" s="47"/>
      <c r="M49" s="82"/>
    </row>
    <row r="50" spans="4:13" ht="20.100000000000001" customHeight="1" x14ac:dyDescent="0.25">
      <c r="D50" s="49">
        <v>0</v>
      </c>
      <c r="E50" s="49">
        <v>0</v>
      </c>
      <c r="F50" s="49">
        <v>0</v>
      </c>
      <c r="G50" s="151" cm="1">
        <f t="array" ref="G50">Scope3_Equations.VEERG_15_1_1_1__1_EmissionsFromPurchasedLivestock(E50,F50,$E$39)</f>
        <v>0</v>
      </c>
      <c r="H50" s="49">
        <v>0</v>
      </c>
      <c r="I50" s="66"/>
      <c r="J50" s="151" cm="1">
        <f t="array" ref="J50">Scope3_Equations.VEERG_15_1_1_1__1_EmissionsFromPurchasedLivestock(E50,H50,IF(I50,I50,$E$39))</f>
        <v>0</v>
      </c>
      <c r="K50" s="82"/>
      <c r="L50" s="47"/>
      <c r="M50" s="82"/>
    </row>
    <row r="51" spans="4:13" ht="20.100000000000001" customHeight="1" x14ac:dyDescent="0.25">
      <c r="D51" s="49">
        <v>0</v>
      </c>
      <c r="E51" s="49">
        <v>0</v>
      </c>
      <c r="F51" s="49">
        <v>0</v>
      </c>
      <c r="G51" s="151" cm="1">
        <f t="array" ref="G51">Scope3_Equations.VEERG_15_1_1_1__1_EmissionsFromPurchasedLivestock(E51,F51,$E$39)</f>
        <v>0</v>
      </c>
      <c r="H51" s="49">
        <v>0</v>
      </c>
      <c r="I51" s="66"/>
      <c r="J51" s="151" cm="1">
        <f t="array" ref="J51">Scope3_Equations.VEERG_15_1_1_1__1_EmissionsFromPurchasedLivestock(E51,H51,IF(I51,I51,$E$39))</f>
        <v>0</v>
      </c>
      <c r="K51" s="82"/>
      <c r="L51" s="47"/>
      <c r="M51" s="82"/>
    </row>
    <row r="52" spans="4:13" ht="20.100000000000001" customHeight="1" x14ac:dyDescent="0.25"/>
    <row r="53" spans="4:13" ht="20.100000000000001" customHeight="1" x14ac:dyDescent="0.25">
      <c r="D53" s="174" t="s">
        <v>647</v>
      </c>
      <c r="E53" s="98">
        <f>SUM(G42:G51)</f>
        <v>295.47000000000003</v>
      </c>
      <c r="F53" s="175" t="str">
        <f>$E$11</f>
        <v>t CO2e</v>
      </c>
    </row>
    <row r="54" spans="4:13" ht="20.100000000000001" customHeight="1" x14ac:dyDescent="0.25">
      <c r="D54" s="174" t="s">
        <v>648</v>
      </c>
      <c r="E54" s="98">
        <f>SUM(J42:J51)</f>
        <v>415.625</v>
      </c>
      <c r="F54" s="175" t="str">
        <f>$E$11</f>
        <v>t CO2e</v>
      </c>
    </row>
    <row r="55" spans="4:13" ht="20.100000000000001" customHeight="1" x14ac:dyDescent="0.25"/>
    <row r="56" spans="4:13" ht="20.100000000000001" customHeight="1" x14ac:dyDescent="0.25"/>
    <row r="57" spans="4:13" ht="20.100000000000001" customHeight="1" x14ac:dyDescent="0.25">
      <c r="D57" s="144" t="s">
        <v>540</v>
      </c>
    </row>
    <row r="58" spans="4:13" ht="20.100000000000001" customHeight="1" x14ac:dyDescent="0.25">
      <c r="D58" s="167" t="s">
        <v>628</v>
      </c>
      <c r="E58" s="49"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6" t="s">
        <v>358</v>
      </c>
      <c r="E60" s="152" t="s">
        <v>621</v>
      </c>
      <c r="F60" s="152" t="s">
        <v>622</v>
      </c>
      <c r="G60" s="57" t="s">
        <v>633</v>
      </c>
      <c r="H60" s="152" t="s">
        <v>623</v>
      </c>
      <c r="I60" s="46" t="s">
        <v>625</v>
      </c>
      <c r="J60" s="57" t="s">
        <v>635</v>
      </c>
      <c r="K60" s="46" t="s">
        <v>629</v>
      </c>
      <c r="L60" s="46" t="s">
        <v>630</v>
      </c>
      <c r="M60" s="46" t="s">
        <v>631</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0</v>
      </c>
      <c r="G61" s="151" cm="1">
        <f t="array" ref="G61">Scope3_Equations.VEERG_15_1_1_1__1_EmissionsFromPurchasedLivestock(E61,F61,$E$58)</f>
        <v>0</v>
      </c>
      <c r="H61" s="49" cm="1">
        <f t="array" ref="H61:H70">IFERROR(INDEX(Table_Input_LivestockPurchases_Pigs[Liveweight (kg/head) Method 2], _xlfn.SEQUENCE(10)), 0)</f>
        <v>180</v>
      </c>
      <c r="I61" s="66">
        <v>3.38</v>
      </c>
      <c r="J61" s="151" cm="1">
        <f t="array" ref="J61">Scope3_Equations.VEERG_15_1_1_1__1_EmissionsFromPurchasedLivestock(E61,H61,IF(I61, I61,$E$58))</f>
        <v>60.84</v>
      </c>
      <c r="K61" s="82"/>
      <c r="L61" s="47"/>
      <c r="M61"/>
    </row>
    <row r="62" spans="4:13" ht="20.100000000000001" customHeight="1" x14ac:dyDescent="0.25">
      <c r="D62" s="49" t="str">
        <v>Swine from Samantha</v>
      </c>
      <c r="E62" s="49">
        <v>100</v>
      </c>
      <c r="F62" s="49">
        <v>0</v>
      </c>
      <c r="G62" s="151" cm="1">
        <f t="array" ref="G62">Scope3_Equations.VEERG_15_1_1_1__1_EmissionsFromPurchasedLivestock(E62,F62,$E$58)</f>
        <v>0</v>
      </c>
      <c r="H62" s="49">
        <v>38</v>
      </c>
      <c r="I62" s="66">
        <v>3.3</v>
      </c>
      <c r="J62" s="151" cm="1">
        <f t="array" ref="J62">Scope3_Equations.VEERG_15_1_1_1__1_EmissionsFromPurchasedLivestock(E62,H62,IF(I62, I62,$E$58))</f>
        <v>12.540000000000001</v>
      </c>
      <c r="K62" s="82"/>
      <c r="L62" s="47"/>
      <c r="M62" s="82"/>
    </row>
    <row r="63" spans="4:13" ht="20.100000000000001" customHeight="1" x14ac:dyDescent="0.25">
      <c r="D63" s="49">
        <v>0</v>
      </c>
      <c r="E63" s="49">
        <v>0</v>
      </c>
      <c r="F63" s="49">
        <v>0</v>
      </c>
      <c r="G63" s="151" cm="1">
        <f t="array" ref="G63">Scope3_Equations.VEERG_15_1_1_1__1_EmissionsFromPurchasedLivestock(E63,F63,$E$58)</f>
        <v>0</v>
      </c>
      <c r="H63" s="49">
        <v>0</v>
      </c>
      <c r="I63" s="66"/>
      <c r="J63" s="151" cm="1">
        <f t="array" ref="J63">Scope3_Equations.VEERG_15_1_1_1__1_EmissionsFromPurchasedLivestock(E63,H63,IF(I63, I63,$E$58))</f>
        <v>0</v>
      </c>
      <c r="K63" s="82"/>
      <c r="L63" s="47"/>
      <c r="M63" s="82"/>
    </row>
    <row r="64" spans="4:13" ht="20.100000000000001" customHeight="1" x14ac:dyDescent="0.25">
      <c r="D64" s="49">
        <v>0</v>
      </c>
      <c r="E64" s="49">
        <v>0</v>
      </c>
      <c r="F64" s="49">
        <v>0</v>
      </c>
      <c r="G64" s="151" cm="1">
        <f t="array" ref="G64">Scope3_Equations.VEERG_15_1_1_1__1_EmissionsFromPurchasedLivestock(E64,F64,$E$58)</f>
        <v>0</v>
      </c>
      <c r="H64" s="49">
        <v>0</v>
      </c>
      <c r="I64" s="66"/>
      <c r="J64" s="151" cm="1">
        <f t="array" ref="J64">Scope3_Equations.VEERG_15_1_1_1__1_EmissionsFromPurchasedLivestock(E64,H64,IF(I64, I64,$E$58))</f>
        <v>0</v>
      </c>
      <c r="K64" s="82"/>
      <c r="L64" s="47"/>
      <c r="M64" s="82"/>
    </row>
    <row r="65" spans="4:13" ht="20.100000000000001" customHeight="1" x14ac:dyDescent="0.25">
      <c r="D65" s="49">
        <v>0</v>
      </c>
      <c r="E65" s="49">
        <v>0</v>
      </c>
      <c r="F65" s="49">
        <v>0</v>
      </c>
      <c r="G65" s="151" cm="1">
        <f t="array" ref="G65">Scope3_Equations.VEERG_15_1_1_1__1_EmissionsFromPurchasedLivestock(E65,F65,$E$58)</f>
        <v>0</v>
      </c>
      <c r="H65" s="49">
        <v>0</v>
      </c>
      <c r="I65" s="66"/>
      <c r="J65" s="151" cm="1">
        <f t="array" ref="J65">Scope3_Equations.VEERG_15_1_1_1__1_EmissionsFromPurchasedLivestock(E65,H65,IF(I65, I65,$E$58))</f>
        <v>0</v>
      </c>
      <c r="K65" s="82"/>
      <c r="L65" s="47"/>
      <c r="M65" s="82"/>
    </row>
    <row r="66" spans="4:13" ht="20.100000000000001" customHeight="1" x14ac:dyDescent="0.25">
      <c r="D66" s="49">
        <v>0</v>
      </c>
      <c r="E66" s="49">
        <v>0</v>
      </c>
      <c r="F66" s="49">
        <v>0</v>
      </c>
      <c r="G66" s="151" cm="1">
        <f t="array" ref="G66">Scope3_Equations.VEERG_15_1_1_1__1_EmissionsFromPurchasedLivestock(E66,F66,$E$58)</f>
        <v>0</v>
      </c>
      <c r="H66" s="49">
        <v>0</v>
      </c>
      <c r="I66" s="66"/>
      <c r="J66" s="151" cm="1">
        <f t="array" ref="J66">Scope3_Equations.VEERG_15_1_1_1__1_EmissionsFromPurchasedLivestock(E66,H66,IF(I66, I66,$E$58))</f>
        <v>0</v>
      </c>
      <c r="K66" s="82"/>
      <c r="L66" s="47"/>
      <c r="M66" s="82"/>
    </row>
    <row r="67" spans="4:13" ht="20.100000000000001" customHeight="1" x14ac:dyDescent="0.25">
      <c r="D67" s="49">
        <v>0</v>
      </c>
      <c r="E67" s="49">
        <v>0</v>
      </c>
      <c r="F67" s="49">
        <v>0</v>
      </c>
      <c r="G67" s="151" cm="1">
        <f t="array" ref="G67">Scope3_Equations.VEERG_15_1_1_1__1_EmissionsFromPurchasedLivestock(E67,F67,$E$58)</f>
        <v>0</v>
      </c>
      <c r="H67" s="49">
        <v>0</v>
      </c>
      <c r="I67" s="66"/>
      <c r="J67" s="151" cm="1">
        <f t="array" ref="J67">Scope3_Equations.VEERG_15_1_1_1__1_EmissionsFromPurchasedLivestock(E67,H67,IF(I67, I67,$E$58))</f>
        <v>0</v>
      </c>
      <c r="K67" s="82"/>
      <c r="L67" s="47"/>
      <c r="M67" s="82"/>
    </row>
    <row r="68" spans="4:13" ht="20.100000000000001" customHeight="1" x14ac:dyDescent="0.25">
      <c r="D68" s="49">
        <v>0</v>
      </c>
      <c r="E68" s="49">
        <v>0</v>
      </c>
      <c r="F68" s="49">
        <v>0</v>
      </c>
      <c r="G68" s="151" cm="1">
        <f t="array" ref="G68">Scope3_Equations.VEERG_15_1_1_1__1_EmissionsFromPurchasedLivestock(E68,F68,$E$58)</f>
        <v>0</v>
      </c>
      <c r="H68" s="49">
        <v>0</v>
      </c>
      <c r="I68" s="66"/>
      <c r="J68" s="151" cm="1">
        <f t="array" ref="J68">Scope3_Equations.VEERG_15_1_1_1__1_EmissionsFromPurchasedLivestock(E68,H68,IF(I68, I68,$E$58))</f>
        <v>0</v>
      </c>
      <c r="K68" s="82"/>
      <c r="L68" s="47"/>
      <c r="M68" s="82"/>
    </row>
    <row r="69" spans="4:13" ht="20.100000000000001" customHeight="1" x14ac:dyDescent="0.25">
      <c r="D69" s="49">
        <v>0</v>
      </c>
      <c r="E69" s="49">
        <v>0</v>
      </c>
      <c r="F69" s="49">
        <v>0</v>
      </c>
      <c r="G69" s="151" cm="1">
        <f t="array" ref="G69">Scope3_Equations.VEERG_15_1_1_1__1_EmissionsFromPurchasedLivestock(E69,F69,$E$58)</f>
        <v>0</v>
      </c>
      <c r="H69" s="49">
        <v>0</v>
      </c>
      <c r="I69" s="66"/>
      <c r="J69" s="151" cm="1">
        <f t="array" ref="J69">Scope3_Equations.VEERG_15_1_1_1__1_EmissionsFromPurchasedLivestock(E69,H69,IF(I69, I69,$E$58))</f>
        <v>0</v>
      </c>
      <c r="K69" s="82"/>
      <c r="L69" s="47"/>
      <c r="M69" s="82"/>
    </row>
    <row r="70" spans="4:13" ht="20.100000000000001" customHeight="1" x14ac:dyDescent="0.25">
      <c r="D70" s="49">
        <v>0</v>
      </c>
      <c r="E70" s="49">
        <v>0</v>
      </c>
      <c r="F70" s="49">
        <v>0</v>
      </c>
      <c r="G70" s="151" cm="1">
        <f t="array" ref="G70">Scope3_Equations.VEERG_15_1_1_1__1_EmissionsFromPurchasedLivestock(E70,F70,$E$58)</f>
        <v>0</v>
      </c>
      <c r="H70" s="49">
        <v>0</v>
      </c>
      <c r="I70" s="66"/>
      <c r="J70" s="151" cm="1">
        <f t="array" ref="J70">Scope3_Equations.VEERG_15_1_1_1__1_EmissionsFromPurchasedLivestock(E70,H70,IF(I70, I70,$E$58))</f>
        <v>0</v>
      </c>
      <c r="K70" s="82"/>
      <c r="L70" s="47"/>
      <c r="M70" s="82"/>
    </row>
    <row r="71" spans="4:13" ht="20.100000000000001" customHeight="1" x14ac:dyDescent="0.25"/>
    <row r="72" spans="4:13" ht="20.100000000000001" customHeight="1" x14ac:dyDescent="0.25">
      <c r="D72" s="174" t="s">
        <v>645</v>
      </c>
      <c r="E72" s="98">
        <f>SUM(G61:G70)</f>
        <v>0</v>
      </c>
      <c r="F72" s="175" t="str">
        <f>$E$11</f>
        <v>t CO2e</v>
      </c>
    </row>
    <row r="73" spans="4:13" ht="20.100000000000001" customHeight="1" x14ac:dyDescent="0.25">
      <c r="D73" s="174" t="s">
        <v>646</v>
      </c>
      <c r="E73" s="98">
        <f>SUM(J61:J70)</f>
        <v>73.38000000000001</v>
      </c>
      <c r="F73" s="175" t="str">
        <f>$E$11</f>
        <v>t CO2e</v>
      </c>
    </row>
    <row r="74" spans="4:13" ht="20.100000000000001" customHeight="1" x14ac:dyDescent="0.25"/>
    <row r="75" spans="4:13" ht="20.100000000000001" customHeight="1" x14ac:dyDescent="0.25">
      <c r="D75" s="144" t="s">
        <v>566</v>
      </c>
    </row>
    <row r="76" spans="4:13" ht="20.100000000000001" customHeight="1" x14ac:dyDescent="0.25">
      <c r="D76" s="167" t="s">
        <v>628</v>
      </c>
      <c r="E76" s="49"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6" t="s">
        <v>358</v>
      </c>
      <c r="E78" s="152" t="s">
        <v>621</v>
      </c>
      <c r="F78" s="152" t="s">
        <v>622</v>
      </c>
      <c r="G78" s="57" t="s">
        <v>633</v>
      </c>
      <c r="H78" s="152" t="s">
        <v>623</v>
      </c>
      <c r="I78" s="46" t="s">
        <v>625</v>
      </c>
      <c r="J78" s="57" t="s">
        <v>635</v>
      </c>
      <c r="K78" s="46" t="s">
        <v>629</v>
      </c>
      <c r="L78" s="46" t="s">
        <v>630</v>
      </c>
      <c r="M78" s="46" t="s">
        <v>631</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51" cm="1">
        <f t="array" ref="G79">Scope3_Equations.VEERG_15_1_1_1__1_EmissionsFromPurchasedLivestock(E79,F79,$E$76)</f>
        <v>0.17680000000000001</v>
      </c>
      <c r="H79" s="49" cm="1">
        <f t="array" ref="H79:H88">IFERROR(INDEX(Table_Input_LivestockPurchases_Poultry[Liveweight (kg/head) Method 2], _xlfn.SEQUENCE(10)), "")</f>
        <v>1.3</v>
      </c>
      <c r="I79" s="66">
        <v>1.3</v>
      </c>
      <c r="J79" s="151" cm="1">
        <f t="array" ref="J79">Scope3_Equations.VEERG_15_1_1_1__1_EmissionsFromPurchasedLivestock(E79,H79,IF(I79, I79,$E$76))</f>
        <v>0.16900000000000001</v>
      </c>
      <c r="K79" s="82"/>
      <c r="L79" s="47"/>
      <c r="M79"/>
    </row>
    <row r="80" spans="4:13" ht="20.100000000000001" customHeight="1" x14ac:dyDescent="0.25">
      <c r="D80" s="49" t="str">
        <v>Roosters from Raj</v>
      </c>
      <c r="E80" s="49">
        <v>100</v>
      </c>
      <c r="F80" s="49">
        <v>1.4</v>
      </c>
      <c r="G80" s="151" cm="1">
        <f t="array" ref="G80">Scope3_Equations.VEERG_15_1_1_1__1_EmissionsFromPurchasedLivestock(E80,F80,$E$76)</f>
        <v>0.19040000000000001</v>
      </c>
      <c r="H80" s="49">
        <v>1.4</v>
      </c>
      <c r="I80" s="66"/>
      <c r="J80" s="151" cm="1">
        <f t="array" ref="J80">Scope3_Equations.VEERG_15_1_1_1__1_EmissionsFromPurchasedLivestock(E80,H80,IF(I80, I80,$E$76))</f>
        <v>0.19040000000000001</v>
      </c>
      <c r="K80" s="82"/>
      <c r="L80" s="47"/>
      <c r="M80" s="82"/>
    </row>
    <row r="81" spans="4:13" ht="20.100000000000001" customHeight="1" x14ac:dyDescent="0.25">
      <c r="D81" s="49">
        <v>0</v>
      </c>
      <c r="E81" s="49">
        <v>0</v>
      </c>
      <c r="F81" s="49">
        <v>0</v>
      </c>
      <c r="G81" s="151" cm="1">
        <f t="array" ref="G81">Scope3_Equations.VEERG_15_1_1_1__1_EmissionsFromPurchasedLivestock(E81,F81,$E$76)</f>
        <v>0</v>
      </c>
      <c r="H81" s="49">
        <v>0</v>
      </c>
      <c r="I81" s="66"/>
      <c r="J81" s="151" cm="1">
        <f t="array" ref="J81">Scope3_Equations.VEERG_15_1_1_1__1_EmissionsFromPurchasedLivestock(E81,H81,IF(I81, I81,$E$76))</f>
        <v>0</v>
      </c>
      <c r="K81" s="82"/>
      <c r="L81" s="47"/>
      <c r="M81" s="82"/>
    </row>
    <row r="82" spans="4:13" ht="20.100000000000001" customHeight="1" x14ac:dyDescent="0.25">
      <c r="D82" s="49">
        <v>0</v>
      </c>
      <c r="E82" s="49">
        <v>0</v>
      </c>
      <c r="F82" s="49">
        <v>0</v>
      </c>
      <c r="G82" s="151" cm="1">
        <f t="array" ref="G82">Scope3_Equations.VEERG_15_1_1_1__1_EmissionsFromPurchasedLivestock(E82,F82,$E$76)</f>
        <v>0</v>
      </c>
      <c r="H82" s="49">
        <v>0</v>
      </c>
      <c r="I82" s="66"/>
      <c r="J82" s="151" cm="1">
        <f t="array" ref="J82">Scope3_Equations.VEERG_15_1_1_1__1_EmissionsFromPurchasedLivestock(E82,H82,IF(I82, I82,$E$76))</f>
        <v>0</v>
      </c>
      <c r="K82" s="82"/>
      <c r="L82" s="47"/>
      <c r="M82" s="82"/>
    </row>
    <row r="83" spans="4:13" ht="20.100000000000001" customHeight="1" x14ac:dyDescent="0.25">
      <c r="D83" s="49">
        <v>0</v>
      </c>
      <c r="E83" s="49">
        <v>0</v>
      </c>
      <c r="F83" s="49">
        <v>0</v>
      </c>
      <c r="G83" s="151" cm="1">
        <f t="array" ref="G83">Scope3_Equations.VEERG_15_1_1_1__1_EmissionsFromPurchasedLivestock(E83,F83,$E$76)</f>
        <v>0</v>
      </c>
      <c r="H83" s="49">
        <v>0</v>
      </c>
      <c r="I83" s="66"/>
      <c r="J83" s="151" cm="1">
        <f t="array" ref="J83">Scope3_Equations.VEERG_15_1_1_1__1_EmissionsFromPurchasedLivestock(E83,H83,IF(I83, I83,$E$76))</f>
        <v>0</v>
      </c>
      <c r="K83" s="82"/>
      <c r="L83" s="47"/>
      <c r="M83" s="82"/>
    </row>
    <row r="84" spans="4:13" ht="20.100000000000001" customHeight="1" x14ac:dyDescent="0.25">
      <c r="D84" s="49">
        <v>0</v>
      </c>
      <c r="E84" s="49">
        <v>0</v>
      </c>
      <c r="F84" s="49">
        <v>0</v>
      </c>
      <c r="G84" s="151" cm="1">
        <f t="array" ref="G84">Scope3_Equations.VEERG_15_1_1_1__1_EmissionsFromPurchasedLivestock(E84,F84,$E$76)</f>
        <v>0</v>
      </c>
      <c r="H84" s="49">
        <v>0</v>
      </c>
      <c r="I84" s="66"/>
      <c r="J84" s="151" cm="1">
        <f t="array" ref="J84">Scope3_Equations.VEERG_15_1_1_1__1_EmissionsFromPurchasedLivestock(E84,H84,IF(I84, I84,$E$76))</f>
        <v>0</v>
      </c>
      <c r="K84" s="82"/>
      <c r="L84" s="47"/>
      <c r="M84" s="82"/>
    </row>
    <row r="85" spans="4:13" ht="20.100000000000001" customHeight="1" x14ac:dyDescent="0.25">
      <c r="D85" s="49">
        <v>0</v>
      </c>
      <c r="E85" s="49">
        <v>0</v>
      </c>
      <c r="F85" s="49">
        <v>0</v>
      </c>
      <c r="G85" s="151" cm="1">
        <f t="array" ref="G85">Scope3_Equations.VEERG_15_1_1_1__1_EmissionsFromPurchasedLivestock(E85,F85,$E$76)</f>
        <v>0</v>
      </c>
      <c r="H85" s="49">
        <v>0</v>
      </c>
      <c r="I85" s="66"/>
      <c r="J85" s="151" cm="1">
        <f t="array" ref="J85">Scope3_Equations.VEERG_15_1_1_1__1_EmissionsFromPurchasedLivestock(E85,H85,IF(I85, I85,$E$76))</f>
        <v>0</v>
      </c>
      <c r="K85" s="82"/>
      <c r="L85" s="47"/>
      <c r="M85" s="82"/>
    </row>
    <row r="86" spans="4:13" ht="20.100000000000001" customHeight="1" x14ac:dyDescent="0.25">
      <c r="D86" s="49">
        <v>0</v>
      </c>
      <c r="E86" s="49">
        <v>0</v>
      </c>
      <c r="F86" s="49">
        <v>0</v>
      </c>
      <c r="G86" s="151" cm="1">
        <f t="array" ref="G86">Scope3_Equations.VEERG_15_1_1_1__1_EmissionsFromPurchasedLivestock(E86,F86,$E$76)</f>
        <v>0</v>
      </c>
      <c r="H86" s="49">
        <v>0</v>
      </c>
      <c r="I86" s="66"/>
      <c r="J86" s="151" cm="1">
        <f t="array" ref="J86">Scope3_Equations.VEERG_15_1_1_1__1_EmissionsFromPurchasedLivestock(E86,H86,IF(I86, I86,$E$76))</f>
        <v>0</v>
      </c>
      <c r="K86" s="82"/>
      <c r="L86" s="47"/>
      <c r="M86" s="82"/>
    </row>
    <row r="87" spans="4:13" ht="20.100000000000001" customHeight="1" x14ac:dyDescent="0.25">
      <c r="D87" s="49">
        <v>0</v>
      </c>
      <c r="E87" s="49">
        <v>0</v>
      </c>
      <c r="F87" s="49">
        <v>0</v>
      </c>
      <c r="G87" s="151" cm="1">
        <f t="array" ref="G87">Scope3_Equations.VEERG_15_1_1_1__1_EmissionsFromPurchasedLivestock(E87,F87,$E$76)</f>
        <v>0</v>
      </c>
      <c r="H87" s="49">
        <v>0</v>
      </c>
      <c r="I87" s="66"/>
      <c r="J87" s="151" cm="1">
        <f t="array" ref="J87">Scope3_Equations.VEERG_15_1_1_1__1_EmissionsFromPurchasedLivestock(E87,H87,IF(I87, I87,$E$76))</f>
        <v>0</v>
      </c>
      <c r="K87" s="82"/>
      <c r="L87" s="47"/>
      <c r="M87" s="82"/>
    </row>
    <row r="88" spans="4:13" ht="20.100000000000001" customHeight="1" x14ac:dyDescent="0.25">
      <c r="D88" s="49">
        <v>0</v>
      </c>
      <c r="E88" s="49">
        <v>0</v>
      </c>
      <c r="F88" s="49">
        <v>0</v>
      </c>
      <c r="G88" s="151" cm="1">
        <f t="array" ref="G88">Scope3_Equations.VEERG_15_1_1_1__1_EmissionsFromPurchasedLivestock(E88,F88,$E$76)</f>
        <v>0</v>
      </c>
      <c r="H88" s="49">
        <v>0</v>
      </c>
      <c r="I88" s="66"/>
      <c r="J88" s="151" cm="1">
        <f t="array" ref="J88">Scope3_Equations.VEERG_15_1_1_1__1_EmissionsFromPurchasedLivestock(E88,H88,IF(I88, I88,$E$76))</f>
        <v>0</v>
      </c>
      <c r="K88" s="82"/>
      <c r="L88" s="47"/>
      <c r="M88" s="82"/>
    </row>
    <row r="89" spans="4:13" ht="20.100000000000001" customHeight="1" x14ac:dyDescent="0.25"/>
    <row r="90" spans="4:13" ht="20.100000000000001" customHeight="1" x14ac:dyDescent="0.25">
      <c r="D90" s="174" t="s">
        <v>643</v>
      </c>
      <c r="E90" s="98">
        <f>SUM(G79:G88)</f>
        <v>0.36720000000000003</v>
      </c>
      <c r="F90" s="175" t="str">
        <f>$E$11</f>
        <v>t CO2e</v>
      </c>
    </row>
    <row r="91" spans="4:13" ht="20.100000000000001" customHeight="1" x14ac:dyDescent="0.25">
      <c r="D91" s="174" t="s">
        <v>644</v>
      </c>
      <c r="E91" s="98">
        <f>SUM(J79:J88)</f>
        <v>0.35940000000000005</v>
      </c>
      <c r="F91" s="175" t="str">
        <f>$E$11</f>
        <v>t CO2e</v>
      </c>
    </row>
    <row r="92" spans="4:13" ht="20.100000000000001" customHeight="1" x14ac:dyDescent="0.25"/>
    <row r="93" spans="4:13" ht="20.100000000000001" customHeight="1" x14ac:dyDescent="0.25">
      <c r="D93" s="176" t="s">
        <v>633</v>
      </c>
      <c r="E93" s="177">
        <f>E34+E53+E72+E90</f>
        <v>1348.3371999999999</v>
      </c>
      <c r="F93" s="178" t="str">
        <f>$E$11</f>
        <v>t CO2e</v>
      </c>
    </row>
    <row r="94" spans="4:13" ht="20.100000000000001" customHeight="1" x14ac:dyDescent="0.25">
      <c r="D94" s="176" t="s">
        <v>635</v>
      </c>
      <c r="E94" s="177">
        <f>E35+E54+E73+E91</f>
        <v>1503.8644000000002</v>
      </c>
      <c r="F94" s="178" t="str">
        <f>$E$11</f>
        <v>t CO2e</v>
      </c>
    </row>
    <row r="95" spans="4:13" ht="20.100000000000001" customHeight="1" x14ac:dyDescent="0.25"/>
    <row r="96" spans="4:13" ht="20.100000000000001" customHeight="1" x14ac:dyDescent="0.25"/>
    <row r="97" spans="3:41" ht="20.100000000000001" customHeight="1" x14ac:dyDescent="0.25">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2" t="s">
        <v>626</v>
      </c>
      <c r="E100" s="172"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2"/>
    </row>
    <row r="103" spans="3:41" ht="20.100000000000001" customHeight="1" x14ac:dyDescent="0.25">
      <c r="D103" s="27" t="s">
        <v>627</v>
      </c>
      <c r="E103" s="8" t="str" cm="1">
        <f t="array" ref="E103">Scope3_Equations.VEERG_15_2_1_1__1_EmissionsFromPurchasedFeed_Variable()</f>
        <v>E</v>
      </c>
    </row>
    <row r="104" spans="3:41" ht="20.100000000000001" customHeight="1" x14ac:dyDescent="0.25">
      <c r="D104" s="27" t="s">
        <v>96</v>
      </c>
      <c r="E104" s="13" t="str" cm="1">
        <f t="array" ref="E104">Scope3_Equations.VEERG_15_2_1_1__1_EmissionsFromPurchasedFeed_Unit()</f>
        <v>t CO2e</v>
      </c>
    </row>
    <row r="105" spans="3:41" ht="20.100000000000001" customHeight="1" x14ac:dyDescent="0.25"/>
    <row r="106" spans="3:41" ht="20.100000000000001" customHeight="1" x14ac:dyDescent="0.25">
      <c r="D106" s="167" t="str" cm="1">
        <f t="array" ref="D106:E108">_xlfn.CHOOSECOLS(Scope3_Equations.VEERG_15_2_1_1__1_EmissionsFromPurchasedFeed_Arguments(),1,2)</f>
        <v>Q_j</v>
      </c>
      <c r="E106" s="171" t="str">
        <v>quantity of feed type j purchased</v>
      </c>
      <c r="F106" s="166"/>
      <c r="G106" s="167" t="str" cm="1">
        <f t="array" ref="G106:H108">_xlfn.CHOOSECOLS(Scope3_Equations.VEERG_15_2_1_1__1_EmissionsFromPurchasedFeed_Arguments(),3,4)</f>
        <v>t</v>
      </c>
      <c r="H106" s="168" t="str">
        <v>Input</v>
      </c>
    </row>
    <row r="107" spans="3:41" ht="20.100000000000001" customHeight="1" x14ac:dyDescent="0.25">
      <c r="D107" s="167" t="str">
        <v>EF_j</v>
      </c>
      <c r="E107" s="171" t="str">
        <v>emission factor of purchased feed</v>
      </c>
      <c r="F107" s="166"/>
      <c r="G107" s="167" t="str">
        <v>kg CO2e/kg</v>
      </c>
      <c r="H107" s="168" t="str">
        <v>Constant</v>
      </c>
    </row>
    <row r="108" spans="3:41" ht="20.100000000000001" customHeight="1" x14ac:dyDescent="0.25">
      <c r="D108" s="167" t="str">
        <v>j</v>
      </c>
      <c r="E108" s="171" t="str">
        <v>feed type</v>
      </c>
      <c r="F108" s="166"/>
      <c r="G108" s="167" t="str">
        <v/>
      </c>
      <c r="H108" s="169" t="str">
        <v>Input</v>
      </c>
    </row>
    <row r="109" spans="3:41" ht="20.100000000000001" customHeight="1" x14ac:dyDescent="0.25"/>
    <row r="110" spans="3:41" ht="20.100000000000001" customHeight="1" x14ac:dyDescent="0.25">
      <c r="D110" s="144" t="s">
        <v>291</v>
      </c>
    </row>
    <row r="111" spans="3:41" ht="20.100000000000001" customHeight="1" x14ac:dyDescent="0.25"/>
    <row r="112" spans="3:41" ht="20.100000000000001" customHeight="1" x14ac:dyDescent="0.25">
      <c r="D112" s="39" t="s">
        <v>637</v>
      </c>
      <c r="E112" s="41"/>
      <c r="F112" s="39"/>
      <c r="G112" s="40"/>
      <c r="H112" s="41"/>
    </row>
    <row r="113" spans="4:28" ht="20.100000000000001" customHeight="1" x14ac:dyDescent="0.25">
      <c r="D113" s="88" t="s">
        <v>638</v>
      </c>
      <c r="E113" s="90"/>
      <c r="F113" s="88"/>
      <c r="G113" s="89"/>
      <c r="H113" s="90"/>
    </row>
    <row r="114" spans="4:28" ht="20.100000000000001" customHeight="1" x14ac:dyDescent="0.25">
      <c r="D114" s="43" t="s">
        <v>639</v>
      </c>
      <c r="E114" s="45"/>
      <c r="F114" s="43"/>
      <c r="G114" s="44"/>
      <c r="H114" s="45"/>
    </row>
    <row r="115" spans="4:28" ht="20.100000000000001" customHeight="1" x14ac:dyDescent="0.25"/>
    <row r="116" spans="4:28" ht="20.100000000000001" customHeight="1" x14ac:dyDescent="0.25">
      <c r="D116" s="95" t="s">
        <v>397</v>
      </c>
      <c r="E116" s="110"/>
      <c r="F116" s="96"/>
    </row>
    <row r="117" spans="4:28" ht="20.100000000000001" customHeight="1" x14ac:dyDescent="0.25"/>
    <row r="118" spans="4:28" ht="20.100000000000001" customHeight="1" x14ac:dyDescent="0.25">
      <c r="D118" s="46" t="s">
        <v>401</v>
      </c>
      <c r="E118" s="46" t="s">
        <v>632</v>
      </c>
      <c r="F118" s="57" t="s">
        <v>636</v>
      </c>
      <c r="G118" s="57" t="s">
        <v>633</v>
      </c>
      <c r="H118" s="46" t="s">
        <v>634</v>
      </c>
      <c r="I118" s="57" t="s">
        <v>635</v>
      </c>
      <c r="J118" s="46" t="s">
        <v>629</v>
      </c>
      <c r="K118" s="46" t="s">
        <v>630</v>
      </c>
      <c r="L118" s="46" t="s">
        <v>631</v>
      </c>
      <c r="M118" s="57" t="s">
        <v>173</v>
      </c>
      <c r="N118" s="57" t="s">
        <v>382</v>
      </c>
      <c r="O118" s="57" t="s">
        <v>174</v>
      </c>
      <c r="P118" s="57" t="s">
        <v>344</v>
      </c>
      <c r="Q118" s="57" t="s">
        <v>175</v>
      </c>
      <c r="R118" s="57" t="s">
        <v>398</v>
      </c>
      <c r="S118" s="57" t="s">
        <v>176</v>
      </c>
      <c r="T118" s="57" t="s">
        <v>347</v>
      </c>
      <c r="U118" s="57" t="s">
        <v>177</v>
      </c>
      <c r="V118" s="57" t="s">
        <v>399</v>
      </c>
      <c r="W118" s="57" t="s">
        <v>178</v>
      </c>
      <c r="X118" s="57" t="s">
        <v>348</v>
      </c>
      <c r="Y118" s="57" t="s">
        <v>179</v>
      </c>
      <c r="Z118" s="57" t="s">
        <v>400</v>
      </c>
      <c r="AA118" s="57" t="s">
        <v>180</v>
      </c>
      <c r="AB118" s="57" t="s">
        <v>349</v>
      </c>
    </row>
    <row r="119" spans="4:28" ht="20.100000000000001" customHeight="1" x14ac:dyDescent="0.25">
      <c r="D119" s="49" cm="1">
        <f t="array" ref="D119:D128">IFERROR(INDEX(Table_Input_FeedBlends[Feed blend name], _xlfn.SEQUENCE(10)), "")</f>
        <v>0</v>
      </c>
      <c r="E119" s="49" cm="1">
        <f t="array" ref="E119:E128">IFERROR(INDEX(Table_Input_FeedBlends[Amount fed (kg)], _xlfn.SEQUENCE(10)), "")</f>
        <v>1200</v>
      </c>
      <c r="F119" s="49">
        <f t="shared" ref="F119:F128" si="0">IFERROR((O119*P119)+(S119*T119)+(W119*X119)+(AA119*AB119), 0)</f>
        <v>2.4709999999999996E-2</v>
      </c>
      <c r="G119" s="151" cm="1">
        <f t="array" ref="G119">Scope3_Equations.VEERG_15_2_1_1__1_EmissionsFromPurchasedFeed(E119,F119)</f>
        <v>29.651999999999994</v>
      </c>
      <c r="H119" s="66">
        <v>0.04</v>
      </c>
      <c r="I119" s="151" cm="1">
        <f t="array" ref="I119">Scope3_Equations.VEERG_15_2_1_1__1_EmissionsFromPurchasedFeed(E119,IF(H119,H119, F119))</f>
        <v>48</v>
      </c>
      <c r="J119" s="82"/>
      <c r="K119" s="47"/>
      <c r="L119"/>
      <c r="M119" s="49" t="str" cm="1">
        <f t="array" ref="M119:M128">IFERROR(INDEX(Table_Input_FeedBlends[Ingredient 1 (select)], _xlfn.SEQUENCE(10)), "")</f>
        <v>Cereal silage</v>
      </c>
      <c r="N119" s="49" t="str" cm="1">
        <f t="array" ref="N119:N128">IFERROR(INDEX(Table_Input_FeedBlends[Ingredient 1 source region], _xlfn.SEQUENCE(10)), "")</f>
        <v>SA</v>
      </c>
      <c r="O119" s="49" cm="1">
        <f t="array" ref="O119:O128">IFERROR(INDEX(Table_Input_FeedBlends[Ingredient 1 percent], _xlfn.SEQUENCE(10)), "")</f>
        <v>0.35</v>
      </c>
      <c r="P119" s="49"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49" t="str" cm="1">
        <f t="array" ref="Q119:Q128">IFERROR(INDEX(Table_Input_FeedBlends[Ingredient 2 (select)], _xlfn.SEQUENCE(10)), "")</f>
        <v>Cereal hay</v>
      </c>
      <c r="R119" s="49" t="str" cm="1">
        <f t="array" ref="R119:R128">IFERROR(INDEX(Table_Input_FeedBlends[Ingredient 2 source region], _xlfn.SEQUENCE(10)), "")</f>
        <v>SA</v>
      </c>
      <c r="S119" s="49" cm="1">
        <f t="array" ref="S119:S128">IFERROR(INDEX(Table_Input_FeedBlends[Ingredient 2 percent], _xlfn.SEQUENCE(10)), "")</f>
        <v>0.22</v>
      </c>
      <c r="T119" s="49"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49" t="str" cm="1">
        <f t="array" ref="U119:U128">IFERROR(INDEX(Table_Input_FeedBlends[Ingredient 3 (select)], _xlfn.SEQUENCE(10)), "")</f>
        <v>Canola oil</v>
      </c>
      <c r="V119" s="49" t="str" cm="1">
        <f t="array" ref="V119:V128">IFERROR(INDEX(Table_Input_FeedBlends[Ingredient 3 source region], _xlfn.SEQUENCE(10)), "")</f>
        <v>Australia</v>
      </c>
      <c r="W119" s="49" cm="1">
        <f t="array" ref="W119:W128">IFERROR(INDEX(Table_Input_FeedBlends[Ingredient 3 percent], _xlfn.SEQUENCE(10)), "")</f>
        <v>0.12</v>
      </c>
      <c r="X119" s="49"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49" t="str" cm="1">
        <f t="array" ref="Y119:Y128">IFERROR(INDEX(Table_Input_FeedBlends[Ingredient 4 (select)], _xlfn.SEQUENCE(10)), "")</f>
        <v>Molasses</v>
      </c>
      <c r="Z119" s="49" t="str" cm="1">
        <f t="array" ref="Z119:Z128">IFERROR(INDEX(Table_Input_FeedBlends[Ingredient 4 source region], _xlfn.SEQUENCE(10)), "")</f>
        <v>QLD</v>
      </c>
      <c r="AA119" s="49" cm="1">
        <f t="array" ref="AA119:AA128">IFERROR(INDEX(Table_Input_FeedBlends[Ingredient 4 percent], _xlfn.SEQUENCE(10)), "")</f>
        <v>0.05</v>
      </c>
      <c r="AB119" s="49"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4:28" ht="20.100000000000001" customHeight="1" x14ac:dyDescent="0.25">
      <c r="D120" s="49">
        <v>0</v>
      </c>
      <c r="E120" s="49">
        <v>3456</v>
      </c>
      <c r="F120" s="49">
        <f t="shared" si="0"/>
        <v>0</v>
      </c>
      <c r="G120" s="151" cm="1">
        <f t="array" ref="G120">Scope3_Equations.VEERG_15_2_1_1__1_EmissionsFromPurchasedFeed(E120,F120)</f>
        <v>0</v>
      </c>
      <c r="H120" s="66">
        <v>0.03</v>
      </c>
      <c r="I120" s="151" cm="1">
        <f t="array" ref="I120">Scope3_Equations.VEERG_15_2_1_1__1_EmissionsFromPurchasedFeed(E120,IF(H120,H120, F120))</f>
        <v>103.67999999999999</v>
      </c>
      <c r="J120" s="82"/>
      <c r="K120" s="47"/>
      <c r="L120" s="82"/>
      <c r="M120" s="49" t="str">
        <v>Lucerne hay</v>
      </c>
      <c r="N120" s="49" t="str">
        <v>WA</v>
      </c>
      <c r="O120" s="49">
        <v>0.2</v>
      </c>
      <c r="P120" s="49"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49" t="str">
        <v>Lucerne hay</v>
      </c>
      <c r="R120" s="49" t="str">
        <v>NSW</v>
      </c>
      <c r="S120" s="49">
        <v>0.2</v>
      </c>
      <c r="T120" s="49"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49">
        <v>0</v>
      </c>
      <c r="V120" s="49">
        <v>0</v>
      </c>
      <c r="W120" s="49">
        <v>0</v>
      </c>
      <c r="X120" s="49"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49">
        <v>0</v>
      </c>
      <c r="Z120" s="49">
        <v>0</v>
      </c>
      <c r="AA120" s="49">
        <v>0</v>
      </c>
      <c r="AB120" s="49"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4:28" ht="20.100000000000001" customHeight="1" x14ac:dyDescent="0.25">
      <c r="D121" s="49" t="str">
        <v>Hay bales in paddock</v>
      </c>
      <c r="E121" s="49">
        <v>300</v>
      </c>
      <c r="F121" s="49">
        <f t="shared" si="0"/>
        <v>0</v>
      </c>
      <c r="G121" s="151" cm="1">
        <f t="array" ref="G121">Scope3_Equations.VEERG_15_2_1_1__1_EmissionsFromPurchasedFeed(E121,F121)</f>
        <v>0</v>
      </c>
      <c r="H121" s="66">
        <v>0.14000000000000001</v>
      </c>
      <c r="I121" s="151" cm="1">
        <f t="array" ref="I121">Scope3_Equations.VEERG_15_2_1_1__1_EmissionsFromPurchasedFeed(E121,IF(H121,H121, F121))</f>
        <v>42.000000000000007</v>
      </c>
      <c r="J121" s="82"/>
      <c r="K121" s="47"/>
      <c r="L121" s="82"/>
      <c r="M121" s="49" t="str">
        <v>Sardines (whole)</v>
      </c>
      <c r="N121" s="49" t="str">
        <v>VIC</v>
      </c>
      <c r="O121" s="49">
        <v>0.8</v>
      </c>
      <c r="P121" s="49"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49" t="str">
        <v>Soybean meal</v>
      </c>
      <c r="R121" s="49" t="str">
        <v>Brazil</v>
      </c>
      <c r="S121" s="49">
        <v>0.2</v>
      </c>
      <c r="T121" s="49"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49">
        <v>0</v>
      </c>
      <c r="V121" s="49">
        <v>0</v>
      </c>
      <c r="W121" s="49">
        <v>0</v>
      </c>
      <c r="X121" s="49"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49">
        <v>0</v>
      </c>
      <c r="Z121" s="49">
        <v>0</v>
      </c>
      <c r="AA121" s="49">
        <v>0</v>
      </c>
      <c r="AB121" s="49"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4:28" ht="20.100000000000001" customHeight="1" x14ac:dyDescent="0.25">
      <c r="D122" s="49">
        <v>0</v>
      </c>
      <c r="E122" s="49">
        <v>500</v>
      </c>
      <c r="F122" s="49">
        <f t="shared" si="0"/>
        <v>0.34499999999999997</v>
      </c>
      <c r="G122" s="151" cm="1">
        <f t="array" ref="G122">Scope3_Equations.VEERG_15_2_1_1__1_EmissionsFromPurchasedFeed(E122,F122)</f>
        <v>172.5</v>
      </c>
      <c r="H122" s="66"/>
      <c r="I122" s="151" cm="1">
        <f t="array" ref="I122">Scope3_Equations.VEERG_15_2_1_1__1_EmissionsFromPurchasedFeed(E122,IF(H122,H122, F122))</f>
        <v>172.5</v>
      </c>
      <c r="J122" s="82"/>
      <c r="K122" s="47"/>
      <c r="L122" s="82"/>
      <c r="M122" s="49" t="str">
        <v>Pasture hay</v>
      </c>
      <c r="N122" s="49" t="str">
        <v>VIC</v>
      </c>
      <c r="O122" s="49">
        <v>1</v>
      </c>
      <c r="P122" s="49"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49">
        <v>0</v>
      </c>
      <c r="R122" s="49">
        <v>0</v>
      </c>
      <c r="S122" s="49">
        <v>0</v>
      </c>
      <c r="T122" s="49"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49">
        <v>0</v>
      </c>
      <c r="V122" s="49">
        <v>0</v>
      </c>
      <c r="W122" s="49">
        <v>0</v>
      </c>
      <c r="X122" s="49"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49">
        <v>0</v>
      </c>
      <c r="Z122" s="49">
        <v>0</v>
      </c>
      <c r="AA122" s="49">
        <v>0</v>
      </c>
      <c r="AB122" s="49"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4:28" ht="20.100000000000001" customHeight="1" x14ac:dyDescent="0.25">
      <c r="D123" s="49">
        <v>0</v>
      </c>
      <c r="E123" s="49">
        <v>0</v>
      </c>
      <c r="F123" s="49">
        <f t="shared" si="0"/>
        <v>0</v>
      </c>
      <c r="G123" s="151" cm="1">
        <f t="array" ref="G123">Scope3_Equations.VEERG_15_2_1_1__1_EmissionsFromPurchasedFeed(E123,F123)</f>
        <v>0</v>
      </c>
      <c r="H123" s="66"/>
      <c r="I123" s="151" cm="1">
        <f t="array" ref="I123">Scope3_Equations.VEERG_15_2_1_1__1_EmissionsFromPurchasedFeed(E123,IF(H123,H123, F123))</f>
        <v>0</v>
      </c>
      <c r="J123" s="82"/>
      <c r="K123" s="47"/>
      <c r="L123" s="82"/>
      <c r="M123" s="49">
        <v>0</v>
      </c>
      <c r="N123" s="49">
        <v>0</v>
      </c>
      <c r="O123" s="49">
        <v>0</v>
      </c>
      <c r="P123" s="49"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49">
        <v>0</v>
      </c>
      <c r="R123" s="49">
        <v>0</v>
      </c>
      <c r="S123" s="49">
        <v>0</v>
      </c>
      <c r="T123" s="49"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49">
        <v>0</v>
      </c>
      <c r="V123" s="49">
        <v>0</v>
      </c>
      <c r="W123" s="49">
        <v>0</v>
      </c>
      <c r="X123" s="49"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49">
        <v>0</v>
      </c>
      <c r="Z123" s="49">
        <v>0</v>
      </c>
      <c r="AA123" s="49">
        <v>0</v>
      </c>
      <c r="AB123" s="49"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4:28" ht="20.100000000000001" customHeight="1" x14ac:dyDescent="0.25">
      <c r="D124" s="49">
        <v>0</v>
      </c>
      <c r="E124" s="49">
        <v>0</v>
      </c>
      <c r="F124" s="49">
        <f t="shared" si="0"/>
        <v>0</v>
      </c>
      <c r="G124" s="151" cm="1">
        <f t="array" ref="G124">Scope3_Equations.VEERG_15_2_1_1__1_EmissionsFromPurchasedFeed(E124,F124)</f>
        <v>0</v>
      </c>
      <c r="H124" s="66"/>
      <c r="I124" s="151" cm="1">
        <f t="array" ref="I124">Scope3_Equations.VEERG_15_2_1_1__1_EmissionsFromPurchasedFeed(E124,IF(H124,H124, F124))</f>
        <v>0</v>
      </c>
      <c r="J124" s="82"/>
      <c r="K124" s="47"/>
      <c r="L124" s="82"/>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49">
        <v>0</v>
      </c>
      <c r="R124" s="49">
        <v>0</v>
      </c>
      <c r="S124" s="49">
        <v>0</v>
      </c>
      <c r="T124" s="49"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49">
        <v>0</v>
      </c>
      <c r="V124" s="49">
        <v>0</v>
      </c>
      <c r="W124" s="49">
        <v>0</v>
      </c>
      <c r="X124" s="49"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49">
        <v>0</v>
      </c>
      <c r="Z124" s="49">
        <v>0</v>
      </c>
      <c r="AA124" s="49">
        <v>0</v>
      </c>
      <c r="AB124" s="49"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4:28" ht="20.100000000000001" customHeight="1" x14ac:dyDescent="0.25">
      <c r="D125" s="49">
        <v>0</v>
      </c>
      <c r="E125" s="49">
        <v>0</v>
      </c>
      <c r="F125" s="49">
        <f t="shared" si="0"/>
        <v>0</v>
      </c>
      <c r="G125" s="151" cm="1">
        <f t="array" ref="G125">Scope3_Equations.VEERG_15_2_1_1__1_EmissionsFromPurchasedFeed(E125,F125)</f>
        <v>0</v>
      </c>
      <c r="H125" s="66"/>
      <c r="I125" s="151" cm="1">
        <f t="array" ref="I125">Scope3_Equations.VEERG_15_2_1_1__1_EmissionsFromPurchasedFeed(E125,IF(H125,H125, F125))</f>
        <v>0</v>
      </c>
      <c r="J125" s="82"/>
      <c r="K125" s="47"/>
      <c r="L125" s="82"/>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49">
        <v>0</v>
      </c>
      <c r="R125" s="49">
        <v>0</v>
      </c>
      <c r="S125" s="49">
        <v>0</v>
      </c>
      <c r="T125" s="49"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49">
        <v>0</v>
      </c>
      <c r="V125" s="49">
        <v>0</v>
      </c>
      <c r="W125" s="49">
        <v>0</v>
      </c>
      <c r="X125" s="49"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49">
        <v>0</v>
      </c>
      <c r="Z125" s="49">
        <v>0</v>
      </c>
      <c r="AA125" s="49">
        <v>0</v>
      </c>
      <c r="AB125" s="49"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4:28" ht="20.100000000000001" customHeight="1" x14ac:dyDescent="0.25">
      <c r="D126" s="49">
        <v>0</v>
      </c>
      <c r="E126" s="49">
        <v>0</v>
      </c>
      <c r="F126" s="49">
        <f t="shared" si="0"/>
        <v>0</v>
      </c>
      <c r="G126" s="151" cm="1">
        <f t="array" ref="G126">Scope3_Equations.VEERG_15_2_1_1__1_EmissionsFromPurchasedFeed(E126,F126)</f>
        <v>0</v>
      </c>
      <c r="H126" s="66"/>
      <c r="I126" s="151" cm="1">
        <f t="array" ref="I126">Scope3_Equations.VEERG_15_2_1_1__1_EmissionsFromPurchasedFeed(E126,IF(H126,H126, F126))</f>
        <v>0</v>
      </c>
      <c r="J126" s="82"/>
      <c r="K126" s="47"/>
      <c r="L126" s="82"/>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49">
        <v>0</v>
      </c>
      <c r="R126" s="49">
        <v>0</v>
      </c>
      <c r="S126" s="49">
        <v>0</v>
      </c>
      <c r="T126" s="49"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49">
        <v>0</v>
      </c>
      <c r="V126" s="49">
        <v>0</v>
      </c>
      <c r="W126" s="49">
        <v>0</v>
      </c>
      <c r="X126" s="49"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49">
        <v>0</v>
      </c>
      <c r="Z126" s="49">
        <v>0</v>
      </c>
      <c r="AA126" s="49">
        <v>0</v>
      </c>
      <c r="AB126" s="49"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4:28" ht="20.100000000000001" customHeight="1" x14ac:dyDescent="0.25">
      <c r="D127" s="49">
        <v>0</v>
      </c>
      <c r="E127" s="49">
        <v>0</v>
      </c>
      <c r="F127" s="49">
        <f t="shared" si="0"/>
        <v>0</v>
      </c>
      <c r="G127" s="151" cm="1">
        <f t="array" ref="G127">Scope3_Equations.VEERG_15_2_1_1__1_EmissionsFromPurchasedFeed(E127,F127)</f>
        <v>0</v>
      </c>
      <c r="H127" s="66"/>
      <c r="I127" s="151" cm="1">
        <f t="array" ref="I127">Scope3_Equations.VEERG_15_2_1_1__1_EmissionsFromPurchasedFeed(E127,IF(H127,H127, F127))</f>
        <v>0</v>
      </c>
      <c r="J127" s="82"/>
      <c r="K127" s="47"/>
      <c r="L127" s="82"/>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49">
        <v>0</v>
      </c>
      <c r="R127" s="49">
        <v>0</v>
      </c>
      <c r="S127" s="49">
        <v>0</v>
      </c>
      <c r="T127" s="49"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49">
        <v>0</v>
      </c>
      <c r="V127" s="49">
        <v>0</v>
      </c>
      <c r="W127" s="49">
        <v>0</v>
      </c>
      <c r="X127" s="49"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49">
        <v>0</v>
      </c>
      <c r="Z127" s="49">
        <v>0</v>
      </c>
      <c r="AA127" s="49">
        <v>0</v>
      </c>
      <c r="AB127" s="49"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4:28" ht="20.100000000000001" customHeight="1" x14ac:dyDescent="0.25">
      <c r="D128" s="49">
        <v>0</v>
      </c>
      <c r="E128" s="49">
        <v>0</v>
      </c>
      <c r="F128" s="49">
        <f t="shared" si="0"/>
        <v>0</v>
      </c>
      <c r="G128" s="151" cm="1">
        <f t="array" ref="G128">Scope3_Equations.VEERG_15_2_1_1__1_EmissionsFromPurchasedFeed(E128,F128)</f>
        <v>0</v>
      </c>
      <c r="H128" s="66"/>
      <c r="I128" s="151" cm="1">
        <f t="array" ref="I128">Scope3_Equations.VEERG_15_2_1_1__1_EmissionsFromPurchasedFeed(E128,IF(H128,H128, F128))</f>
        <v>0</v>
      </c>
      <c r="J128" s="82"/>
      <c r="K128" s="47"/>
      <c r="L128" s="82"/>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49">
        <v>0</v>
      </c>
      <c r="R128" s="49">
        <v>0</v>
      </c>
      <c r="S128" s="49">
        <v>0</v>
      </c>
      <c r="T128" s="49"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49">
        <v>0</v>
      </c>
      <c r="V128" s="49">
        <v>0</v>
      </c>
      <c r="W128" s="49">
        <v>0</v>
      </c>
      <c r="X128" s="49"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49">
        <v>0</v>
      </c>
      <c r="Z128" s="49">
        <v>0</v>
      </c>
      <c r="AA128" s="49">
        <v>0</v>
      </c>
      <c r="AB128" s="49"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4:12" ht="20.100000000000001" customHeight="1" x14ac:dyDescent="0.25"/>
    <row r="130" spans="4:12" ht="20.100000000000001" customHeight="1" x14ac:dyDescent="0.25">
      <c r="D130" s="174" t="s">
        <v>633</v>
      </c>
      <c r="E130" s="98">
        <f>SUM(G119:G128)</f>
        <v>202.15199999999999</v>
      </c>
      <c r="F130" s="175" t="str">
        <f>$E$104</f>
        <v>t CO2e</v>
      </c>
    </row>
    <row r="131" spans="4:12" ht="20.100000000000001" customHeight="1" x14ac:dyDescent="0.25">
      <c r="D131" s="174" t="s">
        <v>635</v>
      </c>
      <c r="E131" s="98">
        <f>SUM(I119:I128)</f>
        <v>366.18</v>
      </c>
      <c r="F131" s="175" t="str">
        <f>$E$104</f>
        <v>t CO2e</v>
      </c>
    </row>
    <row r="132" spans="4:12" ht="20.100000000000001" customHeight="1" x14ac:dyDescent="0.25"/>
    <row r="133" spans="4:12" ht="20.100000000000001" customHeight="1" x14ac:dyDescent="0.25"/>
    <row r="134" spans="4:12" ht="20.100000000000001" customHeight="1" x14ac:dyDescent="0.25">
      <c r="D134" s="144" t="s">
        <v>395</v>
      </c>
    </row>
    <row r="135" spans="4:12" ht="20.100000000000001" customHeight="1" x14ac:dyDescent="0.25">
      <c r="D135" s="46" t="s">
        <v>215</v>
      </c>
      <c r="E135" s="46" t="s">
        <v>632</v>
      </c>
      <c r="F135" s="57" t="s">
        <v>636</v>
      </c>
      <c r="G135" s="57" t="s">
        <v>633</v>
      </c>
      <c r="H135" s="46" t="s">
        <v>634</v>
      </c>
      <c r="I135" s="57" t="s">
        <v>635</v>
      </c>
      <c r="J135" s="46" t="s">
        <v>629</v>
      </c>
      <c r="K135" s="46" t="s">
        <v>630</v>
      </c>
      <c r="L135" s="46" t="s">
        <v>631</v>
      </c>
    </row>
    <row r="136" spans="4:12" ht="20.100000000000001" customHeight="1" x14ac:dyDescent="0.25">
      <c r="D136" s="49" t="str">
        <f>'Input - Farm Inputs'!D56</f>
        <v>Feed for chickens</v>
      </c>
      <c r="E136" s="49">
        <f>X_Cell_FarmInputs_FeedRations_Chickens</f>
        <v>100</v>
      </c>
      <c r="F136" s="49" cm="1">
        <f t="array" ref="F136">Common_InputFunctions.Utility_LookupValueInTableNumber(D136,Table_SourceData_Scope3_MixedRations[Product],Table_SourceData_Scope3_MixedRations[AusLCI Emissions intensity])</f>
        <v>0.59399999999999997</v>
      </c>
      <c r="G136" s="151" cm="1">
        <f t="array" ref="G136">Scope3_Equations.VEERG_15_2_1_1__1_EmissionsFromPurchasedFeed(E136,F136)</f>
        <v>59.4</v>
      </c>
      <c r="H136" s="66">
        <v>0.5</v>
      </c>
      <c r="I136" s="151" cm="1">
        <f t="array" ref="I136">Scope3_Equations.VEERG_15_2_1_1__1_EmissionsFromPurchasedFeed(E136,IF(H136,H136, F136))</f>
        <v>50</v>
      </c>
      <c r="J136" s="82"/>
      <c r="K136" s="47"/>
      <c r="L136"/>
    </row>
    <row r="137" spans="4:12" ht="20.100000000000001" customHeight="1" x14ac:dyDescent="0.25">
      <c r="D137" s="49" t="str">
        <f>'Input - Farm Inputs'!D57</f>
        <v>Feed for dairy calves</v>
      </c>
      <c r="E137" s="49">
        <f>X_Cell_FarmInputs_FeedRations_DairyCalves</f>
        <v>100</v>
      </c>
      <c r="F137" s="49" cm="1">
        <f t="array" ref="F137">Common_InputFunctions.Utility_LookupValueInTableNumber(D137,Table_SourceData_Scope3_MixedRations[Product],Table_SourceData_Scope3_MixedRations[AusLCI Emissions intensity])</f>
        <v>0.41899999999999998</v>
      </c>
      <c r="G137" s="151" cm="1">
        <f t="array" ref="G137">Scope3_Equations.VEERG_15_2_1_1__1_EmissionsFromPurchasedFeed(E137,F137)</f>
        <v>41.9</v>
      </c>
      <c r="H137" s="66">
        <v>0.4</v>
      </c>
      <c r="I137" s="151" cm="1">
        <f t="array" ref="I137">Scope3_Equations.VEERG_15_2_1_1__1_EmissionsFromPurchasedFeed(E137,IF(H137,H137, F137))</f>
        <v>40</v>
      </c>
      <c r="J137" s="82"/>
      <c r="K137" s="47"/>
      <c r="L137" s="82"/>
    </row>
    <row r="138" spans="4:12" ht="20.100000000000001" customHeight="1" x14ac:dyDescent="0.25">
      <c r="D138" s="49" t="str">
        <f>'Input - Farm Inputs'!D58</f>
        <v>Feed for dairy cows</v>
      </c>
      <c r="E138" s="49">
        <f>X_Cell_FarmInputs_FeedRations_DairyCows</f>
        <v>100</v>
      </c>
      <c r="F138" s="49" cm="1">
        <f t="array" ref="F138">Common_InputFunctions.Utility_LookupValueInTableNumber(D138,Table_SourceData_Scope3_MixedRations[Product],Table_SourceData_Scope3_MixedRations[AusLCI Emissions intensity])</f>
        <v>0.33300000000000002</v>
      </c>
      <c r="G138" s="151" cm="1">
        <f t="array" ref="G138">Scope3_Equations.VEERG_15_2_1_1__1_EmissionsFromPurchasedFeed(E138,F138)</f>
        <v>33.300000000000004</v>
      </c>
      <c r="H138" s="66">
        <v>0</v>
      </c>
      <c r="I138" s="151" cm="1">
        <f t="array" ref="I138">Scope3_Equations.VEERG_15_2_1_1__1_EmissionsFromPurchasedFeed(E138,IF(H138,H138, F138))</f>
        <v>33.300000000000004</v>
      </c>
      <c r="J138" s="82"/>
      <c r="K138" s="47"/>
      <c r="L138" s="82"/>
    </row>
    <row r="139" spans="4:12" ht="20.100000000000001" customHeight="1" x14ac:dyDescent="0.25">
      <c r="D139" s="49" t="str">
        <f>'Input - Farm Inputs'!D59</f>
        <v>Feed for pigs</v>
      </c>
      <c r="E139" s="49">
        <f>X_Cell_FarmInputs_FeedRations_Pigs</f>
        <v>100</v>
      </c>
      <c r="F139" s="49" cm="1">
        <f t="array" ref="F139">Common_InputFunctions.Utility_LookupValueInTableNumber(D139,Table_SourceData_Scope3_MixedRations[Product],Table_SourceData_Scope3_MixedRations[AusLCI Emissions intensity])</f>
        <v>0.40300000000000002</v>
      </c>
      <c r="G139" s="151" cm="1">
        <f t="array" ref="G139">Scope3_Equations.VEERG_15_2_1_1__1_EmissionsFromPurchasedFeed(E139,F139)</f>
        <v>40.300000000000004</v>
      </c>
      <c r="H139" s="66">
        <v>0</v>
      </c>
      <c r="I139" s="151" cm="1">
        <f t="array" ref="I139">Scope3_Equations.VEERG_15_2_1_1__1_EmissionsFromPurchasedFeed(E139,IF(H139,H139, F139))</f>
        <v>40.300000000000004</v>
      </c>
      <c r="J139" s="82"/>
      <c r="K139" s="47"/>
      <c r="L139" s="82"/>
    </row>
    <row r="140" spans="4:12" ht="20.100000000000001" customHeight="1" x14ac:dyDescent="0.25"/>
    <row r="141" spans="4:12" ht="20.100000000000001" customHeight="1" x14ac:dyDescent="0.25">
      <c r="D141" s="174" t="s">
        <v>633</v>
      </c>
      <c r="E141" s="98">
        <f>SUM(G136:G139)</f>
        <v>174.9</v>
      </c>
      <c r="F141" s="175" t="str">
        <f>$E$104</f>
        <v>t CO2e</v>
      </c>
    </row>
    <row r="142" spans="4:12" ht="20.100000000000001" customHeight="1" x14ac:dyDescent="0.25">
      <c r="D142" s="174" t="s">
        <v>635</v>
      </c>
      <c r="E142" s="98">
        <f>SUM(I136:I139)</f>
        <v>163.60000000000002</v>
      </c>
      <c r="F142" s="175" t="str">
        <f>$E$104</f>
        <v>t CO2e</v>
      </c>
    </row>
    <row r="143" spans="4:12" ht="20.100000000000001" customHeight="1" x14ac:dyDescent="0.25"/>
    <row r="144" spans="4:12" ht="20.100000000000001" customHeight="1" x14ac:dyDescent="0.25">
      <c r="D144" s="176" t="s">
        <v>633</v>
      </c>
      <c r="E144" s="177">
        <f>E130+E141</f>
        <v>377.05200000000002</v>
      </c>
      <c r="F144" s="178" t="str">
        <f>$E$104</f>
        <v>t CO2e</v>
      </c>
    </row>
    <row r="145" spans="3:41" ht="20.100000000000001" customHeight="1" x14ac:dyDescent="0.25">
      <c r="D145" s="176" t="s">
        <v>635</v>
      </c>
      <c r="E145" s="177">
        <f>E131+E142</f>
        <v>529.78</v>
      </c>
      <c r="F145" s="178" t="str">
        <f>$E$104</f>
        <v>t CO2e</v>
      </c>
    </row>
    <row r="146" spans="3:41" ht="20.100000000000001" customHeight="1" x14ac:dyDescent="0.25"/>
    <row r="147" spans="3:41" ht="20.100000000000001" customHeight="1" x14ac:dyDescent="0.25"/>
    <row r="148" spans="3:41" ht="20.100000000000001" customHeight="1" x14ac:dyDescent="0.25">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2" t="s">
        <v>626</v>
      </c>
      <c r="E151" s="172"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2"/>
    </row>
    <row r="154" spans="3:41" ht="20.100000000000001" customHeight="1" x14ac:dyDescent="0.25">
      <c r="D154" s="27" t="s">
        <v>627</v>
      </c>
      <c r="E154" s="8" t="str" cm="1">
        <f t="array" ref="E154">Scope3_Equations.VEERG_15_3_1_1__1_EmissionsFromPurchasedMineralSupplements_Variable()</f>
        <v>E</v>
      </c>
    </row>
    <row r="155" spans="3:41" ht="20.100000000000001" customHeight="1" x14ac:dyDescent="0.25">
      <c r="D155" s="27" t="s">
        <v>96</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67" t="str" cm="1">
        <f t="array" ref="D157:E159">_xlfn.CHOOSECOLS(Scope3_Equations.VEERG_15_3_1_1__1_EmissionsFromPurchasedMineralSupplements_Arguments(),1,2)</f>
        <v>Q_m</v>
      </c>
      <c r="E157" s="171" t="str">
        <v>total quantity of mineral supplement type m used</v>
      </c>
      <c r="F157" s="166"/>
      <c r="G157" s="167" t="str" cm="1">
        <f t="array" ref="G157:H159">_xlfn.CHOOSECOLS(Scope3_Equations.VEERG_15_3_1_1__1_EmissionsFromPurchasedMineralSupplements_Arguments(),3,4)</f>
        <v>t</v>
      </c>
      <c r="H157" s="168" t="str">
        <v>Input</v>
      </c>
    </row>
    <row r="158" spans="3:41" ht="20.100000000000001" customHeight="1" x14ac:dyDescent="0.25">
      <c r="D158" s="167" t="str">
        <v>EF_m</v>
      </c>
      <c r="E158" s="171" t="str">
        <v>emission factor of purchased mineral supplement</v>
      </c>
      <c r="F158" s="166"/>
      <c r="G158" s="167" t="str">
        <v>kg CO2e/kg</v>
      </c>
      <c r="H158" s="168" t="str">
        <v>Constant</v>
      </c>
    </row>
    <row r="159" spans="3:41" ht="20.100000000000001" customHeight="1" x14ac:dyDescent="0.25">
      <c r="D159" s="167" t="str">
        <v>m</v>
      </c>
      <c r="E159" s="171" t="str">
        <v>mineral supplement type</v>
      </c>
      <c r="F159" s="166"/>
      <c r="G159" s="167" t="str">
        <v/>
      </c>
      <c r="H159" s="169" t="str">
        <v>Input</v>
      </c>
    </row>
    <row r="160" spans="3:41" ht="20.100000000000001" customHeight="1" x14ac:dyDescent="0.25"/>
    <row r="161" spans="3:41" ht="20.100000000000001" customHeight="1" x14ac:dyDescent="0.25">
      <c r="D161" s="46" t="s">
        <v>215</v>
      </c>
      <c r="E161" s="46" t="s">
        <v>640</v>
      </c>
      <c r="F161" s="57" t="s">
        <v>641</v>
      </c>
      <c r="G161" s="57" t="s">
        <v>633</v>
      </c>
      <c r="H161" s="46" t="s">
        <v>642</v>
      </c>
      <c r="I161" s="57" t="s">
        <v>635</v>
      </c>
      <c r="J161" s="46" t="s">
        <v>629</v>
      </c>
      <c r="K161" s="46" t="s">
        <v>630</v>
      </c>
      <c r="L161" s="46" t="s">
        <v>631</v>
      </c>
    </row>
    <row r="162" spans="3:41" ht="20.100000000000001" customHeight="1" x14ac:dyDescent="0.25">
      <c r="D162" s="49" t="str">
        <f>'Input - Farm Inputs'!D51</f>
        <v>Lick block, dry season mix</v>
      </c>
      <c r="E162" s="49">
        <f>X_Cell_FarmInputs_LickBlocks_DrySeasonMix</f>
        <v>100</v>
      </c>
      <c r="F162" s="49" cm="1">
        <f t="array" ref="F162">Common_InputFunctions.Utility_LookupValueInTableNumber(D162,Table_SourceData_Scope3_LickBlocks[Product],Table_SourceData_Scope3_LickBlocks[AusLCI Emissions intensity])</f>
        <v>0.88100000000000001</v>
      </c>
      <c r="G162" s="151" cm="1">
        <f t="array" ref="G162">Scope3_Equations.VEERG_15_3_1_1__1_EmissionsFromPurchasedMineralSupplements(E162,F162)</f>
        <v>88.1</v>
      </c>
      <c r="H162" s="66">
        <v>0.8</v>
      </c>
      <c r="I162" s="151" cm="1">
        <f t="array" ref="I162">Scope3_Equations.VEERG_15_3_1_1__1_EmissionsFromPurchasedMineralSupplements(E162,IF(H162, H162, F162))</f>
        <v>80</v>
      </c>
      <c r="J162" s="82"/>
      <c r="K162" s="47"/>
      <c r="L162"/>
    </row>
    <row r="163" spans="3:41" ht="20.100000000000001" customHeight="1" x14ac:dyDescent="0.25">
      <c r="D163" s="49" t="str">
        <f>'Input - Farm Inputs'!D52</f>
        <v>Lick block, mineral</v>
      </c>
      <c r="E163" s="49">
        <f>X_Cell_FarmInputs_LickBlocks_Mineral</f>
        <v>100</v>
      </c>
      <c r="F163" s="49" cm="1">
        <f t="array" ref="F163">Common_InputFunctions.Utility_LookupValueInTableNumber(D163,Table_SourceData_Scope3_LickBlocks[Product],Table_SourceData_Scope3_LickBlocks[AusLCI Emissions intensity])</f>
        <v>0.67700000000000005</v>
      </c>
      <c r="G163" s="151" cm="1">
        <f t="array" ref="G163">Scope3_Equations.VEERG_15_3_1_1__1_EmissionsFromPurchasedMineralSupplements(E163,F163)</f>
        <v>67.7</v>
      </c>
      <c r="H163" s="66">
        <v>0.6</v>
      </c>
      <c r="I163" s="151" cm="1">
        <f t="array" ref="I163">Scope3_Equations.VEERG_15_3_1_1__1_EmissionsFromPurchasedMineralSupplements(E163,IF(H163, H163, F163))</f>
        <v>60</v>
      </c>
      <c r="J163" s="82"/>
      <c r="K163" s="47"/>
      <c r="L163" s="82"/>
    </row>
    <row r="164" spans="3:41" ht="20.100000000000001" customHeight="1" x14ac:dyDescent="0.25">
      <c r="D164" s="49" t="str">
        <f>'Input - Farm Inputs'!D53</f>
        <v>Lick block, weaner</v>
      </c>
      <c r="E164" s="49">
        <f>X_Cell_FarmInputs_LickBlocks_Weaner</f>
        <v>100</v>
      </c>
      <c r="F164" s="49" cm="1">
        <f t="array" ref="F164">Common_InputFunctions.Utility_LookupValueInTableNumber(D164,Table_SourceData_Scope3_LickBlocks[Product],Table_SourceData_Scope3_LickBlocks[AusLCI Emissions intensity])</f>
        <v>0.23100000000000001</v>
      </c>
      <c r="G164" s="151" cm="1">
        <f t="array" ref="G164">Scope3_Equations.VEERG_15_3_1_1__1_EmissionsFromPurchasedMineralSupplements(E164,F164)</f>
        <v>23.1</v>
      </c>
      <c r="H164" s="66">
        <v>0.2</v>
      </c>
      <c r="I164" s="151" cm="1">
        <f t="array" ref="I164">Scope3_Equations.VEERG_15_3_1_1__1_EmissionsFromPurchasedMineralSupplements(E164,IF(H164, H164, F164))</f>
        <v>20</v>
      </c>
      <c r="J164" s="82"/>
      <c r="K164" s="47"/>
      <c r="L164" s="82"/>
    </row>
    <row r="165" spans="3:41" ht="20.100000000000001" customHeight="1" x14ac:dyDescent="0.25"/>
    <row r="166" spans="3:41" ht="20.100000000000001" customHeight="1" x14ac:dyDescent="0.25">
      <c r="D166" s="176" t="s">
        <v>633</v>
      </c>
      <c r="E166" s="177">
        <f>SUM(G162:G164)</f>
        <v>178.9</v>
      </c>
      <c r="F166" s="178" t="str">
        <f>$E$155</f>
        <v>t CO2e</v>
      </c>
    </row>
    <row r="167" spans="3:41" ht="20.100000000000001" customHeight="1" x14ac:dyDescent="0.25">
      <c r="D167" s="176" t="s">
        <v>635</v>
      </c>
      <c r="E167" s="177">
        <f>SUM(I162:I164)</f>
        <v>160</v>
      </c>
      <c r="F167" s="178" t="str">
        <f>$E$155</f>
        <v>t CO2e</v>
      </c>
    </row>
    <row r="168" spans="3:41" ht="20.100000000000001" customHeight="1" x14ac:dyDescent="0.25"/>
    <row r="169" spans="3:41" ht="20.100000000000001" customHeight="1" x14ac:dyDescent="0.25"/>
    <row r="170" spans="3:41" ht="20.100000000000001" customHeight="1" x14ac:dyDescent="0.25">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2" t="s">
        <v>626</v>
      </c>
      <c r="E174" s="172"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7" t="s">
        <v>627</v>
      </c>
      <c r="E177" s="8" t="str" cm="1">
        <f t="array" ref="E177">Scope3_Equations.VEERG_15_4_1_1__X_EmissionFactorFromPurchasedFertiliserComponents_Variable()</f>
        <v>EF_f</v>
      </c>
    </row>
    <row r="178" spans="4:8" ht="20.100000000000001" customHeight="1" x14ac:dyDescent="0.25">
      <c r="D178" s="27" t="s">
        <v>96</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67" t="str" cm="1">
        <f t="array" ref="D180:E183">_xlfn.CHOOSECOLS(Scope3_Equations.VEERG_15_4_1_1__X_EmissionFactorFromPurchasedFertiliserComponents_Arguments(),1,2)</f>
        <v>F_cf</v>
      </c>
      <c r="E180" s="171" t="str">
        <v>fraction of component c contained within the inorganic fertiliser f</v>
      </c>
      <c r="F180" s="166"/>
      <c r="G180" s="167" t="str" cm="1">
        <f t="array" ref="G180:H183">_xlfn.CHOOSECOLS(Scope3_Equations.VEERG_15_4_1_1__X_EmissionFactorFromPurchasedFertiliserComponents_Arguments(),3,4)</f>
        <v>wt%</v>
      </c>
      <c r="H180" s="168" t="str">
        <v>Input</v>
      </c>
    </row>
    <row r="181" spans="4:8" ht="20.100000000000001" customHeight="1" x14ac:dyDescent="0.25">
      <c r="D181" s="167" t="str">
        <v>EF_c</v>
      </c>
      <c r="E181" s="171" t="str">
        <v>emission factor for the production of component c</v>
      </c>
      <c r="F181" s="166"/>
      <c r="G181" s="167" t="str">
        <v>kg CO2e/kg component</v>
      </c>
      <c r="H181" s="169" t="str">
        <v>Constant</v>
      </c>
    </row>
    <row r="182" spans="4:8" ht="20.100000000000001" customHeight="1" x14ac:dyDescent="0.25">
      <c r="D182" s="167" t="str">
        <v>c</v>
      </c>
      <c r="E182" s="171" t="str">
        <v>fertiliser component</v>
      </c>
      <c r="F182" s="166"/>
      <c r="G182" s="167" t="str">
        <v/>
      </c>
      <c r="H182" s="168" t="str">
        <v>Input</v>
      </c>
    </row>
    <row r="183" spans="4:8" ht="20.100000000000001" customHeight="1" x14ac:dyDescent="0.25">
      <c r="D183" s="167" t="str">
        <v>f</v>
      </c>
      <c r="E183" s="171" t="str">
        <v>inorganic fertiliser type</v>
      </c>
      <c r="F183" s="166"/>
      <c r="G183" s="167" t="str">
        <v/>
      </c>
      <c r="H183" s="168"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2" t="s">
        <v>626</v>
      </c>
      <c r="E188" s="172"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7" t="s">
        <v>627</v>
      </c>
      <c r="E191" s="8" t="str" cm="1">
        <f t="array" ref="E191">Scope3_Equations.VEERG_15_4_1_1__1_EmissionsFromPurchasedFertiliser_Variable()</f>
        <v>E</v>
      </c>
    </row>
    <row r="192" spans="4:8" ht="20.100000000000001" customHeight="1" x14ac:dyDescent="0.25">
      <c r="D192" s="27" t="s">
        <v>96</v>
      </c>
      <c r="E192" s="13" t="str" cm="1">
        <f t="array" ref="E192">Scope3_Equations.VEERG_15_4_1_1__1_EmissionsFromPurchasedFertiliser_Unit()</f>
        <v>t CO2e</v>
      </c>
    </row>
    <row r="193" spans="4:8" ht="20.100000000000001" customHeight="1" x14ac:dyDescent="0.25"/>
    <row r="194" spans="4:8" ht="20.100000000000001" customHeight="1" x14ac:dyDescent="0.25">
      <c r="D194" s="167" t="str" cm="1">
        <f t="array" ref="D194:E197">_xlfn.CHOOSECOLS(Scope3_Equations.VEERG_15_4_1_1__1_EmissionsFromPurchasedFertiliser_Arguments(),1,2)</f>
        <v>TM_jf</v>
      </c>
      <c r="E194" s="167" t="str">
        <v>quantity of inorganic fertiliser type f purchased and applied to production system j</v>
      </c>
      <c r="F194" s="167"/>
      <c r="G194" s="167" t="str" cm="1">
        <f t="array" ref="G194:H197">_xlfn.CHOOSECOLS(Scope3_Equations.VEERG_15_4_1_1__1_EmissionsFromPurchasedFertiliser_Arguments(),3,4)</f>
        <v>kg</v>
      </c>
      <c r="H194" s="168" t="str">
        <v>Input</v>
      </c>
    </row>
    <row r="195" spans="4:8" ht="20.100000000000001" customHeight="1" x14ac:dyDescent="0.25">
      <c r="D195" s="167" t="str">
        <v>EF_f</v>
      </c>
      <c r="E195" s="167" t="str">
        <v>emission factor of purchased inorganic fertiliser</v>
      </c>
      <c r="F195" s="167"/>
      <c r="G195" s="167" t="str">
        <v>kg CO2e/kg</v>
      </c>
      <c r="H195" s="169" t="str">
        <v>Constant</v>
      </c>
    </row>
    <row r="196" spans="4:8" ht="20.100000000000001" customHeight="1" x14ac:dyDescent="0.25">
      <c r="D196" s="167" t="str">
        <v>j</v>
      </c>
      <c r="E196" s="167" t="str">
        <v>production system</v>
      </c>
      <c r="F196" s="167"/>
      <c r="G196" s="167" t="str">
        <v/>
      </c>
      <c r="H196" s="168" t="str">
        <v>Input</v>
      </c>
    </row>
    <row r="197" spans="4:8" ht="20.100000000000001" customHeight="1" x14ac:dyDescent="0.25">
      <c r="D197" s="167" t="str">
        <v>f</v>
      </c>
      <c r="E197" s="167" t="str">
        <v>inorganic fertiliser type</v>
      </c>
      <c r="F197" s="167"/>
      <c r="G197" s="167" t="str">
        <v/>
      </c>
      <c r="H197" s="168"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2" t="s">
        <v>626</v>
      </c>
      <c r="E203" s="172"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7" t="s">
        <v>627</v>
      </c>
      <c r="E206" s="8" t="str" cm="1">
        <f t="array" ref="E206">Scope3_Equations.VEERG_15_4_1_1__2_EmissionsFromPurchasedFertiliserComponents_Variable()</f>
        <v>E</v>
      </c>
    </row>
    <row r="207" spans="4:8" ht="20.100000000000001" customHeight="1" x14ac:dyDescent="0.25">
      <c r="D207" s="27" t="s">
        <v>96</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67" t="str" cm="1">
        <f t="array" ref="D209:E214">_xlfn.CHOOSECOLS(Scope3_Equations.VEERG_15_4_1_1__2_EmissionsFromPurchasedFertiliserComponents_Arguments(),1,2)</f>
        <v>F_cf</v>
      </c>
      <c r="E209" s="171" t="str">
        <v>fraction of component c contained within the inorganic fertiliser f</v>
      </c>
      <c r="F209" s="166"/>
      <c r="G209" s="167" t="str" cm="1">
        <f t="array" ref="G209:H214">_xlfn.CHOOSECOLS(Scope3_Equations.VEERG_15_4_1_1__2_EmissionsFromPurchasedFertiliserComponents_Arguments(),3,4)</f>
        <v>wt%</v>
      </c>
      <c r="H209" s="168" t="str">
        <v>Input</v>
      </c>
    </row>
    <row r="210" spans="4:40" ht="20.100000000000001" customHeight="1" x14ac:dyDescent="0.25">
      <c r="D210" s="167" t="str">
        <v>TM_jf</v>
      </c>
      <c r="E210" s="171" t="str">
        <v>quantity of inorganic fertiliser type f purchased and applied to production system j</v>
      </c>
      <c r="F210" s="166"/>
      <c r="G210" s="167" t="str">
        <v>kg</v>
      </c>
      <c r="H210" s="169" t="str">
        <v>Input</v>
      </c>
    </row>
    <row r="211" spans="4:40" ht="20.100000000000001" customHeight="1" x14ac:dyDescent="0.25">
      <c r="D211" s="167" t="str">
        <v>EF_c</v>
      </c>
      <c r="E211" s="171" t="str">
        <v>emission factor for the production of component c</v>
      </c>
      <c r="F211" s="166"/>
      <c r="G211" s="167" t="str">
        <v>kg CO2e/kg component</v>
      </c>
      <c r="H211" s="169" t="str">
        <v>Constant</v>
      </c>
    </row>
    <row r="212" spans="4:40" ht="20.100000000000001" customHeight="1" x14ac:dyDescent="0.25">
      <c r="D212" s="167" t="str">
        <v>c</v>
      </c>
      <c r="E212" s="171" t="str">
        <v>fertiliser component</v>
      </c>
      <c r="F212" s="166"/>
      <c r="G212" s="167" t="str">
        <v/>
      </c>
      <c r="H212" s="168" t="str">
        <v>Input</v>
      </c>
    </row>
    <row r="213" spans="4:40" ht="20.100000000000001" customHeight="1" x14ac:dyDescent="0.25">
      <c r="D213" s="167" t="str">
        <v>f</v>
      </c>
      <c r="E213" s="171" t="str">
        <v>inorganic fertiliser type</v>
      </c>
      <c r="F213" s="166"/>
      <c r="G213" s="167" t="str">
        <v/>
      </c>
      <c r="H213" s="168" t="str">
        <v>Input</v>
      </c>
    </row>
    <row r="214" spans="4:40" ht="20.100000000000001" customHeight="1" x14ac:dyDescent="0.25">
      <c r="D214" s="167" t="str">
        <v>j</v>
      </c>
      <c r="E214" s="171" t="str">
        <v>production system</v>
      </c>
      <c r="F214" s="166"/>
      <c r="G214" s="167" t="str">
        <v/>
      </c>
      <c r="H214" s="168" t="str">
        <v>Input</v>
      </c>
    </row>
    <row r="215" spans="4:40" ht="20.100000000000001" customHeight="1" x14ac:dyDescent="0.25"/>
    <row r="216" spans="4:40" ht="20.100000000000001" customHeight="1" x14ac:dyDescent="0.25">
      <c r="D216" s="144" t="s">
        <v>366</v>
      </c>
    </row>
    <row r="217" spans="4:40" ht="20.100000000000001" customHeight="1" x14ac:dyDescent="0.25"/>
    <row r="218" spans="4:40" ht="20.100000000000001" customHeight="1" x14ac:dyDescent="0.25">
      <c r="D218" s="95" t="s">
        <v>365</v>
      </c>
      <c r="E218" s="110"/>
      <c r="F218" s="96"/>
    </row>
    <row r="219" spans="4:40" ht="20.100000000000001" customHeight="1" x14ac:dyDescent="0.25"/>
    <row r="220" spans="4:40" ht="20.100000000000001" customHeight="1" x14ac:dyDescent="0.25">
      <c r="D220" s="46" t="s">
        <v>215</v>
      </c>
      <c r="E220" s="46" t="s">
        <v>353</v>
      </c>
      <c r="F220" s="57" t="s">
        <v>668</v>
      </c>
      <c r="G220" s="57" t="s">
        <v>652</v>
      </c>
      <c r="H220" s="57" t="s">
        <v>651</v>
      </c>
      <c r="I220" s="46" t="s">
        <v>669</v>
      </c>
      <c r="J220" s="57" t="s">
        <v>653</v>
      </c>
      <c r="K220" s="57" t="s">
        <v>654</v>
      </c>
      <c r="L220" s="46" t="s">
        <v>629</v>
      </c>
      <c r="M220" s="46" t="s">
        <v>630</v>
      </c>
      <c r="N220" s="46" t="s">
        <v>631</v>
      </c>
      <c r="O220" s="57" t="s">
        <v>171</v>
      </c>
      <c r="P220" s="57" t="s">
        <v>172</v>
      </c>
      <c r="Q220" s="57" t="s">
        <v>173</v>
      </c>
      <c r="R220" s="57" t="s">
        <v>174</v>
      </c>
      <c r="S220" s="57" t="s">
        <v>656</v>
      </c>
      <c r="T220" s="46" t="s">
        <v>657</v>
      </c>
      <c r="U220" s="57" t="s">
        <v>175</v>
      </c>
      <c r="V220" s="57" t="s">
        <v>176</v>
      </c>
      <c r="W220" s="57" t="s">
        <v>658</v>
      </c>
      <c r="X220" s="46" t="s">
        <v>659</v>
      </c>
      <c r="Y220" s="57" t="s">
        <v>177</v>
      </c>
      <c r="Z220" s="57" t="s">
        <v>178</v>
      </c>
      <c r="AA220" s="57" t="s">
        <v>660</v>
      </c>
      <c r="AB220" s="46" t="s">
        <v>661</v>
      </c>
      <c r="AC220" s="57" t="s">
        <v>179</v>
      </c>
      <c r="AD220" s="57" t="s">
        <v>180</v>
      </c>
      <c r="AE220" s="57" t="s">
        <v>662</v>
      </c>
      <c r="AF220" s="46" t="s">
        <v>663</v>
      </c>
      <c r="AG220" s="57" t="s">
        <v>181</v>
      </c>
      <c r="AH220" s="57" t="s">
        <v>182</v>
      </c>
      <c r="AI220" s="57" t="s">
        <v>664</v>
      </c>
      <c r="AJ220" s="46" t="s">
        <v>665</v>
      </c>
      <c r="AK220" s="57" t="s">
        <v>183</v>
      </c>
      <c r="AL220" s="57" t="s">
        <v>184</v>
      </c>
      <c r="AM220" s="57" t="s">
        <v>666</v>
      </c>
      <c r="AN220" s="46" t="s">
        <v>667</v>
      </c>
    </row>
    <row r="221" spans="4:40" ht="20.100000000000001" customHeight="1" x14ac:dyDescent="0.25">
      <c r="D221" s="49" t="str" cm="1">
        <f t="array" ref="D221:D230">IFERROR(INDEX(Table_Input_InorganicFertiliser_Brands[Product (select)], _xlfn.SEQUENCE(10)), "")</f>
        <v>Aqua Finish</v>
      </c>
      <c r="E221" s="49" cm="1">
        <f t="array" ref="E221:E230">IFERROR(INDEX(Table_Input_InorganicFertiliser_Brands[Total applied (kg)], _xlfn.SEQUENCE(10)), 0)</f>
        <v>12600</v>
      </c>
      <c r="F221" s="49"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151" cm="1">
        <f t="array" ref="G221">Scope3_Equations.VEERG_15_4_1_1__1_EmissionsFromPurchasedFertiliser(E221,F221)</f>
        <v>5.9487750000000004</v>
      </c>
      <c r="H221" s="49"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5.9487749999999995</v>
      </c>
      <c r="I221" s="66">
        <v>0.4</v>
      </c>
      <c r="J221" s="151" cm="1">
        <f t="array" ref="J221">Scope3_Equations.VEERG_15_4_1_1__1_EmissionsFromPurchasedFertiliser(E221,I221)</f>
        <v>5.04</v>
      </c>
      <c r="K221" s="151"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82"/>
      <c r="M221" s="47"/>
      <c r="N221"/>
      <c r="O221" s="49" t="str" cm="1">
        <f t="array" ref="O221:O230">IFERROR(INDEX(Table_Input_InorganicFertiliser_Brands[Urea source], _xlfn.SEQUENCE(10)), "")</f>
        <v/>
      </c>
      <c r="P221" s="49" t="str" cm="1">
        <f t="array" ref="P221:P230">IFERROR(INDEX(Table_Input_InorganicFertiliser_Brands[Ammonia source], _xlfn.SEQUENCE(10)), "")</f>
        <v/>
      </c>
      <c r="Q221" s="49" t="str" cm="1">
        <f t="array" ref="Q221:Q230">IFERROR(INDEX(Table_Input_InorganicFertiliser_Brands[Ingredient 1], _xlfn.SEQUENCE(10)), "")</f>
        <v>Potassium - Generic</v>
      </c>
      <c r="R221" s="49" cm="1">
        <f t="array" ref="R221:R230">IFERROR(INDEX(_xlfn.LET(_xlpm.result, Table_Input_InorganicFertiliser_Brands[Ingredient 1 percent], IF(_xlpm.result="", 0, _xlpm.result)), _xlfn.SEQUENCE(10)), 0)</f>
        <v>0.22500000000000001</v>
      </c>
      <c r="S221" s="49"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66">
        <v>0.9</v>
      </c>
      <c r="U221" s="49" t="str" cm="1">
        <f t="array" ref="U221:U230">IFERROR(INDEX(Table_Input_InorganicFertiliser_Brands[Ingredient 2], _xlfn.SEQUENCE(10)), "")</f>
        <v>Phosphorus - Generic</v>
      </c>
      <c r="V221" s="49" cm="1">
        <f t="array" ref="V221:V230">IFERROR(INDEX(_xlfn.LET(_xlpm.result, Table_Input_InorganicFertiliser_Brands[Ingredient 2 percent], IF(_xlpm.result="", 0, _xlpm.result)), _xlfn.SEQUENCE(10)), 0)</f>
        <v>0.04</v>
      </c>
      <c r="W221" s="49"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66">
        <v>0.9</v>
      </c>
      <c r="Y221" s="49" t="str" cm="1">
        <f t="array" ref="Y221:Y230">IFERROR(INDEX(Table_Input_InorganicFertiliser_Brands[Ingredient 3], _xlfn.SEQUENCE(10)), "")</f>
        <v>Nitrogen - Generic</v>
      </c>
      <c r="Z221" s="49" cm="1">
        <f t="array" ref="Z221:Z230">IFERROR(INDEX(_xlfn.LET(_xlpm.result, Table_Input_InorganicFertiliser_Brands[Ingredient 3 percent], IF(_xlpm.result="", 0, _xlpm.result)), _xlfn.SEQUENCE(10)), 0)</f>
        <v>2.5999999999999999E-2</v>
      </c>
      <c r="AA221" s="49"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66">
        <v>4</v>
      </c>
      <c r="AC221" s="49" t="str" cm="1">
        <f t="array" ref="AC221:AC230">IFERROR(INDEX(Table_Input_InorganicFertiliser_Brands[Ingredient 4], _xlfn.SEQUENCE(10)), "")</f>
        <v/>
      </c>
      <c r="AD221" s="49" cm="1">
        <f t="array" ref="AD221:AD230">IFERROR(INDEX(_xlfn.LET(_xlpm.result, Table_Input_InorganicFertiliser_Brands[Ingredient 4 percent], IF(_xlpm.result="", 0, _xlpm.result)), _xlfn.SEQUENCE(10)), 0)</f>
        <v>0</v>
      </c>
      <c r="AE221" s="49"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6">
        <v>0</v>
      </c>
      <c r="AG221" s="49" t="str" cm="1">
        <f t="array" ref="AG221:AG230">IFERROR(INDEX(Table_Input_InorganicFertiliser_Brands[Ingredient 5], _xlfn.SEQUENCE(10)), "")</f>
        <v/>
      </c>
      <c r="AH221" s="49" cm="1">
        <f t="array" ref="AH221:AH230">IFERROR(INDEX(_xlfn.LET(_xlpm.result, Table_Input_InorganicFertiliser_Brands[Ingredient 5 percent], IF(_xlpm.result="", 0, _xlpm.result)), _xlfn.SEQUENCE(10)), 0)</f>
        <v>0</v>
      </c>
      <c r="AI221" s="49"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6">
        <v>0</v>
      </c>
      <c r="AK221" s="49" t="str" cm="1">
        <f t="array" ref="AK221:AK230">IFERROR(INDEX(Table_Input_InorganicFertiliser_Brands[Ingredient 6], _xlfn.SEQUENCE(10)), "")</f>
        <v/>
      </c>
      <c r="AL221" s="49" cm="1">
        <f t="array" ref="AL221:AL230">IFERROR(INDEX(_xlfn.LET(_xlpm.result, Table_Input_InorganicFertiliser_Brands[Ingredient 6 percent], IF(_xlpm.result="", 0, _xlpm.result)), _xlfn.SEQUENCE(10)), 0)</f>
        <v>0</v>
      </c>
      <c r="AM221" s="49"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6"/>
    </row>
    <row r="222" spans="4:40" ht="20.100000000000001" customHeight="1" x14ac:dyDescent="0.25">
      <c r="D222" s="49" t="str">
        <v>CalPhos</v>
      </c>
      <c r="E222" s="49">
        <v>12850</v>
      </c>
      <c r="F222" s="49"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151" cm="1">
        <f t="array" ref="G222">Scope3_Equations.VEERG_15_4_1_1__1_EmissionsFromPurchasedFertiliser(E222,F222)</f>
        <v>6.8696100000000007</v>
      </c>
      <c r="H222" s="49"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6.8696100000000007</v>
      </c>
      <c r="I222" s="66">
        <v>0.9</v>
      </c>
      <c r="J222" s="151" cm="1">
        <f t="array" ref="J222">Scope3_Equations.VEERG_15_4_1_1__1_EmissionsFromPurchasedFertiliser(E222,I222)</f>
        <v>11.565</v>
      </c>
      <c r="K222" s="151"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6.8696100000000007</v>
      </c>
      <c r="L222" s="82"/>
      <c r="M222" s="47"/>
      <c r="N222" s="82"/>
      <c r="O222" s="49" t="str">
        <v/>
      </c>
      <c r="P222" s="49" t="str">
        <v/>
      </c>
      <c r="Q222" s="49" t="str">
        <v>Phosphorus - Generic</v>
      </c>
      <c r="R222" s="49">
        <v>0.13500000000000001</v>
      </c>
      <c r="S222" s="49"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66"/>
      <c r="U222" s="49" t="str">
        <v>Calcium - Generic</v>
      </c>
      <c r="V222" s="49">
        <v>0.04</v>
      </c>
      <c r="W222" s="49"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6"/>
      <c r="Y222" s="49" t="str">
        <v/>
      </c>
      <c r="Z222" s="49">
        <v>0</v>
      </c>
      <c r="AA222" s="49"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6"/>
      <c r="AC222" s="49" t="str">
        <v/>
      </c>
      <c r="AD222" s="49">
        <v>0</v>
      </c>
      <c r="AE222" s="49"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6"/>
      <c r="AG222" s="49" t="str">
        <v/>
      </c>
      <c r="AH222" s="49">
        <v>0</v>
      </c>
      <c r="AI222" s="49"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6"/>
      <c r="AK222" s="49" t="str">
        <v/>
      </c>
      <c r="AL222" s="49">
        <v>0</v>
      </c>
      <c r="AM222" s="49"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6"/>
    </row>
    <row r="223" spans="4:40" ht="20.100000000000001" customHeight="1" x14ac:dyDescent="0.25">
      <c r="D223" s="49" t="str">
        <v>CalPhos</v>
      </c>
      <c r="E223" s="49">
        <v>12850</v>
      </c>
      <c r="F223" s="49"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151" cm="1">
        <f t="array" ref="G223">Scope3_Equations.VEERG_15_4_1_1__1_EmissionsFromPurchasedFertiliser(E223,F223)</f>
        <v>6.8696100000000007</v>
      </c>
      <c r="H223" s="49"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6.8696100000000007</v>
      </c>
      <c r="I223" s="66">
        <v>0.4</v>
      </c>
      <c r="J223" s="151" cm="1">
        <f t="array" ref="J223">Scope3_Equations.VEERG_15_4_1_1__1_EmissionsFromPurchasedFertiliser(E223,I223)</f>
        <v>5.14</v>
      </c>
      <c r="K223" s="151"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6.8696100000000007</v>
      </c>
      <c r="L223" s="82"/>
      <c r="M223" s="47"/>
      <c r="N223" s="82"/>
      <c r="O223" s="49" t="str">
        <v/>
      </c>
      <c r="P223" s="49" t="str">
        <v/>
      </c>
      <c r="Q223" s="49" t="str">
        <v>Phosphorus - Generic</v>
      </c>
      <c r="R223" s="49">
        <v>0.13500000000000001</v>
      </c>
      <c r="S223" s="49"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66"/>
      <c r="U223" s="49" t="str">
        <v>Calcium - Generic</v>
      </c>
      <c r="V223" s="49">
        <v>0.04</v>
      </c>
      <c r="W223" s="49"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6"/>
      <c r="Y223" s="49" t="str">
        <v/>
      </c>
      <c r="Z223" s="49">
        <v>0</v>
      </c>
      <c r="AA223" s="49"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6"/>
      <c r="AC223" s="49" t="str">
        <v/>
      </c>
      <c r="AD223" s="49">
        <v>0</v>
      </c>
      <c r="AE223" s="49"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6"/>
      <c r="AG223" s="49" t="str">
        <v/>
      </c>
      <c r="AH223" s="49">
        <v>0</v>
      </c>
      <c r="AI223" s="49"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6"/>
      <c r="AK223" s="49" t="str">
        <v/>
      </c>
      <c r="AL223" s="49">
        <v>0</v>
      </c>
      <c r="AM223" s="49"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6"/>
    </row>
    <row r="224" spans="4:40" ht="20.100000000000001" customHeight="1" x14ac:dyDescent="0.25">
      <c r="D224" s="49" t="str">
        <v>Aqua Grow</v>
      </c>
      <c r="E224" s="49">
        <v>12600</v>
      </c>
      <c r="F224" s="49"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151" cm="1">
        <f t="array" ref="G224">Scope3_Equations.VEERG_15_4_1_1__1_EmissionsFromPurchasedFertiliser(E224,F224)</f>
        <v>8.7777269999999987</v>
      </c>
      <c r="H224" s="49"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8.7777270000000005</v>
      </c>
      <c r="I224" s="66"/>
      <c r="J224" s="151" cm="1">
        <f t="array" ref="J224">Scope3_Equations.VEERG_15_4_1_1__1_EmissionsFromPurchasedFertiliser(E224,I224)</f>
        <v>0</v>
      </c>
      <c r="K224" s="151"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8.7777270000000005</v>
      </c>
      <c r="L224" s="82"/>
      <c r="M224" s="47"/>
      <c r="N224" s="82"/>
      <c r="O224" s="49" t="str">
        <v/>
      </c>
      <c r="P224" s="49" t="str">
        <v/>
      </c>
      <c r="Q224" s="49" t="str">
        <v>Potassium - Generic</v>
      </c>
      <c r="R224" s="49">
        <v>0.105</v>
      </c>
      <c r="S224" s="49"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66"/>
      <c r="U224" s="49" t="str">
        <v>Nitrogen - Generic</v>
      </c>
      <c r="V224" s="49">
        <v>9.6000000000000002E-2</v>
      </c>
      <c r="W224" s="49"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66"/>
      <c r="Y224" s="49" t="str">
        <v>Phosphorus - Generic</v>
      </c>
      <c r="Z224" s="49">
        <v>0.05</v>
      </c>
      <c r="AA224" s="49"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66"/>
      <c r="AC224" s="49" t="str">
        <v/>
      </c>
      <c r="AD224" s="49">
        <v>0</v>
      </c>
      <c r="AE224" s="49"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6"/>
      <c r="AG224" s="49" t="str">
        <v/>
      </c>
      <c r="AH224" s="49">
        <v>0</v>
      </c>
      <c r="AI224" s="49"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6"/>
      <c r="AK224" s="49" t="str">
        <v/>
      </c>
      <c r="AL224" s="49">
        <v>0</v>
      </c>
      <c r="AM224" s="49"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6"/>
    </row>
    <row r="225" spans="4:40" ht="20.100000000000001" customHeight="1" x14ac:dyDescent="0.25">
      <c r="D225" s="49" t="str">
        <v>Aqua NitroCal</v>
      </c>
      <c r="E225" s="49">
        <v>15000</v>
      </c>
      <c r="F225" s="49"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151" cm="1">
        <f t="array" ref="G225">Scope3_Equations.VEERG_15_4_1_1__1_EmissionsFromPurchasedFertiliser(E225,F225)</f>
        <v>10.8306</v>
      </c>
      <c r="H225" s="49"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66"/>
      <c r="J225" s="151" cm="1">
        <f t="array" ref="J225">Scope3_Equations.VEERG_15_4_1_1__1_EmissionsFromPurchasedFertiliser(E225,I225)</f>
        <v>0</v>
      </c>
      <c r="K225" s="151"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82"/>
      <c r="M225" s="47"/>
      <c r="N225" s="82"/>
      <c r="O225" s="49" t="str">
        <v/>
      </c>
      <c r="P225" s="49" t="str">
        <v/>
      </c>
      <c r="Q225" s="49" t="str">
        <v>Calcium - Generic</v>
      </c>
      <c r="R225" s="49">
        <v>0.16200000000000001</v>
      </c>
      <c r="S225" s="49"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6"/>
      <c r="U225" s="49" t="str">
        <v>Nitrogen - Nitrate</v>
      </c>
      <c r="V225" s="49">
        <v>0.13200000000000001</v>
      </c>
      <c r="W225" s="49"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66"/>
      <c r="Y225" s="49" t="str">
        <v/>
      </c>
      <c r="Z225" s="49">
        <v>0</v>
      </c>
      <c r="AA225" s="49"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6"/>
      <c r="AC225" s="49" t="str">
        <v/>
      </c>
      <c r="AD225" s="49">
        <v>0</v>
      </c>
      <c r="AE225" s="49"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6"/>
      <c r="AG225" s="49" t="str">
        <v/>
      </c>
      <c r="AH225" s="49">
        <v>0</v>
      </c>
      <c r="AI225" s="49"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6"/>
      <c r="AK225" s="49" t="str">
        <v/>
      </c>
      <c r="AL225" s="49">
        <v>0</v>
      </c>
      <c r="AM225" s="49"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6"/>
    </row>
    <row r="226" spans="4:40" ht="20.100000000000001" customHeight="1" x14ac:dyDescent="0.25">
      <c r="D226" s="49" t="str">
        <v/>
      </c>
      <c r="E226" s="49">
        <v>0</v>
      </c>
      <c r="F226" s="49"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1" cm="1">
        <f t="array" ref="G226">Scope3_Equations.VEERG_15_4_1_1__1_EmissionsFromPurchasedFertiliser(E226,F226)</f>
        <v>0</v>
      </c>
      <c r="H226" s="49"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6"/>
      <c r="J226" s="151" cm="1">
        <f t="array" ref="J226">Scope3_Equations.VEERG_15_4_1_1__1_EmissionsFromPurchasedFertiliser(E226,I226)</f>
        <v>0</v>
      </c>
      <c r="K226" s="151"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2"/>
      <c r="M226" s="47"/>
      <c r="N226" s="82"/>
      <c r="O226" s="49" t="str">
        <v/>
      </c>
      <c r="P226" s="49" t="str">
        <v/>
      </c>
      <c r="Q226" s="49" t="str">
        <v/>
      </c>
      <c r="R226" s="49">
        <v>0</v>
      </c>
      <c r="S226" s="49"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6"/>
      <c r="U226" s="49" t="str">
        <v/>
      </c>
      <c r="V226" s="49">
        <v>0</v>
      </c>
      <c r="W226" s="49"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6"/>
      <c r="Y226" s="49" t="str">
        <v/>
      </c>
      <c r="Z226" s="49">
        <v>0</v>
      </c>
      <c r="AA226" s="49"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6"/>
      <c r="AC226" s="49" t="str">
        <v/>
      </c>
      <c r="AD226" s="49">
        <v>0</v>
      </c>
      <c r="AE226" s="49"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6"/>
      <c r="AG226" s="49" t="str">
        <v/>
      </c>
      <c r="AH226" s="49">
        <v>0</v>
      </c>
      <c r="AI226" s="49"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6"/>
      <c r="AK226" s="49" t="str">
        <v/>
      </c>
      <c r="AL226" s="49">
        <v>0</v>
      </c>
      <c r="AM226" s="49"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6"/>
    </row>
    <row r="227" spans="4:40" ht="20.100000000000001" customHeight="1" x14ac:dyDescent="0.25">
      <c r="D227" s="49" t="str">
        <v/>
      </c>
      <c r="E227" s="49">
        <v>0</v>
      </c>
      <c r="F227" s="49"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1" cm="1">
        <f t="array" ref="G227">Scope3_Equations.VEERG_15_4_1_1__1_EmissionsFromPurchasedFertiliser(E227,F227)</f>
        <v>0</v>
      </c>
      <c r="H227" s="49"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6"/>
      <c r="J227" s="151" cm="1">
        <f t="array" ref="J227">Scope3_Equations.VEERG_15_4_1_1__1_EmissionsFromPurchasedFertiliser(E227,I227)</f>
        <v>0</v>
      </c>
      <c r="K227" s="151"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2"/>
      <c r="M227" s="47"/>
      <c r="N227" s="82"/>
      <c r="O227" s="49" t="str">
        <v/>
      </c>
      <c r="P227" s="49" t="str">
        <v/>
      </c>
      <c r="Q227" s="49" t="str">
        <v/>
      </c>
      <c r="R227" s="49">
        <v>0</v>
      </c>
      <c r="S227" s="49"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6"/>
      <c r="U227" s="49" t="str">
        <v/>
      </c>
      <c r="V227" s="49">
        <v>0</v>
      </c>
      <c r="W227" s="49"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6"/>
      <c r="Y227" s="49" t="str">
        <v/>
      </c>
      <c r="Z227" s="49">
        <v>0</v>
      </c>
      <c r="AA227" s="49"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6"/>
      <c r="AC227" s="49" t="str">
        <v/>
      </c>
      <c r="AD227" s="49">
        <v>0</v>
      </c>
      <c r="AE227" s="49"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6"/>
      <c r="AG227" s="49" t="str">
        <v/>
      </c>
      <c r="AH227" s="49">
        <v>0</v>
      </c>
      <c r="AI227" s="49"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6"/>
      <c r="AK227" s="49" t="str">
        <v/>
      </c>
      <c r="AL227" s="49">
        <v>0</v>
      </c>
      <c r="AM227" s="49"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6"/>
    </row>
    <row r="228" spans="4:40" ht="20.100000000000001" customHeight="1" x14ac:dyDescent="0.25">
      <c r="D228" s="49" t="str">
        <v/>
      </c>
      <c r="E228" s="49">
        <v>0</v>
      </c>
      <c r="F228" s="49"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1" cm="1">
        <f t="array" ref="G228">Scope3_Equations.VEERG_15_4_1_1__1_EmissionsFromPurchasedFertiliser(E228,F228)</f>
        <v>0</v>
      </c>
      <c r="H228" s="49"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6"/>
      <c r="J228" s="151" cm="1">
        <f t="array" ref="J228">Scope3_Equations.VEERG_15_4_1_1__1_EmissionsFromPurchasedFertiliser(E228,I228)</f>
        <v>0</v>
      </c>
      <c r="K228" s="151"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2"/>
      <c r="M228" s="47"/>
      <c r="N228" s="82"/>
      <c r="O228" s="49" t="str">
        <v/>
      </c>
      <c r="P228" s="49" t="str">
        <v/>
      </c>
      <c r="Q228" s="49" t="str">
        <v/>
      </c>
      <c r="R228" s="49">
        <v>0</v>
      </c>
      <c r="S228" s="49"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6"/>
      <c r="U228" s="49" t="str">
        <v/>
      </c>
      <c r="V228" s="49">
        <v>0</v>
      </c>
      <c r="W228" s="49"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6"/>
      <c r="Y228" s="49" t="str">
        <v/>
      </c>
      <c r="Z228" s="49">
        <v>0</v>
      </c>
      <c r="AA228" s="49"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6"/>
      <c r="AC228" s="49" t="str">
        <v/>
      </c>
      <c r="AD228" s="49">
        <v>0</v>
      </c>
      <c r="AE228" s="49"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6"/>
      <c r="AG228" s="49" t="str">
        <v/>
      </c>
      <c r="AH228" s="49">
        <v>0</v>
      </c>
      <c r="AI228" s="49"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6"/>
      <c r="AK228" s="49" t="str">
        <v/>
      </c>
      <c r="AL228" s="49">
        <v>0</v>
      </c>
      <c r="AM228" s="49"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6"/>
    </row>
    <row r="229" spans="4:40" ht="20.100000000000001" customHeight="1" x14ac:dyDescent="0.25">
      <c r="D229" s="49" t="str">
        <v/>
      </c>
      <c r="E229" s="49">
        <v>0</v>
      </c>
      <c r="F229" s="49"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1" cm="1">
        <f t="array" ref="G229">Scope3_Equations.VEERG_15_4_1_1__1_EmissionsFromPurchasedFertiliser(E229,F229)</f>
        <v>0</v>
      </c>
      <c r="H229" s="49"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6"/>
      <c r="J229" s="151" cm="1">
        <f t="array" ref="J229">Scope3_Equations.VEERG_15_4_1_1__1_EmissionsFromPurchasedFertiliser(E229,I229)</f>
        <v>0</v>
      </c>
      <c r="K229" s="151"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2"/>
      <c r="M229" s="47"/>
      <c r="N229" s="82"/>
      <c r="O229" s="49" t="str">
        <v/>
      </c>
      <c r="P229" s="49" t="str">
        <v/>
      </c>
      <c r="Q229" s="49" t="str">
        <v/>
      </c>
      <c r="R229" s="49">
        <v>0</v>
      </c>
      <c r="S229" s="49"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6"/>
      <c r="U229" s="49" t="str">
        <v/>
      </c>
      <c r="V229" s="49">
        <v>0</v>
      </c>
      <c r="W229" s="49"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6"/>
      <c r="Y229" s="49" t="str">
        <v/>
      </c>
      <c r="Z229" s="49">
        <v>0</v>
      </c>
      <c r="AA229" s="49"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6"/>
      <c r="AC229" s="49" t="str">
        <v/>
      </c>
      <c r="AD229" s="49">
        <v>0</v>
      </c>
      <c r="AE229" s="49"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6"/>
      <c r="AG229" s="49" t="str">
        <v/>
      </c>
      <c r="AH229" s="49">
        <v>0</v>
      </c>
      <c r="AI229" s="49"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6"/>
      <c r="AK229" s="49" t="str">
        <v/>
      </c>
      <c r="AL229" s="49">
        <v>0</v>
      </c>
      <c r="AM229" s="49"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6"/>
    </row>
    <row r="230" spans="4:40" ht="20.100000000000001" customHeight="1" x14ac:dyDescent="0.25">
      <c r="D230" s="49" t="str">
        <v/>
      </c>
      <c r="E230" s="49">
        <v>0</v>
      </c>
      <c r="F230" s="49"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1" cm="1">
        <f t="array" ref="G230">Scope3_Equations.VEERG_15_4_1_1__1_EmissionsFromPurchasedFertiliser(E230,F230)</f>
        <v>0</v>
      </c>
      <c r="H230" s="49"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6"/>
      <c r="J230" s="151" cm="1">
        <f t="array" ref="J230">Scope3_Equations.VEERG_15_4_1_1__1_EmissionsFromPurchasedFertiliser(E230,I230)</f>
        <v>0</v>
      </c>
      <c r="K230" s="151"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2"/>
      <c r="M230" s="47"/>
      <c r="N230" s="82"/>
      <c r="O230" s="49" t="str">
        <v/>
      </c>
      <c r="P230" s="49" t="str">
        <v/>
      </c>
      <c r="Q230" s="49" t="str">
        <v/>
      </c>
      <c r="R230" s="49">
        <v>0</v>
      </c>
      <c r="S230" s="49"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6"/>
      <c r="U230" s="49" t="str">
        <v/>
      </c>
      <c r="V230" s="49">
        <v>0</v>
      </c>
      <c r="W230" s="49"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6"/>
      <c r="Y230" s="49" t="str">
        <v/>
      </c>
      <c r="Z230" s="49">
        <v>0</v>
      </c>
      <c r="AA230" s="49"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6"/>
      <c r="AC230" s="49" t="str">
        <v/>
      </c>
      <c r="AD230" s="49">
        <v>0</v>
      </c>
      <c r="AE230" s="49"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6"/>
      <c r="AG230" s="49" t="str">
        <v/>
      </c>
      <c r="AH230" s="49">
        <v>0</v>
      </c>
      <c r="AI230" s="49"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6"/>
      <c r="AK230" s="49" t="str">
        <v/>
      </c>
      <c r="AL230" s="49">
        <v>0</v>
      </c>
      <c r="AM230" s="49"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6"/>
    </row>
    <row r="231" spans="4:40" ht="20.100000000000001" customHeight="1" x14ac:dyDescent="0.25"/>
    <row r="232" spans="4:40" ht="20.100000000000001" customHeight="1" x14ac:dyDescent="0.25">
      <c r="D232" s="144" t="s">
        <v>655</v>
      </c>
    </row>
    <row r="233" spans="4:40" ht="20.100000000000001" customHeight="1" x14ac:dyDescent="0.25"/>
    <row r="234" spans="4:40" ht="20.100000000000001" customHeight="1" x14ac:dyDescent="0.25">
      <c r="D234" s="95" t="s">
        <v>670</v>
      </c>
      <c r="E234" s="110"/>
      <c r="F234" s="96"/>
    </row>
    <row r="235" spans="4:40" ht="20.100000000000001" customHeight="1" x14ac:dyDescent="0.25"/>
    <row r="236" spans="4:40" ht="20.100000000000001" customHeight="1" x14ac:dyDescent="0.25">
      <c r="D236" s="46" t="s">
        <v>401</v>
      </c>
      <c r="E236" s="46" t="s">
        <v>353</v>
      </c>
      <c r="F236" s="57" t="s">
        <v>668</v>
      </c>
      <c r="G236" s="57" t="s">
        <v>652</v>
      </c>
      <c r="H236" s="57" t="s">
        <v>651</v>
      </c>
      <c r="I236" s="46" t="s">
        <v>669</v>
      </c>
      <c r="J236" s="57" t="s">
        <v>653</v>
      </c>
      <c r="K236" s="57" t="s">
        <v>654</v>
      </c>
      <c r="L236" s="46" t="s">
        <v>629</v>
      </c>
      <c r="M236" s="46" t="s">
        <v>630</v>
      </c>
      <c r="N236" s="46" t="s">
        <v>631</v>
      </c>
      <c r="O236" s="57" t="s">
        <v>171</v>
      </c>
      <c r="P236" s="57" t="s">
        <v>172</v>
      </c>
      <c r="Q236" s="57" t="s">
        <v>173</v>
      </c>
      <c r="R236" s="57" t="s">
        <v>174</v>
      </c>
      <c r="S236" s="57" t="s">
        <v>656</v>
      </c>
      <c r="T236" s="46" t="s">
        <v>657</v>
      </c>
      <c r="U236" s="57" t="s">
        <v>175</v>
      </c>
      <c r="V236" s="57" t="s">
        <v>176</v>
      </c>
      <c r="W236" s="57" t="s">
        <v>658</v>
      </c>
      <c r="X236" s="46" t="s">
        <v>659</v>
      </c>
      <c r="Y236" s="57" t="s">
        <v>177</v>
      </c>
      <c r="Z236" s="57" t="s">
        <v>178</v>
      </c>
      <c r="AA236" s="57" t="s">
        <v>660</v>
      </c>
      <c r="AB236" s="46" t="s">
        <v>661</v>
      </c>
      <c r="AC236" s="57" t="s">
        <v>179</v>
      </c>
      <c r="AD236" s="57" t="s">
        <v>180</v>
      </c>
      <c r="AE236" s="57" t="s">
        <v>662</v>
      </c>
      <c r="AF236" s="46" t="s">
        <v>663</v>
      </c>
    </row>
    <row r="237" spans="4:40" ht="20.100000000000001" customHeight="1" x14ac:dyDescent="0.25">
      <c r="D237" s="49" t="str" cm="1">
        <f t="array" ref="D237:D246">IFERROR(INDEX(Table_Input_InorganicFertiliser_Custom[Custom blend name], _xlfn.SEQUENCE(10)), "")</f>
        <v>My first custom blend</v>
      </c>
      <c r="E237" s="49" cm="1">
        <f t="array" ref="E237:E246">IFERROR(INDEX(Table_Input_InorganicFertiliser_Custom[Total applied (kg)], _xlfn.SEQUENCE(10)), 0)</f>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151" cm="1">
        <f t="array" ref="G237">Scope3_Equations.VEERG_15_4_1_1__1_EmissionsFromPurchasedFertiliser(E237,F237)</f>
        <v>17.708000000000002</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17.707999999999998</v>
      </c>
      <c r="I237" s="66">
        <v>0.4</v>
      </c>
      <c r="J237" s="151" cm="1">
        <f t="array" ref="J237">Scope3_Equations.VEERG_15_4_1_1__1_EmissionsFromPurchasedFertiliser(E237,I237)</f>
        <v>4</v>
      </c>
      <c r="K237" s="151"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82"/>
      <c r="M237" s="47"/>
      <c r="N237"/>
      <c r="O237" s="49" t="str" cm="1">
        <f t="array" ref="O237:O246">IFERROR(INDEX(#REF!, _xlfn.SEQUENCE(10)), "")</f>
        <v/>
      </c>
      <c r="P237" s="49" t="str" cm="1">
        <f t="array" ref="P237:P246">IFERROR(INDEX(#REF!, _xlfn.SEQUENCE(10)), "")</f>
        <v/>
      </c>
      <c r="Q237" s="49" t="str" cm="1">
        <f t="array" ref="Q237:Q246">IFERROR(INDEX(Table_Input_InorganicFertiliser_Custom[Ingredient 1 (select)], _xlfn.SEQUENCE(10)), "")</f>
        <v>Calcium nitrate</v>
      </c>
      <c r="R237" s="49" cm="1">
        <f t="array" ref="R237:R246">IFERROR(INDEX(_xlfn.LET(_xlpm.result, Table_Input_InorganicFertiliser_Custom[Ingredient 1 percent], IF(_xlpm.result="", 0, _xlpm.result)), _xlfn.SEQUENCE(10)), 0)</f>
        <v>0.5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66">
        <v>0.9</v>
      </c>
      <c r="U237" s="49" t="str" cm="1">
        <f t="array" ref="U237:U246">IFERROR(INDEX(Table_Input_InorganicFertiliser_Custom[Ingredient 2], _xlfn.SEQUENCE(10)), "")</f>
        <v>Zinc - Generic</v>
      </c>
      <c r="V237" s="49" cm="1">
        <f t="array" ref="V237:V246">IFERROR(INDEX(_xlfn.LET(_xlpm.result, Table_Input_InorganicFertiliser_Custom[Ingredient 2 percent], IF(_xlpm.result="", 0, _xlpm.result)), _xlfn.SEQUENCE(10)), 0)</f>
        <v>0.2</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66">
        <v>0.9</v>
      </c>
      <c r="Y237" s="49" t="str" cm="1">
        <f t="array" ref="Y237:Y246">IFERROR(INDEX(Table_Input_InorganicFertiliser_Custom[Ingredient 3], _xlfn.SEQUENCE(10)), "")</f>
        <v>Potassium - Generic</v>
      </c>
      <c r="Z237" s="49" cm="1">
        <f t="array" ref="Z237:Z246">IFERROR(INDEX(_xlfn.LET(_xlpm.result, Table_Input_InorganicFertiliser_Custom[Ingredient 3 percent], IF(_xlpm.result="", 0, _xlpm.result)), _xlfn.SEQUENCE(10)), 0)</f>
        <v>0.2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6">
        <v>4</v>
      </c>
      <c r="AC237" s="49" t="str" cm="1">
        <f t="array" ref="AC237:AC246">IFERROR(INDEX(Table_Input_InorganicFertiliser_Custom[Ingredient 4], _xlfn.SEQUENCE(10)), "")</f>
        <v>Sulfur - Generic</v>
      </c>
      <c r="AD237" s="49" cm="1">
        <f t="array" ref="AD237:AD246">IFERROR(INDEX(_xlfn.LET(_xlpm.result, Table_Input_InorganicFertiliser_Custom[Ingredient 4 percent], IF(_xlpm.result="", 0, _xlpm.result)), _xlfn.SEQUENCE(10)), 0)</f>
        <v>0.1</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6">
        <v>0</v>
      </c>
    </row>
    <row r="238" spans="4:40" ht="20.100000000000001" customHeight="1" x14ac:dyDescent="0.25">
      <c r="D238" s="49" t="str">
        <v>My second custom blend</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0.96799999999999997</v>
      </c>
      <c r="G238" s="151" cm="1">
        <f t="array" ref="G238">Scope3_Equations.VEERG_15_4_1_1__1_EmissionsFromPurchasedFertiliser(E238,F238)</f>
        <v>9.68</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9.68</v>
      </c>
      <c r="I238" s="66">
        <v>0.9</v>
      </c>
      <c r="J238" s="151" cm="1">
        <f t="array" ref="J238">Scope3_Equations.VEERG_15_4_1_1__1_EmissionsFromPurchasedFertiliser(E238,I238)</f>
        <v>9</v>
      </c>
      <c r="K238" s="151"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9.68</v>
      </c>
      <c r="L238" s="82"/>
      <c r="M238" s="47"/>
      <c r="N238" s="82"/>
      <c r="O238" s="49" t="str">
        <v/>
      </c>
      <c r="P238" s="49" t="str">
        <v/>
      </c>
      <c r="Q238" s="49" t="str">
        <v>Urea</v>
      </c>
      <c r="R238" s="49">
        <v>1</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0.96799999999999997</v>
      </c>
      <c r="T238" s="66"/>
      <c r="U238" s="49">
        <v>0</v>
      </c>
      <c r="V238" s="49">
        <v>0</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66"/>
      <c r="Y238" s="49">
        <v>0</v>
      </c>
      <c r="Z238" s="49">
        <v>0</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6"/>
      <c r="AC238" s="49">
        <v>0</v>
      </c>
      <c r="AD238" s="49">
        <v>0</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6"/>
    </row>
    <row r="239" spans="4:40" ht="20.100000000000001" customHeight="1" x14ac:dyDescent="0.25">
      <c r="D239" s="49" t="str">
        <v>My third custom blend</v>
      </c>
      <c r="E239" s="49">
        <v>10000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1.1599999999999999</v>
      </c>
      <c r="G239" s="151" cm="1">
        <f t="array" ref="G239">Scope3_Equations.VEERG_15_4_1_1__1_EmissionsFromPurchasedFertiliser(E239,F239)</f>
        <v>11.6</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11.6</v>
      </c>
      <c r="I239" s="66">
        <v>0.4</v>
      </c>
      <c r="J239" s="151" cm="1">
        <f t="array" ref="J239">Scope3_Equations.VEERG_15_4_1_1__1_EmissionsFromPurchasedFertiliser(E239,I239)</f>
        <v>4</v>
      </c>
      <c r="K239" s="151"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11.6</v>
      </c>
      <c r="L239" s="82"/>
      <c r="M239" s="47"/>
      <c r="N239" s="82"/>
      <c r="O239" s="49" t="str">
        <v/>
      </c>
      <c r="P239" s="49" t="str">
        <v/>
      </c>
      <c r="Q239" s="49" t="str">
        <v>Ammonia</v>
      </c>
      <c r="R239" s="49">
        <v>0.5</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2.3199999999999998</v>
      </c>
      <c r="T239" s="66"/>
      <c r="U239" s="49">
        <v>0</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6"/>
      <c r="Y239" s="49">
        <v>0</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6"/>
      <c r="AC239" s="49">
        <v>0</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6"/>
    </row>
    <row r="240" spans="4:40" ht="20.100000000000001" customHeight="1" x14ac:dyDescent="0.25">
      <c r="D240" s="49" t="str">
        <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1"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6"/>
      <c r="J240" s="151" cm="1">
        <f t="array" ref="J240">Scope3_Equations.VEERG_15_4_1_1__1_EmissionsFromPurchasedFertiliser(E240,I240)</f>
        <v>0</v>
      </c>
      <c r="K240" s="151"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2"/>
      <c r="M240" s="47"/>
      <c r="N240" s="82"/>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6"/>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6"/>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6"/>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6"/>
    </row>
    <row r="241" spans="3:41" ht="20.100000000000001" customHeight="1" x14ac:dyDescent="0.25">
      <c r="D241" s="49" t="str">
        <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1"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6"/>
      <c r="J241" s="151" cm="1">
        <f t="array" ref="J241">Scope3_Equations.VEERG_15_4_1_1__1_EmissionsFromPurchasedFertiliser(E241,I241)</f>
        <v>0</v>
      </c>
      <c r="K241" s="151"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2"/>
      <c r="M241" s="47"/>
      <c r="N241" s="82"/>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6"/>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6"/>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6"/>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6"/>
    </row>
    <row r="242" spans="3:41" ht="20.100000000000001" customHeight="1" x14ac:dyDescent="0.25">
      <c r="D242" s="49" t="str">
        <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1"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6"/>
      <c r="J242" s="151" cm="1">
        <f t="array" ref="J242">Scope3_Equations.VEERG_15_4_1_1__1_EmissionsFromPurchasedFertiliser(E242,I242)</f>
        <v>0</v>
      </c>
      <c r="K242" s="151"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2"/>
      <c r="M242" s="47"/>
      <c r="N242" s="82"/>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6"/>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6"/>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6"/>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6"/>
    </row>
    <row r="243" spans="3:41" ht="20.100000000000001" customHeight="1" x14ac:dyDescent="0.25">
      <c r="D243" s="49" t="str">
        <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1"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6"/>
      <c r="J243" s="151" cm="1">
        <f t="array" ref="J243">Scope3_Equations.VEERG_15_4_1_1__1_EmissionsFromPurchasedFertiliser(E243,I243)</f>
        <v>0</v>
      </c>
      <c r="K243" s="151"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2"/>
      <c r="M243" s="47"/>
      <c r="N243" s="82"/>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6"/>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6"/>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6"/>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6"/>
    </row>
    <row r="244" spans="3:41" ht="20.100000000000001" customHeight="1" x14ac:dyDescent="0.25">
      <c r="D244" s="49" t="str">
        <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1"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6"/>
      <c r="J244" s="151" cm="1">
        <f t="array" ref="J244">Scope3_Equations.VEERG_15_4_1_1__1_EmissionsFromPurchasedFertiliser(E244,I244)</f>
        <v>0</v>
      </c>
      <c r="K244" s="151"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2"/>
      <c r="M244" s="47"/>
      <c r="N244" s="82"/>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6"/>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6"/>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6"/>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6"/>
    </row>
    <row r="245" spans="3:41" ht="20.100000000000001" customHeight="1" x14ac:dyDescent="0.25">
      <c r="D245" s="49" t="str">
        <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1"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6"/>
      <c r="J245" s="151" cm="1">
        <f t="array" ref="J245">Scope3_Equations.VEERG_15_4_1_1__1_EmissionsFromPurchasedFertiliser(E245,I245)</f>
        <v>0</v>
      </c>
      <c r="K245" s="151"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2"/>
      <c r="M245" s="47"/>
      <c r="N245" s="82"/>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6"/>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6"/>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6"/>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6"/>
    </row>
    <row r="246" spans="3:41" ht="20.100000000000001" customHeight="1" x14ac:dyDescent="0.25">
      <c r="D246" s="49" t="str">
        <v/>
      </c>
      <c r="E246" s="49">
        <v>0</v>
      </c>
      <c r="F246" s="49"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1" cm="1">
        <f t="array" ref="G246">Scope3_Equations.VEERG_15_4_1_1__1_EmissionsFromPurchasedFertiliser(E246,F246)</f>
        <v>0</v>
      </c>
      <c r="H246" s="49"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6"/>
      <c r="J246" s="151" cm="1">
        <f t="array" ref="J246">Scope3_Equations.VEERG_15_4_1_1__1_EmissionsFromPurchasedFertiliser(E246,I246)</f>
        <v>0</v>
      </c>
      <c r="K246" s="151"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2"/>
      <c r="M246" s="47"/>
      <c r="N246" s="82"/>
      <c r="O246" s="49" t="str">
        <v/>
      </c>
      <c r="P246" s="49" t="str">
        <v/>
      </c>
      <c r="Q246" s="49" t="str">
        <v/>
      </c>
      <c r="R246" s="49">
        <v>0</v>
      </c>
      <c r="S246" s="49"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6"/>
      <c r="U246" s="49" t="str">
        <v/>
      </c>
      <c r="V246" s="49">
        <v>0</v>
      </c>
      <c r="W246" s="49"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6"/>
      <c r="Y246" s="49" t="str">
        <v/>
      </c>
      <c r="Z246" s="49">
        <v>0</v>
      </c>
      <c r="AA246" s="49"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6"/>
      <c r="AC246" s="49" t="str">
        <v/>
      </c>
      <c r="AD246" s="49">
        <v>0</v>
      </c>
      <c r="AE246" s="49"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6"/>
    </row>
    <row r="247" spans="3:41" ht="20.100000000000001" customHeight="1" x14ac:dyDescent="0.25"/>
    <row r="248" spans="3:41" ht="20.100000000000001" customHeight="1" x14ac:dyDescent="0.25">
      <c r="D248" s="179" t="s">
        <v>671</v>
      </c>
      <c r="E248" s="177">
        <f>SUM(G221:G230)+SUM(G237:G246)</f>
        <v>78.284322000000003</v>
      </c>
      <c r="F248" s="178" t="str">
        <f>$E$155</f>
        <v>t CO2e</v>
      </c>
    </row>
    <row r="249" spans="3:41" ht="20.100000000000001" customHeight="1" x14ac:dyDescent="0.25">
      <c r="D249" s="179" t="s">
        <v>672</v>
      </c>
      <c r="E249" s="177">
        <f>SUM(J221:J230)+SUM(J237:J246)</f>
        <v>38.745000000000005</v>
      </c>
      <c r="F249" s="178" t="str">
        <f>$E$155</f>
        <v>t CO2e</v>
      </c>
    </row>
    <row r="250" spans="3:41" ht="20.100000000000001" customHeight="1" x14ac:dyDescent="0.25"/>
    <row r="251" spans="3:41" ht="20.100000000000001" customHeight="1" x14ac:dyDescent="0.25">
      <c r="D251" s="179" t="s">
        <v>673</v>
      </c>
      <c r="E251" s="177">
        <f>SUM(H221:H230)+SUM(H237:H246)</f>
        <v>78.284322000000003</v>
      </c>
      <c r="F251" s="178" t="str">
        <f>$E$155</f>
        <v>t CO2e</v>
      </c>
    </row>
    <row r="252" spans="3:41" ht="20.100000000000001" customHeight="1" x14ac:dyDescent="0.25">
      <c r="D252" s="179" t="s">
        <v>674</v>
      </c>
      <c r="E252" s="177">
        <f>SUM(K221:K230)+SUM(K237:K246)</f>
        <v>75.743047000000004</v>
      </c>
      <c r="F252" s="178" t="str">
        <f>$E$155</f>
        <v>t CO2e</v>
      </c>
    </row>
    <row r="253" spans="3:41" ht="20.100000000000001" customHeight="1" x14ac:dyDescent="0.25"/>
    <row r="254" spans="3:41" ht="20.100000000000001" customHeight="1" x14ac:dyDescent="0.25"/>
    <row r="255" spans="3:41" ht="20.100000000000001" customHeight="1" x14ac:dyDescent="0.25">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2" t="s">
        <v>626</v>
      </c>
      <c r="E258" s="172"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7" t="s">
        <v>627</v>
      </c>
      <c r="E262" s="8" t="str" cm="1">
        <f t="array" ref="E262">Scope3_Equations.VEERG_15_5_1_1__1_EmissionsFromPurchasedAgrichemicals_Variable()</f>
        <v>E</v>
      </c>
    </row>
    <row r="263" spans="4:9" ht="20.100000000000001" customHeight="1" x14ac:dyDescent="0.25">
      <c r="D263" s="27" t="s">
        <v>96</v>
      </c>
      <c r="E263" s="13" t="str" cm="1">
        <f t="array" ref="E263">Scope3_Equations.VEERG_15_5_1_1__1_EmissionsFromPurchasedAgrichemicals_Unit()</f>
        <v>t CO2e</v>
      </c>
    </row>
    <row r="264" spans="4:9" ht="20.100000000000001" customHeight="1" x14ac:dyDescent="0.25"/>
    <row r="265" spans="4:9" x14ac:dyDescent="0.25">
      <c r="D265" s="167" t="str" cm="1">
        <f t="array" ref="D265:E267">_xlfn.CHOOSECOLS(Scope3_Equations.VEERG_15_5_1_1__1_EmissionsFromPurchasedAgrichemicals_Arguments(),1,2)</f>
        <v>Q_h</v>
      </c>
      <c r="E265" s="171" t="str">
        <v>quantity of active ingredients in agrichemical type h purchased and applied to soils</v>
      </c>
      <c r="F265" s="166"/>
      <c r="G265" s="167" t="str" cm="1">
        <f t="array" ref="G265:H267">_xlfn.CHOOSECOLS(Scope3_Equations.VEERG_15_5_1_1__1_EmissionsFromPurchasedAgrichemicals_Arguments(),3,4)</f>
        <v>kg ai</v>
      </c>
      <c r="H265" s="168" t="str">
        <v>Input</v>
      </c>
    </row>
    <row r="266" spans="4:9" x14ac:dyDescent="0.25">
      <c r="D266" s="167" t="str">
        <v>EF_h</v>
      </c>
      <c r="E266" s="171" t="str">
        <v>emission factor for purchased agrichemical active ingredient</v>
      </c>
      <c r="F266" s="166"/>
      <c r="G266" s="167" t="str">
        <v>kg CO2e/kg ai</v>
      </c>
      <c r="H266" s="169" t="str">
        <v>Constant</v>
      </c>
    </row>
    <row r="267" spans="4:9" x14ac:dyDescent="0.25">
      <c r="D267" s="167" t="str">
        <v>h</v>
      </c>
      <c r="E267" s="171" t="str">
        <v>agrichemical type</v>
      </c>
      <c r="F267" s="166"/>
      <c r="G267" s="167" t="str">
        <v/>
      </c>
      <c r="H267" s="168" t="str">
        <v>Input</v>
      </c>
    </row>
    <row r="269" spans="4:9" ht="17.25" x14ac:dyDescent="0.25">
      <c r="D269" s="46" t="s">
        <v>680</v>
      </c>
      <c r="E269" s="46" t="s">
        <v>204</v>
      </c>
      <c r="F269" s="57" t="s">
        <v>681</v>
      </c>
      <c r="G269" s="57" t="s">
        <v>633</v>
      </c>
      <c r="H269" s="46" t="s">
        <v>682</v>
      </c>
      <c r="I269" s="57" t="s">
        <v>635</v>
      </c>
    </row>
    <row r="270" spans="4:9" x14ac:dyDescent="0.25">
      <c r="D270" s="49" t="str" cm="1">
        <f t="array" ref="D270:D281">Table_SourceData_Scope3_Pesticides[Product]</f>
        <v>2,4-D</v>
      </c>
      <c r="E270" s="49">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49" cm="1">
        <f t="array" ref="F270">Common_InputFunctions.Utility_LookupValueInTableNumber(D270,Table_SourceData_Scope3_Pesticides[Product],Table_SourceData_Scope3_Pesticides[AusLCI Emissions intensity])</f>
        <v>5.2</v>
      </c>
      <c r="G270" s="49" cm="1">
        <f t="array" ref="G270">Scope3_Equations.VEERG_15_5_1_1__1_EmissionsFromPurchasedAgrichemicals($E270,F270)</f>
        <v>0.52</v>
      </c>
      <c r="H270" s="66">
        <v>5</v>
      </c>
      <c r="I270" s="49" cm="1">
        <f t="array" ref="I270">Scope3_Equations.VEERG_15_5_1_1__1_EmissionsFromPurchasedAgrichemicals($E270,IF(H270,H270,F270))</f>
        <v>0.5</v>
      </c>
    </row>
    <row r="271" spans="4:9" x14ac:dyDescent="0.25">
      <c r="D271" s="49" t="str">
        <v>Atrazine</v>
      </c>
      <c r="E271" s="49">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49" cm="1">
        <f t="array" ref="F271">Common_InputFunctions.Utility_LookupValueInTableNumber(D271,Table_SourceData_Scope3_Pesticides[Product],Table_SourceData_Scope3_Pesticides[AusLCI Emissions intensity])</f>
        <v>8.3800000000000008</v>
      </c>
      <c r="G271" s="49" cm="1">
        <f t="array" ref="G271">Scope3_Equations.VEERG_15_5_1_1__1_EmissionsFromPurchasedAgrichemicals($E271,F271)</f>
        <v>0</v>
      </c>
      <c r="H271" s="66">
        <v>8</v>
      </c>
      <c r="I271" s="49" cm="1">
        <f t="array" ref="I271">Scope3_Equations.VEERG_15_5_1_1__1_EmissionsFromPurchasedAgrichemicals($E271,IF(H271,H271,F271))</f>
        <v>0</v>
      </c>
    </row>
    <row r="272" spans="4:9" x14ac:dyDescent="0.25">
      <c r="D272" s="49" t="str">
        <v>Diuron</v>
      </c>
      <c r="E272" s="49">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49" cm="1">
        <f t="array" ref="F272">Common_InputFunctions.Utility_LookupValueInTableNumber(D272,Table_SourceData_Scope3_Pesticides[Product],Table_SourceData_Scope3_Pesticides[AusLCI Emissions intensity])</f>
        <v>8.8000000000000007</v>
      </c>
      <c r="G272" s="49" cm="1">
        <f t="array" ref="G272">Scope3_Equations.VEERG_15_5_1_1__1_EmissionsFromPurchasedAgrichemicals($E272,F272)</f>
        <v>0</v>
      </c>
      <c r="H272" s="66"/>
      <c r="I272" s="49" cm="1">
        <f t="array" ref="I272">Scope3_Equations.VEERG_15_5_1_1__1_EmissionsFromPurchasedAgrichemicals($E272,IF(H272,H272,F272))</f>
        <v>0</v>
      </c>
    </row>
    <row r="273" spans="3:41" x14ac:dyDescent="0.25">
      <c r="D273" s="49" t="str">
        <v>Glyphosate</v>
      </c>
      <c r="E273" s="49">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49" cm="1">
        <f t="array" ref="F273">Common_InputFunctions.Utility_LookupValueInTableNumber(D273,Table_SourceData_Scope3_Pesticides[Product],Table_SourceData_Scope3_Pesticides[AusLCI Emissions intensity])</f>
        <v>10.3</v>
      </c>
      <c r="G273" s="49" cm="1">
        <f t="array" ref="G273">Scope3_Equations.VEERG_15_5_1_1__1_EmissionsFromPurchasedAgrichemicals($E273,F273)</f>
        <v>1.03</v>
      </c>
      <c r="H273" s="66"/>
      <c r="I273" s="49" cm="1">
        <f t="array" ref="I273">Scope3_Equations.VEERG_15_5_1_1__1_EmissionsFromPurchasedAgrichemicals($E273,IF(H273,H273,F273))</f>
        <v>1.03</v>
      </c>
    </row>
    <row r="274" spans="3:41" x14ac:dyDescent="0.25">
      <c r="D274" s="49" t="str">
        <v>Mancozeb</v>
      </c>
      <c r="E274" s="49">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49" cm="1">
        <f t="array" ref="F274">Common_InputFunctions.Utility_LookupValueInTableNumber(D274,Table_SourceData_Scope3_Pesticides[Product],Table_SourceData_Scope3_Pesticides[AusLCI Emissions intensity])</f>
        <v>4.55</v>
      </c>
      <c r="G274" s="49" cm="1">
        <f t="array" ref="G274">Scope3_Equations.VEERG_15_5_1_1__1_EmissionsFromPurchasedAgrichemicals($E274,F274)</f>
        <v>0</v>
      </c>
      <c r="H274" s="66"/>
      <c r="I274" s="49" cm="1">
        <f t="array" ref="I274">Scope3_Equations.VEERG_15_5_1_1__1_EmissionsFromPurchasedAgrichemicals($E274,IF(H274,H274,F274))</f>
        <v>0</v>
      </c>
    </row>
    <row r="275" spans="3:41" x14ac:dyDescent="0.25">
      <c r="D275" s="49" t="str">
        <v>MCPA</v>
      </c>
      <c r="E275" s="49">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49" cm="1">
        <f t="array" ref="F275">Common_InputFunctions.Utility_LookupValueInTableNumber(D275,Table_SourceData_Scope3_Pesticides[Product],Table_SourceData_Scope3_Pesticides[AusLCI Emissions intensity])</f>
        <v>5.6</v>
      </c>
      <c r="G275" s="49" cm="1">
        <f t="array" ref="G275">Scope3_Equations.VEERG_15_5_1_1__1_EmissionsFromPurchasedAgrichemicals($E275,F275)</f>
        <v>0</v>
      </c>
      <c r="H275" s="66"/>
      <c r="I275" s="49" cm="1">
        <f t="array" ref="I275">Scope3_Equations.VEERG_15_5_1_1__1_EmissionsFromPurchasedAgrichemicals($E275,IF(H275,H275,F275))</f>
        <v>0</v>
      </c>
    </row>
    <row r="276" spans="3:41" x14ac:dyDescent="0.25">
      <c r="D276" s="49" t="str">
        <v>Metolachlor</v>
      </c>
      <c r="E276" s="49">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49" cm="1">
        <f t="array" ref="F276">Common_InputFunctions.Utility_LookupValueInTableNumber(D276,Table_SourceData_Scope3_Pesticides[Product],Table_SourceData_Scope3_Pesticides[AusLCI Emissions intensity])</f>
        <v>8.06</v>
      </c>
      <c r="G276" s="49" cm="1">
        <f t="array" ref="G276">Scope3_Equations.VEERG_15_5_1_1__1_EmissionsFromPurchasedAgrichemicals($E276,F276)</f>
        <v>0.80600000000000005</v>
      </c>
      <c r="H276" s="66"/>
      <c r="I276" s="49" cm="1">
        <f t="array" ref="I276">Scope3_Equations.VEERG_15_5_1_1__1_EmissionsFromPurchasedAgrichemicals($E276,IF(H276,H276,F276))</f>
        <v>0.80600000000000005</v>
      </c>
    </row>
    <row r="277" spans="3:41" x14ac:dyDescent="0.25">
      <c r="D277" s="49" t="str">
        <v>Metsulfuron-methyl</v>
      </c>
      <c r="E277" s="49">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49" cm="1">
        <f t="array" ref="F277">Common_InputFunctions.Utility_LookupValueInTableNumber(D277,Table_SourceData_Scope3_Pesticides[Product],Table_SourceData_Scope3_Pesticides[AusLCI Emissions intensity])</f>
        <v>8.8000000000000007</v>
      </c>
      <c r="G277" s="49" cm="1">
        <f t="array" ref="G277">Scope3_Equations.VEERG_15_5_1_1__1_EmissionsFromPurchasedAgrichemicals($E277,F277)</f>
        <v>0</v>
      </c>
      <c r="H277" s="66"/>
      <c r="I277" s="49" cm="1">
        <f t="array" ref="I277">Scope3_Equations.VEERG_15_5_1_1__1_EmissionsFromPurchasedAgrichemicals($E277,IF(H277,H277,F277))</f>
        <v>0</v>
      </c>
    </row>
    <row r="278" spans="3:41" x14ac:dyDescent="0.25">
      <c r="D278" s="49" t="str">
        <v>Pesticides (generic)</v>
      </c>
      <c r="E278" s="49">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49" cm="1">
        <f t="array" ref="F278">Common_InputFunctions.Utility_LookupValueInTableNumber(D278,Table_SourceData_Scope3_Pesticides[Product],Table_SourceData_Scope3_Pesticides[AusLCI Emissions intensity])</f>
        <v>9.16</v>
      </c>
      <c r="G278" s="49" cm="1">
        <f t="array" ref="G278">Scope3_Equations.VEERG_15_5_1_1__1_EmissionsFromPurchasedAgrichemicals($E278,F278)</f>
        <v>3.6640000000000001</v>
      </c>
      <c r="H278" s="66"/>
      <c r="I278" s="49" cm="1">
        <f t="array" ref="I278">Scope3_Equations.VEERG_15_5_1_1__1_EmissionsFromPurchasedAgrichemicals($E278,IF(H278,H278,F278))</f>
        <v>3.6640000000000001</v>
      </c>
    </row>
    <row r="279" spans="3:41" x14ac:dyDescent="0.25">
      <c r="D279" s="49" t="str">
        <v>Tri-allate</v>
      </c>
      <c r="E279" s="49">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49" cm="1">
        <f t="array" ref="F279">Common_InputFunctions.Utility_LookupValueInTableNumber(D279,Table_SourceData_Scope3_Pesticides[Product],Table_SourceData_Scope3_Pesticides[AusLCI Emissions intensity])</f>
        <v>8.57</v>
      </c>
      <c r="G279" s="49" cm="1">
        <f t="array" ref="G279">Scope3_Equations.VEERG_15_5_1_1__1_EmissionsFromPurchasedAgrichemicals($E279,F279)</f>
        <v>0</v>
      </c>
      <c r="H279" s="66"/>
      <c r="I279" s="49" cm="1">
        <f t="array" ref="I279">Scope3_Equations.VEERG_15_5_1_1__1_EmissionsFromPurchasedAgrichemicals($E279,IF(H279,H279,F279))</f>
        <v>0</v>
      </c>
    </row>
    <row r="280" spans="3:41" x14ac:dyDescent="0.25">
      <c r="D280" s="49" t="str">
        <v>Tribenuron methyl</v>
      </c>
      <c r="E280" s="49">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49" cm="1">
        <f t="array" ref="F280">Common_InputFunctions.Utility_LookupValueInTableNumber(D280,Table_SourceData_Scope3_Pesticides[Product],Table_SourceData_Scope3_Pesticides[AusLCI Emissions intensity])</f>
        <v>8.8000000000000007</v>
      </c>
      <c r="G280" s="49" cm="1">
        <f t="array" ref="G280">Scope3_Equations.VEERG_15_5_1_1__1_EmissionsFromPurchasedAgrichemicals($E280,F280)</f>
        <v>0.88000000000000012</v>
      </c>
      <c r="H280" s="66"/>
      <c r="I280" s="49" cm="1">
        <f t="array" ref="I280">Scope3_Equations.VEERG_15_5_1_1__1_EmissionsFromPurchasedAgrichemicals($E280,IF(H280,H280,F280))</f>
        <v>0.88000000000000012</v>
      </c>
    </row>
    <row r="281" spans="3:41" x14ac:dyDescent="0.25">
      <c r="D281" s="49" t="str">
        <v>Trifluralin</v>
      </c>
      <c r="E281" s="49">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49" cm="1">
        <f t="array" ref="F281">Common_InputFunctions.Utility_LookupValueInTableNumber(D281,Table_SourceData_Scope3_Pesticides[Product],Table_SourceData_Scope3_Pesticides[AusLCI Emissions intensity])</f>
        <v>6.16</v>
      </c>
      <c r="G281" s="49" cm="1">
        <f t="array" ref="G281">Scope3_Equations.VEERG_15_5_1_1__1_EmissionsFromPurchasedAgrichemicals($E281,F281)</f>
        <v>0.61599999999999999</v>
      </c>
      <c r="H281" s="66"/>
      <c r="I281" s="49" cm="1">
        <f t="array" ref="I281">Scope3_Equations.VEERG_15_5_1_1__1_EmissionsFromPurchasedAgrichemicals($E281,IF(H281,H281,F281))</f>
        <v>0.61599999999999999</v>
      </c>
    </row>
    <row r="283" spans="3:41" ht="20.25" x14ac:dyDescent="0.25">
      <c r="D283" s="179" t="s">
        <v>633</v>
      </c>
      <c r="E283" s="177">
        <f>SUM(G270:G281)</f>
        <v>7.5159999999999991</v>
      </c>
      <c r="F283" s="178" t="str">
        <f>$E$155</f>
        <v>t CO2e</v>
      </c>
    </row>
    <row r="284" spans="3:41" ht="20.25" x14ac:dyDescent="0.25">
      <c r="D284" s="179" t="s">
        <v>635</v>
      </c>
      <c r="E284" s="177">
        <f>SUM(I270:I281)</f>
        <v>7.4959999999999996</v>
      </c>
      <c r="F284" s="178" t="str">
        <f>$E$155</f>
        <v>t CO2e</v>
      </c>
    </row>
    <row r="287" spans="3:41" x14ac:dyDescent="0.25">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2" t="s">
        <v>626</v>
      </c>
      <c r="E290" s="172" t="str" cm="1">
        <f t="array" aca="1" ref="E290" ca="1">Common_InputFunctions.Utility_DisplayFunctionName(I305)</f>
        <v>=Scope3_Equations.VEERG_15_6_1_1__1_EmissionsFromPurchasedLime</v>
      </c>
    </row>
    <row r="293" spans="4:13" x14ac:dyDescent="0.25">
      <c r="D293" s="27" t="s">
        <v>627</v>
      </c>
      <c r="E293" s="8" t="str" cm="1">
        <f t="array" ref="E293">Scope3_Equations.VEERG_15_6_1_1__1_EmissionsFromPurchasedLime_Variable()</f>
        <v>E</v>
      </c>
    </row>
    <row r="294" spans="4:13" x14ac:dyDescent="0.25">
      <c r="D294" s="27" t="s">
        <v>96</v>
      </c>
      <c r="E294" s="8" t="str" cm="1">
        <f t="array" ref="E294">Scope3_Equations.VEERG_15_6_1_1__1_EmissionsFromPurchasedLime_Unit()</f>
        <v>t CO2e</v>
      </c>
    </row>
    <row r="296" spans="4:13" x14ac:dyDescent="0.25">
      <c r="D296" s="167" t="str" cm="1">
        <f t="array" ref="D296:E297">_xlfn.CHOOSECOLS(Scope3_Equations.VEERG_15_6_1_1__1_EmissionsFromPurchasedLime_Arguments(),1,2)</f>
        <v>M_lime</v>
      </c>
      <c r="E296" s="167" t="str">
        <v>total quantity of lime applied to soils</v>
      </c>
      <c r="F296" s="167" t="str" cm="1">
        <f t="array" ref="F296:G297">_xlfn.CHOOSECOLS(Scope3_Equations.VEERG_15_6_1_1__1_EmissionsFromPurchasedLime_Arguments(),3,4)</f>
        <v>t</v>
      </c>
      <c r="G296" s="168" t="str">
        <v>Input</v>
      </c>
    </row>
    <row r="297" spans="4:13" x14ac:dyDescent="0.25">
      <c r="D297" s="167" t="str">
        <v>EF_l</v>
      </c>
      <c r="E297" s="167" t="str">
        <v>emission factor for purchased lime</v>
      </c>
      <c r="F297" s="167" t="str">
        <v>t CO2e/t</v>
      </c>
      <c r="G297" s="169" t="str">
        <v>Constant</v>
      </c>
    </row>
    <row r="299" spans="4:13" x14ac:dyDescent="0.25">
      <c r="E299" s="57" t="s">
        <v>407</v>
      </c>
      <c r="F299" s="46" t="s">
        <v>408</v>
      </c>
    </row>
    <row r="300" spans="4:13" ht="18.75" x14ac:dyDescent="0.25">
      <c r="D300" s="8" t="s">
        <v>685</v>
      </c>
      <c r="E300" s="49" cm="1">
        <f t="array" ref="E300">Common_InputFunctions.Utility_LookupValueInTableNumber("Limestone (crushed)", Table_SourceData_Scope3_SoilAmeliorants[Product],Table_SourceData_Scope3_SoilAmeliorants[AusLCI Emissions intensity])*10^-3</f>
        <v>4.85E-5</v>
      </c>
      <c r="F300" s="66">
        <v>4.0000000000000003E-5</v>
      </c>
      <c r="G300" s="65" t="str">
        <f>$F$297</f>
        <v>t CO2e/t</v>
      </c>
    </row>
    <row r="301" spans="4:13" ht="18.75" x14ac:dyDescent="0.25">
      <c r="D301" s="8" t="s">
        <v>686</v>
      </c>
      <c r="E301" s="49" cm="1">
        <f t="array" ref="E301">Common_InputFunctions.Utility_LookupValueInTableNumber("Dolomite", Table_SourceData_Scope3_SoilAmeliorants[Product],Table_SourceData_Scope3_SoilAmeliorants[AusLCI Emissions intensity])*10^-3</f>
        <v>6.5199999999999999E-5</v>
      </c>
      <c r="F301" s="66">
        <v>6.0000000000000002E-5</v>
      </c>
      <c r="G301" s="65"/>
    </row>
    <row r="302" spans="4:13" ht="18.75" x14ac:dyDescent="0.25">
      <c r="D302" s="8" t="s">
        <v>687</v>
      </c>
      <c r="E302" s="49" cm="1">
        <f t="array" ref="E302">Common_InputFunctions.Utility_LookupValueInTableNumber("Gypsum", Table_SourceData_Scope3_SoilAmeliorants[Product],Table_SourceData_Scope3_SoilAmeliorants[AusLCI Emissions intensity])*10^-3</f>
        <v>6.5199999999999999E-5</v>
      </c>
      <c r="F302" s="66">
        <v>6.0000000000000002E-5</v>
      </c>
      <c r="G302" s="65"/>
    </row>
    <row r="304" spans="4:13" ht="17.25" x14ac:dyDescent="0.25">
      <c r="D304" s="46" t="s">
        <v>169</v>
      </c>
      <c r="E304" s="152" t="s">
        <v>683</v>
      </c>
      <c r="F304" s="46" t="s">
        <v>688</v>
      </c>
      <c r="G304" s="46" t="s">
        <v>689</v>
      </c>
      <c r="H304" s="46" t="s">
        <v>690</v>
      </c>
      <c r="I304" s="57" t="s">
        <v>633</v>
      </c>
      <c r="J304" s="57" t="s">
        <v>684</v>
      </c>
      <c r="K304" s="46" t="s">
        <v>629</v>
      </c>
      <c r="L304" s="46" t="s">
        <v>630</v>
      </c>
      <c r="M304" s="46" t="s">
        <v>631</v>
      </c>
    </row>
    <row r="305" spans="3:41" x14ac:dyDescent="0.25">
      <c r="D305" s="49" t="str" cm="1">
        <f t="array" ref="D305:D314">IFERROR(INDEX(Table_Input_Lime[Product], _xlfn.SEQUENCE(10)), "")</f>
        <v>Lime product 1</v>
      </c>
      <c r="E305" s="49" cm="1">
        <f t="array" ref="E305:E314">IFERROR(INDEX(Table_Input_Lime[Total amount applied (t)], _xlfn.SEQUENCE(10)), 0)</f>
        <v>100</v>
      </c>
      <c r="F305" s="49" cm="1">
        <f t="array" ref="F305:F314">IFERROR(INDEX(Table_Input_Lime[Percent Lime CaCO3], _xlfn.SEQUENCE(10)), 0)*E305</f>
        <v>80</v>
      </c>
      <c r="G305" s="49" cm="1">
        <f t="array" ref="G305:G314">IFERROR(INDEX(Table_Input_Lime[Percent Dolomite CaMg(CO3)2], _xlfn.SEQUENCE(10)), 0)*E305</f>
        <v>10</v>
      </c>
      <c r="H305" s="49" cm="1">
        <f t="array" ref="H305:H314">IFERROR(INDEX(Table_Input_Lime[Percent Gypsum], _xlfn.SEQUENCE(10)), 0)*E305</f>
        <v>10</v>
      </c>
      <c r="I305" s="151" cm="1">
        <f t="array" ref="I305">Scope3_Equations.VEERG_15_6_1_1__1_EmissionsFromPurchasedLime(F305,$E$300)+
Scope3_Equations.VEERG_15_6_1_1__1_EmissionsFromPurchasedLime(G305,$E$301)+
Scope3_Equations.VEERG_15_6_1_1__1_EmissionsFromPurchasedLime(H305,$E$302)</f>
        <v>5.1839999999999994E-3</v>
      </c>
      <c r="J305" s="151" cm="1">
        <f t="array" ref="J305">Scope3_Equations.VEERG_15_6_1_1__1_EmissionsFromPurchasedLime(F305,IF($F$300,$F$300,$E$300))+
Scope3_Equations.VEERG_15_6_1_1__1_EmissionsFromPurchasedLime(G305,IF($F$301,$F$301,$E$301))+
Scope3_Equations.VEERG_15_6_1_1__1_EmissionsFromPurchasedLime(H305,IF($F$302,$F$302,$E$302))</f>
        <v>4.4000000000000003E-3</v>
      </c>
      <c r="K305" s="82"/>
      <c r="L305" s="47"/>
      <c r="M305" s="82"/>
    </row>
    <row r="306" spans="3:41" x14ac:dyDescent="0.25">
      <c r="D306" s="49" t="str">
        <v>Lime product 2</v>
      </c>
      <c r="E306" s="49">
        <v>100</v>
      </c>
      <c r="F306" s="49">
        <v>100</v>
      </c>
      <c r="G306" s="49">
        <v>0</v>
      </c>
      <c r="H306" s="49">
        <v>0</v>
      </c>
      <c r="I306" s="151" cm="1">
        <f t="array" ref="I306">Scope3_Equations.VEERG_15_6_1_1__1_EmissionsFromPurchasedLime(F306,$E$300)+
Scope3_Equations.VEERG_15_6_1_1__1_EmissionsFromPurchasedLime(G306,$E$301)+
Scope3_Equations.VEERG_15_6_1_1__1_EmissionsFromPurchasedLime(H306,$E$302)</f>
        <v>4.8500000000000001E-3</v>
      </c>
      <c r="J306" s="151" cm="1">
        <f t="array" ref="J306">Scope3_Equations.VEERG_15_6_1_1__1_EmissionsFromPurchasedLime(F306,IF($F$300,$F$300,$E$300))+
Scope3_Equations.VEERG_15_6_1_1__1_EmissionsFromPurchasedLime(G306,IF($F$301,$F$301,$E$301))+
Scope3_Equations.VEERG_15_6_1_1__1_EmissionsFromPurchasedLime(H306,IF($F$302,$F$302,$E$302))</f>
        <v>4.0000000000000001E-3</v>
      </c>
      <c r="K306" s="82"/>
      <c r="L306" s="47"/>
      <c r="M306" s="82"/>
    </row>
    <row r="307" spans="3:41" x14ac:dyDescent="0.25">
      <c r="D307" s="49" t="str">
        <v>Lime product 3</v>
      </c>
      <c r="E307" s="49">
        <v>100</v>
      </c>
      <c r="F307" s="49">
        <v>0</v>
      </c>
      <c r="G307" s="49">
        <v>0</v>
      </c>
      <c r="H307" s="49">
        <v>100</v>
      </c>
      <c r="I307" s="151" cm="1">
        <f t="array" ref="I307">Scope3_Equations.VEERG_15_6_1_1__1_EmissionsFromPurchasedLime(F307,$E$300)+
Scope3_Equations.VEERG_15_6_1_1__1_EmissionsFromPurchasedLime(G307,$E$301)+
Scope3_Equations.VEERG_15_6_1_1__1_EmissionsFromPurchasedLime(H307,$E$302)</f>
        <v>6.5199999999999998E-3</v>
      </c>
      <c r="J307" s="151" cm="1">
        <f t="array" ref="J307">Scope3_Equations.VEERG_15_6_1_1__1_EmissionsFromPurchasedLime(F307,IF($F$300,$F$300,$E$300))+
Scope3_Equations.VEERG_15_6_1_1__1_EmissionsFromPurchasedLime(G307,IF($F$301,$F$301,$E$301))+
Scope3_Equations.VEERG_15_6_1_1__1_EmissionsFromPurchasedLime(H307,IF($F$302,$F$302,$E$302))</f>
        <v>6.0000000000000001E-3</v>
      </c>
      <c r="K307" s="82"/>
      <c r="L307" s="47"/>
      <c r="M307" s="82"/>
    </row>
    <row r="308" spans="3:41" x14ac:dyDescent="0.25">
      <c r="D308" s="49" t="str">
        <v/>
      </c>
      <c r="E308" s="49">
        <v>0</v>
      </c>
      <c r="F308" s="49">
        <v>0</v>
      </c>
      <c r="G308" s="49">
        <v>0</v>
      </c>
      <c r="H308" s="49">
        <v>0</v>
      </c>
      <c r="I308" s="151" cm="1">
        <f t="array" ref="I308">Scope3_Equations.VEERG_15_6_1_1__1_EmissionsFromPurchasedLime(F308,$E$300)+
Scope3_Equations.VEERG_15_6_1_1__1_EmissionsFromPurchasedLime(G308,$E$301)+
Scope3_Equations.VEERG_15_6_1_1__1_EmissionsFromPurchasedLime(H308,$E$302)</f>
        <v>0</v>
      </c>
      <c r="J308" s="151" cm="1">
        <f t="array" ref="J308">Scope3_Equations.VEERG_15_6_1_1__1_EmissionsFromPurchasedLime(F308,IF($F$300,$F$300,$E$300))+
Scope3_Equations.VEERG_15_6_1_1__1_EmissionsFromPurchasedLime(G308,IF($F$301,$F$301,$E$301))+
Scope3_Equations.VEERG_15_6_1_1__1_EmissionsFromPurchasedLime(H308,IF($F$302,$F$302,$E$302))</f>
        <v>0</v>
      </c>
      <c r="K308" s="82"/>
      <c r="L308" s="47"/>
      <c r="M308" s="82"/>
    </row>
    <row r="309" spans="3:41" x14ac:dyDescent="0.25">
      <c r="D309" s="49" t="str">
        <v/>
      </c>
      <c r="E309" s="49">
        <v>0</v>
      </c>
      <c r="F309" s="49">
        <v>0</v>
      </c>
      <c r="G309" s="49">
        <v>0</v>
      </c>
      <c r="H309" s="49">
        <v>0</v>
      </c>
      <c r="I309" s="151" cm="1">
        <f t="array" ref="I309">Scope3_Equations.VEERG_15_6_1_1__1_EmissionsFromPurchasedLime(F309,$E$300)+
Scope3_Equations.VEERG_15_6_1_1__1_EmissionsFromPurchasedLime(G309,$E$301)+
Scope3_Equations.VEERG_15_6_1_1__1_EmissionsFromPurchasedLime(H309,$E$302)</f>
        <v>0</v>
      </c>
      <c r="J309" s="151" cm="1">
        <f t="array" ref="J309">Scope3_Equations.VEERG_15_6_1_1__1_EmissionsFromPurchasedLime(F309,IF($F$300,$F$300,$E$300))+
Scope3_Equations.VEERG_15_6_1_1__1_EmissionsFromPurchasedLime(G309,IF($F$301,$F$301,$E$301))+
Scope3_Equations.VEERG_15_6_1_1__1_EmissionsFromPurchasedLime(H309,IF($F$302,$F$302,$E$302))</f>
        <v>0</v>
      </c>
      <c r="K309" s="82"/>
      <c r="L309" s="47"/>
      <c r="M309" s="82"/>
    </row>
    <row r="310" spans="3:41" x14ac:dyDescent="0.25">
      <c r="D310" s="49" t="str">
        <v/>
      </c>
      <c r="E310" s="49">
        <v>0</v>
      </c>
      <c r="F310" s="49">
        <v>0</v>
      </c>
      <c r="G310" s="49">
        <v>0</v>
      </c>
      <c r="H310" s="49">
        <v>0</v>
      </c>
      <c r="I310" s="151" cm="1">
        <f t="array" ref="I310">Scope3_Equations.VEERG_15_6_1_1__1_EmissionsFromPurchasedLime(F310,$E$300)+
Scope3_Equations.VEERG_15_6_1_1__1_EmissionsFromPurchasedLime(G310,$E$301)+
Scope3_Equations.VEERG_15_6_1_1__1_EmissionsFromPurchasedLime(H310,$E$302)</f>
        <v>0</v>
      </c>
      <c r="J310" s="151" cm="1">
        <f t="array" ref="J310">Scope3_Equations.VEERG_15_6_1_1__1_EmissionsFromPurchasedLime(F310,IF($F$300,$F$300,$E$300))+
Scope3_Equations.VEERG_15_6_1_1__1_EmissionsFromPurchasedLime(G310,IF($F$301,$F$301,$E$301))+
Scope3_Equations.VEERG_15_6_1_1__1_EmissionsFromPurchasedLime(H310,IF($F$302,$F$302,$E$302))</f>
        <v>0</v>
      </c>
      <c r="K310" s="82"/>
      <c r="L310" s="47"/>
      <c r="M310" s="82"/>
    </row>
    <row r="311" spans="3:41" x14ac:dyDescent="0.25">
      <c r="D311" s="49" t="str">
        <v/>
      </c>
      <c r="E311" s="49">
        <v>0</v>
      </c>
      <c r="F311" s="49">
        <v>0</v>
      </c>
      <c r="G311" s="49">
        <v>0</v>
      </c>
      <c r="H311" s="49">
        <v>0</v>
      </c>
      <c r="I311" s="151" cm="1">
        <f t="array" ref="I311">Scope3_Equations.VEERG_15_6_1_1__1_EmissionsFromPurchasedLime(F311,$E$300)+
Scope3_Equations.VEERG_15_6_1_1__1_EmissionsFromPurchasedLime(G311,$E$301)+
Scope3_Equations.VEERG_15_6_1_1__1_EmissionsFromPurchasedLime(H311,$E$302)</f>
        <v>0</v>
      </c>
      <c r="J311" s="151" cm="1">
        <f t="array" ref="J311">Scope3_Equations.VEERG_15_6_1_1__1_EmissionsFromPurchasedLime(F311,IF($F$300,$F$300,$E$300))+
Scope3_Equations.VEERG_15_6_1_1__1_EmissionsFromPurchasedLime(G311,IF($F$301,$F$301,$E$301))+
Scope3_Equations.VEERG_15_6_1_1__1_EmissionsFromPurchasedLime(H311,IF($F$302,$F$302,$E$302))</f>
        <v>0</v>
      </c>
      <c r="K311" s="82"/>
      <c r="L311" s="47"/>
      <c r="M311" s="82"/>
    </row>
    <row r="312" spans="3:41" x14ac:dyDescent="0.25">
      <c r="D312" s="49" t="str">
        <v/>
      </c>
      <c r="E312" s="49">
        <v>0</v>
      </c>
      <c r="F312" s="49">
        <v>0</v>
      </c>
      <c r="G312" s="49">
        <v>0</v>
      </c>
      <c r="H312" s="49">
        <v>0</v>
      </c>
      <c r="I312" s="151" cm="1">
        <f t="array" ref="I312">Scope3_Equations.VEERG_15_6_1_1__1_EmissionsFromPurchasedLime(F312,$E$300)+
Scope3_Equations.VEERG_15_6_1_1__1_EmissionsFromPurchasedLime(G312,$E$301)+
Scope3_Equations.VEERG_15_6_1_1__1_EmissionsFromPurchasedLime(H312,$E$302)</f>
        <v>0</v>
      </c>
      <c r="J312" s="151" cm="1">
        <f t="array" ref="J312">Scope3_Equations.VEERG_15_6_1_1__1_EmissionsFromPurchasedLime(F312,IF($F$300,$F$300,$E$300))+
Scope3_Equations.VEERG_15_6_1_1__1_EmissionsFromPurchasedLime(G312,IF($F$301,$F$301,$E$301))+
Scope3_Equations.VEERG_15_6_1_1__1_EmissionsFromPurchasedLime(H312,IF($F$302,$F$302,$E$302))</f>
        <v>0</v>
      </c>
      <c r="K312" s="82"/>
      <c r="L312" s="47"/>
      <c r="M312" s="82"/>
    </row>
    <row r="313" spans="3:41" x14ac:dyDescent="0.25">
      <c r="D313" s="49" t="str">
        <v/>
      </c>
      <c r="E313" s="49">
        <v>0</v>
      </c>
      <c r="F313" s="49">
        <v>0</v>
      </c>
      <c r="G313" s="49">
        <v>0</v>
      </c>
      <c r="H313" s="49">
        <v>0</v>
      </c>
      <c r="I313" s="151" cm="1">
        <f t="array" ref="I313">Scope3_Equations.VEERG_15_6_1_1__1_EmissionsFromPurchasedLime(F313,$E$300)+
Scope3_Equations.VEERG_15_6_1_1__1_EmissionsFromPurchasedLime(G313,$E$301)+
Scope3_Equations.VEERG_15_6_1_1__1_EmissionsFromPurchasedLime(H313,$E$302)</f>
        <v>0</v>
      </c>
      <c r="J313" s="151" cm="1">
        <f t="array" ref="J313">Scope3_Equations.VEERG_15_6_1_1__1_EmissionsFromPurchasedLime(F313,IF($F$300,$F$300,$E$300))+
Scope3_Equations.VEERG_15_6_1_1__1_EmissionsFromPurchasedLime(G313,IF($F$301,$F$301,$E$301))+
Scope3_Equations.VEERG_15_6_1_1__1_EmissionsFromPurchasedLime(H313,IF($F$302,$F$302,$E$302))</f>
        <v>0</v>
      </c>
      <c r="K313" s="82"/>
      <c r="L313" s="47"/>
      <c r="M313" s="82"/>
    </row>
    <row r="314" spans="3:41" x14ac:dyDescent="0.25">
      <c r="D314" s="49" t="str">
        <v/>
      </c>
      <c r="E314" s="49">
        <v>0</v>
      </c>
      <c r="F314" s="49">
        <v>0</v>
      </c>
      <c r="G314" s="49">
        <v>0</v>
      </c>
      <c r="H314" s="49">
        <v>0</v>
      </c>
      <c r="I314" s="151" cm="1">
        <f t="array" ref="I314">Scope3_Equations.VEERG_15_6_1_1__1_EmissionsFromPurchasedLime(F314,$E$300)+
Scope3_Equations.VEERG_15_6_1_1__1_EmissionsFromPurchasedLime(G314,$E$301)+
Scope3_Equations.VEERG_15_6_1_1__1_EmissionsFromPurchasedLime(H314,$E$302)</f>
        <v>0</v>
      </c>
      <c r="J314" s="151" cm="1">
        <f t="array" ref="J314">Scope3_Equations.VEERG_15_6_1_1__1_EmissionsFromPurchasedLime(F314,IF($F$300,$F$300,$E$300))+
Scope3_Equations.VEERG_15_6_1_1__1_EmissionsFromPurchasedLime(G314,IF($F$301,$F$301,$E$301))+
Scope3_Equations.VEERG_15_6_1_1__1_EmissionsFromPurchasedLime(H314,IF($F$302,$F$302,$E$302))</f>
        <v>0</v>
      </c>
      <c r="K314" s="82"/>
      <c r="L314" s="47"/>
      <c r="M314" s="82"/>
    </row>
    <row r="316" spans="3:41" ht="20.25" x14ac:dyDescent="0.25">
      <c r="D316" s="179" t="s">
        <v>633</v>
      </c>
      <c r="E316" s="177">
        <f>SUM(I305:I314)</f>
        <v>1.6553999999999999E-2</v>
      </c>
      <c r="F316" s="178" t="str">
        <f>$E$155</f>
        <v>t CO2e</v>
      </c>
    </row>
    <row r="317" spans="3:41" ht="20.25" x14ac:dyDescent="0.25">
      <c r="D317" s="179" t="s">
        <v>635</v>
      </c>
      <c r="E317" s="177">
        <f>SUM(J305:J314)</f>
        <v>1.4400000000000001E-2</v>
      </c>
      <c r="F317" s="178" t="str">
        <f>$E$155</f>
        <v>t CO2e</v>
      </c>
    </row>
    <row r="320" spans="3:41" x14ac:dyDescent="0.25">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c r="AD320" s="98"/>
      <c r="AE320" s="98"/>
      <c r="AF320" s="98"/>
      <c r="AG320" s="98"/>
      <c r="AH320" s="98"/>
      <c r="AI320" s="98"/>
      <c r="AJ320" s="98"/>
      <c r="AK320" s="98"/>
      <c r="AL320" s="98"/>
      <c r="AM320" s="98"/>
      <c r="AN320" s="98"/>
      <c r="AO320" s="98"/>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2" t="s">
        <v>626</v>
      </c>
      <c r="E323" s="172" t="str" cm="1">
        <f t="array" aca="1" ref="E323" ca="1">Common_InputFunctions.Utility_DisplayFunctionName(K336)</f>
        <v>=Scope3_Equations.VEERG_15_7_1_1__1_EmissionsFromPurchasedServices</v>
      </c>
    </row>
    <row r="325" spans="4:15" x14ac:dyDescent="0.25">
      <c r="H325" s="8" t="s">
        <v>853</v>
      </c>
    </row>
    <row r="326" spans="4:15" x14ac:dyDescent="0.25">
      <c r="D326" s="27" t="s">
        <v>627</v>
      </c>
      <c r="E326" s="8" t="str" cm="1">
        <f t="array" ref="E326">Scope3_Equations.VEERG_15_7_1_1__1_EmissionsFromPurchasedServices_Variable()</f>
        <v>E</v>
      </c>
    </row>
    <row r="327" spans="4:15" x14ac:dyDescent="0.25">
      <c r="D327" s="27" t="s">
        <v>96</v>
      </c>
      <c r="E327" s="8" t="str" cm="1">
        <f t="array" ref="E327">Scope3_Equations.VEERG_15_7_1_1__1_EmissionsFromPurchasedServices_Unit()</f>
        <v>t CO2e</v>
      </c>
    </row>
    <row r="329" spans="4:15" x14ac:dyDescent="0.25">
      <c r="D329" s="167" t="str" cm="1">
        <f t="array" ref="D329:E331">_xlfn.CHOOSECOLS(Scope3_Equations.VEERG_15_7_1_1__1_EmissionsFromPurchasedServices_Arguments(),1,2)</f>
        <v>A_p</v>
      </c>
      <c r="E329" s="171" t="str">
        <v>activity data of the service that was purchased</v>
      </c>
      <c r="F329" s="166"/>
      <c r="G329" s="167" t="str" cm="1">
        <f t="array" ref="G329:H331">_xlfn.CHOOSECOLS(Scope3_Equations.VEERG_15_7_1_1__1_EmissionsFromPurchasedServices_Arguments(),3,4)</f>
        <v>ha or h</v>
      </c>
      <c r="H329" s="168" t="str">
        <v>Input</v>
      </c>
    </row>
    <row r="330" spans="4:15" x14ac:dyDescent="0.25">
      <c r="D330" s="167" t="str">
        <v>EF_p</v>
      </c>
      <c r="E330" s="171" t="str">
        <v>life cycle emission factor for the purchased service</v>
      </c>
      <c r="F330" s="166"/>
      <c r="G330" s="167" t="str">
        <v>kg CO2e/ha or kg CO2e/h</v>
      </c>
      <c r="H330" s="169" t="str">
        <v>Constant</v>
      </c>
    </row>
    <row r="331" spans="4:15" x14ac:dyDescent="0.25">
      <c r="D331" s="167" t="str">
        <v>p</v>
      </c>
      <c r="E331" s="171" t="str">
        <v>service type</v>
      </c>
      <c r="F331" s="166"/>
      <c r="G331" s="167" t="str">
        <v/>
      </c>
      <c r="H331" s="168" t="str">
        <v>Input</v>
      </c>
    </row>
    <row r="333" spans="4:15" x14ac:dyDescent="0.25">
      <c r="D333" s="12" t="s">
        <v>691</v>
      </c>
    </row>
    <row r="335" spans="4:15" x14ac:dyDescent="0.25">
      <c r="D335" s="46" t="s">
        <v>605</v>
      </c>
      <c r="E335" s="46" t="s">
        <v>615</v>
      </c>
      <c r="F335" s="46" t="s">
        <v>610</v>
      </c>
      <c r="G335" s="46" t="s">
        <v>125</v>
      </c>
      <c r="H335" s="57" t="s">
        <v>413</v>
      </c>
      <c r="I335" s="57" t="s">
        <v>350</v>
      </c>
      <c r="J335" s="46" t="s">
        <v>414</v>
      </c>
      <c r="K335" s="57" t="s">
        <v>351</v>
      </c>
      <c r="L335" s="57" t="s">
        <v>611</v>
      </c>
      <c r="M335" s="46" t="s">
        <v>629</v>
      </c>
      <c r="N335" s="46" t="s">
        <v>630</v>
      </c>
      <c r="O335" s="46" t="s">
        <v>631</v>
      </c>
    </row>
    <row r="336" spans="4:15" x14ac:dyDescent="0.25">
      <c r="D336" s="49" t="str" cm="1">
        <f t="array" ref="D336:D345">IFERROR(INDEX(Table_Input_ServicesAndContractors[Service provider / contractor], _xlfn.SEQUENCE(10)), "")</f>
        <v>Pete's Pickers</v>
      </c>
      <c r="E336" s="49" t="str" cm="1">
        <f t="array" ref="E336:E345">IFERROR(INDEX(Table_Input_ServicesAndContractors[Activity], _xlfn.SEQUENCE(10)), "")</f>
        <v>Fruit picking</v>
      </c>
      <c r="F336" s="49" cm="1">
        <f t="array" ref="F336:F345">IFERROR(INDEX(Table_Input_ServicesAndContractors[Total amount], _xlfn.SEQUENCE(10)), "")</f>
        <v>10000</v>
      </c>
      <c r="G336" s="49" t="str" cm="1">
        <f t="array" ref="G336:G345">IFERROR(INDEX(Table_Input_ServicesAndContractors[Amount unit], _xlfn.SEQUENCE(10)), "")</f>
        <v>Hour</v>
      </c>
      <c r="H336" s="49" t="s">
        <v>819</v>
      </c>
      <c r="I336" s="49" t="s">
        <v>819</v>
      </c>
      <c r="J336" s="66">
        <v>4</v>
      </c>
      <c r="K336" s="151" cm="1">
        <f t="array" ref="K336">Scope3_Equations.VEERG_15_7_1_1__1_EmissionsFromPurchasedServices(F336,J336)</f>
        <v>40</v>
      </c>
      <c r="L336" s="49" t="str">
        <f>"t CO2e / " &amp; G336</f>
        <v>t CO2e / Hour</v>
      </c>
      <c r="M336" s="82"/>
      <c r="N336" s="47"/>
      <c r="O336" s="82"/>
    </row>
    <row r="337" spans="3:41" x14ac:dyDescent="0.25">
      <c r="D337" s="49" t="str">
        <v>Harini's Harvesting Services Pty Ltd</v>
      </c>
      <c r="E337" s="49" t="str">
        <v>Wheat harvesting</v>
      </c>
      <c r="F337" s="49">
        <v>1000</v>
      </c>
      <c r="G337" s="49" t="str">
        <v>Hectare</v>
      </c>
      <c r="H337" s="49" t="s">
        <v>819</v>
      </c>
      <c r="I337" s="49" t="s">
        <v>819</v>
      </c>
      <c r="J337" s="66">
        <v>2</v>
      </c>
      <c r="K337" s="151" cm="1">
        <f t="array" ref="K337">Scope3_Equations.VEERG_15_7_1_1__1_EmissionsFromPurchasedServices(F337,J337)</f>
        <v>2</v>
      </c>
      <c r="L337" s="49" t="str">
        <f t="shared" ref="L337:L345" si="1">"t CO2e / " &amp; G337</f>
        <v>t CO2e / Hectare</v>
      </c>
      <c r="M337" s="82"/>
      <c r="N337" s="47"/>
      <c r="O337" s="82"/>
    </row>
    <row r="338" spans="3:41" x14ac:dyDescent="0.25">
      <c r="D338" s="49">
        <v>0</v>
      </c>
      <c r="E338" s="49">
        <v>0</v>
      </c>
      <c r="F338" s="49">
        <v>0</v>
      </c>
      <c r="G338" s="49">
        <v>0</v>
      </c>
      <c r="H338" s="49" t="s">
        <v>819</v>
      </c>
      <c r="I338" s="49" t="s">
        <v>819</v>
      </c>
      <c r="J338" s="66"/>
      <c r="K338" s="151" cm="1">
        <f t="array" ref="K338">Scope3_Equations.VEERG_15_7_1_1__1_EmissionsFromPurchasedServices(F338,J338)</f>
        <v>0</v>
      </c>
      <c r="L338" s="49" t="str">
        <f t="shared" si="1"/>
        <v>t CO2e / 0</v>
      </c>
      <c r="M338" s="82"/>
      <c r="N338" s="47"/>
      <c r="O338" s="82"/>
    </row>
    <row r="339" spans="3:41" x14ac:dyDescent="0.25">
      <c r="D339" s="49">
        <v>0</v>
      </c>
      <c r="E339" s="49">
        <v>0</v>
      </c>
      <c r="F339" s="49">
        <v>0</v>
      </c>
      <c r="G339" s="49">
        <v>0</v>
      </c>
      <c r="H339" s="49" t="s">
        <v>819</v>
      </c>
      <c r="I339" s="49" t="s">
        <v>819</v>
      </c>
      <c r="J339" s="66"/>
      <c r="K339" s="151" cm="1">
        <f t="array" ref="K339">Scope3_Equations.VEERG_15_7_1_1__1_EmissionsFromPurchasedServices(F339,J339)</f>
        <v>0</v>
      </c>
      <c r="L339" s="49" t="str">
        <f t="shared" si="1"/>
        <v>t CO2e / 0</v>
      </c>
      <c r="M339" s="82"/>
      <c r="N339" s="47"/>
      <c r="O339" s="82"/>
    </row>
    <row r="340" spans="3:41" x14ac:dyDescent="0.25">
      <c r="D340" s="49">
        <v>0</v>
      </c>
      <c r="E340" s="49">
        <v>0</v>
      </c>
      <c r="F340" s="49">
        <v>0</v>
      </c>
      <c r="G340" s="49">
        <v>0</v>
      </c>
      <c r="H340" s="49" t="s">
        <v>819</v>
      </c>
      <c r="I340" s="49" t="s">
        <v>819</v>
      </c>
      <c r="J340" s="66"/>
      <c r="K340" s="151" cm="1">
        <f t="array" ref="K340">Scope3_Equations.VEERG_15_7_1_1__1_EmissionsFromPurchasedServices(F340,J340)</f>
        <v>0</v>
      </c>
      <c r="L340" s="49" t="str">
        <f t="shared" si="1"/>
        <v>t CO2e / 0</v>
      </c>
      <c r="M340" s="82"/>
      <c r="N340" s="47"/>
      <c r="O340" s="82"/>
    </row>
    <row r="341" spans="3:41" x14ac:dyDescent="0.25">
      <c r="D341" s="49">
        <v>0</v>
      </c>
      <c r="E341" s="49">
        <v>0</v>
      </c>
      <c r="F341" s="49">
        <v>0</v>
      </c>
      <c r="G341" s="49">
        <v>0</v>
      </c>
      <c r="H341" s="49" t="s">
        <v>819</v>
      </c>
      <c r="I341" s="49" t="s">
        <v>819</v>
      </c>
      <c r="J341" s="66"/>
      <c r="K341" s="151" cm="1">
        <f t="array" ref="K341">Scope3_Equations.VEERG_15_7_1_1__1_EmissionsFromPurchasedServices(F341,J341)</f>
        <v>0</v>
      </c>
      <c r="L341" s="49" t="str">
        <f t="shared" si="1"/>
        <v>t CO2e / 0</v>
      </c>
      <c r="M341" s="82"/>
      <c r="N341" s="47"/>
      <c r="O341" s="82"/>
    </row>
    <row r="342" spans="3:41" x14ac:dyDescent="0.25">
      <c r="D342" s="49">
        <v>0</v>
      </c>
      <c r="E342" s="49">
        <v>0</v>
      </c>
      <c r="F342" s="49">
        <v>0</v>
      </c>
      <c r="G342" s="49">
        <v>0</v>
      </c>
      <c r="H342" s="49" t="s">
        <v>819</v>
      </c>
      <c r="I342" s="49" t="s">
        <v>819</v>
      </c>
      <c r="J342" s="66"/>
      <c r="K342" s="151" cm="1">
        <f t="array" ref="K342">Scope3_Equations.VEERG_15_7_1_1__1_EmissionsFromPurchasedServices(F342,J342)</f>
        <v>0</v>
      </c>
      <c r="L342" s="49" t="str">
        <f t="shared" si="1"/>
        <v>t CO2e / 0</v>
      </c>
      <c r="M342" s="82"/>
      <c r="N342" s="47"/>
      <c r="O342" s="82"/>
    </row>
    <row r="343" spans="3:41" x14ac:dyDescent="0.25">
      <c r="D343" s="49">
        <v>0</v>
      </c>
      <c r="E343" s="49">
        <v>0</v>
      </c>
      <c r="F343" s="49">
        <v>0</v>
      </c>
      <c r="G343" s="49">
        <v>0</v>
      </c>
      <c r="H343" s="49" t="s">
        <v>819</v>
      </c>
      <c r="I343" s="49" t="s">
        <v>819</v>
      </c>
      <c r="J343" s="66"/>
      <c r="K343" s="151" cm="1">
        <f t="array" ref="K343">Scope3_Equations.VEERG_15_7_1_1__1_EmissionsFromPurchasedServices(F343,J343)</f>
        <v>0</v>
      </c>
      <c r="L343" s="49" t="str">
        <f t="shared" si="1"/>
        <v>t CO2e / 0</v>
      </c>
      <c r="M343" s="82"/>
      <c r="N343" s="47"/>
      <c r="O343" s="82"/>
    </row>
    <row r="344" spans="3:41" x14ac:dyDescent="0.25">
      <c r="D344" s="49">
        <v>0</v>
      </c>
      <c r="E344" s="49">
        <v>0</v>
      </c>
      <c r="F344" s="49">
        <v>0</v>
      </c>
      <c r="G344" s="49">
        <v>0</v>
      </c>
      <c r="H344" s="49" t="s">
        <v>819</v>
      </c>
      <c r="I344" s="49" t="s">
        <v>819</v>
      </c>
      <c r="J344" s="66"/>
      <c r="K344" s="151" cm="1">
        <f t="array" ref="K344">Scope3_Equations.VEERG_15_7_1_1__1_EmissionsFromPurchasedServices(F344,J344)</f>
        <v>0</v>
      </c>
      <c r="L344" s="49" t="str">
        <f t="shared" si="1"/>
        <v>t CO2e / 0</v>
      </c>
      <c r="M344" s="82"/>
      <c r="N344" s="47"/>
      <c r="O344" s="82"/>
    </row>
    <row r="345" spans="3:41" x14ac:dyDescent="0.25">
      <c r="D345" s="49">
        <v>0</v>
      </c>
      <c r="E345" s="49">
        <v>0</v>
      </c>
      <c r="F345" s="49">
        <v>0</v>
      </c>
      <c r="G345" s="49">
        <v>0</v>
      </c>
      <c r="H345" s="49" t="s">
        <v>819</v>
      </c>
      <c r="I345" s="49" t="s">
        <v>819</v>
      </c>
      <c r="J345" s="66"/>
      <c r="K345" s="151" cm="1">
        <f t="array" ref="K345">Scope3_Equations.VEERG_15_7_1_1__1_EmissionsFromPurchasedServices(F345,J345)</f>
        <v>0</v>
      </c>
      <c r="L345" s="49" t="str">
        <f t="shared" si="1"/>
        <v>t CO2e / 0</v>
      </c>
      <c r="M345" s="82"/>
      <c r="N345" s="47"/>
      <c r="O345" s="82"/>
    </row>
    <row r="347" spans="3:41" ht="20.25" x14ac:dyDescent="0.25">
      <c r="D347" s="179" t="s">
        <v>633</v>
      </c>
      <c r="E347" s="177" t="s">
        <v>819</v>
      </c>
      <c r="F347" s="178" t="str">
        <f>$E$155</f>
        <v>t CO2e</v>
      </c>
    </row>
    <row r="348" spans="3:41" ht="20.25" x14ac:dyDescent="0.25">
      <c r="D348" s="179" t="s">
        <v>635</v>
      </c>
      <c r="E348" s="177">
        <f>SUM(K336:K345)</f>
        <v>42</v>
      </c>
      <c r="F348" s="178" t="str">
        <f>$E$155</f>
        <v>t CO2e</v>
      </c>
    </row>
    <row r="351" spans="3:41" x14ac:dyDescent="0.25">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c r="AD351" s="98"/>
      <c r="AE351" s="98"/>
      <c r="AF351" s="98"/>
      <c r="AG351" s="98"/>
      <c r="AH351" s="98"/>
      <c r="AI351" s="98"/>
      <c r="AJ351" s="98"/>
      <c r="AK351" s="98"/>
      <c r="AL351" s="98"/>
      <c r="AM351" s="98"/>
      <c r="AN351" s="98"/>
      <c r="AO351" s="98"/>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2" t="s">
        <v>626</v>
      </c>
      <c r="E355" s="172" t="str" cm="1">
        <f t="array" aca="1" ref="E355" ca="1">Common_InputFunctions.Utility_DisplayFunctionName(H367)</f>
        <v>=Scope3_Equations.VEERG_15_8_1_1__1_EmissionsFromPurchasedPackaging</v>
      </c>
    </row>
    <row r="359" spans="4:13" x14ac:dyDescent="0.25">
      <c r="D359" s="27" t="s">
        <v>627</v>
      </c>
      <c r="E359" s="8" t="str" cm="1">
        <f t="array" ref="E359">Scope3_Equations.VEERG_15_8_1_1__1_EmissionsFromPurchasedPackaging_Variable()</f>
        <v>E</v>
      </c>
    </row>
    <row r="360" spans="4:13" x14ac:dyDescent="0.25">
      <c r="D360" s="27" t="s">
        <v>96</v>
      </c>
      <c r="E360" s="13" t="str" cm="1">
        <f t="array" ref="E360">Scope3_Equations.VEERG_15_8_1_1__1_EmissionsFromPurchasedPackaging_Unit()</f>
        <v>t CO2e</v>
      </c>
    </row>
    <row r="362" spans="4:13" x14ac:dyDescent="0.25">
      <c r="D362" s="167" t="str" cm="1">
        <f t="array" ref="D362:E364">_xlfn.CHOOSECOLS(Scope3_Equations.VEERG_15_8_1_1__1_EmissionsFromPurchasedPackaging_Arguments(),1,2)</f>
        <v>Q_p</v>
      </c>
      <c r="E362" s="167" t="str">
        <v>units of packaging type p</v>
      </c>
      <c r="F362" s="167" t="str" cm="1">
        <f t="array" ref="F362:G364">_xlfn.CHOOSECOLS(Scope3_Equations.VEERG_15_8_1_1__1_EmissionsFromPurchasedPackaging_Arguments(),3,4)</f>
        <v>units</v>
      </c>
      <c r="G362" s="168" t="str">
        <v>Input</v>
      </c>
    </row>
    <row r="363" spans="4:13" x14ac:dyDescent="0.25">
      <c r="D363" s="167" t="str">
        <v>EF_p</v>
      </c>
      <c r="E363" s="167" t="str">
        <v>emission factor for packaging type p</v>
      </c>
      <c r="F363" s="167" t="str">
        <v>kg CO2e/unit</v>
      </c>
      <c r="G363" s="169" t="str">
        <v>Constant</v>
      </c>
    </row>
    <row r="364" spans="4:13" x14ac:dyDescent="0.25">
      <c r="D364" s="167" t="str">
        <v>p</v>
      </c>
      <c r="E364" s="167" t="str">
        <v>packaging type</v>
      </c>
      <c r="F364" s="167" t="str">
        <v/>
      </c>
      <c r="G364" s="168" t="str">
        <v>Input</v>
      </c>
    </row>
    <row r="366" spans="4:13" ht="17.25" x14ac:dyDescent="0.25">
      <c r="D366" s="46" t="s">
        <v>358</v>
      </c>
      <c r="E366" s="152" t="s">
        <v>403</v>
      </c>
      <c r="F366" s="152" t="s">
        <v>692</v>
      </c>
      <c r="G366" s="57" t="s">
        <v>693</v>
      </c>
      <c r="H366" s="57" t="s">
        <v>633</v>
      </c>
      <c r="I366" s="46" t="s">
        <v>694</v>
      </c>
      <c r="J366" s="57" t="s">
        <v>635</v>
      </c>
      <c r="K366" s="46" t="s">
        <v>629</v>
      </c>
      <c r="L366" s="46" t="s">
        <v>630</v>
      </c>
      <c r="M366" s="46" t="s">
        <v>631</v>
      </c>
    </row>
    <row r="367" spans="4:13" x14ac:dyDescent="0.25">
      <c r="D367" s="49" t="str" cm="1">
        <f t="array" ref="D367:D376">IFERROR(INDEX(Table_Input_Packaging[Packaging name], _xlfn.SEQUENCE(10)), "")</f>
        <v>250g punnet</v>
      </c>
      <c r="E367" s="49" t="str" cm="1">
        <f t="array" ref="E367:E376">IFERROR(INDEX(Table_Input_Packaging[Primary material], _xlfn.SEQUENCE(10)), "")</f>
        <v>Plastic sheet HDPE</v>
      </c>
      <c r="F367" s="49" cm="1">
        <f t="array" ref="F367:F376">IFERROR(INDEX(Table_Input_Packaging[Total weight purchased (kg)], _xlfn.SEQUENCE(10)), "")</f>
        <v>2000</v>
      </c>
      <c r="G367" s="49" cm="1">
        <f t="array" ref="G367">Common_InputFunctions.Utility_LookupValueInTableNumber(E367,Table_SourceData_Scope3_Packaging[Product],Table_SourceData_Scope3_Packaging[AusLCI Emissions intensity])</f>
        <v>3.72</v>
      </c>
      <c r="H367" s="151" cm="1">
        <f t="array" ref="H367">Scope3_Equations.VEERG_15_8_1_1__1_EmissionsFromPurchasedPackaging(F367,G367)</f>
        <v>7.44</v>
      </c>
      <c r="I367" s="66">
        <v>3</v>
      </c>
      <c r="J367" s="151" cm="1">
        <f t="array" ref="J367">Scope3_Equations.VEERG_15_8_1_1__1_EmissionsFromPurchasedPackaging(F367,IF(I367,I367,G367))</f>
        <v>6</v>
      </c>
      <c r="K367" s="82"/>
      <c r="L367" s="47"/>
      <c r="M367" s="82"/>
    </row>
    <row r="368" spans="4:13" x14ac:dyDescent="0.25">
      <c r="D368" s="49">
        <v>0</v>
      </c>
      <c r="E368" s="49">
        <v>0</v>
      </c>
      <c r="F368" s="49">
        <v>0</v>
      </c>
      <c r="G368" s="49" cm="1">
        <f t="array" ref="G368">Common_InputFunctions.Utility_LookupValueInTableNumber(E368,Table_SourceData_Scope3_Packaging[Product],Table_SourceData_Scope3_Packaging[AusLCI Emissions intensity])</f>
        <v>0</v>
      </c>
      <c r="H368" s="151" cm="1">
        <f t="array" ref="H368">Scope3_Equations.VEERG_15_8_1_1__1_EmissionsFromPurchasedPackaging(F368,G368)</f>
        <v>0</v>
      </c>
      <c r="I368" s="66"/>
      <c r="J368" s="151" cm="1">
        <f t="array" ref="J368">Scope3_Equations.VEERG_15_8_1_1__1_EmissionsFromPurchasedPackaging(F368,IF(I368,I368,G368))</f>
        <v>0</v>
      </c>
      <c r="K368" s="82"/>
      <c r="L368" s="47"/>
      <c r="M368" s="82"/>
    </row>
    <row r="369" spans="3:41" x14ac:dyDescent="0.25">
      <c r="D369" s="49">
        <v>0</v>
      </c>
      <c r="E369" s="49">
        <v>0</v>
      </c>
      <c r="F369" s="49">
        <v>0</v>
      </c>
      <c r="G369" s="49" cm="1">
        <f t="array" ref="G369">Common_InputFunctions.Utility_LookupValueInTableNumber(E369,Table_SourceData_Scope3_Packaging[Product],Table_SourceData_Scope3_Packaging[AusLCI Emissions intensity])</f>
        <v>0</v>
      </c>
      <c r="H369" s="151" cm="1">
        <f t="array" ref="H369">Scope3_Equations.VEERG_15_8_1_1__1_EmissionsFromPurchasedPackaging(F369,G369)</f>
        <v>0</v>
      </c>
      <c r="I369" s="66"/>
      <c r="J369" s="151" cm="1">
        <f t="array" ref="J369">Scope3_Equations.VEERG_15_8_1_1__1_EmissionsFromPurchasedPackaging(F369,IF(I369,I369,G369))</f>
        <v>0</v>
      </c>
      <c r="K369" s="82"/>
      <c r="L369" s="47"/>
      <c r="M369" s="82"/>
    </row>
    <row r="370" spans="3:41" x14ac:dyDescent="0.25">
      <c r="D370" s="49">
        <v>0</v>
      </c>
      <c r="E370" s="49">
        <v>0</v>
      </c>
      <c r="F370" s="49">
        <v>0</v>
      </c>
      <c r="G370" s="49" cm="1">
        <f t="array" ref="G370">Common_InputFunctions.Utility_LookupValueInTableNumber(E370,Table_SourceData_Scope3_Packaging[Product],Table_SourceData_Scope3_Packaging[AusLCI Emissions intensity])</f>
        <v>0</v>
      </c>
      <c r="H370" s="151" cm="1">
        <f t="array" ref="H370">Scope3_Equations.VEERG_15_8_1_1__1_EmissionsFromPurchasedPackaging(F370,G370)</f>
        <v>0</v>
      </c>
      <c r="I370" s="66"/>
      <c r="J370" s="151" cm="1">
        <f t="array" ref="J370">Scope3_Equations.VEERG_15_8_1_1__1_EmissionsFromPurchasedPackaging(F370,IF(I370,I370,G370))</f>
        <v>0</v>
      </c>
      <c r="K370" s="82"/>
      <c r="L370" s="47"/>
      <c r="M370" s="82"/>
    </row>
    <row r="371" spans="3:41" x14ac:dyDescent="0.25">
      <c r="D371" s="49">
        <v>0</v>
      </c>
      <c r="E371" s="49">
        <v>0</v>
      </c>
      <c r="F371" s="49">
        <v>0</v>
      </c>
      <c r="G371" s="49" cm="1">
        <f t="array" ref="G371">Common_InputFunctions.Utility_LookupValueInTableNumber(E371,Table_SourceData_Scope3_Packaging[Product],Table_SourceData_Scope3_Packaging[AusLCI Emissions intensity])</f>
        <v>0</v>
      </c>
      <c r="H371" s="151" cm="1">
        <f t="array" ref="H371">Scope3_Equations.VEERG_15_8_1_1__1_EmissionsFromPurchasedPackaging(F371,G371)</f>
        <v>0</v>
      </c>
      <c r="I371" s="66"/>
      <c r="J371" s="151" cm="1">
        <f t="array" ref="J371">Scope3_Equations.VEERG_15_8_1_1__1_EmissionsFromPurchasedPackaging(F371,IF(I371,I371,G371))</f>
        <v>0</v>
      </c>
      <c r="K371" s="82"/>
      <c r="L371" s="47"/>
      <c r="M371" s="82"/>
    </row>
    <row r="372" spans="3:41" x14ac:dyDescent="0.25">
      <c r="D372" s="49">
        <v>0</v>
      </c>
      <c r="E372" s="49">
        <v>0</v>
      </c>
      <c r="F372" s="49">
        <v>0</v>
      </c>
      <c r="G372" s="49" cm="1">
        <f t="array" ref="G372">Common_InputFunctions.Utility_LookupValueInTableNumber(E372,Table_SourceData_Scope3_Packaging[Product],Table_SourceData_Scope3_Packaging[AusLCI Emissions intensity])</f>
        <v>0</v>
      </c>
      <c r="H372" s="151" cm="1">
        <f t="array" ref="H372">Scope3_Equations.VEERG_15_8_1_1__1_EmissionsFromPurchasedPackaging(F372,G372)</f>
        <v>0</v>
      </c>
      <c r="I372" s="66"/>
      <c r="J372" s="151" cm="1">
        <f t="array" ref="J372">Scope3_Equations.VEERG_15_8_1_1__1_EmissionsFromPurchasedPackaging(F372,IF(I372,I372,G372))</f>
        <v>0</v>
      </c>
      <c r="K372" s="82"/>
      <c r="L372" s="47"/>
      <c r="M372" s="82"/>
    </row>
    <row r="373" spans="3:41" x14ac:dyDescent="0.25">
      <c r="D373" s="49">
        <v>0</v>
      </c>
      <c r="E373" s="49">
        <v>0</v>
      </c>
      <c r="F373" s="49">
        <v>0</v>
      </c>
      <c r="G373" s="49" cm="1">
        <f t="array" ref="G373">Common_InputFunctions.Utility_LookupValueInTableNumber(E373,Table_SourceData_Scope3_Packaging[Product],Table_SourceData_Scope3_Packaging[AusLCI Emissions intensity])</f>
        <v>0</v>
      </c>
      <c r="H373" s="151" cm="1">
        <f t="array" ref="H373">Scope3_Equations.VEERG_15_8_1_1__1_EmissionsFromPurchasedPackaging(F373,G373)</f>
        <v>0</v>
      </c>
      <c r="I373" s="66"/>
      <c r="J373" s="151" cm="1">
        <f t="array" ref="J373">Scope3_Equations.VEERG_15_8_1_1__1_EmissionsFromPurchasedPackaging(F373,IF(I373,I373,G373))</f>
        <v>0</v>
      </c>
      <c r="K373" s="82"/>
      <c r="L373" s="47"/>
      <c r="M373" s="82"/>
    </row>
    <row r="374" spans="3:41" x14ac:dyDescent="0.25">
      <c r="D374" s="49">
        <v>0</v>
      </c>
      <c r="E374" s="49">
        <v>0</v>
      </c>
      <c r="F374" s="49">
        <v>0</v>
      </c>
      <c r="G374" s="49" cm="1">
        <f t="array" ref="G374">Common_InputFunctions.Utility_LookupValueInTableNumber(E374,Table_SourceData_Scope3_Packaging[Product],Table_SourceData_Scope3_Packaging[AusLCI Emissions intensity])</f>
        <v>0</v>
      </c>
      <c r="H374" s="151" cm="1">
        <f t="array" ref="H374">Scope3_Equations.VEERG_15_8_1_1__1_EmissionsFromPurchasedPackaging(F374,G374)</f>
        <v>0</v>
      </c>
      <c r="I374" s="66"/>
      <c r="J374" s="151" cm="1">
        <f t="array" ref="J374">Scope3_Equations.VEERG_15_8_1_1__1_EmissionsFromPurchasedPackaging(F374,IF(I374,I374,G374))</f>
        <v>0</v>
      </c>
      <c r="K374" s="82"/>
      <c r="L374" s="47"/>
      <c r="M374" s="82"/>
    </row>
    <row r="375" spans="3:41" x14ac:dyDescent="0.25">
      <c r="D375" s="49">
        <v>0</v>
      </c>
      <c r="E375" s="49">
        <v>0</v>
      </c>
      <c r="F375" s="49">
        <v>0</v>
      </c>
      <c r="G375" s="49" cm="1">
        <f t="array" ref="G375">Common_InputFunctions.Utility_LookupValueInTableNumber(E375,Table_SourceData_Scope3_Packaging[Product],Table_SourceData_Scope3_Packaging[AusLCI Emissions intensity])</f>
        <v>0</v>
      </c>
      <c r="H375" s="151" cm="1">
        <f t="array" ref="H375">Scope3_Equations.VEERG_15_8_1_1__1_EmissionsFromPurchasedPackaging(F375,G375)</f>
        <v>0</v>
      </c>
      <c r="I375" s="66"/>
      <c r="J375" s="151" cm="1">
        <f t="array" ref="J375">Scope3_Equations.VEERG_15_8_1_1__1_EmissionsFromPurchasedPackaging(F375,IF(I375,I375,G375))</f>
        <v>0</v>
      </c>
      <c r="K375" s="82"/>
      <c r="L375" s="47"/>
      <c r="M375" s="82"/>
    </row>
    <row r="376" spans="3:41" x14ac:dyDescent="0.25">
      <c r="D376" s="49">
        <v>0</v>
      </c>
      <c r="E376" s="49">
        <v>0</v>
      </c>
      <c r="F376" s="49">
        <v>0</v>
      </c>
      <c r="G376" s="49" cm="1">
        <f t="array" ref="G376">Common_InputFunctions.Utility_LookupValueInTableNumber(E376,Table_SourceData_Scope3_Packaging[Product],Table_SourceData_Scope3_Packaging[AusLCI Emissions intensity])</f>
        <v>0</v>
      </c>
      <c r="H376" s="151" cm="1">
        <f t="array" ref="H376">Scope3_Equations.VEERG_15_8_1_1__1_EmissionsFromPurchasedPackaging(F376,G376)</f>
        <v>0</v>
      </c>
      <c r="I376" s="66"/>
      <c r="J376" s="151" cm="1">
        <f t="array" ref="J376">Scope3_Equations.VEERG_15_8_1_1__1_EmissionsFromPurchasedPackaging(F376,IF(I376,I376,G376))</f>
        <v>0</v>
      </c>
      <c r="K376" s="82"/>
      <c r="L376" s="47"/>
      <c r="M376" s="82"/>
    </row>
    <row r="378" spans="3:41" ht="20.25" x14ac:dyDescent="0.25">
      <c r="D378" s="179" t="s">
        <v>633</v>
      </c>
      <c r="E378" s="177">
        <f>SUM(H367:H376)</f>
        <v>7.44</v>
      </c>
      <c r="F378" s="178" t="str">
        <f>$E$155</f>
        <v>t CO2e</v>
      </c>
    </row>
    <row r="379" spans="3:41" ht="20.25" x14ac:dyDescent="0.25">
      <c r="D379" s="179" t="s">
        <v>635</v>
      </c>
      <c r="E379" s="177">
        <f>SUM(J367:J376)</f>
        <v>6</v>
      </c>
      <c r="F379" s="178" t="str">
        <f>$E$155</f>
        <v>t CO2e</v>
      </c>
    </row>
    <row r="382" spans="3:41" x14ac:dyDescent="0.25">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c r="AD382" s="98"/>
      <c r="AE382" s="98"/>
      <c r="AF382" s="98"/>
      <c r="AG382" s="98"/>
      <c r="AH382" s="98"/>
      <c r="AI382" s="98"/>
      <c r="AJ382" s="98"/>
      <c r="AK382" s="98"/>
      <c r="AL382" s="98"/>
      <c r="AM382" s="98"/>
      <c r="AN382" s="98"/>
      <c r="AO382" s="98"/>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2" t="s">
        <v>626</v>
      </c>
      <c r="E385" s="172" t="str" cm="1">
        <f t="array" aca="1" ref="E385" ca="1">Common_InputFunctions.Utility_DisplayFunctionName(J399)</f>
        <v>=Scope3_Equations.VEERG_15_9_1_1__1_EmissionsFromPurchasedGrowMedia</v>
      </c>
    </row>
    <row r="388" spans="4:14" x14ac:dyDescent="0.25">
      <c r="G388" s="172"/>
    </row>
    <row r="389" spans="4:14" x14ac:dyDescent="0.25">
      <c r="D389" s="27" t="s">
        <v>627</v>
      </c>
      <c r="E389" s="8" t="str" cm="1">
        <f t="array" ref="E389">Scope3_Equations.VEERG_15_9_1_1__1_EmissionsFromPurchasedGrowMedia_Variable()</f>
        <v>E</v>
      </c>
    </row>
    <row r="390" spans="4:14" x14ac:dyDescent="0.25">
      <c r="D390" s="27" t="s">
        <v>96</v>
      </c>
      <c r="E390" s="8" t="str" cm="1">
        <f t="array" ref="E390">Scope3_Equations.VEERG_15_9_1_1__1_EmissionsFromPurchasedGrowMedia_Unit()</f>
        <v>t CO2e</v>
      </c>
    </row>
    <row r="392" spans="4:14" x14ac:dyDescent="0.25">
      <c r="D392" s="167" t="str" cm="1">
        <f t="array" ref="D392:E394">_xlfn.CHOOSECOLS(Scope3_Equations.VEERG_15_9_1_1__1_EmissionsFromPurchasedGrowMedia_Arguments(),1,2)</f>
        <v>Q_g</v>
      </c>
      <c r="E392" s="167" t="str">
        <v>total quantity of grow media type g</v>
      </c>
      <c r="F392" s="167" t="str" cm="1">
        <f t="array" ref="F392:G394">_xlfn.CHOOSECOLS(Scope3_Equations.VEERG_15_9_1_1__1_EmissionsFromPurchasedGrowMedia_Arguments(),3,4)</f>
        <v>kg or m3</v>
      </c>
      <c r="G392" s="168" t="str">
        <v>Input</v>
      </c>
    </row>
    <row r="393" spans="4:14" x14ac:dyDescent="0.25">
      <c r="D393" s="167" t="str">
        <v>EF_g</v>
      </c>
      <c r="E393" s="167" t="str">
        <v>emission factor for grow media type g</v>
      </c>
      <c r="F393" s="167" t="str">
        <v>kg CO2e/kg or kg CO2e/m3</v>
      </c>
      <c r="G393" s="169" t="str">
        <v>Constant</v>
      </c>
    </row>
    <row r="394" spans="4:14" x14ac:dyDescent="0.25">
      <c r="D394" s="167" t="str">
        <v>g</v>
      </c>
      <c r="E394" s="167" t="str">
        <v>grow media type</v>
      </c>
      <c r="F394" s="167" t="str">
        <v/>
      </c>
      <c r="G394" s="168" t="str">
        <v>Input</v>
      </c>
    </row>
    <row r="396" spans="4:14" x14ac:dyDescent="0.25">
      <c r="D396" s="12" t="s">
        <v>691</v>
      </c>
    </row>
    <row r="398" spans="4:14" x14ac:dyDescent="0.25">
      <c r="D398" s="46" t="s">
        <v>696</v>
      </c>
      <c r="E398" s="46" t="s">
        <v>610</v>
      </c>
      <c r="F398" s="46" t="s">
        <v>125</v>
      </c>
      <c r="G398" s="57" t="s">
        <v>413</v>
      </c>
      <c r="H398" s="57" t="s">
        <v>350</v>
      </c>
      <c r="I398" s="46" t="s">
        <v>414</v>
      </c>
      <c r="J398" s="57" t="s">
        <v>351</v>
      </c>
      <c r="K398" s="57" t="s">
        <v>611</v>
      </c>
      <c r="L398" s="46" t="s">
        <v>629</v>
      </c>
      <c r="M398" s="46" t="s">
        <v>630</v>
      </c>
      <c r="N398" s="46" t="s">
        <v>631</v>
      </c>
    </row>
    <row r="399" spans="4:14" x14ac:dyDescent="0.25">
      <c r="D399" s="49" t="str" cm="1">
        <f t="array" ref="D399:D408">IFERROR(INDEX(Table_Input_GrowMedia[Grow media type], _xlfn.SEQUENCE(10)), "")</f>
        <v>Coir</v>
      </c>
      <c r="E399" s="49" cm="1">
        <f t="array" ref="E399:E408">IFERROR(INDEX(Table_Input_GrowMedia[Total amount], _xlfn.SEQUENCE(10)), "")</f>
        <v>10000</v>
      </c>
      <c r="F399" s="49" t="str" cm="1">
        <f t="array" ref="F399:F408">IFERROR(INDEX(Table_Input_GrowMedia[Amount unit], _xlfn.SEQUENCE(10)), "")</f>
        <v>kg</v>
      </c>
      <c r="G399" s="49" t="s">
        <v>819</v>
      </c>
      <c r="H399" s="49" t="s">
        <v>819</v>
      </c>
      <c r="I399" s="66">
        <v>4</v>
      </c>
      <c r="J399" s="151" cm="1">
        <f t="array" ref="J399">Scope3_Equations.VEERG_15_9_1_1__1_EmissionsFromPurchasedGrowMedia(E399,I399)</f>
        <v>40</v>
      </c>
      <c r="K399" s="49" t="str">
        <f>"t CO2e / " &amp; F399</f>
        <v>t CO2e / kg</v>
      </c>
      <c r="L399" s="82"/>
      <c r="M399" s="47"/>
      <c r="N399" s="82"/>
    </row>
    <row r="400" spans="4:14" x14ac:dyDescent="0.25">
      <c r="D400" s="49" t="str">
        <v>Peat moss</v>
      </c>
      <c r="E400" s="49">
        <v>100</v>
      </c>
      <c r="F400" s="49" t="str">
        <v>m3</v>
      </c>
      <c r="G400" s="49" t="s">
        <v>819</v>
      </c>
      <c r="H400" s="49" t="s">
        <v>819</v>
      </c>
      <c r="I400" s="66">
        <v>2</v>
      </c>
      <c r="J400" s="151" cm="1">
        <f t="array" ref="J400">Scope3_Equations.VEERG_15_9_1_1__1_EmissionsFromPurchasedGrowMedia(E400,I400)</f>
        <v>0.2</v>
      </c>
      <c r="K400" s="49" t="str">
        <f t="shared" ref="K400:K408" si="2">"t CO2e / " &amp; F400</f>
        <v>t CO2e / m3</v>
      </c>
      <c r="L400" s="82"/>
      <c r="M400" s="47"/>
      <c r="N400" s="82"/>
    </row>
    <row r="401" spans="3:41" x14ac:dyDescent="0.25">
      <c r="D401" s="49" t="str">
        <v>tiny gravel</v>
      </c>
      <c r="E401" s="49">
        <v>10000</v>
      </c>
      <c r="F401" s="49" t="str">
        <v>kg</v>
      </c>
      <c r="G401" s="49" t="s">
        <v>819</v>
      </c>
      <c r="H401" s="49" t="s">
        <v>819</v>
      </c>
      <c r="I401" s="66"/>
      <c r="J401" s="151" cm="1">
        <f t="array" ref="J401">Scope3_Equations.VEERG_15_9_1_1__1_EmissionsFromPurchasedGrowMedia(E401,I401)</f>
        <v>0</v>
      </c>
      <c r="K401" s="49" t="str">
        <f t="shared" si="2"/>
        <v>t CO2e / kg</v>
      </c>
      <c r="L401" s="82"/>
      <c r="M401" s="47"/>
      <c r="N401" s="82"/>
    </row>
    <row r="402" spans="3:41" x14ac:dyDescent="0.25">
      <c r="D402" s="49">
        <v>0</v>
      </c>
      <c r="E402" s="49">
        <v>0</v>
      </c>
      <c r="F402" s="49">
        <v>0</v>
      </c>
      <c r="G402" s="49" t="s">
        <v>819</v>
      </c>
      <c r="H402" s="49" t="s">
        <v>819</v>
      </c>
      <c r="I402" s="66"/>
      <c r="J402" s="151" cm="1">
        <f t="array" ref="J402">Scope3_Equations.VEERG_15_9_1_1__1_EmissionsFromPurchasedGrowMedia(E402,I402)</f>
        <v>0</v>
      </c>
      <c r="K402" s="49" t="str">
        <f t="shared" si="2"/>
        <v>t CO2e / 0</v>
      </c>
      <c r="L402" s="82"/>
      <c r="M402" s="47"/>
      <c r="N402" s="82"/>
    </row>
    <row r="403" spans="3:41" x14ac:dyDescent="0.25">
      <c r="D403" s="49">
        <v>0</v>
      </c>
      <c r="E403" s="49">
        <v>0</v>
      </c>
      <c r="F403" s="49">
        <v>0</v>
      </c>
      <c r="G403" s="49" t="s">
        <v>819</v>
      </c>
      <c r="H403" s="49" t="s">
        <v>819</v>
      </c>
      <c r="I403" s="66"/>
      <c r="J403" s="151" cm="1">
        <f t="array" ref="J403">Scope3_Equations.VEERG_15_9_1_1__1_EmissionsFromPurchasedGrowMedia(E403,I403)</f>
        <v>0</v>
      </c>
      <c r="K403" s="49" t="str">
        <f t="shared" si="2"/>
        <v>t CO2e / 0</v>
      </c>
      <c r="L403" s="82"/>
      <c r="M403" s="47"/>
      <c r="N403" s="82"/>
    </row>
    <row r="404" spans="3:41" x14ac:dyDescent="0.25">
      <c r="D404" s="49">
        <v>0</v>
      </c>
      <c r="E404" s="49">
        <v>0</v>
      </c>
      <c r="F404" s="49">
        <v>0</v>
      </c>
      <c r="G404" s="49" t="s">
        <v>819</v>
      </c>
      <c r="H404" s="49" t="s">
        <v>819</v>
      </c>
      <c r="I404" s="66"/>
      <c r="J404" s="151" cm="1">
        <f t="array" ref="J404">Scope3_Equations.VEERG_15_9_1_1__1_EmissionsFromPurchasedGrowMedia(E404,I404)</f>
        <v>0</v>
      </c>
      <c r="K404" s="49" t="str">
        <f t="shared" si="2"/>
        <v>t CO2e / 0</v>
      </c>
      <c r="L404" s="82"/>
      <c r="M404" s="47"/>
      <c r="N404" s="82"/>
    </row>
    <row r="405" spans="3:41" x14ac:dyDescent="0.25">
      <c r="D405" s="49">
        <v>0</v>
      </c>
      <c r="E405" s="49">
        <v>0</v>
      </c>
      <c r="F405" s="49">
        <v>0</v>
      </c>
      <c r="G405" s="49" t="s">
        <v>819</v>
      </c>
      <c r="H405" s="49" t="s">
        <v>819</v>
      </c>
      <c r="I405" s="66"/>
      <c r="J405" s="151" cm="1">
        <f t="array" ref="J405">Scope3_Equations.VEERG_15_9_1_1__1_EmissionsFromPurchasedGrowMedia(E405,I405)</f>
        <v>0</v>
      </c>
      <c r="K405" s="49" t="str">
        <f t="shared" si="2"/>
        <v>t CO2e / 0</v>
      </c>
      <c r="L405" s="82"/>
      <c r="M405" s="47"/>
      <c r="N405" s="82"/>
    </row>
    <row r="406" spans="3:41" x14ac:dyDescent="0.25">
      <c r="D406" s="49">
        <v>0</v>
      </c>
      <c r="E406" s="49">
        <v>0</v>
      </c>
      <c r="F406" s="49">
        <v>0</v>
      </c>
      <c r="G406" s="49" t="s">
        <v>819</v>
      </c>
      <c r="H406" s="49" t="s">
        <v>819</v>
      </c>
      <c r="I406" s="66"/>
      <c r="J406" s="151" cm="1">
        <f t="array" ref="J406">Scope3_Equations.VEERG_15_9_1_1__1_EmissionsFromPurchasedGrowMedia(E406,I406)</f>
        <v>0</v>
      </c>
      <c r="K406" s="49" t="str">
        <f t="shared" si="2"/>
        <v>t CO2e / 0</v>
      </c>
      <c r="L406" s="82"/>
      <c r="M406" s="47"/>
      <c r="N406" s="82"/>
    </row>
    <row r="407" spans="3:41" x14ac:dyDescent="0.25">
      <c r="D407" s="49">
        <v>0</v>
      </c>
      <c r="E407" s="49">
        <v>0</v>
      </c>
      <c r="F407" s="49">
        <v>0</v>
      </c>
      <c r="G407" s="49" t="s">
        <v>819</v>
      </c>
      <c r="H407" s="49" t="s">
        <v>819</v>
      </c>
      <c r="I407" s="66"/>
      <c r="J407" s="151" cm="1">
        <f t="array" ref="J407">Scope3_Equations.VEERG_15_9_1_1__1_EmissionsFromPurchasedGrowMedia(E407,I407)</f>
        <v>0</v>
      </c>
      <c r="K407" s="49" t="str">
        <f t="shared" si="2"/>
        <v>t CO2e / 0</v>
      </c>
      <c r="L407" s="82"/>
      <c r="M407" s="47"/>
      <c r="N407" s="82"/>
    </row>
    <row r="408" spans="3:41" x14ac:dyDescent="0.25">
      <c r="D408" s="49">
        <v>0</v>
      </c>
      <c r="E408" s="49">
        <v>0</v>
      </c>
      <c r="F408" s="49">
        <v>0</v>
      </c>
      <c r="G408" s="49" t="s">
        <v>819</v>
      </c>
      <c r="H408" s="49" t="s">
        <v>819</v>
      </c>
      <c r="I408" s="66"/>
      <c r="J408" s="151" cm="1">
        <f t="array" ref="J408">Scope3_Equations.VEERG_15_9_1_1__1_EmissionsFromPurchasedGrowMedia(E408,I408)</f>
        <v>0</v>
      </c>
      <c r="K408" s="49" t="str">
        <f t="shared" si="2"/>
        <v>t CO2e / 0</v>
      </c>
      <c r="L408" s="82"/>
      <c r="M408" s="47"/>
      <c r="N408" s="82"/>
    </row>
    <row r="410" spans="3:41" ht="20.25" x14ac:dyDescent="0.25">
      <c r="D410" s="179" t="s">
        <v>633</v>
      </c>
      <c r="E410" s="177" t="s">
        <v>819</v>
      </c>
      <c r="F410" s="178" t="str">
        <f>$E$155</f>
        <v>t CO2e</v>
      </c>
    </row>
    <row r="411" spans="3:41" ht="20.25" x14ac:dyDescent="0.25">
      <c r="D411" s="179" t="s">
        <v>635</v>
      </c>
      <c r="E411" s="177">
        <f>SUM(J399:J408)</f>
        <v>40.200000000000003</v>
      </c>
      <c r="F411" s="178" t="str">
        <f>$E$155</f>
        <v>t CO2e</v>
      </c>
    </row>
    <row r="414" spans="3:41" x14ac:dyDescent="0.25">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c r="AD414" s="98"/>
      <c r="AE414" s="98"/>
      <c r="AF414" s="98"/>
      <c r="AG414" s="98"/>
      <c r="AH414" s="98"/>
      <c r="AI414" s="98"/>
      <c r="AJ414" s="98"/>
      <c r="AK414" s="98"/>
      <c r="AL414" s="98"/>
      <c r="AM414" s="98"/>
      <c r="AN414" s="98"/>
      <c r="AO414" s="98"/>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704</v>
      </c>
    </row>
    <row r="418" spans="4:13" x14ac:dyDescent="0.25">
      <c r="D418" s="172" t="s">
        <v>626</v>
      </c>
      <c r="E418" s="172" t="str" cm="1">
        <f t="array" aca="1" ref="E418" ca="1">Common_InputFunctions.Utility_DisplayFunctionName(H430)</f>
        <v>=Scope3_Equations.VEERG_15_10_1_1__1_OtherPurchasedGoodsAndServices</v>
      </c>
    </row>
    <row r="421" spans="4:13" x14ac:dyDescent="0.25">
      <c r="D421" s="27" t="s">
        <v>627</v>
      </c>
      <c r="E421" s="8" t="str" cm="1">
        <f t="array" ref="E421">Scope3_Equations.VEERG_15_10_1_1__1_OtherPurchasedGoodsAndServices_Variable()</f>
        <v>emissions</v>
      </c>
    </row>
    <row r="422" spans="4:13" x14ac:dyDescent="0.25">
      <c r="D422" s="27" t="s">
        <v>96</v>
      </c>
      <c r="E422" s="13" t="str" cm="1">
        <f t="array" ref="E422">Scope3_Equations.VEERG_15_10_1_1__1_OtherPurchasedGoodsAndServices_Unit()</f>
        <v>t CO2e</v>
      </c>
    </row>
    <row r="424" spans="4:13" x14ac:dyDescent="0.25">
      <c r="D424" s="167" t="str" cm="1">
        <f t="array" ref="D424:E425">_xlfn.CHOOSECOLS(Scope3_Equations.VEERG_15_10_1_1__1_OtherPurchasedGoodsAndServices_Arguments(),1,2)</f>
        <v>activity_data</v>
      </c>
      <c r="E424" s="171" t="str">
        <v>measured activity for the purchased good or service</v>
      </c>
      <c r="F424" s="166"/>
      <c r="G424" s="167" t="str" cm="1">
        <f t="array" ref="G424:H425">_xlfn.CHOOSECOLS(Scope3_Equations.VEERG_15_10_1_1__1_OtherPurchasedGoodsAndServices_Arguments(),3,4)</f>
        <v>varies</v>
      </c>
      <c r="H424" s="168" t="str">
        <v>Input</v>
      </c>
    </row>
    <row r="425" spans="4:13" x14ac:dyDescent="0.25">
      <c r="D425" s="167" t="str">
        <v>emission_factor</v>
      </c>
      <c r="E425" s="171" t="str">
        <v>lifecycle emissions per unit of activity</v>
      </c>
      <c r="F425" s="166"/>
      <c r="G425" s="167" t="str">
        <v>varies</v>
      </c>
      <c r="H425" s="169" t="str">
        <v>Constant</v>
      </c>
    </row>
    <row r="427" spans="4:13" ht="18.75" x14ac:dyDescent="0.25">
      <c r="D427" s="144" t="s">
        <v>372</v>
      </c>
    </row>
    <row r="429" spans="4:13" x14ac:dyDescent="0.25">
      <c r="D429" s="46" t="s">
        <v>358</v>
      </c>
      <c r="E429" s="152" t="s">
        <v>284</v>
      </c>
      <c r="F429" s="152" t="s">
        <v>374</v>
      </c>
      <c r="G429" s="57" t="s">
        <v>352</v>
      </c>
      <c r="H429" s="57" t="s">
        <v>633</v>
      </c>
      <c r="I429" s="46" t="s">
        <v>355</v>
      </c>
      <c r="J429" s="57" t="s">
        <v>635</v>
      </c>
      <c r="K429" s="46" t="s">
        <v>629</v>
      </c>
      <c r="L429" s="46" t="s">
        <v>630</v>
      </c>
      <c r="M429" s="46" t="s">
        <v>631</v>
      </c>
    </row>
    <row r="430" spans="4:13" x14ac:dyDescent="0.25">
      <c r="D430" s="49" t="str" cm="1">
        <f t="array" ref="D430:D439">IFERROR(INDEX(Table_Input_ChemicalsCleaning[Product name], _xlfn.SEQUENCE(10)), "")</f>
        <v>Acid kleen</v>
      </c>
      <c r="E430" s="49" t="str" cm="1">
        <f t="array" ref="E430:E439">IFERROR(INDEX(Table_Input_ChemicalsCleaning[Type (select)], _xlfn.SEQUENCE(10)), "")</f>
        <v>Phosphoric acid</v>
      </c>
      <c r="F430" s="49" cm="1">
        <f t="array" ref="F430:F439">IFERROR(INDEX(Table_Input_ChemicalsCleaning[Quantity purchased (kg)], _xlfn.SEQUENCE(10)), "")</f>
        <v>100</v>
      </c>
      <c r="G430" s="49" cm="1">
        <f t="array" ref="G430">Common_InputFunctions.Utility_LookupValueInTableNumber(E430,Table_SourceData_Scope3_ChemicalsCleaning[Product],Table_SourceData_Scope3_ChemicalsCleaning[AusLCI Emissions intensity])</f>
        <v>0.90700000000000003</v>
      </c>
      <c r="H430" s="151" cm="1">
        <f t="array" ref="H430">Scope3_Equations.VEERG_15_10_1_1__1_OtherPurchasedGoodsAndServices(F430,G430*10^-3)</f>
        <v>9.0700000000000003E-2</v>
      </c>
      <c r="I430" s="66">
        <v>1.3</v>
      </c>
      <c r="J430" s="151" cm="1">
        <f t="array" ref="J430">Scope3_Equations.VEERG_15_10_1_1__1_OtherPurchasedGoodsAndServices(F430,IF(I430,I430,G430)*10^-3)</f>
        <v>0.13</v>
      </c>
      <c r="K430" s="82"/>
      <c r="L430" s="47"/>
      <c r="M430" s="82"/>
    </row>
    <row r="431" spans="4:13" x14ac:dyDescent="0.25">
      <c r="D431" s="49" t="str">
        <v>Kleen alk</v>
      </c>
      <c r="E431" s="49" t="str">
        <v>Alkaline cleaner</v>
      </c>
      <c r="F431" s="49">
        <v>100</v>
      </c>
      <c r="G431" s="49" cm="1">
        <f t="array" ref="G431">Common_InputFunctions.Utility_LookupValueInTableNumber(E431,Table_SourceData_Scope3_ChemicalsCleaning[Product],Table_SourceData_Scope3_ChemicalsCleaning[AusLCI Emissions intensity])</f>
        <v>0.72199999999999998</v>
      </c>
      <c r="H431" s="151" cm="1">
        <f t="array" ref="H431">Scope3_Equations.VEERG_15_10_1_1__1_OtherPurchasedGoodsAndServices(F431,G431*10^-3)</f>
        <v>7.22E-2</v>
      </c>
      <c r="I431" s="66">
        <v>8</v>
      </c>
      <c r="J431" s="151" cm="1">
        <f t="array" ref="J431">Scope3_Equations.VEERG_15_10_1_1__1_OtherPurchasedGoodsAndServices(F431,IF(I431,I431,G431)*10^-3)</f>
        <v>0.8</v>
      </c>
      <c r="K431" s="82"/>
      <c r="L431" s="47"/>
      <c r="M431" s="82"/>
    </row>
    <row r="432" spans="4:13" x14ac:dyDescent="0.25">
      <c r="D432" s="49" t="str">
        <v>White king</v>
      </c>
      <c r="E432" s="49" t="str">
        <v>Bleach</v>
      </c>
      <c r="F432" s="49">
        <v>100</v>
      </c>
      <c r="G432" s="49" cm="1">
        <f t="array" ref="G432">Common_InputFunctions.Utility_LookupValueInTableNumber(E432,Table_SourceData_Scope3_ChemicalsCleaning[Product],Table_SourceData_Scope3_ChemicalsCleaning[AusLCI Emissions intensity])</f>
        <v>0.80400000000000005</v>
      </c>
      <c r="H432" s="151" cm="1">
        <f t="array" ref="H432">Scope3_Equations.VEERG_15_10_1_1__1_OtherPurchasedGoodsAndServices(F432,G432*10^-3)</f>
        <v>8.0399999999999999E-2</v>
      </c>
      <c r="I432" s="66">
        <v>4</v>
      </c>
      <c r="J432" s="151" cm="1">
        <f t="array" ref="J432">Scope3_Equations.VEERG_15_10_1_1__1_OtherPurchasedGoodsAndServices(F432,IF(I432,I432,G432)*10^-3)</f>
        <v>0.4</v>
      </c>
      <c r="K432" s="82"/>
      <c r="L432" s="47"/>
      <c r="M432" s="82"/>
    </row>
    <row r="433" spans="4:13" x14ac:dyDescent="0.25">
      <c r="D433" s="49" t="str">
        <v>White king</v>
      </c>
      <c r="E433" s="49" t="str">
        <v>Bleach</v>
      </c>
      <c r="F433" s="49">
        <v>100</v>
      </c>
      <c r="G433" s="49" cm="1">
        <f t="array" ref="G433">Common_InputFunctions.Utility_LookupValueInTableNumber(E433,Table_SourceData_Scope3_ChemicalsCleaning[Product],Table_SourceData_Scope3_ChemicalsCleaning[AusLCI Emissions intensity])</f>
        <v>0.80400000000000005</v>
      </c>
      <c r="H433" s="151" cm="1">
        <f t="array" ref="H433">Scope3_Equations.VEERG_15_10_1_1__1_OtherPurchasedGoodsAndServices(F433,G433*10^-3)</f>
        <v>8.0399999999999999E-2</v>
      </c>
      <c r="I433" s="66">
        <v>3</v>
      </c>
      <c r="J433" s="151" cm="1">
        <f t="array" ref="J433">Scope3_Equations.VEERG_15_10_1_1__1_OtherPurchasedGoodsAndServices(F433,IF(I433,I433,G433)*10^-3)</f>
        <v>0.3</v>
      </c>
      <c r="K433" s="82"/>
      <c r="L433" s="47"/>
      <c r="M433" s="82"/>
    </row>
    <row r="434" spans="4:13" x14ac:dyDescent="0.25">
      <c r="D434" s="49" t="str">
        <v>Acid kleen</v>
      </c>
      <c r="E434" s="49" t="str">
        <v>Phosphoric acid</v>
      </c>
      <c r="F434" s="49">
        <v>100</v>
      </c>
      <c r="G434" s="49" cm="1">
        <f t="array" ref="G434">Common_InputFunctions.Utility_LookupValueInTableNumber(E434,Table_SourceData_Scope3_ChemicalsCleaning[Product],Table_SourceData_Scope3_ChemicalsCleaning[AusLCI Emissions intensity])</f>
        <v>0.90700000000000003</v>
      </c>
      <c r="H434" s="151" cm="1">
        <f t="array" ref="H434">Scope3_Equations.VEERG_15_10_1_1__1_OtherPurchasedGoodsAndServices(F434,G434*10^-3)</f>
        <v>9.0700000000000003E-2</v>
      </c>
      <c r="I434" s="66">
        <v>6</v>
      </c>
      <c r="J434" s="151" cm="1">
        <f t="array" ref="J434">Scope3_Equations.VEERG_15_10_1_1__1_OtherPurchasedGoodsAndServices(F434,IF(I434,I434,G434)*10^-3)</f>
        <v>0.6</v>
      </c>
      <c r="K434" s="82"/>
      <c r="L434" s="47"/>
      <c r="M434" s="82"/>
    </row>
    <row r="435" spans="4:13" x14ac:dyDescent="0.25">
      <c r="D435" s="49" t="str">
        <v>Acid kleen</v>
      </c>
      <c r="E435" s="49" t="str">
        <v>Phosphoric acid</v>
      </c>
      <c r="F435" s="49">
        <v>100</v>
      </c>
      <c r="G435" s="49" cm="1">
        <f t="array" ref="G435">Common_InputFunctions.Utility_LookupValueInTableNumber(E435,Table_SourceData_Scope3_ChemicalsCleaning[Product],Table_SourceData_Scope3_ChemicalsCleaning[AusLCI Emissions intensity])</f>
        <v>0.90700000000000003</v>
      </c>
      <c r="H435" s="151" cm="1">
        <f t="array" ref="H435">Scope3_Equations.VEERG_15_10_1_1__1_OtherPurchasedGoodsAndServices(F435,G435*10^-3)</f>
        <v>9.0700000000000003E-2</v>
      </c>
      <c r="I435" s="66">
        <v>5</v>
      </c>
      <c r="J435" s="151" cm="1">
        <f t="array" ref="J435">Scope3_Equations.VEERG_15_10_1_1__1_OtherPurchasedGoodsAndServices(F435,IF(I435,I435,G435)*10^-3)</f>
        <v>0.5</v>
      </c>
      <c r="K435" s="82"/>
      <c r="L435" s="47"/>
      <c r="M435" s="82"/>
    </row>
    <row r="436" spans="4:13" x14ac:dyDescent="0.25">
      <c r="D436" s="49">
        <v>0</v>
      </c>
      <c r="E436" s="49">
        <v>0</v>
      </c>
      <c r="F436" s="49">
        <v>0</v>
      </c>
      <c r="G436" s="49" cm="1">
        <f t="array" ref="G436">Common_InputFunctions.Utility_LookupValueInTableNumber(E436,Table_SourceData_Scope3_ChemicalsCleaning[Product],Table_SourceData_Scope3_ChemicalsCleaning[AusLCI Emissions intensity])</f>
        <v>0</v>
      </c>
      <c r="H436" s="151" cm="1">
        <f t="array" ref="H436">Scope3_Equations.VEERG_15_10_1_1__1_OtherPurchasedGoodsAndServices(F436,G436*10^-3)</f>
        <v>0</v>
      </c>
      <c r="I436" s="66"/>
      <c r="J436" s="151" cm="1">
        <f t="array" ref="J436">Scope3_Equations.VEERG_15_10_1_1__1_OtherPurchasedGoodsAndServices(F436,IF(I436,I436,G436)*10^-3)</f>
        <v>0</v>
      </c>
      <c r="K436" s="82"/>
      <c r="L436" s="47"/>
      <c r="M436" s="82"/>
    </row>
    <row r="437" spans="4:13" x14ac:dyDescent="0.25">
      <c r="D437" s="49">
        <v>0</v>
      </c>
      <c r="E437" s="49">
        <v>0</v>
      </c>
      <c r="F437" s="49">
        <v>0</v>
      </c>
      <c r="G437" s="49" cm="1">
        <f t="array" ref="G437">Common_InputFunctions.Utility_LookupValueInTableNumber(E437,Table_SourceData_Scope3_ChemicalsCleaning[Product],Table_SourceData_Scope3_ChemicalsCleaning[AusLCI Emissions intensity])</f>
        <v>0</v>
      </c>
      <c r="H437" s="151" cm="1">
        <f t="array" ref="H437">Scope3_Equations.VEERG_15_10_1_1__1_OtherPurchasedGoodsAndServices(F437,G437*10^-3)</f>
        <v>0</v>
      </c>
      <c r="I437" s="66"/>
      <c r="J437" s="151" cm="1">
        <f t="array" ref="J437">Scope3_Equations.VEERG_15_10_1_1__1_OtherPurchasedGoodsAndServices(F437,IF(I437,I437,G437)*10^-3)</f>
        <v>0</v>
      </c>
      <c r="K437" s="82"/>
      <c r="L437" s="47"/>
      <c r="M437" s="82"/>
    </row>
    <row r="438" spans="4:13" x14ac:dyDescent="0.25">
      <c r="D438" s="49">
        <v>0</v>
      </c>
      <c r="E438" s="49">
        <v>0</v>
      </c>
      <c r="F438" s="49">
        <v>0</v>
      </c>
      <c r="G438" s="49" cm="1">
        <f t="array" ref="G438">Common_InputFunctions.Utility_LookupValueInTableNumber(E438,Table_SourceData_Scope3_ChemicalsCleaning[Product],Table_SourceData_Scope3_ChemicalsCleaning[AusLCI Emissions intensity])</f>
        <v>0</v>
      </c>
      <c r="H438" s="151" cm="1">
        <f t="array" ref="H438">Scope3_Equations.VEERG_15_10_1_1__1_OtherPurchasedGoodsAndServices(F438,G438*10^-3)</f>
        <v>0</v>
      </c>
      <c r="I438" s="66"/>
      <c r="J438" s="151" cm="1">
        <f t="array" ref="J438">Scope3_Equations.VEERG_15_10_1_1__1_OtherPurchasedGoodsAndServices(F438,IF(I438,I438,G438)*10^-3)</f>
        <v>0</v>
      </c>
      <c r="K438" s="82"/>
      <c r="L438" s="47"/>
      <c r="M438" s="82"/>
    </row>
    <row r="439" spans="4:13" x14ac:dyDescent="0.25">
      <c r="D439" s="49">
        <v>0</v>
      </c>
      <c r="E439" s="49">
        <v>0</v>
      </c>
      <c r="F439" s="49">
        <v>0</v>
      </c>
      <c r="G439" s="49" cm="1">
        <f t="array" ref="G439">Common_InputFunctions.Utility_LookupValueInTableNumber(E439,Table_SourceData_Scope3_ChemicalsCleaning[Product],Table_SourceData_Scope3_ChemicalsCleaning[AusLCI Emissions intensity])</f>
        <v>0</v>
      </c>
      <c r="H439" s="151" cm="1">
        <f t="array" ref="H439">Scope3_Equations.VEERG_15_10_1_1__1_OtherPurchasedGoodsAndServices(F439,G439*10^-3)</f>
        <v>0</v>
      </c>
      <c r="I439" s="66"/>
      <c r="J439" s="151" cm="1">
        <f t="array" ref="J439">Scope3_Equations.VEERG_15_10_1_1__1_OtherPurchasedGoodsAndServices(F439,IF(I439,I439,G439)*10^-3)</f>
        <v>0</v>
      </c>
      <c r="K439" s="82"/>
      <c r="L439" s="47"/>
      <c r="M439" s="82"/>
    </row>
    <row r="441" spans="4:13" ht="20.25" x14ac:dyDescent="0.25">
      <c r="D441" s="179" t="s">
        <v>633</v>
      </c>
      <c r="E441" s="177">
        <f>SUM(H430:H439)</f>
        <v>0.50509999999999999</v>
      </c>
      <c r="F441" s="178" t="str">
        <f>$E$155</f>
        <v>t CO2e</v>
      </c>
    </row>
    <row r="442" spans="4:13" ht="20.25" x14ac:dyDescent="0.25">
      <c r="D442" s="179" t="s">
        <v>635</v>
      </c>
      <c r="E442" s="177">
        <f>SUM(J430:J439)</f>
        <v>2.73</v>
      </c>
      <c r="F442" s="178" t="str">
        <f>$E$155</f>
        <v>t CO2e</v>
      </c>
    </row>
    <row r="445" spans="4:13" ht="18.75" x14ac:dyDescent="0.25">
      <c r="D445" s="144" t="s">
        <v>373</v>
      </c>
    </row>
    <row r="447" spans="4:13" x14ac:dyDescent="0.25">
      <c r="D447" s="46" t="s">
        <v>358</v>
      </c>
      <c r="E447" s="152" t="s">
        <v>284</v>
      </c>
      <c r="F447" s="152" t="s">
        <v>371</v>
      </c>
      <c r="G447" s="57" t="s">
        <v>617</v>
      </c>
      <c r="H447" s="57" t="s">
        <v>633</v>
      </c>
      <c r="I447" s="46" t="s">
        <v>618</v>
      </c>
      <c r="J447" s="57" t="s">
        <v>635</v>
      </c>
      <c r="K447" s="46" t="s">
        <v>629</v>
      </c>
      <c r="L447" s="46" t="s">
        <v>630</v>
      </c>
      <c r="M447" s="46" t="s">
        <v>631</v>
      </c>
    </row>
    <row r="448" spans="4:13" x14ac:dyDescent="0.25">
      <c r="D448" s="49" t="str" cm="1">
        <f t="array" ref="D448:D457">IFERROR(INDEX(Table_Input_ChemicalsPharmacy[Product name], _xlfn.SEQUENCE(10)), "")</f>
        <v>Cow bug off</v>
      </c>
      <c r="E448" s="49" t="str" cm="1">
        <f t="array" ref="E448:E457">IFERROR(INDEX(Table_Input_ChemicalsPharmacy[Type (select)], _xlfn.SEQUENCE(10)), "")</f>
        <v>Parasite control for cattle (external), dipping</v>
      </c>
      <c r="F448" s="49" cm="1">
        <f t="array" ref="F448:F457">IFERROR(INDEX(Table_Input_ChemicalsCleaning[Quantity purchased (kg)], _xlfn.SEQUENCE(10)), "")</f>
        <v>100</v>
      </c>
      <c r="G448" s="49" cm="1">
        <f t="array" ref="G448">Common_InputFunctions.Utility_LookupValueInTableNumber(E448,Table_SourceData_Scope3_ChemicalsPharmacy[Product],Table_SourceData_Scope3_ChemicalsPharmacy[AusLCI Emissions intensity])</f>
        <v>5.4699999999999999E-2</v>
      </c>
      <c r="H448" s="151" cm="1">
        <f t="array" ref="H448">Scope3_Equations.VEERG_15_10_1_1__1_OtherPurchasedGoodsAndServices(F448,G448*10^-3)</f>
        <v>5.47E-3</v>
      </c>
      <c r="I448" s="66">
        <v>0.05</v>
      </c>
      <c r="J448" s="151" cm="1">
        <f t="array" ref="J448">Scope3_Equations.VEERG_15_10_1_1__1_OtherPurchasedGoodsAndServices(F448,IF(I448,I448,G448)*10^-3)</f>
        <v>5.0000000000000001E-3</v>
      </c>
      <c r="K448" s="82"/>
      <c r="L448" s="47"/>
      <c r="M448" s="82"/>
    </row>
    <row r="449" spans="4:13" x14ac:dyDescent="0.25">
      <c r="D449" s="49" t="str">
        <v>Cow worm-away</v>
      </c>
      <c r="E449" s="49" t="str">
        <v>Parasite control for cattle (internal)</v>
      </c>
      <c r="F449" s="49">
        <v>100</v>
      </c>
      <c r="G449" s="49" cm="1">
        <f t="array" ref="G449">Common_InputFunctions.Utility_LookupValueInTableNumber(E449,Table_SourceData_Scope3_ChemicalsPharmacy[Product],Table_SourceData_Scope3_ChemicalsPharmacy[AusLCI Emissions intensity])</f>
        <v>1.4200000000000001E-2</v>
      </c>
      <c r="H449" s="151" cm="1">
        <f t="array" ref="H449">Scope3_Equations.VEERG_15_10_1_1__1_OtherPurchasedGoodsAndServices(F449,G449*10^-3)</f>
        <v>1.42E-3</v>
      </c>
      <c r="I449" s="66">
        <v>0.01</v>
      </c>
      <c r="J449" s="151" cm="1">
        <f t="array" ref="J449">Scope3_Equations.VEERG_15_10_1_1__1_OtherPurchasedGoodsAndServices(F449,IF(I449,I449,G449)*10^-3)</f>
        <v>1E-3</v>
      </c>
      <c r="K449" s="82"/>
      <c r="L449" s="47"/>
      <c r="M449" s="82"/>
    </row>
    <row r="450" spans="4:13" x14ac:dyDescent="0.25">
      <c r="D450" s="49" t="str">
        <v>Sheep bug off</v>
      </c>
      <c r="E450" s="49" t="str">
        <v>Parasite control for sheep (external)</v>
      </c>
      <c r="F450" s="49">
        <v>100</v>
      </c>
      <c r="G450" s="49" cm="1">
        <f t="array" ref="G450">Common_InputFunctions.Utility_LookupValueInTableNumber(E450,Table_SourceData_Scope3_ChemicalsPharmacy[Product],Table_SourceData_Scope3_ChemicalsPharmacy[AusLCI Emissions intensity])</f>
        <v>1.43E-2</v>
      </c>
      <c r="H450" s="151" cm="1">
        <f t="array" ref="H450">Scope3_Equations.VEERG_15_10_1_1__1_OtherPurchasedGoodsAndServices(F450,G450*10^-3)</f>
        <v>1.4300000000000001E-3</v>
      </c>
      <c r="I450" s="66">
        <v>0.01</v>
      </c>
      <c r="J450" s="151" cm="1">
        <f t="array" ref="J450">Scope3_Equations.VEERG_15_10_1_1__1_OtherPurchasedGoodsAndServices(F450,IF(I450,I450,G450)*10^-3)</f>
        <v>1E-3</v>
      </c>
      <c r="K450" s="82"/>
      <c r="L450" s="47"/>
      <c r="M450" s="82"/>
    </row>
    <row r="451" spans="4:13" x14ac:dyDescent="0.25">
      <c r="D451" s="49" t="str">
        <v>Sheep worm-away</v>
      </c>
      <c r="E451" s="49" t="str">
        <v>Parasite control for sheep (internal)</v>
      </c>
      <c r="F451" s="49">
        <v>100</v>
      </c>
      <c r="G451" s="49" cm="1">
        <f t="array" ref="G451">Common_InputFunctions.Utility_LookupValueInTableNumber(E451,Table_SourceData_Scope3_ChemicalsPharmacy[Product],Table_SourceData_Scope3_ChemicalsPharmacy[AusLCI Emissions intensity])</f>
        <v>4.2599999999999999E-3</v>
      </c>
      <c r="H451" s="151" cm="1">
        <f t="array" ref="H451">Scope3_Equations.VEERG_15_10_1_1__1_OtherPurchasedGoodsAndServices(F451,G451*10^-3)</f>
        <v>4.26E-4</v>
      </c>
      <c r="I451" s="66">
        <v>4.0000000000000001E-3</v>
      </c>
      <c r="J451" s="151" cm="1">
        <f t="array" ref="J451">Scope3_Equations.VEERG_15_10_1_1__1_OtherPurchasedGoodsAndServices(F451,IF(I451,I451,G451)*10^-3)</f>
        <v>3.9999999999999996E-4</v>
      </c>
      <c r="K451" s="82"/>
      <c r="L451" s="47"/>
      <c r="M451" s="82"/>
    </row>
    <row r="452" spans="4:13" x14ac:dyDescent="0.25">
      <c r="D452" s="49" t="str">
        <v>Cow bug off</v>
      </c>
      <c r="E452" s="49" t="str">
        <v>Parasite control for cattle (external), dipping</v>
      </c>
      <c r="F452" s="49">
        <v>100</v>
      </c>
      <c r="G452" s="49" cm="1">
        <f t="array" ref="G452">Common_InputFunctions.Utility_LookupValueInTableNumber(E452,Table_SourceData_Scope3_ChemicalsPharmacy[Product],Table_SourceData_Scope3_ChemicalsPharmacy[AusLCI Emissions intensity])</f>
        <v>5.4699999999999999E-2</v>
      </c>
      <c r="H452" s="151" cm="1">
        <f t="array" ref="H452">Scope3_Equations.VEERG_15_10_1_1__1_OtherPurchasedGoodsAndServices(F452,G452*10^-3)</f>
        <v>5.47E-3</v>
      </c>
      <c r="I452" s="66">
        <v>0.05</v>
      </c>
      <c r="J452" s="151" cm="1">
        <f t="array" ref="J452">Scope3_Equations.VEERG_15_10_1_1__1_OtherPurchasedGoodsAndServices(F452,IF(I452,I452,G452)*10^-3)</f>
        <v>5.0000000000000001E-3</v>
      </c>
      <c r="K452" s="82"/>
      <c r="L452" s="47"/>
      <c r="M452" s="82"/>
    </row>
    <row r="453" spans="4:13" x14ac:dyDescent="0.25">
      <c r="D453" s="49" t="str">
        <v>Cow worm-away</v>
      </c>
      <c r="E453" s="49" t="str">
        <v>Parasite control for cattle (internal)</v>
      </c>
      <c r="F453" s="49">
        <v>100</v>
      </c>
      <c r="G453" s="49" cm="1">
        <f t="array" ref="G453">Common_InputFunctions.Utility_LookupValueInTableNumber(E453,Table_SourceData_Scope3_ChemicalsPharmacy[Product],Table_SourceData_Scope3_ChemicalsPharmacy[AusLCI Emissions intensity])</f>
        <v>1.4200000000000001E-2</v>
      </c>
      <c r="H453" s="151" cm="1">
        <f t="array" ref="H453">Scope3_Equations.VEERG_15_10_1_1__1_OtherPurchasedGoodsAndServices(F453,G453*10^-3)</f>
        <v>1.42E-3</v>
      </c>
      <c r="I453" s="66">
        <v>0.01</v>
      </c>
      <c r="J453" s="151" cm="1">
        <f t="array" ref="J453">Scope3_Equations.VEERG_15_10_1_1__1_OtherPurchasedGoodsAndServices(F453,IF(I453,I453,G453)*10^-3)</f>
        <v>1E-3</v>
      </c>
      <c r="K453" s="82"/>
      <c r="L453" s="47"/>
      <c r="M453" s="82"/>
    </row>
    <row r="454" spans="4:13" x14ac:dyDescent="0.25">
      <c r="D454" s="49">
        <v>0</v>
      </c>
      <c r="E454" s="49">
        <v>0</v>
      </c>
      <c r="F454" s="49">
        <v>0</v>
      </c>
      <c r="G454" s="49" cm="1">
        <f t="array" ref="G454">Common_InputFunctions.Utility_LookupValueInTableNumber(E454,Table_SourceData_Scope3_ChemicalsPharmacy[Product],Table_SourceData_Scope3_ChemicalsPharmacy[AusLCI Emissions intensity])</f>
        <v>0</v>
      </c>
      <c r="H454" s="151" cm="1">
        <f t="array" ref="H454">Scope3_Equations.VEERG_15_10_1_1__1_OtherPurchasedGoodsAndServices(F454,G454*10^-3)</f>
        <v>0</v>
      </c>
      <c r="I454" s="66"/>
      <c r="J454" s="151" cm="1">
        <f t="array" ref="J454">Scope3_Equations.VEERG_15_10_1_1__1_OtherPurchasedGoodsAndServices(F454,IF(I454,I454,G454)*10^-3)</f>
        <v>0</v>
      </c>
      <c r="K454" s="82"/>
      <c r="L454" s="47"/>
      <c r="M454" s="82"/>
    </row>
    <row r="455" spans="4:13" x14ac:dyDescent="0.25">
      <c r="D455" s="49">
        <v>0</v>
      </c>
      <c r="E455" s="49">
        <v>0</v>
      </c>
      <c r="F455" s="49">
        <v>0</v>
      </c>
      <c r="G455" s="49" cm="1">
        <f t="array" ref="G455">Common_InputFunctions.Utility_LookupValueInTableNumber(E455,Table_SourceData_Scope3_ChemicalsPharmacy[Product],Table_SourceData_Scope3_ChemicalsPharmacy[AusLCI Emissions intensity])</f>
        <v>0</v>
      </c>
      <c r="H455" s="151" cm="1">
        <f t="array" ref="H455">Scope3_Equations.VEERG_15_10_1_1__1_OtherPurchasedGoodsAndServices(F455,G455*10^-3)</f>
        <v>0</v>
      </c>
      <c r="I455" s="66"/>
      <c r="J455" s="151" cm="1">
        <f t="array" ref="J455">Scope3_Equations.VEERG_15_10_1_1__1_OtherPurchasedGoodsAndServices(F455,IF(I455,I455,G455)*10^-3)</f>
        <v>0</v>
      </c>
      <c r="K455" s="82"/>
      <c r="L455" s="47"/>
      <c r="M455" s="82"/>
    </row>
    <row r="456" spans="4:13" x14ac:dyDescent="0.25">
      <c r="D456" s="49">
        <v>0</v>
      </c>
      <c r="E456" s="49">
        <v>0</v>
      </c>
      <c r="F456" s="49">
        <v>0</v>
      </c>
      <c r="G456" s="49" cm="1">
        <f t="array" ref="G456">Common_InputFunctions.Utility_LookupValueInTableNumber(E456,Table_SourceData_Scope3_ChemicalsPharmacy[Product],Table_SourceData_Scope3_ChemicalsPharmacy[AusLCI Emissions intensity])</f>
        <v>0</v>
      </c>
      <c r="H456" s="151" cm="1">
        <f t="array" ref="H456">Scope3_Equations.VEERG_15_10_1_1__1_OtherPurchasedGoodsAndServices(F456,G456*10^-3)</f>
        <v>0</v>
      </c>
      <c r="I456" s="66"/>
      <c r="J456" s="151" cm="1">
        <f t="array" ref="J456">Scope3_Equations.VEERG_15_10_1_1__1_OtherPurchasedGoodsAndServices(F456,IF(I456,I456,G456)*10^-3)</f>
        <v>0</v>
      </c>
      <c r="K456" s="82"/>
      <c r="L456" s="47"/>
      <c r="M456" s="82"/>
    </row>
    <row r="457" spans="4:13" x14ac:dyDescent="0.25">
      <c r="D457" s="49">
        <v>0</v>
      </c>
      <c r="E457" s="49">
        <v>0</v>
      </c>
      <c r="F457" s="49">
        <v>0</v>
      </c>
      <c r="G457" s="49" cm="1">
        <f t="array" ref="G457">Common_InputFunctions.Utility_LookupValueInTableNumber(E457,Table_SourceData_Scope3_ChemicalsPharmacy[Product],Table_SourceData_Scope3_ChemicalsPharmacy[AusLCI Emissions intensity])</f>
        <v>0</v>
      </c>
      <c r="H457" s="151" cm="1">
        <f t="array" ref="H457">Scope3_Equations.VEERG_15_10_1_1__1_OtherPurchasedGoodsAndServices(F457,G457*10^-3)</f>
        <v>0</v>
      </c>
      <c r="I457" s="66"/>
      <c r="J457" s="151" cm="1">
        <f t="array" ref="J457">Scope3_Equations.VEERG_15_10_1_1__1_OtherPurchasedGoodsAndServices(F457,IF(I457,I457,G457)*10^-3)</f>
        <v>0</v>
      </c>
      <c r="K457" s="82"/>
      <c r="L457" s="47"/>
      <c r="M457" s="82"/>
    </row>
    <row r="459" spans="4:13" ht="20.25" x14ac:dyDescent="0.25">
      <c r="D459" s="179" t="s">
        <v>633</v>
      </c>
      <c r="E459" s="177">
        <f>SUM(H448:H457)</f>
        <v>1.5636000000000001E-2</v>
      </c>
      <c r="F459" s="178" t="str">
        <f>$E$155</f>
        <v>t CO2e</v>
      </c>
    </row>
    <row r="460" spans="4:13" ht="20.25" x14ac:dyDescent="0.25">
      <c r="D460" s="179" t="s">
        <v>635</v>
      </c>
      <c r="E460" s="177">
        <f>SUM(J448:J457)</f>
        <v>1.3400000000000002E-2</v>
      </c>
      <c r="F460" s="178" t="str">
        <f>$E$155</f>
        <v>t CO2e</v>
      </c>
    </row>
    <row r="463" spans="4:13" ht="18.75" x14ac:dyDescent="0.25">
      <c r="D463" s="144" t="s">
        <v>409</v>
      </c>
    </row>
    <row r="465" spans="4:12" x14ac:dyDescent="0.25">
      <c r="D465" s="46" t="s">
        <v>169</v>
      </c>
      <c r="E465" s="46" t="s">
        <v>705</v>
      </c>
      <c r="F465" s="57" t="s">
        <v>617</v>
      </c>
      <c r="G465" s="57" t="s">
        <v>633</v>
      </c>
      <c r="H465" s="46" t="s">
        <v>618</v>
      </c>
      <c r="I465" s="57" t="s">
        <v>635</v>
      </c>
      <c r="J465" s="46" t="s">
        <v>629</v>
      </c>
      <c r="K465" s="46" t="s">
        <v>630</v>
      </c>
      <c r="L465" s="46" t="s">
        <v>631</v>
      </c>
    </row>
    <row r="466" spans="4:12" x14ac:dyDescent="0.25">
      <c r="D466" s="49" t="str">
        <f>'Input - Farm Inputs'!D121</f>
        <v>Barley grain (for seed)</v>
      </c>
      <c r="E466" s="49">
        <f>X_Cell_FarmInputs_Seed_BarleyGrain</f>
        <v>500</v>
      </c>
      <c r="F466" s="49" cm="1">
        <f t="array" ref="F466">Common_InputFunctions.Utility_LookupValueInTableNumber(D466,Table_SourceData_Scope3_Other[Product],Table_SourceData_Scope3_Other[AusLCI Emissions intensity])</f>
        <v>0.23899999999999999</v>
      </c>
      <c r="G466" s="151" cm="1">
        <f t="array" ref="G466">Scope3_Equations.VEERG_15_10_1_1__1_OtherPurchasedGoodsAndServices(E466,F466*10^-3)</f>
        <v>0.1195</v>
      </c>
      <c r="H466" s="66">
        <v>0.2</v>
      </c>
      <c r="I466" s="151" cm="1">
        <f t="array" ref="I466">Scope3_Equations.VEERG_15_10_1_1__1_OtherPurchasedGoodsAndServices(E466,IF(H466,H466,F466)*10^-3)</f>
        <v>0.1</v>
      </c>
      <c r="J466" s="82"/>
      <c r="K466" s="47"/>
      <c r="L466" s="82"/>
    </row>
    <row r="467" spans="4:12" x14ac:dyDescent="0.25">
      <c r="D467" s="49" t="str">
        <f>'Input - Farm Inputs'!D122</f>
        <v>Maize grain (for seed)</v>
      </c>
      <c r="E467" s="49">
        <f>X_Cell_FarmInputs_Seed_MaizeGrain</f>
        <v>600</v>
      </c>
      <c r="F467" s="49" cm="1">
        <f t="array" ref="F467">Common_InputFunctions.Utility_LookupValueInTableNumber(D467,Table_SourceData_Scope3_Other[Product],Table_SourceData_Scope3_Other[AusLCI Emissions intensity])</f>
        <v>0.18099999999999999</v>
      </c>
      <c r="G467" s="151" cm="1">
        <f t="array" ref="G467">Scope3_Equations.VEERG_15_10_1_1__1_OtherPurchasedGoodsAndServices(E467,F467*10^-3)</f>
        <v>0.1086</v>
      </c>
      <c r="H467" s="66"/>
      <c r="I467" s="151" cm="1">
        <f t="array" ref="I467">Scope3_Equations.VEERG_15_10_1_1__1_OtherPurchasedGoodsAndServices(E467,IF(H467,H467,F467)*10^-3)</f>
        <v>0.1086</v>
      </c>
      <c r="J467" s="82"/>
      <c r="K467" s="47"/>
      <c r="L467" s="82"/>
    </row>
    <row r="468" spans="4:12" x14ac:dyDescent="0.25">
      <c r="D468" s="49" t="str">
        <f>'Input - Farm Inputs'!D123</f>
        <v>Oat grain (for seed)</v>
      </c>
      <c r="E468" s="49">
        <f>X_Cell_FarmInputs_Seed_OatGrain</f>
        <v>700</v>
      </c>
      <c r="F468" s="49" cm="1">
        <f t="array" ref="F468">Common_InputFunctions.Utility_LookupValueInTableNumber(D468,Table_SourceData_Scope3_Other[Product],Table_SourceData_Scope3_Other[AusLCI Emissions intensity])</f>
        <v>0.27</v>
      </c>
      <c r="G468" s="151" cm="1">
        <f t="array" ref="G468">Scope3_Equations.VEERG_15_10_1_1__1_OtherPurchasedGoodsAndServices(E468,F468*10^-3)</f>
        <v>0.189</v>
      </c>
      <c r="H468" s="66">
        <v>0.2</v>
      </c>
      <c r="I468" s="151" cm="1">
        <f t="array" ref="I468">Scope3_Equations.VEERG_15_10_1_1__1_OtherPurchasedGoodsAndServices(E468,IF(H468,H468,F468)*10^-3)</f>
        <v>0.14000000000000001</v>
      </c>
      <c r="J468" s="82"/>
      <c r="K468" s="47"/>
      <c r="L468" s="82"/>
    </row>
    <row r="469" spans="4:12" x14ac:dyDescent="0.25">
      <c r="D469" s="49" t="str">
        <f>'Input - Farm Inputs'!D124</f>
        <v>Sorghum grain (for seed)</v>
      </c>
      <c r="E469" s="49">
        <f>X_Cell_FarmInputs_Seed_SorghumGrain</f>
        <v>800</v>
      </c>
      <c r="F469" s="49" cm="1">
        <f t="array" ref="F469">Common_InputFunctions.Utility_LookupValueInTableNumber(D469,Table_SourceData_Scope3_Other[Product],Table_SourceData_Scope3_Other[AusLCI Emissions intensity])</f>
        <v>0.23200000000000001</v>
      </c>
      <c r="G469" s="151" cm="1">
        <f t="array" ref="G469">Scope3_Equations.VEERG_15_10_1_1__1_OtherPurchasedGoodsAndServices(E469,F469*10^-3)</f>
        <v>0.18560000000000001</v>
      </c>
      <c r="H469" s="66"/>
      <c r="I469" s="151" cm="1">
        <f t="array" ref="I469">Scope3_Equations.VEERG_15_10_1_1__1_OtherPurchasedGoodsAndServices(E469,IF(H469,H469,F469)*10^-3)</f>
        <v>0.18560000000000001</v>
      </c>
      <c r="J469" s="82"/>
      <c r="K469" s="47"/>
      <c r="L469" s="82"/>
    </row>
    <row r="470" spans="4:12" x14ac:dyDescent="0.25">
      <c r="D470" s="49" t="str">
        <f>'Input - Farm Inputs'!D125</f>
        <v>Wheat grain (for seed)</v>
      </c>
      <c r="E470" s="49">
        <f>X_Cell_FarmInputs_Seed_WheatGrain</f>
        <v>900</v>
      </c>
      <c r="F470" s="49" cm="1">
        <f t="array" ref="F470">Common_InputFunctions.Utility_LookupValueInTableNumber(D470,Table_SourceData_Scope3_Other[Product],Table_SourceData_Scope3_Other[AusLCI Emissions intensity])</f>
        <v>0.26800000000000002</v>
      </c>
      <c r="G470" s="151" cm="1">
        <f t="array" ref="G470">Scope3_Equations.VEERG_15_10_1_1__1_OtherPurchasedGoodsAndServices(E470,F470*10^-3)</f>
        <v>0.2412</v>
      </c>
      <c r="H470" s="66">
        <v>0.2</v>
      </c>
      <c r="I470" s="151" cm="1">
        <f t="array" ref="I470">Scope3_Equations.VEERG_15_10_1_1__1_OtherPurchasedGoodsAndServices(E470,IF(H470,H470,F470)*10^-3)</f>
        <v>0.18000000000000002</v>
      </c>
      <c r="J470" s="82"/>
      <c r="K470" s="47"/>
      <c r="L470" s="82"/>
    </row>
    <row r="472" spans="4:12" ht="20.25" x14ac:dyDescent="0.25">
      <c r="D472" s="179" t="s">
        <v>633</v>
      </c>
      <c r="E472" s="177">
        <f>SUM(G466:G470)</f>
        <v>0.84389999999999998</v>
      </c>
      <c r="F472" s="178" t="str">
        <f>$E$155</f>
        <v>t CO2e</v>
      </c>
    </row>
    <row r="473" spans="4:12" ht="20.25" x14ac:dyDescent="0.25">
      <c r="D473" s="179" t="s">
        <v>635</v>
      </c>
      <c r="E473" s="177">
        <f>SUM(I466:I470)</f>
        <v>0.71420000000000006</v>
      </c>
      <c r="F473" s="178" t="str">
        <f>$E$155</f>
        <v>t CO2e</v>
      </c>
    </row>
    <row r="476" spans="4:12" ht="18.75" x14ac:dyDescent="0.25">
      <c r="D476" s="144" t="s">
        <v>706</v>
      </c>
    </row>
    <row r="478" spans="4:12" x14ac:dyDescent="0.25">
      <c r="D478" s="46" t="s">
        <v>169</v>
      </c>
      <c r="E478" s="46" t="s">
        <v>705</v>
      </c>
      <c r="F478" s="57" t="s">
        <v>617</v>
      </c>
      <c r="G478" s="57" t="s">
        <v>633</v>
      </c>
      <c r="H478" s="46" t="s">
        <v>618</v>
      </c>
      <c r="I478" s="57" t="s">
        <v>635</v>
      </c>
      <c r="J478" s="46" t="s">
        <v>629</v>
      </c>
      <c r="K478" s="46" t="s">
        <v>630</v>
      </c>
      <c r="L478" s="46" t="s">
        <v>631</v>
      </c>
    </row>
    <row r="479" spans="4:12" x14ac:dyDescent="0.25">
      <c r="D479" s="49" t="str">
        <f>'Input - Farm Inputs'!D128</f>
        <v>Animal ear tags (large)</v>
      </c>
      <c r="E479" s="49">
        <f>X_Cell_FarmInputs_Misc_AnimalEarTagsLarge</f>
        <v>100</v>
      </c>
      <c r="F479" s="49" cm="1">
        <f t="array" ref="F479">Common_InputFunctions.Utility_LookupValueInTableNumber(D479,Table_SourceData_Scope3_Other[Product],Table_SourceData_Scope3_Other[AusLCI Emissions intensity])</f>
        <v>4.24E-2</v>
      </c>
      <c r="G479" s="151" cm="1">
        <f t="array" ref="G479">Scope3_Equations.VEERG_15_10_1_1__1_OtherPurchasedGoodsAndServices(E479,F479*10^-3)</f>
        <v>4.2399999999999998E-3</v>
      </c>
      <c r="H479" s="66">
        <v>0.2</v>
      </c>
      <c r="I479" s="151" cm="1">
        <f t="array" ref="I479">Scope3_Equations.VEERG_15_10_1_1__1_OtherPurchasedGoodsAndServices(E479,IF(H479,H479,F479)*10^-3)</f>
        <v>0.02</v>
      </c>
      <c r="J479" s="82"/>
      <c r="K479" s="47"/>
      <c r="L479" s="82"/>
    </row>
    <row r="480" spans="4:12" x14ac:dyDescent="0.25">
      <c r="D480" s="49" t="str">
        <f>'Input - Farm Inputs'!D129</f>
        <v>Animal ear tags (small)</v>
      </c>
      <c r="E480" s="49">
        <f>X_Cell_FarmInputs_Misc_AnimalEarTagsSmall</f>
        <v>200</v>
      </c>
      <c r="F480" s="49" cm="1">
        <f t="array" ref="F480">Common_InputFunctions.Utility_LookupValueInTableNumber(D480,Table_SourceData_Scope3_Other[Product],Table_SourceData_Scope3_Other[AusLCI Emissions intensity])</f>
        <v>2.93E-2</v>
      </c>
      <c r="G480" s="151" cm="1">
        <f t="array" ref="G480">Scope3_Equations.VEERG_15_10_1_1__1_OtherPurchasedGoodsAndServices(E480,F480*10^-3)</f>
        <v>5.8599999999999998E-3</v>
      </c>
      <c r="H480" s="66"/>
      <c r="I480" s="151" cm="1">
        <f t="array" ref="I480">Scope3_Equations.VEERG_15_10_1_1__1_OtherPurchasedGoodsAndServices(E480,IF(H480,H480,F480)*10^-3)</f>
        <v>5.8599999999999998E-3</v>
      </c>
      <c r="J480" s="82"/>
      <c r="K480" s="47"/>
      <c r="L480" s="82"/>
    </row>
    <row r="481" spans="4:14" x14ac:dyDescent="0.25">
      <c r="D481" s="49" t="str">
        <f>'Input - Farm Inputs'!D130</f>
        <v>Nylon netting</v>
      </c>
      <c r="E481" s="49">
        <f>X_Cell_FarmInputs_Misc_NylonNetting</f>
        <v>300</v>
      </c>
      <c r="F481" s="49" cm="1">
        <f t="array" ref="F481">Common_InputFunctions.Utility_LookupValueInTableNumber(D481,Table_SourceData_Scope3_Other[Product],Table_SourceData_Scope3_Other[AusLCI Emissions intensity])</f>
        <v>9.81</v>
      </c>
      <c r="G481" s="151" cm="1">
        <f t="array" ref="G481">Scope3_Equations.VEERG_15_10_1_1__1_OtherPurchasedGoodsAndServices(E481,F481*10^-3)</f>
        <v>2.9430000000000005</v>
      </c>
      <c r="H481" s="66">
        <v>0.2</v>
      </c>
      <c r="I481" s="151" cm="1">
        <f t="array" ref="I481">Scope3_Equations.VEERG_15_10_1_1__1_OtherPurchasedGoodsAndServices(E481,IF(H481,H481,F481)*10^-3)</f>
        <v>6.0000000000000005E-2</v>
      </c>
      <c r="J481" s="82"/>
      <c r="K481" s="47"/>
      <c r="L481" s="82"/>
    </row>
    <row r="483" spans="4:14" ht="20.25" x14ac:dyDescent="0.25">
      <c r="D483" s="179" t="s">
        <v>633</v>
      </c>
      <c r="E483" s="177">
        <f>SUM(G479:G481)</f>
        <v>2.9531000000000005</v>
      </c>
      <c r="F483" s="178" t="str">
        <f>$E$155</f>
        <v>t CO2e</v>
      </c>
    </row>
    <row r="484" spans="4:14" ht="20.25" x14ac:dyDescent="0.25">
      <c r="D484" s="179" t="s">
        <v>635</v>
      </c>
      <c r="E484" s="177">
        <f>SUM(I479:I481)</f>
        <v>8.5860000000000006E-2</v>
      </c>
      <c r="F484" s="178" t="str">
        <f>$E$155</f>
        <v>t CO2e</v>
      </c>
    </row>
    <row r="487" spans="4:14" ht="18.75" x14ac:dyDescent="0.25">
      <c r="D487" s="144" t="s">
        <v>707</v>
      </c>
    </row>
    <row r="489" spans="4:14" x14ac:dyDescent="0.25">
      <c r="D489" s="46" t="s">
        <v>169</v>
      </c>
      <c r="E489" s="46" t="s">
        <v>597</v>
      </c>
      <c r="F489" s="46" t="s">
        <v>125</v>
      </c>
      <c r="G489" s="57" t="s">
        <v>413</v>
      </c>
      <c r="H489" s="57" t="s">
        <v>350</v>
      </c>
      <c r="I489" s="46" t="s">
        <v>414</v>
      </c>
      <c r="J489" s="46" t="s">
        <v>702</v>
      </c>
      <c r="K489" s="57" t="s">
        <v>351</v>
      </c>
      <c r="L489" s="46" t="s">
        <v>629</v>
      </c>
      <c r="M489" s="46" t="s">
        <v>630</v>
      </c>
      <c r="N489" s="46" t="s">
        <v>631</v>
      </c>
    </row>
    <row r="490" spans="4:14" x14ac:dyDescent="0.25">
      <c r="D490" s="49" t="str" cm="1">
        <f t="array" ref="D490:D499">IFERROR(INDEX(Table_Input_UncategorisedProductsServices[Product / service name], _xlfn.SEQUENCE(10)), "")</f>
        <v>Something</v>
      </c>
      <c r="E490" s="49" cm="1">
        <f t="array" ref="E490:E499">IFERROR(INDEX(Table_Input_UncategorisedProductsServices[Amount], _xlfn.SEQUENCE(10)), "")</f>
        <v>1000</v>
      </c>
      <c r="F490" s="49" t="str" cm="1">
        <f t="array" ref="F490:F499">IFERROR(INDEX(Table_Input_UncategorisedProductsServices[Amount unit], _xlfn.SEQUENCE(10)), "")</f>
        <v>kg</v>
      </c>
      <c r="G490" s="49" t="s">
        <v>819</v>
      </c>
      <c r="H490" s="49" t="s">
        <v>819</v>
      </c>
      <c r="I490" s="66">
        <v>4</v>
      </c>
      <c r="J490" s="47" t="s">
        <v>703</v>
      </c>
      <c r="K490" s="151" cm="1">
        <f t="array" ref="K490">Scope3_Equations.VEERG_15_10_1_1__1_OtherPurchasedGoodsAndServices(E490,IF(J490="kg / amount unit", I490*10^-3, I490))</f>
        <v>4000</v>
      </c>
      <c r="L490" s="82"/>
      <c r="M490" s="47"/>
      <c r="N490" s="82"/>
    </row>
    <row r="491" spans="4:14" x14ac:dyDescent="0.25">
      <c r="D491" s="49">
        <v>0</v>
      </c>
      <c r="E491" s="49">
        <v>0</v>
      </c>
      <c r="F491" s="49">
        <v>0</v>
      </c>
      <c r="G491" s="49" t="s">
        <v>819</v>
      </c>
      <c r="H491" s="49" t="s">
        <v>819</v>
      </c>
      <c r="I491" s="66">
        <v>2</v>
      </c>
      <c r="J491" s="47" t="s">
        <v>703</v>
      </c>
      <c r="K491" s="151" cm="1">
        <f t="array" ref="K491">Scope3_Equations.VEERG_15_10_1_1__1_OtherPurchasedGoodsAndServices(E491,IF(J491="kg / amount unit", I491*10^-3, I491))</f>
        <v>0</v>
      </c>
      <c r="L491" s="82"/>
      <c r="M491" s="47"/>
      <c r="N491" s="82"/>
    </row>
    <row r="492" spans="4:14" x14ac:dyDescent="0.25">
      <c r="D492" s="49">
        <v>0</v>
      </c>
      <c r="E492" s="49">
        <v>0</v>
      </c>
      <c r="F492" s="49">
        <v>0</v>
      </c>
      <c r="G492" s="49" t="s">
        <v>819</v>
      </c>
      <c r="H492" s="49" t="s">
        <v>819</v>
      </c>
      <c r="I492" s="66"/>
      <c r="J492" s="47"/>
      <c r="K492" s="151" cm="1">
        <f t="array" ref="K492">Scope3_Equations.VEERG_15_10_1_1__1_OtherPurchasedGoodsAndServices(E492,IF(J492="kg / amount unit", I492*10^-3, I492))</f>
        <v>0</v>
      </c>
      <c r="L492" s="82"/>
      <c r="M492" s="47"/>
      <c r="N492" s="82"/>
    </row>
    <row r="493" spans="4:14" x14ac:dyDescent="0.25">
      <c r="D493" s="49">
        <v>0</v>
      </c>
      <c r="E493" s="49">
        <v>0</v>
      </c>
      <c r="F493" s="49">
        <v>0</v>
      </c>
      <c r="G493" s="49" t="s">
        <v>819</v>
      </c>
      <c r="H493" s="49" t="s">
        <v>819</v>
      </c>
      <c r="I493" s="66"/>
      <c r="J493" s="47"/>
      <c r="K493" s="151" cm="1">
        <f t="array" ref="K493">Scope3_Equations.VEERG_15_10_1_1__1_OtherPurchasedGoodsAndServices(E493,IF(J493="kg / amount unit", I493*10^-3, I493))</f>
        <v>0</v>
      </c>
      <c r="L493" s="82"/>
      <c r="M493" s="47"/>
      <c r="N493" s="82"/>
    </row>
    <row r="494" spans="4:14" x14ac:dyDescent="0.25">
      <c r="D494" s="49">
        <v>0</v>
      </c>
      <c r="E494" s="49">
        <v>0</v>
      </c>
      <c r="F494" s="49">
        <v>0</v>
      </c>
      <c r="G494" s="49" t="s">
        <v>819</v>
      </c>
      <c r="H494" s="49" t="s">
        <v>819</v>
      </c>
      <c r="I494" s="66"/>
      <c r="J494" s="47"/>
      <c r="K494" s="151" cm="1">
        <f t="array" ref="K494">Scope3_Equations.VEERG_15_10_1_1__1_OtherPurchasedGoodsAndServices(E494,IF(J494="kg / amount unit", I494*10^-3, I494))</f>
        <v>0</v>
      </c>
      <c r="L494" s="82"/>
      <c r="M494" s="47"/>
      <c r="N494" s="82"/>
    </row>
    <row r="495" spans="4:14" x14ac:dyDescent="0.25">
      <c r="D495" s="49">
        <v>0</v>
      </c>
      <c r="E495" s="49">
        <v>0</v>
      </c>
      <c r="F495" s="49">
        <v>0</v>
      </c>
      <c r="G495" s="49" t="s">
        <v>819</v>
      </c>
      <c r="H495" s="49" t="s">
        <v>819</v>
      </c>
      <c r="I495" s="66"/>
      <c r="J495" s="47"/>
      <c r="K495" s="151" cm="1">
        <f t="array" ref="K495">Scope3_Equations.VEERG_15_10_1_1__1_OtherPurchasedGoodsAndServices(E495,IF(J495="kg / amount unit", I495*10^-3, I495))</f>
        <v>0</v>
      </c>
      <c r="L495" s="82"/>
      <c r="M495" s="47"/>
      <c r="N495" s="82"/>
    </row>
    <row r="496" spans="4:14" x14ac:dyDescent="0.25">
      <c r="D496" s="49">
        <v>0</v>
      </c>
      <c r="E496" s="49">
        <v>0</v>
      </c>
      <c r="F496" s="49">
        <v>0</v>
      </c>
      <c r="G496" s="49" t="s">
        <v>819</v>
      </c>
      <c r="H496" s="49" t="s">
        <v>819</v>
      </c>
      <c r="I496" s="66"/>
      <c r="J496" s="47"/>
      <c r="K496" s="151" cm="1">
        <f t="array" ref="K496">Scope3_Equations.VEERG_15_10_1_1__1_OtherPurchasedGoodsAndServices(E496,IF(J496="kg / amount unit", I496*10^-3, I496))</f>
        <v>0</v>
      </c>
      <c r="L496" s="82"/>
      <c r="M496" s="47"/>
      <c r="N496" s="82"/>
    </row>
    <row r="497" spans="3:41" x14ac:dyDescent="0.25">
      <c r="D497" s="49">
        <v>0</v>
      </c>
      <c r="E497" s="49">
        <v>0</v>
      </c>
      <c r="F497" s="49">
        <v>0</v>
      </c>
      <c r="G497" s="49" t="s">
        <v>819</v>
      </c>
      <c r="H497" s="49" t="s">
        <v>819</v>
      </c>
      <c r="I497" s="66"/>
      <c r="J497" s="47"/>
      <c r="K497" s="151" cm="1">
        <f t="array" ref="K497">Scope3_Equations.VEERG_15_10_1_1__1_OtherPurchasedGoodsAndServices(E497,IF(J497="kg / amount unit", I497*10^-3, I497))</f>
        <v>0</v>
      </c>
      <c r="L497" s="82"/>
      <c r="M497" s="47"/>
      <c r="N497" s="82"/>
    </row>
    <row r="498" spans="3:41" x14ac:dyDescent="0.25">
      <c r="D498" s="49">
        <v>0</v>
      </c>
      <c r="E498" s="49">
        <v>0</v>
      </c>
      <c r="F498" s="49">
        <v>0</v>
      </c>
      <c r="G498" s="49" t="s">
        <v>819</v>
      </c>
      <c r="H498" s="49" t="s">
        <v>819</v>
      </c>
      <c r="I498" s="66"/>
      <c r="J498" s="47"/>
      <c r="K498" s="151" cm="1">
        <f t="array" ref="K498">Scope3_Equations.VEERG_15_10_1_1__1_OtherPurchasedGoodsAndServices(E498,IF(J498="kg / amount unit", I498*10^-3, I498))</f>
        <v>0</v>
      </c>
      <c r="L498" s="82"/>
      <c r="M498" s="47"/>
      <c r="N498" s="82"/>
    </row>
    <row r="499" spans="3:41" x14ac:dyDescent="0.25">
      <c r="D499" s="49">
        <v>0</v>
      </c>
      <c r="E499" s="49">
        <v>0</v>
      </c>
      <c r="F499" s="49">
        <v>0</v>
      </c>
      <c r="G499" s="49" t="s">
        <v>819</v>
      </c>
      <c r="H499" s="49" t="s">
        <v>819</v>
      </c>
      <c r="I499" s="66"/>
      <c r="J499" s="47"/>
      <c r="K499" s="151" cm="1">
        <f t="array" ref="K499">Scope3_Equations.VEERG_15_10_1_1__1_OtherPurchasedGoodsAndServices(E499,IF(J499="kg / amount unit", I499*10^-3, I499))</f>
        <v>0</v>
      </c>
      <c r="L499" s="82"/>
      <c r="M499" s="47"/>
      <c r="N499" s="82"/>
    </row>
    <row r="501" spans="3:41" ht="20.25" x14ac:dyDescent="0.25">
      <c r="D501" s="179" t="s">
        <v>633</v>
      </c>
      <c r="E501" s="177" t="s">
        <v>819</v>
      </c>
      <c r="F501" s="178" t="str">
        <f>$E$155</f>
        <v>t CO2e</v>
      </c>
    </row>
    <row r="502" spans="3:41" ht="20.25" x14ac:dyDescent="0.25">
      <c r="D502" s="179" t="s">
        <v>635</v>
      </c>
      <c r="E502" s="177">
        <f>SUM(K490:K499)</f>
        <v>4000</v>
      </c>
      <c r="F502" s="178" t="str">
        <f>$E$155</f>
        <v>t CO2e</v>
      </c>
    </row>
    <row r="505" spans="3:41" x14ac:dyDescent="0.25">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c r="AD505" s="98"/>
      <c r="AE505" s="98"/>
      <c r="AF505" s="98"/>
      <c r="AG505" s="98"/>
      <c r="AH505" s="98"/>
      <c r="AI505" s="98"/>
      <c r="AJ505" s="98"/>
      <c r="AK505" s="98"/>
      <c r="AL505" s="98"/>
      <c r="AM505" s="98"/>
      <c r="AN505" s="98"/>
      <c r="AO505" s="98"/>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2" t="s">
        <v>626</v>
      </c>
      <c r="E508" s="172" t="str" cm="1">
        <f t="array" aca="1" ref="E508" ca="1">Common_InputFunctions.Utility_DisplayFunctionName(E518)</f>
        <v>=Scope3_Equations.VEERG_15_11_1_1__1_TotalUpstreamEmissionsFromFuel</v>
      </c>
    </row>
    <row r="512" spans="3:41" x14ac:dyDescent="0.25">
      <c r="D512" s="27" t="s">
        <v>627</v>
      </c>
      <c r="E512" s="8" t="str" cm="1">
        <f t="array" ref="E512">Scope3_Equations.VEERG_15_11_1_1__1_TotalUpstreamEmissionsFromFuel_Variable()</f>
        <v>E</v>
      </c>
    </row>
    <row r="513" spans="3:41" x14ac:dyDescent="0.25">
      <c r="D513" s="27" t="s">
        <v>96</v>
      </c>
      <c r="E513" s="13" t="str" cm="1">
        <f t="array" ref="E513">Scope3_Equations.VEERG_15_11_1_1__1_TotalUpstreamEmissionsFromFuel_Unit()</f>
        <v>t CO2e</v>
      </c>
    </row>
    <row r="515" spans="3:41" x14ac:dyDescent="0.25">
      <c r="D515" s="167" t="str" cm="1">
        <f t="array" ref="D515:E516">_xlfn.CHOOSECOLS(Scope3_Equations.VEERG_15_11_1_1__1_TotalUpstreamEmissionsFromFuel_Arguments(),1,2)</f>
        <v>E_WTTtransq</v>
      </c>
      <c r="E515" s="171" t="str">
        <v>upstream emissions from scope 1 transport fuel use</v>
      </c>
      <c r="F515" s="166"/>
      <c r="G515" s="167" t="str" cm="1">
        <f t="array" ref="G515:H516">_xlfn.CHOOSECOLS(Scope3_Equations.VEERG_15_11_1_1__1_TotalUpstreamEmissionsFromFuel_Arguments(),3,4)</f>
        <v>t CO2e</v>
      </c>
      <c r="H515" s="169" t="str">
        <v>Calculated by 15.11.1.1 (2)</v>
      </c>
      <c r="I515" s="167">
        <f>VEERG_8_1_1_1__1_FuelCombustionTransport_Result</f>
        <v>20.5016</v>
      </c>
    </row>
    <row r="516" spans="3:41" x14ac:dyDescent="0.25">
      <c r="D516" s="167" t="str">
        <v>E_WTTSCq</v>
      </c>
      <c r="E516" s="171" t="str">
        <v>upstream emissions from scope 1 stationary combustion fuel use</v>
      </c>
      <c r="F516" s="166"/>
      <c r="G516" s="167" t="str">
        <v>t CO2e</v>
      </c>
      <c r="H516" s="169" t="str">
        <v>Calculated by 15.11.1.1 (3)</v>
      </c>
      <c r="I516" s="167">
        <f>VEERG_8_2_1_1__1_FuelCombustionStationary_Result</f>
        <v>6.2923999999999998</v>
      </c>
    </row>
    <row r="518" spans="3:41" ht="20.25" x14ac:dyDescent="0.25">
      <c r="D518" s="179" t="s">
        <v>741</v>
      </c>
      <c r="E518" s="177" cm="1">
        <f t="array" ref="E518">Scope3_Equations.VEERG_15_11_1_1__1_TotalUpstreamEmissionsFromFuel(I515,I516)</f>
        <v>26.794</v>
      </c>
      <c r="F518" s="178" t="str">
        <f>$E$155</f>
        <v>t CO2e</v>
      </c>
    </row>
    <row r="520" spans="3:41" x14ac:dyDescent="0.25">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c r="AD520" s="98"/>
      <c r="AE520" s="98"/>
      <c r="AF520" s="98"/>
      <c r="AG520" s="98"/>
      <c r="AH520" s="98"/>
      <c r="AI520" s="98"/>
      <c r="AJ520" s="98"/>
      <c r="AK520" s="98"/>
      <c r="AL520" s="98"/>
      <c r="AM520" s="98"/>
      <c r="AN520" s="98"/>
      <c r="AO520" s="98"/>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2" t="s">
        <v>626</v>
      </c>
      <c r="E523" s="172" t="str" cm="1">
        <f t="array" aca="1" ref="E523" ca="1">Common_InputFunctions.Utility_DisplayFunctionName(E533)</f>
        <v>=Scope3_Equations.VEERG_15_12_1_1__1_UpstreamPurchasedElectricityLocationBased</v>
      </c>
    </row>
    <row r="526" spans="3:41" x14ac:dyDescent="0.25">
      <c r="D526" s="27" t="s">
        <v>627</v>
      </c>
      <c r="E526" s="8" t="str" cm="1">
        <f t="array" ref="E526">Scope3_Equations.VEERG_15_12_1_1__1_UpstreamPurchasedElectricityLocationBased_Variable()</f>
        <v>E_3elec</v>
      </c>
    </row>
    <row r="527" spans="3:41" x14ac:dyDescent="0.25">
      <c r="D527" s="27" t="s">
        <v>96</v>
      </c>
      <c r="E527" s="8" t="str" cm="1">
        <f t="array" ref="E527">Scope3_Equations.VEERG_15_12_1_1__1_UpstreamPurchasedElectricityLocationBased_Unit()</f>
        <v>t CO2e</v>
      </c>
    </row>
    <row r="529" spans="3:41" x14ac:dyDescent="0.25">
      <c r="D529" s="167" t="str" cm="1">
        <f t="array" ref="D529:E531">_xlfn.CHOOSECOLS(Scope3_Equations.VEERG_15_12_1_1__1_UpstreamPurchasedElectricityLocationBased_Arguments(),1,2)</f>
        <v>Q_elec</v>
      </c>
      <c r="E529" s="167" t="str">
        <v>amount of electricity purchased from the grid</v>
      </c>
      <c r="F529" s="167"/>
      <c r="G529" s="167" t="str" cm="1">
        <f t="array" ref="G529:H531">_xlfn.CHOOSECOLS(Scope3_Equations.VEERG_15_12_1_1__1_UpstreamPurchasedElectricityLocationBased_Arguments(),3,4)</f>
        <v>kWh</v>
      </c>
      <c r="H529" s="168" t="str">
        <v>Input</v>
      </c>
      <c r="I529" s="171">
        <f>X_Cell_Electricity_Location_AmountPurchasedInkWh</f>
        <v>30000</v>
      </c>
      <c r="J529" s="166"/>
    </row>
    <row r="530" spans="3:41" x14ac:dyDescent="0.25">
      <c r="D530" s="167" t="str">
        <v>EF_3elec</v>
      </c>
      <c r="E530" s="167" t="str">
        <v>scope 3 emission factor for purchased electricity</v>
      </c>
      <c r="F530" s="167"/>
      <c r="G530" s="167" t="str">
        <v>kg CO2e/kWh</v>
      </c>
      <c r="H530" s="169" t="str">
        <v>Constant</v>
      </c>
      <c r="I530" s="171" cm="1">
        <f t="array" ref="I530">Common_InputFunctions.Utility_LookupValueInTableNumber(I531,Table_SourceData_ElectricityEFs[State, Territory or grid description],Table_SourceData_ElectricityEFs[Scope 3 Emission Factors (kg CO2-e/kWh)])</f>
        <v>0.09</v>
      </c>
      <c r="J530" s="166"/>
    </row>
    <row r="531" spans="3:41" x14ac:dyDescent="0.25">
      <c r="D531" s="167" t="str">
        <v>g</v>
      </c>
      <c r="E531" s="171" t="str">
        <v>grid electricity was purchased from</v>
      </c>
      <c r="F531" s="166"/>
      <c r="G531" s="167" t="str">
        <v/>
      </c>
      <c r="H531" s="168" t="str">
        <v>Input</v>
      </c>
      <c r="I531" s="171" t="str">
        <f>X_Cell_Electricity_Location_GridElectricityPurchasedFrom</f>
        <v>Western Australia - North Western Interconnected System (NWIS)</v>
      </c>
      <c r="J531" s="166"/>
    </row>
    <row r="533" spans="3:41" ht="20.25" x14ac:dyDescent="0.25">
      <c r="D533" s="179" t="s">
        <v>742</v>
      </c>
      <c r="E533" s="177" cm="1">
        <f t="array" ref="E533">Scope3_Equations.VEERG_15_12_1_1__1_UpstreamPurchasedElectricityLocationBased(I529,I530)</f>
        <v>2.7</v>
      </c>
      <c r="F533" s="178" t="str">
        <f>$E$155</f>
        <v>t CO2e</v>
      </c>
    </row>
    <row r="536" spans="3:41" x14ac:dyDescent="0.25">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c r="AD536" s="98"/>
      <c r="AE536" s="98"/>
      <c r="AF536" s="98"/>
      <c r="AG536" s="98"/>
      <c r="AH536" s="98"/>
      <c r="AI536" s="98"/>
      <c r="AJ536" s="98"/>
      <c r="AK536" s="98"/>
      <c r="AL536" s="98"/>
      <c r="AM536" s="98"/>
      <c r="AN536" s="98"/>
      <c r="AO536" s="98"/>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2" t="s">
        <v>626</v>
      </c>
      <c r="E540" s="172" t="str" cm="1">
        <f t="array" aca="1" ref="E540" ca="1">Common_InputFunctions.Utility_DisplayFunctionName(E555)</f>
        <v>=Scope3_Equations.VEERG_15_12_1_2__1_UpstreamPurchasedElectricityMarketBasedVariation</v>
      </c>
    </row>
    <row r="544" spans="3:41" x14ac:dyDescent="0.25">
      <c r="D544" s="27" t="s">
        <v>627</v>
      </c>
      <c r="E544" s="8" t="str" cm="1">
        <f t="array" ref="E544">Scope3_Equations.VEERG_15_12_1_2__1_UpstreamPurchasedElectricityMarketBased_Variable()</f>
        <v>E_3elec</v>
      </c>
    </row>
    <row r="545" spans="3:41" x14ac:dyDescent="0.25">
      <c r="D545" s="27" t="s">
        <v>96</v>
      </c>
      <c r="E545" s="8" t="str" cm="1">
        <f t="array" ref="E545">Scope3_Equations.VEERG_15_12_1_2__1_UpstreamPurchasedElectricityMarketBased_Unit()</f>
        <v>t CO2e</v>
      </c>
    </row>
    <row r="547" spans="3:41" x14ac:dyDescent="0.25">
      <c r="D547" s="167" t="str" cm="1">
        <f t="array" ref="D547:E553">_xlfn.CHOOSECOLS(Scope3_Equations.VEERG_15_12_1_2__1_UpstreamPurchasedElectricityMarketBased_Arguments(),1,2)</f>
        <v>Q_elec</v>
      </c>
      <c r="E547" s="171" t="str">
        <v>amount of electricity purchased from the grid</v>
      </c>
      <c r="F547" s="166"/>
      <c r="G547" s="167" t="str" cm="1">
        <f t="array" ref="G547:H553">_xlfn.CHOOSECOLS(Scope3_Equations.VEERG_15_12_1_2__1_UpstreamPurchasedElectricityMarketBased_Arguments(),3,4)</f>
        <v>kWh</v>
      </c>
      <c r="H547" s="168" t="str">
        <v>Input</v>
      </c>
      <c r="I547" s="204">
        <f>X_Cell_Electricity_Market_AmountPurchasedExcludingGreenPower</f>
        <v>30000</v>
      </c>
    </row>
    <row r="548" spans="3:41" x14ac:dyDescent="0.25">
      <c r="D548" s="167" t="str">
        <v>RPP</v>
      </c>
      <c r="E548" s="171" t="str">
        <v>renewable power percentage under LRET for the applicable period</v>
      </c>
      <c r="F548" s="166"/>
      <c r="G548" s="167" t="str">
        <v>fraction</v>
      </c>
      <c r="H548" s="168" t="str">
        <v>Input</v>
      </c>
      <c r="I548" s="203">
        <f>X_Cell_Electricity_Market_RenewablePowerPercentage</f>
        <v>0.1</v>
      </c>
    </row>
    <row r="549" spans="3:41" x14ac:dyDescent="0.25">
      <c r="D549" s="167" t="str">
        <v>JRPP</v>
      </c>
      <c r="E549" s="171" t="str">
        <v>jurisdictional renewable power percentage for the applicable period</v>
      </c>
      <c r="F549" s="166"/>
      <c r="G549" s="167" t="str">
        <v>fraction</v>
      </c>
      <c r="H549" s="168" t="str">
        <v>Input</v>
      </c>
      <c r="I549" s="203">
        <f>X_Cell_Electricity_Market_JurisdictionalRenewablePowerPercentage</f>
        <v>0.1</v>
      </c>
    </row>
    <row r="550" spans="3:41" x14ac:dyDescent="0.25">
      <c r="D550" s="167" t="str">
        <v>REC_surrendered</v>
      </c>
      <c r="E550" s="171" t="str">
        <v>eligible renewable energy certificates voluntarily surrendered</v>
      </c>
      <c r="F550" s="166"/>
      <c r="G550" s="167" t="str">
        <v>MWh</v>
      </c>
      <c r="H550" s="168" t="str">
        <v>Input</v>
      </c>
      <c r="I550" s="167">
        <f>(X_Cell_Electricity_Market_AmountPurchasedGreenPower*10^-3)+X_Cell_TotalElegibleVoluntarilySurrenderedRECs</f>
        <v>20</v>
      </c>
    </row>
    <row r="551" spans="3:41" x14ac:dyDescent="0.25">
      <c r="D551" s="167" t="str">
        <v>REC_onsite</v>
      </c>
      <c r="E551" s="171" t="str">
        <v>eligible renewable energy certificates issued for onsite generated electricity</v>
      </c>
      <c r="F551" s="166"/>
      <c r="G551" s="167" t="str">
        <v>MWh</v>
      </c>
      <c r="H551" s="168" t="str">
        <v>Input</v>
      </c>
      <c r="I551" s="167">
        <f>X_Cell_TotalElegibleRECsForElectricityProducedOnSite</f>
        <v>11</v>
      </c>
    </row>
    <row r="552" spans="3:41" x14ac:dyDescent="0.25">
      <c r="D552" s="167" t="str">
        <v>EF_RMF3elec</v>
      </c>
      <c r="E552" s="171" t="str">
        <v>scope 3 residual mix emission factor for electricity</v>
      </c>
      <c r="F552" s="166"/>
      <c r="G552" s="167" t="str">
        <v>kg CO2e/kWh</v>
      </c>
      <c r="H552" s="169" t="str">
        <v>Constant</v>
      </c>
      <c r="I552" s="167" cm="1">
        <f t="array" ref="I552">Table_SourceData_ElectricityEFsMarketBased[Scope 3 EF (kg CO2-e/kWh)]</f>
        <v>0.1</v>
      </c>
    </row>
    <row r="553" spans="3:41" x14ac:dyDescent="0.25">
      <c r="D553" s="167" t="str">
        <v>i</v>
      </c>
      <c r="E553" s="171" t="str">
        <v>state</v>
      </c>
      <c r="F553" s="166"/>
      <c r="G553" s="167" t="str">
        <v/>
      </c>
      <c r="H553" s="168" t="str">
        <v>Input</v>
      </c>
      <c r="I553" s="167" t="str">
        <f>X_Cell_Site_State</f>
        <v>Western Australia</v>
      </c>
    </row>
    <row r="555" spans="3:41" ht="20.25" x14ac:dyDescent="0.25">
      <c r="D555" s="179" t="s">
        <v>742</v>
      </c>
      <c r="E555" s="177" cm="1">
        <f t="array" ref="E555">Scope3_Equations.VEERG_15_12_1_2__1_UpstreamPurchasedElectricityMarketBasedVariation(I547,I548,I549,I550,I551,I552)</f>
        <v>1.5</v>
      </c>
      <c r="F555" s="178" t="str">
        <f>$E$155</f>
        <v>t CO2e</v>
      </c>
    </row>
    <row r="558" spans="3:41" x14ac:dyDescent="0.25">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c r="AD558" s="98"/>
      <c r="AE558" s="98"/>
      <c r="AF558" s="98"/>
      <c r="AG558" s="98"/>
      <c r="AH558" s="98"/>
      <c r="AI558" s="98"/>
      <c r="AJ558" s="98"/>
      <c r="AK558" s="98"/>
      <c r="AL558" s="98"/>
      <c r="AM558" s="98"/>
      <c r="AN558" s="98"/>
      <c r="AO558" s="98"/>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2" t="s">
        <v>626</v>
      </c>
      <c r="E561" s="172" t="str" cm="1">
        <f t="array" aca="1" ref="E561" ca="1">Common_InputFunctions.Utility_DisplayFunctionName(E573)</f>
        <v>=Scope3_Equations.VEERG_15_13_1_1__1_EmissionsFromManureSentOffSite</v>
      </c>
    </row>
    <row r="564" spans="4:18" x14ac:dyDescent="0.25">
      <c r="D564" s="27" t="s">
        <v>627</v>
      </c>
      <c r="E564" s="8" t="str" cm="1">
        <f t="array" ref="E564">Scope3_Equations.VEERG_15_13_1_1__1_EmissionsFromManureSentOffSite_Variable()</f>
        <v>E</v>
      </c>
    </row>
    <row r="565" spans="4:18" x14ac:dyDescent="0.25">
      <c r="D565" s="27" t="s">
        <v>96</v>
      </c>
      <c r="E565" s="13" t="str" cm="1">
        <f t="array" ref="E565">Scope3_Equations.VEERG_15_13_1_1__1_EmissionsFromManureSentOffSite_Unit()</f>
        <v>t N2O</v>
      </c>
    </row>
    <row r="567" spans="4:18" x14ac:dyDescent="0.25">
      <c r="D567" s="7" t="s">
        <v>407</v>
      </c>
      <c r="L567" s="7" t="s">
        <v>408</v>
      </c>
    </row>
    <row r="569" spans="4:18" x14ac:dyDescent="0.25">
      <c r="D569" s="167" t="str" cm="1">
        <f t="array" ref="D569:E571">_xlfn.CHOOSECOLS(Scope3_Equations.VEERG_15_13_1_1__1_EmissionsFromManureSentOffSite_Arguments(),1,2)</f>
        <v>E_N2O</v>
      </c>
      <c r="E569" s="171" t="str">
        <v>direct nitrous oxide emissions from application of manure to soils outside of scope 1 boundary</v>
      </c>
      <c r="F569" s="205"/>
      <c r="G569" s="166"/>
      <c r="H569" s="167" t="str" cm="1">
        <f t="array" ref="H569:I571">_xlfn.CHOOSECOLS(Scope3_Equations.VEERG_15_13_1_1__1_EmissionsFromManureSentOffSite_Arguments(),3,4)</f>
        <v>t N2O</v>
      </c>
      <c r="I569" s="169" t="str">
        <v>Calculated</v>
      </c>
      <c r="J569" s="167">
        <f>VEERG_5_2_1_1__1_OrganicFertiliserApplicationN2OEmissions_Result_Method1</f>
        <v>7.8571428571428577E-3</v>
      </c>
      <c r="L569" s="167" t="str" cm="1">
        <f t="array" ref="L569:M571">_xlfn.CHOOSECOLS(Scope3_Equations.VEERG_15_13_1_1__1_EmissionsFromManureSentOffSite_Arguments(),1,2)</f>
        <v>E_N2O</v>
      </c>
      <c r="M569" s="171" t="str">
        <v>direct nitrous oxide emissions from application of manure to soils outside of scope 1 boundary</v>
      </c>
      <c r="N569" s="205"/>
      <c r="O569" s="166"/>
      <c r="P569" s="167" t="str" cm="1">
        <f t="array" ref="P569:Q571">_xlfn.CHOOSECOLS(Scope3_Equations.VEERG_15_13_1_1__1_EmissionsFromManureSentOffSite_Arguments(),3,4)</f>
        <v>t N2O</v>
      </c>
      <c r="Q569" s="169" t="str">
        <v>Calculated</v>
      </c>
      <c r="R569" s="167">
        <f>VEERG_5_2_1_1__1_OrganicFertiliserApplicationN2OEmissions_Result_Method2</f>
        <v>1.5714285714285715E-2</v>
      </c>
    </row>
    <row r="570" spans="4:18" x14ac:dyDescent="0.25">
      <c r="D570" s="167" t="str">
        <v>E_ad</v>
      </c>
      <c r="E570" s="171" t="str">
        <v>nitrous oxide emissions from atmospheric deposition of manure to soils</v>
      </c>
      <c r="F570" s="205"/>
      <c r="G570" s="166"/>
      <c r="H570" s="167" t="str">
        <v>t N2O</v>
      </c>
      <c r="I570" s="169" t="str">
        <v>Calculated</v>
      </c>
      <c r="J570" s="167">
        <f>VEERG_5_4_1_3__1_OrganicFertiliserAtmosphericDepositionN2OEmissions_Result_Method1</f>
        <v>2.31E-3</v>
      </c>
      <c r="L570" s="167" t="str">
        <v>E_ad</v>
      </c>
      <c r="M570" s="171" t="str">
        <v>nitrous oxide emissions from atmospheric deposition of manure to soils</v>
      </c>
      <c r="N570" s="205"/>
      <c r="O570" s="166"/>
      <c r="P570" s="167" t="str">
        <v>t N2O</v>
      </c>
      <c r="Q570" s="169" t="str">
        <v>Calculated</v>
      </c>
      <c r="R570" s="167">
        <f>VEERG_5_4_1_3__1_OrganicFertiliserAtmosphericDepositionN2OEmissions_Result_Method2</f>
        <v>4.62E-3</v>
      </c>
    </row>
    <row r="571" spans="4:18" x14ac:dyDescent="0.25">
      <c r="D571" s="167" t="str">
        <v>E_leach</v>
      </c>
      <c r="E571" s="171" t="str">
        <v>nitrous oxide emissions from nitrogen leaching and runoff of manure to soils</v>
      </c>
      <c r="F571" s="205"/>
      <c r="G571" s="166"/>
      <c r="H571" s="167" t="str">
        <v>t N2O</v>
      </c>
      <c r="I571" s="169" t="str">
        <v>Calculated</v>
      </c>
      <c r="J571" s="167">
        <f>VEERG_5_5_1_1__1_FertiliserLeachingAndRunoffN2OEmissions_Result_Method1</f>
        <v>4.1485714285714277E-3</v>
      </c>
      <c r="L571" s="167" t="str">
        <v>E_leach</v>
      </c>
      <c r="M571" s="171" t="str">
        <v>nitrous oxide emissions from nitrogen leaching and runoff of manure to soils</v>
      </c>
      <c r="N571" s="205"/>
      <c r="O571" s="166"/>
      <c r="P571" s="167" t="str">
        <v>t N2O</v>
      </c>
      <c r="Q571" s="169" t="str">
        <v>Calculated</v>
      </c>
      <c r="R571" s="167">
        <f>VEERG_5_5_1_1__1_FertiliserLeachingAndRunoffN2OEmissions_Result_Method2</f>
        <v>8.2971428571428554E-3</v>
      </c>
    </row>
    <row r="573" spans="4:18" ht="20.25" x14ac:dyDescent="0.25">
      <c r="D573" s="179" t="s">
        <v>742</v>
      </c>
      <c r="E573" s="177" cm="1">
        <f t="array" ref="E573">Scope3_Equations.VEERG_15_13_1_1__1_EmissionsFromManureSentOffSite(J569,J570,J571)</f>
        <v>1.4315714285714286E-2</v>
      </c>
      <c r="F573" s="178" t="str">
        <f>$E$565</f>
        <v>t N2O</v>
      </c>
      <c r="L573" s="179" t="s">
        <v>742</v>
      </c>
      <c r="M573" s="177" cm="1">
        <f t="array" ref="M573">Scope3_Equations.VEERG_15_13_1_1__1_EmissionsFromManureSentOffSite(R569,R570,R571)</f>
        <v>2.8631428571428572E-2</v>
      </c>
      <c r="N573" s="178" t="str">
        <f>$E$565</f>
        <v>t N2O</v>
      </c>
    </row>
    <row r="575" spans="4:18" x14ac:dyDescent="0.25">
      <c r="D575" s="206" t="str" cm="1">
        <f t="array" ref="D575:E576">Common_Equations.Common_ConvertN2OToCO2e_Arguments()</f>
        <v>EN2O</v>
      </c>
      <c r="E575" s="207" t="str">
        <v>Nitrous oxide emissions (t N2O)</v>
      </c>
      <c r="F575" s="208"/>
      <c r="G575" s="49">
        <f>E573</f>
        <v>1.4315714285714286E-2</v>
      </c>
      <c r="L575" s="206" t="str" cm="1">
        <f t="array" ref="L575:M576">Common_Equations.Common_ConvertN2OToCO2e_Arguments()</f>
        <v>EN2O</v>
      </c>
      <c r="M575" s="207" t="str">
        <v>Nitrous oxide emissions (t N2O)</v>
      </c>
      <c r="N575" s="208"/>
      <c r="O575" s="49">
        <f>M573</f>
        <v>2.8631428571428572E-2</v>
      </c>
    </row>
    <row r="576" spans="4:18" x14ac:dyDescent="0.25">
      <c r="D576" s="206" t="str">
        <v>GWPN2O</v>
      </c>
      <c r="E576" s="207" t="str">
        <v>Global warming potential for nitrous oxide (t CO2-e / t N2O)</v>
      </c>
      <c r="F576" s="208"/>
      <c r="G576" s="49">
        <f>Common_InputFunctions.Utility_LookupValueInTableNumber("N2O",Table_GWPData[Gas],Table_GWPData[CO2-e factor])</f>
        <v>265</v>
      </c>
      <c r="L576" s="206" t="str">
        <v>GWPN2O</v>
      </c>
      <c r="M576" s="207" t="str">
        <v>Global warming potential for nitrous oxide (t CO2-e / t N2O)</v>
      </c>
      <c r="N576" s="208"/>
      <c r="O576" s="49">
        <f>Common_InputFunctions.Utility_LookupValueInTableNumber("N2O",Table_GWPData[Gas],Table_GWPData[CO2-e factor])</f>
        <v>265</v>
      </c>
    </row>
    <row r="578" spans="3:41" ht="18.75" x14ac:dyDescent="0.25">
      <c r="D578" s="98" t="s">
        <v>747</v>
      </c>
      <c r="E578" s="98" cm="1">
        <f t="array" ref="E578">Common_Equations.Common_ConvertN2OToCO2e(G575,G576)</f>
        <v>3.7936642857142857</v>
      </c>
      <c r="F578" s="175" t="str" cm="1">
        <f t="array" ref="F578">Common_Equations.Common_ConvertN2OToCO2e_Unit()</f>
        <v>t CO2e</v>
      </c>
      <c r="L578" s="98" t="s">
        <v>747</v>
      </c>
      <c r="M578" s="98" cm="1">
        <f t="array" ref="M578">Common_Equations.Common_ConvertN2OToCO2e(O575,O576)</f>
        <v>7.5873285714285714</v>
      </c>
      <c r="N578" s="175" t="str" cm="1">
        <f t="array" ref="N578">Common_Equations.Common_ConvertN2OToCO2e_Unit()</f>
        <v>t CO2e</v>
      </c>
    </row>
    <row r="581" spans="3:41" x14ac:dyDescent="0.25">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7" t="s">
        <v>627</v>
      </c>
      <c r="E585" s="8" t="str" cm="1">
        <f t="array" ref="E585">Scope3_Equations.VEERG_15_13_1_3__1_EmissionsFromSolidWasteTreatmentFacility_Variable()</f>
        <v>E</v>
      </c>
    </row>
    <row r="586" spans="3:41" x14ac:dyDescent="0.25">
      <c r="D586" s="27" t="s">
        <v>96</v>
      </c>
      <c r="E586" s="13" t="str" cm="1">
        <f t="array" ref="E586">Scope3_Equations.VEERG_15_13_1_3__1_EmissionsFromSolidWasteTreatmentFacility_Unit()</f>
        <v>t CO2e</v>
      </c>
    </row>
    <row r="588" spans="3:41" ht="20.25" x14ac:dyDescent="0.25">
      <c r="D588" s="179" t="s">
        <v>742</v>
      </c>
      <c r="E588" s="177">
        <f>VEERG_10_1_1_1__1_EmissionsFromWasteManagement_Scope3_Result_Method1</f>
        <v>441.15000000000003</v>
      </c>
      <c r="F588" s="178" t="str">
        <f>E586</f>
        <v>t CO2e</v>
      </c>
    </row>
    <row r="591" spans="3:41" x14ac:dyDescent="0.25">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c r="AD591" s="98"/>
      <c r="AE591" s="98"/>
      <c r="AF591" s="98"/>
      <c r="AG591" s="98"/>
      <c r="AH591" s="98"/>
      <c r="AI591" s="98"/>
      <c r="AJ591" s="98"/>
      <c r="AK591" s="98"/>
      <c r="AL591" s="98"/>
      <c r="AM591" s="98"/>
      <c r="AN591" s="98"/>
      <c r="AO591" s="98"/>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2" t="s">
        <v>626</v>
      </c>
      <c r="E594" s="172" t="str" cm="1">
        <f t="array" aca="1" ref="E594" ca="1">Common_InputFunctions.Utility_DisplayFunctionName(J609)</f>
        <v>=Scope3_Equations.VEERG_15_14_1_1__1_EmbeddedEmissionsFromUpstreamFreight</v>
      </c>
    </row>
    <row r="598" spans="4:13" x14ac:dyDescent="0.25">
      <c r="D598" s="27" t="s">
        <v>627</v>
      </c>
      <c r="E598" s="8" t="str" cm="1">
        <f t="array" ref="E598">Scope3_Equations.VEERG_15_14_1_1__1_EmbeddedEmissionsFromUpstreamFreight_Variable()</f>
        <v>E</v>
      </c>
    </row>
    <row r="599" spans="4:13" x14ac:dyDescent="0.25">
      <c r="D599" s="27" t="s">
        <v>96</v>
      </c>
      <c r="E599" s="13" t="str" cm="1">
        <f t="array" ref="E599">Scope3_Equations.VEERG_15_14_1_1__1_EmbeddedEmissionsFromUpstreamFreight_Unit()</f>
        <v>t CO2e</v>
      </c>
    </row>
    <row r="601" spans="4:13" x14ac:dyDescent="0.25">
      <c r="D601" s="167" t="str" cm="1">
        <f t="array" ref="D601:E604">_xlfn.CHOOSECOLS(Scope3_Equations.VEERG_15_14_1_1__1_EmbeddedEmissionsFromUpstreamFreight_Arguments(),1,2)</f>
        <v>W_f</v>
      </c>
      <c r="E601" s="171" t="str">
        <v>total mass of goods transported per freight type f</v>
      </c>
      <c r="F601" s="166"/>
      <c r="G601" s="167" t="str" cm="1">
        <f t="array" ref="G601:H604">_xlfn.CHOOSECOLS(Scope3_Equations.VEERG_15_14_1_1__1_EmbeddedEmissionsFromUpstreamFreight_Arguments(),3,4)</f>
        <v>t</v>
      </c>
      <c r="H601" s="168" t="str">
        <v>Input</v>
      </c>
    </row>
    <row r="602" spans="4:13" x14ac:dyDescent="0.25">
      <c r="D602" s="167" t="str">
        <v>D_f</v>
      </c>
      <c r="E602" s="171" t="str">
        <v>total distance transported per freight type f</v>
      </c>
      <c r="F602" s="166"/>
      <c r="G602" s="167" t="str">
        <v>km</v>
      </c>
      <c r="H602" s="168" t="str">
        <v>Input</v>
      </c>
    </row>
    <row r="603" spans="4:13" x14ac:dyDescent="0.25">
      <c r="D603" s="167" t="str">
        <v>EF_f</v>
      </c>
      <c r="E603" s="171" t="str">
        <v>emission factor for freight type f</v>
      </c>
      <c r="F603" s="166"/>
      <c r="G603" s="167" t="str">
        <v>t CO2e/(t km)</v>
      </c>
      <c r="H603" s="169" t="str">
        <v>Constant</v>
      </c>
    </row>
    <row r="604" spans="4:13" x14ac:dyDescent="0.25">
      <c r="D604" s="167" t="str">
        <v>f</v>
      </c>
      <c r="E604" s="171" t="str">
        <v>freight type</v>
      </c>
      <c r="F604" s="166"/>
      <c r="G604" s="167" t="str">
        <v/>
      </c>
      <c r="H604" s="168" t="str">
        <v>Input</v>
      </c>
    </row>
    <row r="606" spans="4:13" ht="18.75" x14ac:dyDescent="0.25">
      <c r="D606" s="144" t="s">
        <v>803</v>
      </c>
    </row>
    <row r="608" spans="4:13" ht="17.25" x14ac:dyDescent="0.25">
      <c r="D608" s="46" t="s">
        <v>804</v>
      </c>
      <c r="E608" s="46" t="s">
        <v>816</v>
      </c>
      <c r="F608" s="46" t="s">
        <v>817</v>
      </c>
      <c r="G608" s="57" t="s">
        <v>818</v>
      </c>
      <c r="H608" s="57" t="s">
        <v>633</v>
      </c>
      <c r="I608" s="46" t="s">
        <v>669</v>
      </c>
      <c r="J608" s="57" t="s">
        <v>635</v>
      </c>
      <c r="K608" s="46" t="s">
        <v>629</v>
      </c>
      <c r="L608" s="46" t="s">
        <v>630</v>
      </c>
      <c r="M608" s="46" t="s">
        <v>631</v>
      </c>
    </row>
    <row r="609" spans="4:13" x14ac:dyDescent="0.25">
      <c r="D609" s="49" t="str" cm="1">
        <f t="array" ref="D609:D618">IFERROR(INDEX(Table_Input_FreightIncoming[Route name], _xlfn.SEQUENCE(10)), "")</f>
        <v>Melbourne depot to farm depot weekly</v>
      </c>
      <c r="E609" s="49" cm="1">
        <f t="array" ref="E609:E618">IFERROR(INDEX(Table_Input_FreightIncoming[Average weight of freight per trip (t)], _xlfn.SEQUENCE(10)), "")</f>
        <v>10</v>
      </c>
      <c r="F609" s="49" cm="1">
        <f t="array" ref="F609:F618">IFERROR(INDEX(Table_Input_FreightIncoming[Route distance (km)], _xlfn.SEQUENCE(10))*INDEX(Table_Input_FreightIncoming[Number of trips taken], _xlfn.SEQUENCE(10)), "")</f>
        <v>51272</v>
      </c>
      <c r="G609" s="49" t="s">
        <v>819</v>
      </c>
      <c r="H609" s="49" t="s">
        <v>819</v>
      </c>
      <c r="I609" s="66">
        <v>10</v>
      </c>
      <c r="J609" s="49" cm="1">
        <f t="array" ref="J609">Scope3_Equations.VEERG_15_14_1_1__1_EmbeddedEmissionsFromUpstreamFreight(E609,F609,I609)</f>
        <v>5127200</v>
      </c>
      <c r="K609" s="82"/>
      <c r="L609" s="47"/>
      <c r="M609" s="82"/>
    </row>
    <row r="610" spans="4:13" x14ac:dyDescent="0.25">
      <c r="D610" s="49" t="str">
        <v>Fertiliser supplier to farm</v>
      </c>
      <c r="E610" s="49">
        <v>10</v>
      </c>
      <c r="F610" s="49">
        <v>390</v>
      </c>
      <c r="G610" s="49" t="s">
        <v>819</v>
      </c>
      <c r="H610" s="49" t="s">
        <v>819</v>
      </c>
      <c r="I610" s="66">
        <v>5</v>
      </c>
      <c r="J610" s="49" cm="1">
        <f t="array" ref="J610">Scope3_Equations.VEERG_15_14_1_1__1_EmbeddedEmissionsFromUpstreamFreight(E610,F610,I610)</f>
        <v>19500</v>
      </c>
      <c r="K610" s="82"/>
      <c r="L610" s="47"/>
      <c r="M610" s="82"/>
    </row>
    <row r="611" spans="4:13" x14ac:dyDescent="0.25">
      <c r="D611" s="49">
        <v>0</v>
      </c>
      <c r="E611" s="49">
        <v>0</v>
      </c>
      <c r="F611" s="49">
        <v>0</v>
      </c>
      <c r="G611" s="49" t="s">
        <v>819</v>
      </c>
      <c r="H611" s="49" t="s">
        <v>819</v>
      </c>
      <c r="I611" s="66"/>
      <c r="J611" s="49" cm="1">
        <f t="array" ref="J611">Scope3_Equations.VEERG_15_14_1_1__1_EmbeddedEmissionsFromUpstreamFreight(E611,F611,I611)</f>
        <v>0</v>
      </c>
      <c r="K611" s="82"/>
      <c r="L611" s="47"/>
      <c r="M611" s="82"/>
    </row>
    <row r="612" spans="4:13" x14ac:dyDescent="0.25">
      <c r="D612" s="49">
        <v>0</v>
      </c>
      <c r="E612" s="49">
        <v>0</v>
      </c>
      <c r="F612" s="49">
        <v>0</v>
      </c>
      <c r="G612" s="49" t="s">
        <v>819</v>
      </c>
      <c r="H612" s="49" t="s">
        <v>819</v>
      </c>
      <c r="I612" s="66"/>
      <c r="J612" s="49" cm="1">
        <f t="array" ref="J612">Scope3_Equations.VEERG_15_14_1_1__1_EmbeddedEmissionsFromUpstreamFreight(E612,F612,I612)</f>
        <v>0</v>
      </c>
      <c r="K612" s="82"/>
      <c r="L612" s="47"/>
      <c r="M612" s="82"/>
    </row>
    <row r="613" spans="4:13" x14ac:dyDescent="0.25">
      <c r="D613" s="49">
        <v>0</v>
      </c>
      <c r="E613" s="49">
        <v>0</v>
      </c>
      <c r="F613" s="49">
        <v>0</v>
      </c>
      <c r="G613" s="49" t="s">
        <v>819</v>
      </c>
      <c r="H613" s="49" t="s">
        <v>819</v>
      </c>
      <c r="I613" s="66"/>
      <c r="J613" s="49" cm="1">
        <f t="array" ref="J613">Scope3_Equations.VEERG_15_14_1_1__1_EmbeddedEmissionsFromUpstreamFreight(E613,F613,I613)</f>
        <v>0</v>
      </c>
      <c r="K613" s="82"/>
      <c r="L613" s="47"/>
      <c r="M613" s="82"/>
    </row>
    <row r="614" spans="4:13" x14ac:dyDescent="0.25">
      <c r="D614" s="49">
        <v>0</v>
      </c>
      <c r="E614" s="49">
        <v>0</v>
      </c>
      <c r="F614" s="49">
        <v>0</v>
      </c>
      <c r="G614" s="49" t="s">
        <v>819</v>
      </c>
      <c r="H614" s="49" t="s">
        <v>819</v>
      </c>
      <c r="I614" s="66"/>
      <c r="J614" s="49" cm="1">
        <f t="array" ref="J614">Scope3_Equations.VEERG_15_14_1_1__1_EmbeddedEmissionsFromUpstreamFreight(E614,F614,I614)</f>
        <v>0</v>
      </c>
      <c r="K614" s="82"/>
      <c r="L614" s="47"/>
      <c r="M614" s="82"/>
    </row>
    <row r="615" spans="4:13" x14ac:dyDescent="0.25">
      <c r="D615" s="49">
        <v>0</v>
      </c>
      <c r="E615" s="49">
        <v>0</v>
      </c>
      <c r="F615" s="49">
        <v>0</v>
      </c>
      <c r="G615" s="49" t="s">
        <v>819</v>
      </c>
      <c r="H615" s="49" t="s">
        <v>819</v>
      </c>
      <c r="I615" s="66"/>
      <c r="J615" s="49" cm="1">
        <f t="array" ref="J615">Scope3_Equations.VEERG_15_14_1_1__1_EmbeddedEmissionsFromUpstreamFreight(E615,F615,I615)</f>
        <v>0</v>
      </c>
      <c r="K615" s="82"/>
      <c r="L615" s="47"/>
      <c r="M615" s="82"/>
    </row>
    <row r="616" spans="4:13" x14ac:dyDescent="0.25">
      <c r="D616" s="49">
        <v>0</v>
      </c>
      <c r="E616" s="49">
        <v>0</v>
      </c>
      <c r="F616" s="49">
        <v>0</v>
      </c>
      <c r="G616" s="49" t="s">
        <v>819</v>
      </c>
      <c r="H616" s="49" t="s">
        <v>819</v>
      </c>
      <c r="I616" s="66"/>
      <c r="J616" s="49" cm="1">
        <f t="array" ref="J616">Scope3_Equations.VEERG_15_14_1_1__1_EmbeddedEmissionsFromUpstreamFreight(E616,F616,I616)</f>
        <v>0</v>
      </c>
      <c r="K616" s="82"/>
      <c r="L616" s="47"/>
      <c r="M616" s="82"/>
    </row>
    <row r="617" spans="4:13" x14ac:dyDescent="0.25">
      <c r="D617" s="49">
        <v>0</v>
      </c>
      <c r="E617" s="49">
        <v>0</v>
      </c>
      <c r="F617" s="49">
        <v>0</v>
      </c>
      <c r="G617" s="49" t="s">
        <v>819</v>
      </c>
      <c r="H617" s="49" t="s">
        <v>819</v>
      </c>
      <c r="I617" s="66"/>
      <c r="J617" s="49" cm="1">
        <f t="array" ref="J617">Scope3_Equations.VEERG_15_14_1_1__1_EmbeddedEmissionsFromUpstreamFreight(E617,F617,I617)</f>
        <v>0</v>
      </c>
      <c r="K617" s="82"/>
      <c r="L617" s="47"/>
      <c r="M617" s="82"/>
    </row>
    <row r="618" spans="4:13" x14ac:dyDescent="0.25">
      <c r="D618" s="49">
        <v>0</v>
      </c>
      <c r="E618" s="49">
        <v>0</v>
      </c>
      <c r="F618" s="49">
        <v>0</v>
      </c>
      <c r="G618" s="49" t="s">
        <v>819</v>
      </c>
      <c r="H618" s="49" t="s">
        <v>819</v>
      </c>
      <c r="I618" s="66"/>
      <c r="J618" s="49" cm="1">
        <f t="array" ref="J618">Scope3_Equations.VEERG_15_14_1_1__1_EmbeddedEmissionsFromUpstreamFreight(E618,F618,I618)</f>
        <v>0</v>
      </c>
      <c r="K618" s="82"/>
      <c r="L618" s="47"/>
      <c r="M618" s="82"/>
    </row>
    <row r="620" spans="4:13" x14ac:dyDescent="0.25">
      <c r="D620" s="174" t="s">
        <v>822</v>
      </c>
      <c r="E620" s="98" t="s">
        <v>819</v>
      </c>
      <c r="F620" s="175" t="str">
        <f>$E$104</f>
        <v>t CO2e</v>
      </c>
    </row>
    <row r="621" spans="4:13" x14ac:dyDescent="0.25">
      <c r="D621" s="174" t="s">
        <v>823</v>
      </c>
      <c r="E621" s="98">
        <f>SUM(J609:J618)</f>
        <v>5146700</v>
      </c>
      <c r="F621" s="175" t="str">
        <f>$E$104</f>
        <v>t CO2e</v>
      </c>
    </row>
    <row r="624" spans="4:13" ht="18.75" x14ac:dyDescent="0.25">
      <c r="D624" s="144" t="s">
        <v>811</v>
      </c>
    </row>
    <row r="626" spans="4:13" ht="17.25" x14ac:dyDescent="0.25">
      <c r="D626" s="46" t="s">
        <v>804</v>
      </c>
      <c r="E626" s="46" t="s">
        <v>816</v>
      </c>
      <c r="F626" s="46" t="s">
        <v>817</v>
      </c>
      <c r="G626" s="57" t="s">
        <v>818</v>
      </c>
      <c r="H626" s="57" t="s">
        <v>633</v>
      </c>
      <c r="I626" s="46" t="s">
        <v>669</v>
      </c>
      <c r="J626" s="57" t="s">
        <v>635</v>
      </c>
      <c r="K626" s="46" t="s">
        <v>629</v>
      </c>
      <c r="L626" s="46" t="s">
        <v>630</v>
      </c>
      <c r="M626" s="46" t="s">
        <v>631</v>
      </c>
    </row>
    <row r="627" spans="4:13" x14ac:dyDescent="0.25">
      <c r="D627" s="49" t="str" cm="1">
        <f t="array" ref="D627:D636">IFERROR(INDEX(Table_Input_FreightOutgoing[Route name], _xlfn.SEQUENCE(10)), "")</f>
        <v>Farm to bulk handler</v>
      </c>
      <c r="E627" s="49" cm="1">
        <f t="array" ref="E627:E636">IFERROR(INDEX(Table_Input_FreightOutgoing[Average weight of freight per trip (t)], _xlfn.SEQUENCE(10)), "")</f>
        <v>20</v>
      </c>
      <c r="F627" s="49" cm="1">
        <f t="array" ref="F627:F636">IFERROR(INDEX(Table_Input_FreightOutgoing[Route distance (km)], _xlfn.SEQUENCE(10))*INDEX(Table_Input_FreightOutgoing[Number of trips taken], _xlfn.SEQUENCE(10)), "")</f>
        <v>3380</v>
      </c>
      <c r="G627" s="49" t="s">
        <v>819</v>
      </c>
      <c r="H627" s="49" t="s">
        <v>819</v>
      </c>
      <c r="I627" s="66">
        <v>6.4</v>
      </c>
      <c r="J627" s="49" cm="1">
        <f t="array" ref="J627">Scope3_Equations.VEERG_15_14_1_1__1_EmbeddedEmissionsFromUpstreamFreight(E627,F627,I627)</f>
        <v>432640</v>
      </c>
      <c r="K627" s="82"/>
      <c r="L627" s="47"/>
      <c r="M627" s="82"/>
    </row>
    <row r="628" spans="4:13" x14ac:dyDescent="0.25">
      <c r="D628" s="49">
        <v>0</v>
      </c>
      <c r="E628" s="49">
        <v>0</v>
      </c>
      <c r="F628" s="49">
        <v>0</v>
      </c>
      <c r="G628" s="49" t="s">
        <v>819</v>
      </c>
      <c r="H628" s="49" t="s">
        <v>819</v>
      </c>
      <c r="I628" s="66"/>
      <c r="J628" s="49" cm="1">
        <f t="array" ref="J628">Scope3_Equations.VEERG_15_14_1_1__1_EmbeddedEmissionsFromUpstreamFreight(E628,F628,I628)</f>
        <v>0</v>
      </c>
      <c r="K628" s="82"/>
      <c r="L628" s="47"/>
      <c r="M628" s="82"/>
    </row>
    <row r="629" spans="4:13" x14ac:dyDescent="0.25">
      <c r="D629" s="49">
        <v>0</v>
      </c>
      <c r="E629" s="49">
        <v>0</v>
      </c>
      <c r="F629" s="49">
        <v>0</v>
      </c>
      <c r="G629" s="49" t="s">
        <v>819</v>
      </c>
      <c r="H629" s="49" t="s">
        <v>819</v>
      </c>
      <c r="I629" s="66"/>
      <c r="J629" s="49" cm="1">
        <f t="array" ref="J629">Scope3_Equations.VEERG_15_14_1_1__1_EmbeddedEmissionsFromUpstreamFreight(E629,F629,I629)</f>
        <v>0</v>
      </c>
      <c r="K629" s="82"/>
      <c r="L629" s="47"/>
      <c r="M629" s="82"/>
    </row>
    <row r="630" spans="4:13" x14ac:dyDescent="0.25">
      <c r="D630" s="49">
        <v>0</v>
      </c>
      <c r="E630" s="49">
        <v>0</v>
      </c>
      <c r="F630" s="49">
        <v>0</v>
      </c>
      <c r="G630" s="49" t="s">
        <v>819</v>
      </c>
      <c r="H630" s="49" t="s">
        <v>819</v>
      </c>
      <c r="I630" s="66"/>
      <c r="J630" s="49" cm="1">
        <f t="array" ref="J630">Scope3_Equations.VEERG_15_14_1_1__1_EmbeddedEmissionsFromUpstreamFreight(E630,F630,I630)</f>
        <v>0</v>
      </c>
      <c r="K630" s="82"/>
      <c r="L630" s="47"/>
      <c r="M630" s="82"/>
    </row>
    <row r="631" spans="4:13" x14ac:dyDescent="0.25">
      <c r="D631" s="49">
        <v>0</v>
      </c>
      <c r="E631" s="49">
        <v>0</v>
      </c>
      <c r="F631" s="49">
        <v>0</v>
      </c>
      <c r="G631" s="49" t="s">
        <v>819</v>
      </c>
      <c r="H631" s="49" t="s">
        <v>819</v>
      </c>
      <c r="I631" s="66"/>
      <c r="J631" s="49" cm="1">
        <f t="array" ref="J631">Scope3_Equations.VEERG_15_14_1_1__1_EmbeddedEmissionsFromUpstreamFreight(E631,F631,I631)</f>
        <v>0</v>
      </c>
      <c r="K631" s="82"/>
      <c r="L631" s="47"/>
      <c r="M631" s="82"/>
    </row>
    <row r="632" spans="4:13" x14ac:dyDescent="0.25">
      <c r="D632" s="49">
        <v>0</v>
      </c>
      <c r="E632" s="49">
        <v>0</v>
      </c>
      <c r="F632" s="49">
        <v>0</v>
      </c>
      <c r="G632" s="49" t="s">
        <v>819</v>
      </c>
      <c r="H632" s="49" t="s">
        <v>819</v>
      </c>
      <c r="I632" s="66"/>
      <c r="J632" s="49" cm="1">
        <f t="array" ref="J632">Scope3_Equations.VEERG_15_14_1_1__1_EmbeddedEmissionsFromUpstreamFreight(E632,F632,I632)</f>
        <v>0</v>
      </c>
      <c r="K632" s="82"/>
      <c r="L632" s="47"/>
      <c r="M632" s="82"/>
    </row>
    <row r="633" spans="4:13" x14ac:dyDescent="0.25">
      <c r="D633" s="49">
        <v>0</v>
      </c>
      <c r="E633" s="49">
        <v>0</v>
      </c>
      <c r="F633" s="49">
        <v>0</v>
      </c>
      <c r="G633" s="49" t="s">
        <v>819</v>
      </c>
      <c r="H633" s="49" t="s">
        <v>819</v>
      </c>
      <c r="I633" s="66"/>
      <c r="J633" s="49" cm="1">
        <f t="array" ref="J633">Scope3_Equations.VEERG_15_14_1_1__1_EmbeddedEmissionsFromUpstreamFreight(E633,F633,I633)</f>
        <v>0</v>
      </c>
      <c r="K633" s="82"/>
      <c r="L633" s="47"/>
      <c r="M633" s="82"/>
    </row>
    <row r="634" spans="4:13" x14ac:dyDescent="0.25">
      <c r="D634" s="49">
        <v>0</v>
      </c>
      <c r="E634" s="49">
        <v>0</v>
      </c>
      <c r="F634" s="49">
        <v>0</v>
      </c>
      <c r="G634" s="49" t="s">
        <v>819</v>
      </c>
      <c r="H634" s="49" t="s">
        <v>819</v>
      </c>
      <c r="I634" s="66"/>
      <c r="J634" s="49" cm="1">
        <f t="array" ref="J634">Scope3_Equations.VEERG_15_14_1_1__1_EmbeddedEmissionsFromUpstreamFreight(E634,F634,I634)</f>
        <v>0</v>
      </c>
      <c r="K634" s="82"/>
      <c r="L634" s="47"/>
      <c r="M634" s="82"/>
    </row>
    <row r="635" spans="4:13" x14ac:dyDescent="0.25">
      <c r="D635" s="49">
        <v>0</v>
      </c>
      <c r="E635" s="49">
        <v>0</v>
      </c>
      <c r="F635" s="49">
        <v>0</v>
      </c>
      <c r="G635" s="49" t="s">
        <v>819</v>
      </c>
      <c r="H635" s="49" t="s">
        <v>819</v>
      </c>
      <c r="I635" s="66"/>
      <c r="J635" s="49" cm="1">
        <f t="array" ref="J635">Scope3_Equations.VEERG_15_14_1_1__1_EmbeddedEmissionsFromUpstreamFreight(E635,F635,I635)</f>
        <v>0</v>
      </c>
      <c r="K635" s="82"/>
      <c r="L635" s="47"/>
      <c r="M635" s="82"/>
    </row>
    <row r="636" spans="4:13" x14ac:dyDescent="0.25">
      <c r="D636" s="49">
        <v>0</v>
      </c>
      <c r="E636" s="49">
        <v>0</v>
      </c>
      <c r="F636" s="49">
        <v>0</v>
      </c>
      <c r="G636" s="49" t="s">
        <v>819</v>
      </c>
      <c r="H636" s="49" t="s">
        <v>819</v>
      </c>
      <c r="I636" s="66"/>
      <c r="J636" s="49" cm="1">
        <f t="array" ref="J636">Scope3_Equations.VEERG_15_14_1_1__1_EmbeddedEmissionsFromUpstreamFreight(E636,F636,I636)</f>
        <v>0</v>
      </c>
      <c r="K636" s="82"/>
      <c r="L636" s="47"/>
      <c r="M636" s="82"/>
    </row>
    <row r="638" spans="4:13" x14ac:dyDescent="0.25">
      <c r="D638" s="174" t="s">
        <v>820</v>
      </c>
      <c r="E638" s="98" t="s">
        <v>819</v>
      </c>
      <c r="F638" s="175" t="str">
        <f>$E$104</f>
        <v>t CO2e</v>
      </c>
    </row>
    <row r="639" spans="4:13" x14ac:dyDescent="0.25">
      <c r="D639" s="174" t="s">
        <v>821</v>
      </c>
      <c r="E639" s="98">
        <f>SUM(J627:J636)</f>
        <v>432640</v>
      </c>
      <c r="F639" s="175" t="str">
        <f>$E$104</f>
        <v>t CO2e</v>
      </c>
    </row>
    <row r="641" spans="4:6" ht="20.25" x14ac:dyDescent="0.25">
      <c r="D641" s="176" t="s">
        <v>633</v>
      </c>
      <c r="E641" s="177" t="s">
        <v>819</v>
      </c>
      <c r="F641" s="178" t="str">
        <f>$E$104</f>
        <v>t CO2e</v>
      </c>
    </row>
    <row r="642" spans="4:6" ht="20.25" x14ac:dyDescent="0.25">
      <c r="D642" s="176" t="s">
        <v>635</v>
      </c>
      <c r="E642" s="177">
        <f>E621+E639</f>
        <v>5579340</v>
      </c>
      <c r="F642" s="178"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8C732-ACA7-4896-9719-92E65B9FFA5D}">
  <sheetPr>
    <tabColor rgb="FF008000"/>
  </sheetPr>
  <dimension ref="A1:L342"/>
  <sheetViews>
    <sheetView showGridLines="0" topLeftCell="A174"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7" t="e" vm="1">
        <v>#VALUE!</v>
      </c>
      <c r="C1" s="1" t="s">
        <v>788</v>
      </c>
    </row>
    <row r="2" spans="1:12" s="2" customFormat="1" ht="20.100000000000001" customHeight="1" x14ac:dyDescent="0.25">
      <c r="A2"/>
    </row>
    <row r="3" spans="1:12" ht="20.100000000000001" customHeight="1" x14ac:dyDescent="0.25">
      <c r="A3" s="16" t="str">
        <f>HYPERLINK("#'Overview'!A1", "Overview")</f>
        <v>Overview</v>
      </c>
      <c r="C3" s="5"/>
      <c r="D3" s="5" t="s">
        <v>407</v>
      </c>
      <c r="E3" s="5"/>
      <c r="F3" s="5"/>
      <c r="G3" s="5"/>
      <c r="H3" s="5"/>
      <c r="I3" s="5"/>
      <c r="J3" s="5"/>
      <c r="K3" s="5"/>
      <c r="L3" s="5"/>
    </row>
    <row r="4" spans="1:12" ht="20.100000000000001" customHeight="1" x14ac:dyDescent="0.25">
      <c r="A4" s="16" t="str">
        <f>HYPERLINK("#'Results'!A1", "Results")</f>
        <v>Results</v>
      </c>
    </row>
    <row r="5" spans="1:12" ht="20.100000000000001" customHeight="1" x14ac:dyDescent="0.25">
      <c r="A5"/>
      <c r="D5" s="9" t="str" cm="1">
        <f t="array" ref="D5">WasteSolid_Equations.VEERG_10_1_1_1__2_MassOfWasteFromVolume_Title()</f>
        <v>Mass of waste from waste volume</v>
      </c>
    </row>
    <row r="6" spans="1:12" ht="20.100000000000001" customHeight="1" x14ac:dyDescent="0.25">
      <c r="A6"/>
      <c r="D6" s="11" t="str" cm="1">
        <f t="array" ref="D6">WasteSolid_Equations.VEERG_10_1_1_1__2_MassOfWasteFromVolume_Source()</f>
        <v>VEERG 2026: 10.1.1.1, Equation (2)</v>
      </c>
    </row>
    <row r="7" spans="1:12" ht="20.100000000000001" customHeight="1" x14ac:dyDescent="0.25">
      <c r="A7" s="19" t="s">
        <v>67</v>
      </c>
      <c r="D7" s="172" t="s">
        <v>626</v>
      </c>
      <c r="E7" s="172"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627</v>
      </c>
      <c r="E10" s="8" t="str" cm="1">
        <f t="array" ref="E10">WasteSolid_Equations.VEERG_10_1_1_1__2_MassOfWasteFromVolume_Variable()</f>
        <v>Q_wt</v>
      </c>
    </row>
    <row r="11" spans="1:12" ht="20.100000000000001" customHeight="1" x14ac:dyDescent="0.25">
      <c r="A11" s="16" t="str">
        <f>HYPERLINK("#'Input - Farm Inputs'!A1", "Farm Inputs")</f>
        <v>Farm Inputs</v>
      </c>
      <c r="D11" s="27" t="s">
        <v>96</v>
      </c>
      <c r="E11" s="13" t="str" cm="1">
        <f t="array" ref="E11">WasteSolid_Equations.VEERG_10_1_1_1__2_MassOfWasteFromVolume_Unit()</f>
        <v>t</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c r="D13" s="167" t="str" cm="1">
        <f t="array" ref="D13:E16">_xlfn.CHOOSECOLS(WasteSolid_Equations.VEERG_10_1_1_1__2_MassOfWasteFromVolume_Arguments(),1,2)</f>
        <v>V_wt</v>
      </c>
      <c r="E13" s="171" t="str">
        <v>volume of solid waste type w being sent to treatment facility t</v>
      </c>
      <c r="F13" s="166"/>
      <c r="G13" s="167" t="str" cm="1">
        <f t="array" ref="G13:H16">_xlfn.CHOOSECOLS(WasteSolid_Equations.VEERG_10_1_1_1__2_MassOfWasteFromVolume_Arguments(),3,4)</f>
        <v>m3</v>
      </c>
      <c r="H13" s="227" t="str">
        <v>Input</v>
      </c>
      <c r="I13" s="170" t="str" cm="1">
        <f t="array" aca="1" ref="I13" ca="1">HYPERLINK(Common_InputFunctions.Utility_SourceHyperlink($D$18),$D$18)</f>
        <v>Table_V_w_t_onsite</v>
      </c>
      <c r="J13" s="170" t="str" cm="1">
        <f t="array" aca="1" ref="J13" ca="1">HYPERLINK(Common_InputFunctions.Utility_SourceHyperlink($D$56),$D$56)</f>
        <v>Table_V_w_t_offsite</v>
      </c>
    </row>
    <row r="14" spans="1:12" ht="20.100000000000001" customHeight="1" x14ac:dyDescent="0.25">
      <c r="A14" s="16" t="str">
        <f>HYPERLINK("#'Input - Solid waste'!A1", "Solid waste")</f>
        <v>Solid waste</v>
      </c>
      <c r="D14" s="167" t="str">
        <v>VTM_w</v>
      </c>
      <c r="E14" s="171" t="str">
        <v>conversion factor of volume to mass for waste type w</v>
      </c>
      <c r="F14" s="166"/>
      <c r="G14" s="167" t="str">
        <v>t/m3</v>
      </c>
      <c r="H14" s="169" t="str">
        <v>Constant</v>
      </c>
      <c r="I14" s="170" t="str" cm="1">
        <f t="array" aca="1" ref="I14" ca="1">HYPERLINK(Common_InputFunctions.Utility_SourceHyperlink($D$18),$D$18)</f>
        <v>Table_V_w_t_onsite</v>
      </c>
      <c r="J14" s="170" t="str" cm="1">
        <f t="array" aca="1" ref="J14" ca="1">HYPERLINK(Common_InputFunctions.Utility_SourceHyperlink($D$56),$D$56)</f>
        <v>Table_V_w_t_offsite</v>
      </c>
    </row>
    <row r="15" spans="1:12" ht="20.100000000000001" customHeight="1" x14ac:dyDescent="0.25">
      <c r="A15" s="16" t="str">
        <f>HYPERLINK("#'Input - Manure sent off-site'!A1", "Manure sent off-site")</f>
        <v>Manure sent off-site</v>
      </c>
      <c r="D15" s="167" t="str">
        <v>w</v>
      </c>
      <c r="E15" s="171" t="str">
        <v>waste type</v>
      </c>
      <c r="F15" s="166"/>
      <c r="G15" s="167" t="str">
        <v/>
      </c>
      <c r="H15" s="227" t="str">
        <v>Input</v>
      </c>
      <c r="I15" s="170" t="str" cm="1">
        <f t="array" aca="1" ref="I15" ca="1">HYPERLINK(Common_InputFunctions.Utility_SourceHyperlink($D$18),$D$18)</f>
        <v>Table_V_w_t_onsite</v>
      </c>
      <c r="J15" s="170" t="str" cm="1">
        <f t="array" aca="1" ref="J15" ca="1">HYPERLINK(Common_InputFunctions.Utility_SourceHyperlink($D$56),$D$56)</f>
        <v>Table_V_w_t_offsite</v>
      </c>
    </row>
    <row r="16" spans="1:12" ht="20.100000000000001" customHeight="1" x14ac:dyDescent="0.25">
      <c r="A16" s="16" t="str">
        <f>HYPERLINK("#'Input - Electricity'!A1", "Electricity")</f>
        <v>Electricity</v>
      </c>
      <c r="D16" s="167" t="str">
        <v>t</v>
      </c>
      <c r="E16" s="171" t="str">
        <v>treatment facility</v>
      </c>
      <c r="F16" s="166"/>
      <c r="G16" s="167" t="str">
        <v/>
      </c>
      <c r="H16" s="227" t="str">
        <v>Input</v>
      </c>
      <c r="I16" s="170" t="str" cm="1">
        <f t="array" aca="1" ref="I16" ca="1">HYPERLINK(Common_InputFunctions.Utility_SourceHyperlink($D$18),$D$18)</f>
        <v>Table_V_w_t_onsite</v>
      </c>
      <c r="J16" s="170" t="str" cm="1">
        <f t="array" aca="1" ref="J16" ca="1">HYPERLINK(Common_InputFunctions.Utility_SourceHyperlink($D$56),$D$56)</f>
        <v>Table_V_w_t_offsite</v>
      </c>
    </row>
    <row r="17" spans="1:9" ht="20.100000000000001" customHeight="1" x14ac:dyDescent="0.25">
      <c r="A17"/>
    </row>
    <row r="18" spans="1:9" ht="20.100000000000001" customHeight="1" x14ac:dyDescent="0.25">
      <c r="A18"/>
      <c r="D18" s="55" t="s">
        <v>789</v>
      </c>
    </row>
    <row r="19" spans="1:9" ht="20.100000000000001" customHeight="1" x14ac:dyDescent="0.25">
      <c r="A19" s="21" t="s">
        <v>77</v>
      </c>
      <c r="D19" s="56" t="s">
        <v>790</v>
      </c>
    </row>
    <row r="20" spans="1:9" ht="20.100000000000001" customHeight="1" x14ac:dyDescent="0.25">
      <c r="A20" s="16" t="str">
        <f>HYPERLINK("#'15 Scope 3'!A1", "15 Scope 3")</f>
        <v>15 Scope 3</v>
      </c>
      <c r="D20" s="46" t="s">
        <v>791</v>
      </c>
      <c r="E20" s="46" t="s">
        <v>792</v>
      </c>
      <c r="F20" s="46"/>
      <c r="G20" s="46" t="s">
        <v>793</v>
      </c>
      <c r="H20" s="57" t="s">
        <v>794</v>
      </c>
      <c r="I20" s="57" t="s">
        <v>795</v>
      </c>
    </row>
    <row r="21" spans="1:9" ht="20.100000000000001" customHeight="1" x14ac:dyDescent="0.25">
      <c r="A21" s="180" t="str">
        <f>HYPERLINK("#'10.1.1-2 Solid waste treatment'!A1", "10.1.1-2 Solid waste treatment")</f>
        <v>10.1.1-2 Solid waste treatment</v>
      </c>
      <c r="D21" s="167" t="str" cm="1">
        <f t="array" ref="D21:D54">Table_SourceData_WasteSolid_WasteTreatmentEFs[Treatment type t]</f>
        <v>Landfill</v>
      </c>
      <c r="E21" s="171" t="str" cm="1">
        <f t="array" ref="E21:E54">Table_SourceData_WasteSolid_WasteTreatmentEFs[Waste type w]</f>
        <v>Food waste (including animal carcasses, spoiled animal feed or crop)</v>
      </c>
      <c r="F21" s="209"/>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25</v>
      </c>
    </row>
    <row r="22" spans="1:9" ht="20.100000000000001" customHeight="1" x14ac:dyDescent="0.25">
      <c r="A22" s="16" t="str">
        <f>HYPERLINK("#'Calcs - Manure sent off-site'!A1", "Calcs - Manure sent off-site")</f>
        <v>Calcs - Manure sent off-site</v>
      </c>
      <c r="D22" s="167" t="str">
        <v>Landfill</v>
      </c>
      <c r="E22" s="171" t="str">
        <v>Paper and cardboard</v>
      </c>
      <c r="F22" s="209"/>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4.5</v>
      </c>
    </row>
    <row r="23" spans="1:9" ht="20.100000000000001" customHeight="1" x14ac:dyDescent="0.25">
      <c r="A23" s="16" t="str">
        <f>HYPERLINK("#'8.1.1.1-2 Transport fuel'!A1", "8.1.1.1-2 Transport fuel")</f>
        <v>8.1.1.1-2 Transport fuel</v>
      </c>
      <c r="D23" s="167" t="str">
        <v>Landfill</v>
      </c>
      <c r="E23" s="171" t="str">
        <v>Green waste (including crop residues or prunings)</v>
      </c>
      <c r="F23" s="209"/>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12</v>
      </c>
    </row>
    <row r="24" spans="1:9" ht="20.100000000000001" customHeight="1" x14ac:dyDescent="0.25">
      <c r="A24" s="16" t="str">
        <f>HYPERLINK("#'8.2.1.1-2 Stationary fuel'!A1", "8.2.1.1-2 Stationary fuel")</f>
        <v>8.2.1.1-2 Stationary fuel</v>
      </c>
      <c r="D24" s="167" t="str">
        <v>Landfill</v>
      </c>
      <c r="E24" s="171" t="str">
        <v>Wood</v>
      </c>
      <c r="F24" s="209"/>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A25"/>
      <c r="D25" s="167" t="str">
        <v>Landfill</v>
      </c>
      <c r="E25" s="171" t="str">
        <v>Textiles</v>
      </c>
      <c r="F25" s="209"/>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A26"/>
      <c r="D26" s="167" t="str">
        <v>Landfill</v>
      </c>
      <c r="E26" s="171" t="str">
        <v>Sludge</v>
      </c>
      <c r="F26" s="209"/>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229" t="s">
        <v>78</v>
      </c>
      <c r="D27" s="167" t="str">
        <v>Landfill</v>
      </c>
      <c r="E27" s="171" t="str">
        <v>Rubber and leather</v>
      </c>
      <c r="F27" s="209"/>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s="16" t="str">
        <f>HYPERLINK("#'Constants - Scope 3'!A1", "Constants - Scope 3")</f>
        <v>Constants - Scope 3</v>
      </c>
      <c r="D28" s="167" t="str">
        <v>Landfill</v>
      </c>
      <c r="E28" s="171" t="str">
        <v>Inert waste (including concrete, metal, plastic or glass)</v>
      </c>
      <c r="F28" s="209"/>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s="16" t="str">
        <f>HYPERLINK("#'Constants - Solid Waste'!A1", "Constants - Solid Waste")</f>
        <v>Constants - Solid Waste</v>
      </c>
      <c r="D29" s="167" t="str">
        <v>Landfill</v>
      </c>
      <c r="E29" s="171" t="str">
        <v>Municipal solid waste</v>
      </c>
      <c r="F29" s="209"/>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16" t="str">
        <f>HYPERLINK("#'Constants - Fuel'!A1", "Constants - Fuel")</f>
        <v>Constants - Fuel</v>
      </c>
      <c r="D30" s="167" t="str">
        <v>Landfill</v>
      </c>
      <c r="E30" s="171" t="str">
        <v>Commercial and industrial waste</v>
      </c>
      <c r="F30" s="209"/>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HYPERLINK("#'Constants - Poultry'!A1", "Constants - Poultry")</f>
        <v>Constants - Poultry</v>
      </c>
      <c r="D31" s="167" t="str">
        <v>Landfill</v>
      </c>
      <c r="E31" s="171" t="str">
        <v>Construction and demolition waste</v>
      </c>
      <c r="F31" s="209"/>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HYPERLINK("#'Constants - Swine'!A1", "Constants - Swine")</f>
        <v>Constants - Swine</v>
      </c>
      <c r="D32" s="167" t="str">
        <v>Incineration</v>
      </c>
      <c r="E32" s="171" t="str">
        <v>Food waste, green waste, wood, sludge</v>
      </c>
      <c r="F32" s="209"/>
      <c r="G32" s="49" t="s">
        <v>842</v>
      </c>
      <c r="H32" s="49" t="s">
        <v>842</v>
      </c>
      <c r="I32" s="49" t="s">
        <v>842</v>
      </c>
    </row>
    <row r="33" spans="1:9" ht="20.100000000000001" customHeight="1" x14ac:dyDescent="0.25">
      <c r="A33" s="16" t="str">
        <f>HYPERLINK("#'Constants - Dairy'!A1", "Constants - Dairy")</f>
        <v>Constants - Dairy</v>
      </c>
      <c r="D33" s="167" t="str">
        <v>Incineration</v>
      </c>
      <c r="E33" s="171" t="str">
        <v>Food waste (including animal carcasses, spoiled animal feed or crop)</v>
      </c>
      <c r="F33" s="209"/>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s="16" t="str">
        <f>HYPERLINK("#'Constants - Pasture Beef'!A1", "Constants - Pasture Beef")</f>
        <v>Constants - Pasture Beef</v>
      </c>
      <c r="D34" s="167" t="str">
        <v>Incineration</v>
      </c>
      <c r="E34" s="171" t="str">
        <v>Green waste (including crop residues or prunings)</v>
      </c>
      <c r="F34" s="209"/>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24</v>
      </c>
    </row>
    <row r="35" spans="1:9" ht="20.100000000000001" customHeight="1" x14ac:dyDescent="0.25">
      <c r="A35" s="16" t="str">
        <f>HYPERLINK("#'Constants - Common Livestock'!A1", "Constants - Common Livestock")</f>
        <v>Constants - Common Livestock</v>
      </c>
      <c r="D35" s="167" t="str">
        <v>Incineration</v>
      </c>
      <c r="E35" s="171" t="str">
        <v>Wood</v>
      </c>
      <c r="F35" s="209"/>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Fertiliser'!A1", "Constants - Fertiliser")</f>
        <v>Constants - Fertiliser</v>
      </c>
      <c r="D36" s="167" t="str">
        <v>Incineration</v>
      </c>
      <c r="E36" s="171" t="str">
        <v>Sludge</v>
      </c>
      <c r="F36" s="209"/>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Electricity'!A1", "Constants - Electricity")</f>
        <v>Constants - Electricity</v>
      </c>
      <c r="D37" s="167" t="str">
        <v>Incineration</v>
      </c>
      <c r="E37" s="171" t="str">
        <v>Paper and cardboard</v>
      </c>
      <c r="F37" s="209"/>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4.5</v>
      </c>
    </row>
    <row r="38" spans="1:9" ht="20.100000000000001" customHeight="1" x14ac:dyDescent="0.25">
      <c r="A38" s="16" t="str">
        <f>HYPERLINK("#'Constants - Common'!A1", "Constants - Common")</f>
        <v>Constants - Common</v>
      </c>
      <c r="D38" s="167" t="str">
        <v>Incineration</v>
      </c>
      <c r="E38" s="171" t="str">
        <v>Textiles</v>
      </c>
      <c r="F38" s="209"/>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A39"/>
      <c r="D39" s="167" t="str">
        <v>Incineration</v>
      </c>
      <c r="E39" s="171" t="str">
        <v>Rubber and leather</v>
      </c>
      <c r="F39" s="209"/>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A40"/>
      <c r="D40" s="167" t="str">
        <v>Incineration</v>
      </c>
      <c r="E40" s="167" t="str">
        <v>Inert waste (including concrete, metal, plastic or glass)</v>
      </c>
      <c r="F40" s="167"/>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A41"/>
      <c r="D41" s="167" t="str">
        <v>Incineration</v>
      </c>
      <c r="E41" s="171" t="str">
        <v>Municipal solid waste</v>
      </c>
      <c r="F41" s="166"/>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A42"/>
      <c r="D42" s="167" t="str">
        <v>Incineration</v>
      </c>
      <c r="E42" s="171" t="str">
        <v>Commercial and industrial waste</v>
      </c>
      <c r="F42" s="166"/>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A43"/>
      <c r="D43" s="167" t="str">
        <v>Composting</v>
      </c>
      <c r="E43" s="171" t="str">
        <v>All organic waste</v>
      </c>
      <c r="F43" s="166"/>
      <c r="G43" s="49" t="s">
        <v>842</v>
      </c>
      <c r="H43" s="49" t="s">
        <v>842</v>
      </c>
      <c r="I43" s="49" t="s">
        <v>842</v>
      </c>
    </row>
    <row r="44" spans="1:9" ht="20.100000000000001" customHeight="1" x14ac:dyDescent="0.25">
      <c r="A44"/>
      <c r="D44" s="167" t="str">
        <v>Composting</v>
      </c>
      <c r="E44" s="171" t="str">
        <v>Food waste (including animal carcasses, spoiled animal feed or crop)</v>
      </c>
      <c r="F44" s="166"/>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25</v>
      </c>
    </row>
    <row r="45" spans="1:9" ht="20.100000000000001" customHeight="1" x14ac:dyDescent="0.25">
      <c r="A45"/>
      <c r="D45" s="167" t="str">
        <v>Composting</v>
      </c>
      <c r="E45" s="171" t="str">
        <v>Green waste (including crop residues or prunings)</v>
      </c>
      <c r="F45" s="166"/>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A46"/>
      <c r="D46" s="167" t="str">
        <v>Composting</v>
      </c>
      <c r="E46" s="171" t="str">
        <v>Wood</v>
      </c>
      <c r="F46" s="166"/>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A47"/>
      <c r="D47" s="167" t="str">
        <v>Composting</v>
      </c>
      <c r="E47" s="171" t="str">
        <v>Sludge</v>
      </c>
      <c r="F47" s="166"/>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A48"/>
      <c r="D48" s="167" t="str">
        <v>Composting</v>
      </c>
      <c r="E48" s="171" t="str">
        <v>Paper and cardboard</v>
      </c>
      <c r="F48" s="166"/>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4.5</v>
      </c>
    </row>
    <row r="49" spans="1:9" ht="20.100000000000001" customHeight="1" x14ac:dyDescent="0.25">
      <c r="A49"/>
      <c r="D49" s="167" t="str">
        <v>Anaerobic digestion</v>
      </c>
      <c r="E49" s="171" t="str">
        <v>All organic waste</v>
      </c>
      <c r="F49" s="166"/>
      <c r="G49" s="49" t="s">
        <v>842</v>
      </c>
      <c r="H49" s="49" t="s">
        <v>842</v>
      </c>
      <c r="I49" s="49" t="s">
        <v>842</v>
      </c>
    </row>
    <row r="50" spans="1:9" ht="20.100000000000001" customHeight="1" x14ac:dyDescent="0.25">
      <c r="A50"/>
      <c r="D50" s="167" t="str">
        <v>Anaerobic digestion</v>
      </c>
      <c r="E50" s="171" t="str">
        <v>Food waste (including animal carcasses, spoiled animal feed or crop)</v>
      </c>
      <c r="F50" s="166"/>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1:9" ht="20.100000000000001" customHeight="1" x14ac:dyDescent="0.25">
      <c r="A51"/>
      <c r="D51" s="167" t="str">
        <v>Anaerobic digestion</v>
      </c>
      <c r="E51" s="171" t="str">
        <v>Green waste (including crop residues or prunings)</v>
      </c>
      <c r="F51" s="166"/>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1:9" ht="20.100000000000001" customHeight="1" x14ac:dyDescent="0.25">
      <c r="A52"/>
      <c r="D52" s="167" t="str">
        <v>Anaerobic digestion</v>
      </c>
      <c r="E52" s="171" t="str">
        <v>Wood</v>
      </c>
      <c r="F52" s="166"/>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1:9" ht="20.100000000000001" customHeight="1" x14ac:dyDescent="0.25">
      <c r="A53"/>
      <c r="D53" s="167" t="str">
        <v>Anaerobic digestion</v>
      </c>
      <c r="E53" s="171" t="str">
        <v>Sludge</v>
      </c>
      <c r="F53" s="166"/>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1:9" ht="20.100000000000001" customHeight="1" x14ac:dyDescent="0.25">
      <c r="A54"/>
      <c r="D54" s="167" t="str">
        <v>Anaerobic digestion</v>
      </c>
      <c r="E54" s="171" t="str">
        <v>Paper and cardboard</v>
      </c>
      <c r="F54" s="166"/>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1:9" ht="20.100000000000001" customHeight="1" x14ac:dyDescent="0.25">
      <c r="A55"/>
    </row>
    <row r="56" spans="1:9" ht="20.100000000000001" customHeight="1" x14ac:dyDescent="0.25">
      <c r="A56"/>
      <c r="D56" s="55" t="s">
        <v>796</v>
      </c>
    </row>
    <row r="57" spans="1:9" ht="20.100000000000001" customHeight="1" x14ac:dyDescent="0.25">
      <c r="A57"/>
      <c r="D57" s="56" t="s">
        <v>797</v>
      </c>
    </row>
    <row r="58" spans="1:9" ht="20.100000000000001" customHeight="1" x14ac:dyDescent="0.25">
      <c r="A58"/>
      <c r="D58" s="46" t="s">
        <v>791</v>
      </c>
      <c r="E58" s="46" t="s">
        <v>792</v>
      </c>
      <c r="F58" s="46"/>
      <c r="G58" s="46" t="s">
        <v>793</v>
      </c>
      <c r="H58" s="57" t="s">
        <v>794</v>
      </c>
      <c r="I58" s="57" t="s">
        <v>795</v>
      </c>
    </row>
    <row r="59" spans="1:9" ht="20.100000000000001" customHeight="1" x14ac:dyDescent="0.25">
      <c r="A59"/>
      <c r="D59" s="167" t="str" cm="1">
        <f t="array" ref="D59:D92">Table_SourceData_WasteSolid_WasteTreatmentEFs[Treatment type t]</f>
        <v>Landfill</v>
      </c>
      <c r="E59" s="171" t="str" cm="1">
        <f t="array" ref="E59:E92">Table_SourceData_WasteSolid_WasteTreatmentEFs[Waste type w]</f>
        <v>Food waste (including animal carcasses, spoiled animal feed or crop)</v>
      </c>
      <c r="F59" s="209"/>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25</v>
      </c>
    </row>
    <row r="60" spans="1:9" ht="20.100000000000001" customHeight="1" x14ac:dyDescent="0.25">
      <c r="A60"/>
      <c r="D60" s="167" t="str">
        <v>Landfill</v>
      </c>
      <c r="E60" s="171" t="str">
        <v>Paper and cardboard</v>
      </c>
      <c r="F60" s="209"/>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4.5</v>
      </c>
    </row>
    <row r="61" spans="1:9" ht="20.100000000000001" customHeight="1" x14ac:dyDescent="0.25">
      <c r="A61"/>
      <c r="D61" s="167" t="str">
        <v>Landfill</v>
      </c>
      <c r="E61" s="171" t="str">
        <v>Green waste (including crop residues or prunings)</v>
      </c>
      <c r="F61" s="209"/>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12</v>
      </c>
    </row>
    <row r="62" spans="1:9" ht="20.100000000000001" customHeight="1" x14ac:dyDescent="0.25">
      <c r="A62"/>
      <c r="D62" s="167" t="str">
        <v>Landfill</v>
      </c>
      <c r="E62" s="171" t="str">
        <v>Wood</v>
      </c>
      <c r="F62" s="209"/>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1:9" ht="20.100000000000001" customHeight="1" x14ac:dyDescent="0.25">
      <c r="A63"/>
      <c r="D63" s="167" t="str">
        <v>Landfill</v>
      </c>
      <c r="E63" s="171" t="str">
        <v>Textiles</v>
      </c>
      <c r="F63" s="209"/>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0</v>
      </c>
    </row>
    <row r="64" spans="1:9" ht="20.100000000000001" customHeight="1" x14ac:dyDescent="0.25">
      <c r="A64"/>
      <c r="D64" s="167" t="str">
        <v>Landfill</v>
      </c>
      <c r="E64" s="171" t="str">
        <v>Sludge</v>
      </c>
      <c r="F64" s="209"/>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1:9" ht="20.100000000000001" customHeight="1" x14ac:dyDescent="0.25">
      <c r="A65"/>
      <c r="D65" s="167" t="str">
        <v>Landfill</v>
      </c>
      <c r="E65" s="171" t="str">
        <v>Rubber and leather</v>
      </c>
      <c r="F65" s="209"/>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1:9" ht="20.100000000000001" customHeight="1" x14ac:dyDescent="0.25">
      <c r="A66"/>
      <c r="D66" s="167" t="str">
        <v>Landfill</v>
      </c>
      <c r="E66" s="171" t="str">
        <v>Inert waste (including concrete, metal, plastic or glass)</v>
      </c>
      <c r="F66" s="209"/>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1:9" ht="20.100000000000001" customHeight="1" x14ac:dyDescent="0.25">
      <c r="A67"/>
      <c r="D67" s="167" t="str">
        <v>Landfill</v>
      </c>
      <c r="E67" s="171" t="str">
        <v>Municipal solid waste</v>
      </c>
      <c r="F67" s="209"/>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1:9" ht="20.100000000000001" customHeight="1" x14ac:dyDescent="0.25">
      <c r="A68"/>
      <c r="D68" s="167" t="str">
        <v>Landfill</v>
      </c>
      <c r="E68" s="171" t="str">
        <v>Commercial and industrial waste</v>
      </c>
      <c r="F68" s="209"/>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1:9" ht="20.100000000000001" customHeight="1" x14ac:dyDescent="0.25">
      <c r="A69"/>
      <c r="D69" s="167" t="str">
        <v>Landfill</v>
      </c>
      <c r="E69" s="171" t="str">
        <v>Construction and demolition waste</v>
      </c>
      <c r="F69" s="209"/>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1:9" ht="20.100000000000001" customHeight="1" x14ac:dyDescent="0.25">
      <c r="A70"/>
      <c r="D70" s="167" t="str">
        <v>Incineration</v>
      </c>
      <c r="E70" s="171" t="str">
        <v>Food waste, green waste, wood, sludge</v>
      </c>
      <c r="F70" s="209"/>
      <c r="G70" s="49" t="s">
        <v>842</v>
      </c>
      <c r="H70" s="49" t="s">
        <v>842</v>
      </c>
      <c r="I70" s="49" t="s">
        <v>842</v>
      </c>
    </row>
    <row r="71" spans="1:9" ht="20.100000000000001" customHeight="1" x14ac:dyDescent="0.25">
      <c r="A71"/>
      <c r="D71" s="167" t="str">
        <v>Incineration</v>
      </c>
      <c r="E71" s="171" t="str">
        <v>Food waste (including animal carcasses, spoiled animal feed or crop)</v>
      </c>
      <c r="F71" s="209"/>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1:9" ht="20.100000000000001" customHeight="1" x14ac:dyDescent="0.25">
      <c r="A72"/>
      <c r="D72" s="167" t="str">
        <v>Incineration</v>
      </c>
      <c r="E72" s="171" t="str">
        <v>Green waste (including crop residues or prunings)</v>
      </c>
      <c r="F72" s="209"/>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12</v>
      </c>
    </row>
    <row r="73" spans="1:9" ht="20.100000000000001" customHeight="1" x14ac:dyDescent="0.25">
      <c r="A73"/>
      <c r="D73" s="167" t="str">
        <v>Incineration</v>
      </c>
      <c r="E73" s="171" t="str">
        <v>Wood</v>
      </c>
      <c r="F73" s="209"/>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1:9" ht="20.100000000000001" customHeight="1" x14ac:dyDescent="0.25">
      <c r="A74"/>
      <c r="D74" s="167" t="str">
        <v>Incineration</v>
      </c>
      <c r="E74" s="171" t="str">
        <v>Sludge</v>
      </c>
      <c r="F74" s="209"/>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1:9" ht="20.100000000000001" customHeight="1" x14ac:dyDescent="0.25">
      <c r="A75"/>
      <c r="D75" s="167" t="str">
        <v>Incineration</v>
      </c>
      <c r="E75" s="171" t="str">
        <v>Paper and cardboard</v>
      </c>
      <c r="F75" s="209"/>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0</v>
      </c>
    </row>
    <row r="76" spans="1:9" ht="20.100000000000001" customHeight="1" x14ac:dyDescent="0.25">
      <c r="A76"/>
      <c r="D76" s="167" t="str">
        <v>Incineration</v>
      </c>
      <c r="E76" s="171" t="str">
        <v>Textiles</v>
      </c>
      <c r="F76" s="209"/>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1:9" ht="20.100000000000001" customHeight="1" x14ac:dyDescent="0.25">
      <c r="A77"/>
      <c r="D77" s="167" t="str">
        <v>Incineration</v>
      </c>
      <c r="E77" s="171" t="str">
        <v>Rubber and leather</v>
      </c>
      <c r="F77" s="209"/>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1:9" ht="20.100000000000001" customHeight="1" x14ac:dyDescent="0.25">
      <c r="A78"/>
      <c r="D78" s="167" t="str">
        <v>Incineration</v>
      </c>
      <c r="E78" s="171" t="str">
        <v>Inert waste (including concrete, metal, plastic or glass)</v>
      </c>
      <c r="F78" s="209"/>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1:9" ht="20.100000000000001" customHeight="1" x14ac:dyDescent="0.25">
      <c r="A79"/>
      <c r="D79" s="167" t="str">
        <v>Incineration</v>
      </c>
      <c r="E79" s="171" t="str">
        <v>Municipal solid waste</v>
      </c>
      <c r="F79" s="166"/>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1:9" ht="20.100000000000001" customHeight="1" x14ac:dyDescent="0.25">
      <c r="A80"/>
      <c r="D80" s="167" t="str">
        <v>Incineration</v>
      </c>
      <c r="E80" s="171" t="str">
        <v>Commercial and industrial waste</v>
      </c>
      <c r="F80" s="166"/>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1:12" ht="20.100000000000001" customHeight="1" x14ac:dyDescent="0.25">
      <c r="A81"/>
      <c r="D81" s="167" t="str">
        <v>Composting</v>
      </c>
      <c r="E81" s="171" t="str">
        <v>All organic waste</v>
      </c>
      <c r="F81" s="166"/>
      <c r="G81" s="49" t="s">
        <v>842</v>
      </c>
      <c r="H81" s="49" t="s">
        <v>842</v>
      </c>
      <c r="I81" s="49" t="s">
        <v>842</v>
      </c>
    </row>
    <row r="82" spans="1:12" ht="20.100000000000001" customHeight="1" x14ac:dyDescent="0.25">
      <c r="A82"/>
      <c r="D82" s="167" t="str">
        <v>Composting</v>
      </c>
      <c r="E82" s="171" t="str">
        <v>Food waste (including animal carcasses, spoiled animal feed or crop)</v>
      </c>
      <c r="F82" s="166"/>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1:12" ht="20.100000000000001" customHeight="1" x14ac:dyDescent="0.25">
      <c r="A83"/>
      <c r="D83" s="167" t="str">
        <v>Composting</v>
      </c>
      <c r="E83" s="171" t="str">
        <v>Green waste (including crop residues or prunings)</v>
      </c>
      <c r="F83" s="166"/>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1:12" ht="20.100000000000001" customHeight="1" x14ac:dyDescent="0.25">
      <c r="A84"/>
      <c r="D84" s="167" t="str">
        <v>Composting</v>
      </c>
      <c r="E84" s="171" t="str">
        <v>Wood</v>
      </c>
      <c r="F84" s="166"/>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1:12" ht="20.100000000000001" customHeight="1" x14ac:dyDescent="0.25">
      <c r="A85"/>
      <c r="D85" s="167" t="str">
        <v>Composting</v>
      </c>
      <c r="E85" s="171" t="str">
        <v>Sludge</v>
      </c>
      <c r="F85" s="166"/>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1:12" ht="20.100000000000001" customHeight="1" x14ac:dyDescent="0.25">
      <c r="A86"/>
      <c r="D86" s="167" t="str">
        <v>Composting</v>
      </c>
      <c r="E86" s="171" t="str">
        <v>Paper and cardboard</v>
      </c>
      <c r="F86" s="166"/>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1:12" ht="20.100000000000001" customHeight="1" x14ac:dyDescent="0.25">
      <c r="A87"/>
      <c r="D87" s="167" t="str">
        <v>Anaerobic digestion</v>
      </c>
      <c r="E87" s="171" t="str">
        <v>All organic waste</v>
      </c>
      <c r="F87" s="166"/>
      <c r="G87" s="49" t="s">
        <v>842</v>
      </c>
      <c r="H87" s="49" t="s">
        <v>842</v>
      </c>
      <c r="I87" s="49" t="s">
        <v>842</v>
      </c>
    </row>
    <row r="88" spans="1:12" ht="20.100000000000001" customHeight="1" x14ac:dyDescent="0.25">
      <c r="A88"/>
      <c r="D88" s="167" t="str">
        <v>Anaerobic digestion</v>
      </c>
      <c r="E88" s="171" t="str">
        <v>Food waste (including animal carcasses, spoiled animal feed or crop)</v>
      </c>
      <c r="F88" s="166"/>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1:12" ht="20.100000000000001" customHeight="1" x14ac:dyDescent="0.25">
      <c r="A89"/>
      <c r="D89" s="167" t="str">
        <v>Anaerobic digestion</v>
      </c>
      <c r="E89" s="171" t="str">
        <v>Green waste (including crop residues or prunings)</v>
      </c>
      <c r="F89" s="166"/>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1:12" ht="20.100000000000001" customHeight="1" x14ac:dyDescent="0.25">
      <c r="A90"/>
      <c r="D90" s="167" t="str">
        <v>Anaerobic digestion</v>
      </c>
      <c r="E90" s="171" t="str">
        <v>Wood</v>
      </c>
      <c r="F90" s="166"/>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1:12" ht="20.100000000000001" customHeight="1" x14ac:dyDescent="0.25">
      <c r="A91"/>
      <c r="D91" s="167" t="str">
        <v>Anaerobic digestion</v>
      </c>
      <c r="E91" s="171" t="str">
        <v>Sludge</v>
      </c>
      <c r="F91" s="166"/>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1:12" ht="20.100000000000001" customHeight="1" x14ac:dyDescent="0.25">
      <c r="A92"/>
      <c r="D92" s="167" t="str">
        <v>Anaerobic digestion</v>
      </c>
      <c r="E92" s="171" t="str">
        <v>Paper and cardboard</v>
      </c>
      <c r="F92" s="166"/>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1:12" ht="20.100000000000001" customHeight="1" x14ac:dyDescent="0.25">
      <c r="A93"/>
    </row>
    <row r="94" spans="1:12" ht="20.100000000000001" customHeight="1" x14ac:dyDescent="0.25">
      <c r="A94"/>
    </row>
    <row r="95" spans="1:12" ht="20.100000000000001" customHeight="1" x14ac:dyDescent="0.25">
      <c r="A95"/>
      <c r="C95" s="98"/>
      <c r="D95" s="98"/>
      <c r="E95" s="98"/>
      <c r="F95" s="98"/>
      <c r="G95" s="98"/>
      <c r="H95" s="98"/>
      <c r="I95" s="98"/>
      <c r="J95" s="98"/>
      <c r="K95" s="98"/>
      <c r="L95" s="98"/>
    </row>
    <row r="96" spans="1:12" ht="20.100000000000001" customHeight="1" x14ac:dyDescent="0.25">
      <c r="A96"/>
      <c r="D96" s="9" t="str" cm="1">
        <f t="array" ref="D96">WasteSolid_Equations.VEERG_10_1_1_1__1_EmissionsFromWasteManagement_Title()</f>
        <v>Emissions from waste management by greenhouse gas</v>
      </c>
    </row>
    <row r="97" spans="1:9" ht="20.100000000000001" customHeight="1" x14ac:dyDescent="0.25">
      <c r="A97"/>
      <c r="D97" s="11" t="str" cm="1">
        <f t="array" ref="D97">WasteSolid_Equations.VEERG_10_1_1_1__1_EmissionsFromWasteManagement_Source()</f>
        <v>VEERG 2026: 10.1.1.1, Equation (1)</v>
      </c>
    </row>
    <row r="98" spans="1:9" ht="20.100000000000001" customHeight="1" x14ac:dyDescent="0.25">
      <c r="A98"/>
      <c r="D98" s="12"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A99"/>
      <c r="D99" s="172" t="s">
        <v>626</v>
      </c>
      <c r="E99" s="172" t="str" cm="1">
        <f t="array" aca="1" ref="E99" ca="1">Common_InputFunctions.Utility_DisplayFunctionName(K116)</f>
        <v>=WasteSolid_Equations.VEERG_10_1_1_1__1_EmissionsFromWasteManagement</v>
      </c>
    </row>
    <row r="100" spans="1:9" ht="20.100000000000001" customHeight="1" x14ac:dyDescent="0.25">
      <c r="A100"/>
    </row>
    <row r="101" spans="1:9" ht="20.100000000000001" customHeight="1" x14ac:dyDescent="0.25">
      <c r="A101"/>
    </row>
    <row r="102" spans="1:9" ht="20.100000000000001" customHeight="1" x14ac:dyDescent="0.25">
      <c r="A102"/>
      <c r="D102" s="27" t="s">
        <v>627</v>
      </c>
      <c r="E102" s="8" t="str" cm="1">
        <f t="array" ref="E102">WasteSolid_Equations.VEERG_10_1_1_1__1_EmissionsFromWasteManagement_Variable()</f>
        <v>E_g</v>
      </c>
    </row>
    <row r="103" spans="1:9" ht="20.100000000000001" customHeight="1" x14ac:dyDescent="0.25">
      <c r="A103"/>
      <c r="D103" s="27" t="s">
        <v>96</v>
      </c>
      <c r="E103" s="13" t="str" cm="1">
        <f t="array" ref="E103">WasteSolid_Equations.VEERG_10_1_1_1__1_EmissionsFromWasteManagement_Unit()</f>
        <v>t CO2e</v>
      </c>
    </row>
    <row r="104" spans="1:9" ht="20.100000000000001" customHeight="1" x14ac:dyDescent="0.25">
      <c r="A104"/>
    </row>
    <row r="105" spans="1:9" ht="20.100000000000001" customHeight="1" x14ac:dyDescent="0.25">
      <c r="A105"/>
      <c r="D105" s="167" t="str" cm="1">
        <f t="array" ref="D105:E111">_xlfn.CHOOSECOLS(WasteSolid_Equations.VEERG_10_1_1_1__1_EmissionsFromWasteManagement_Arguments(),1,2)</f>
        <v>Q_wt</v>
      </c>
      <c r="E105" s="171" t="str">
        <v>quantity of solid waste of type w being sent to treatment facility t, on a wet weight basis</v>
      </c>
      <c r="F105" s="205"/>
      <c r="G105" s="166"/>
      <c r="H105" s="167" t="str" cm="1">
        <f t="array" ref="H105:I111">_xlfn.CHOOSECOLS(WasteSolid_Equations.VEERG_10_1_1_1__1_EmissionsFromWasteManagement_Arguments(),3,4)</f>
        <v>t</v>
      </c>
      <c r="I105" s="169" t="str">
        <v>Sum of Q_volwt and Q_masswt</v>
      </c>
    </row>
    <row r="106" spans="1:9" ht="20.100000000000001" customHeight="1" x14ac:dyDescent="0.25">
      <c r="A106"/>
      <c r="D106" s="167" t="str">
        <v>EF_wtg</v>
      </c>
      <c r="E106" s="171" t="str">
        <v>emission factor for greenhouse gas g for the management of waste at treatment facility t</v>
      </c>
      <c r="F106" s="205"/>
      <c r="G106" s="166"/>
      <c r="H106" s="167" t="str">
        <v>t CO2e/t</v>
      </c>
      <c r="I106" s="169" t="str">
        <v>Constant</v>
      </c>
    </row>
    <row r="107" spans="1:9" ht="20.100000000000001" customHeight="1" x14ac:dyDescent="0.25">
      <c r="A107"/>
      <c r="D107" s="167" t="str">
        <v>w</v>
      </c>
      <c r="E107" s="171" t="str">
        <v>waste type</v>
      </c>
      <c r="F107" s="205"/>
      <c r="G107" s="166"/>
      <c r="H107" s="167" t="str">
        <v/>
      </c>
      <c r="I107" s="227" t="str">
        <v>Input</v>
      </c>
    </row>
    <row r="108" spans="1:9" ht="20.100000000000001" customHeight="1" x14ac:dyDescent="0.25">
      <c r="A108"/>
      <c r="D108" s="167" t="str">
        <v>t</v>
      </c>
      <c r="E108" s="171" t="str">
        <v>treatment facility</v>
      </c>
      <c r="F108" s="205"/>
      <c r="G108" s="166"/>
      <c r="H108" s="167" t="str">
        <v/>
      </c>
      <c r="I108" s="227" t="str">
        <v>Input</v>
      </c>
    </row>
    <row r="109" spans="1:9" ht="20.100000000000001" customHeight="1" x14ac:dyDescent="0.25">
      <c r="A109"/>
      <c r="D109" s="167" t="str">
        <v>g</v>
      </c>
      <c r="E109" s="171" t="str">
        <v>greenhouse gas</v>
      </c>
      <c r="F109" s="205"/>
      <c r="G109" s="166"/>
      <c r="H109" s="167" t="str">
        <v/>
      </c>
      <c r="I109" s="227" t="str">
        <v>Input</v>
      </c>
    </row>
    <row r="110" spans="1:9" ht="20.100000000000001" customHeight="1" x14ac:dyDescent="0.25">
      <c r="A110"/>
      <c r="D110" s="167" t="str">
        <v>Q_volwt</v>
      </c>
      <c r="E110" s="171" t="str">
        <v>quantity of sold waste input as volume and converted to tonnes</v>
      </c>
      <c r="F110" s="205"/>
      <c r="G110" s="166"/>
      <c r="H110" s="167" t="str">
        <v>tonnes</v>
      </c>
      <c r="I110" s="169" t="str">
        <v>Calculated from 10.1.1.1 (2)</v>
      </c>
    </row>
    <row r="111" spans="1:9" ht="20.100000000000001" customHeight="1" x14ac:dyDescent="0.25">
      <c r="A111"/>
      <c r="D111" s="167" t="str">
        <v>Q_masswt</v>
      </c>
      <c r="E111" s="171" t="str">
        <v>quantity of solid waste input as mass</v>
      </c>
      <c r="F111" s="205"/>
      <c r="G111" s="166"/>
      <c r="H111" s="167" t="str">
        <v>tonnes</v>
      </c>
      <c r="I111" s="227" t="str">
        <v>Input</v>
      </c>
    </row>
    <row r="112" spans="1:9" ht="20.100000000000001" customHeight="1" x14ac:dyDescent="0.25">
      <c r="A112"/>
    </row>
    <row r="113" spans="1:11" ht="20.100000000000001" customHeight="1" x14ac:dyDescent="0.25">
      <c r="A113"/>
      <c r="D113" s="55" t="s">
        <v>798</v>
      </c>
    </row>
    <row r="114" spans="1:11" ht="20.100000000000001" customHeight="1" x14ac:dyDescent="0.25">
      <c r="A114"/>
      <c r="D114" s="56" t="s">
        <v>799</v>
      </c>
    </row>
    <row r="115" spans="1:11" ht="20.100000000000001" customHeight="1" x14ac:dyDescent="0.25">
      <c r="A115"/>
      <c r="D115" s="46" t="s">
        <v>791</v>
      </c>
      <c r="E115" s="46" t="s">
        <v>792</v>
      </c>
      <c r="F115" s="46"/>
      <c r="G115" s="46" t="s">
        <v>843</v>
      </c>
      <c r="H115" s="57" t="s">
        <v>844</v>
      </c>
      <c r="I115" s="57" t="s">
        <v>795</v>
      </c>
      <c r="J115" s="57" t="s">
        <v>845</v>
      </c>
      <c r="K115" s="57" t="s">
        <v>846</v>
      </c>
    </row>
    <row r="116" spans="1:11" ht="20.100000000000001" customHeight="1" x14ac:dyDescent="0.25">
      <c r="A116"/>
      <c r="D116" s="167" t="str" cm="1">
        <f t="array" ref="D116:D149">Table_SourceData_WasteSolid_WasteTreatmentEFs[Treatment type t]</f>
        <v>Landfill</v>
      </c>
      <c r="E116" s="171" t="str" cm="1">
        <f t="array" ref="E116:E149">Table_SourceData_WasteSolid_WasteTreatmentEFs[Waste type w]</f>
        <v>Food waste (including animal carcasses, spoiled animal feed or crop)</v>
      </c>
      <c r="F116" s="209"/>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49">
        <f t="shared" ref="H116:H149" si="0">I21</f>
        <v>25</v>
      </c>
      <c r="I116" s="49">
        <f>G116+H116</f>
        <v>75</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157.5</v>
      </c>
    </row>
    <row r="117" spans="1:11" ht="20.100000000000001" customHeight="1" x14ac:dyDescent="0.25">
      <c r="A117"/>
      <c r="D117" s="167" t="str">
        <v>Landfill</v>
      </c>
      <c r="E117" s="171" t="str">
        <v>Paper and cardboard</v>
      </c>
      <c r="F117" s="209"/>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49">
        <f t="shared" si="0"/>
        <v>4.5</v>
      </c>
      <c r="I117" s="49">
        <f t="shared" ref="I117:I126" si="1">G117+H117</f>
        <v>54.5</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179.85</v>
      </c>
    </row>
    <row r="118" spans="1:11" ht="20.100000000000001" customHeight="1" x14ac:dyDescent="0.25">
      <c r="A118"/>
      <c r="D118" s="167" t="str">
        <v>Landfill</v>
      </c>
      <c r="E118" s="171" t="str">
        <v>Green waste (including crop residues or prunings)</v>
      </c>
      <c r="F118" s="209"/>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49">
        <f t="shared" si="0"/>
        <v>12</v>
      </c>
      <c r="I118" s="49">
        <f t="shared" si="1"/>
        <v>62</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99.2</v>
      </c>
    </row>
    <row r="119" spans="1:11" ht="20.100000000000001" customHeight="1" x14ac:dyDescent="0.25">
      <c r="A119"/>
      <c r="D119" s="167" t="str">
        <v>Landfill</v>
      </c>
      <c r="E119" s="171" t="str">
        <v>Wood</v>
      </c>
      <c r="F119" s="209"/>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1:11" ht="20.100000000000001" customHeight="1" x14ac:dyDescent="0.25">
      <c r="A120"/>
      <c r="D120" s="167" t="str">
        <v>Landfill</v>
      </c>
      <c r="E120" s="171" t="str">
        <v>Textiles</v>
      </c>
      <c r="F120" s="209"/>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1:11" ht="20.100000000000001" customHeight="1" x14ac:dyDescent="0.25">
      <c r="A121"/>
      <c r="D121" s="167" t="str">
        <v>Landfill</v>
      </c>
      <c r="E121" s="171" t="str">
        <v>Sludge</v>
      </c>
      <c r="F121" s="209"/>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1:11" ht="20.100000000000001" customHeight="1" x14ac:dyDescent="0.25">
      <c r="A122"/>
      <c r="D122" s="167" t="str">
        <v>Landfill</v>
      </c>
      <c r="E122" s="171" t="str">
        <v>Rubber and leather</v>
      </c>
      <c r="F122" s="209"/>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1:11" ht="20.100000000000001" customHeight="1" x14ac:dyDescent="0.25">
      <c r="A123"/>
      <c r="D123" s="167" t="str">
        <v>Landfill</v>
      </c>
      <c r="E123" s="171" t="str">
        <v>Inert waste (including concrete, metal, plastic or glass)</v>
      </c>
      <c r="F123" s="209"/>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1:11" ht="20.100000000000001" customHeight="1" x14ac:dyDescent="0.25">
      <c r="A124"/>
      <c r="D124" s="167" t="str">
        <v>Landfill</v>
      </c>
      <c r="E124" s="171" t="str">
        <v>Municipal solid waste</v>
      </c>
      <c r="F124" s="209"/>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1:11" ht="20.100000000000001" customHeight="1" x14ac:dyDescent="0.25">
      <c r="A125"/>
      <c r="D125" s="167" t="str">
        <v>Landfill</v>
      </c>
      <c r="E125" s="171" t="str">
        <v>Commercial and industrial waste</v>
      </c>
      <c r="F125" s="209"/>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1:11" ht="20.100000000000001" customHeight="1" x14ac:dyDescent="0.25">
      <c r="A126"/>
      <c r="D126" s="167" t="str">
        <v>Landfill</v>
      </c>
      <c r="E126" s="171" t="str">
        <v>Construction and demolition waste</v>
      </c>
      <c r="F126" s="209"/>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1:11" ht="20.100000000000001" customHeight="1" x14ac:dyDescent="0.25">
      <c r="A127"/>
      <c r="D127" s="167" t="str">
        <v>Incineration</v>
      </c>
      <c r="E127" s="171" t="str">
        <v>Food waste, green waste, wood, sludge</v>
      </c>
      <c r="F127" s="209"/>
      <c r="G127" s="49" t="s">
        <v>842</v>
      </c>
      <c r="H127" s="49" t="str">
        <f t="shared" si="0"/>
        <v>Not used</v>
      </c>
      <c r="I127" s="49">
        <f>SUM(G128:G131)+SUM(H128:H131)</f>
        <v>74</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1:11" ht="20.100000000000001" customHeight="1" x14ac:dyDescent="0.25">
      <c r="A128"/>
      <c r="D128" s="167" t="str">
        <v>Incineration</v>
      </c>
      <c r="E128" s="171" t="str">
        <v>Food waste (including animal carcasses, spoiled animal feed or crop)</v>
      </c>
      <c r="F128" s="209"/>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847</v>
      </c>
      <c r="J128" s="49" t="s">
        <v>842</v>
      </c>
      <c r="K128" s="49" t="s">
        <v>842</v>
      </c>
    </row>
    <row r="129" spans="1:11" ht="20.100000000000001" customHeight="1" x14ac:dyDescent="0.25">
      <c r="A129"/>
      <c r="D129" s="167" t="str">
        <v>Incineration</v>
      </c>
      <c r="E129" s="171" t="str">
        <v>Green waste (including crop residues or prunings)</v>
      </c>
      <c r="F129" s="209"/>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49">
        <f t="shared" si="0"/>
        <v>24</v>
      </c>
      <c r="I129" s="49" t="s">
        <v>847</v>
      </c>
      <c r="J129" s="49" t="s">
        <v>842</v>
      </c>
      <c r="K129" s="49" t="s">
        <v>842</v>
      </c>
    </row>
    <row r="130" spans="1:11" ht="20.100000000000001" customHeight="1" x14ac:dyDescent="0.25">
      <c r="A130"/>
      <c r="D130" s="167" t="str">
        <v>Incineration</v>
      </c>
      <c r="E130" s="171" t="str">
        <v>Wood</v>
      </c>
      <c r="F130" s="209"/>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847</v>
      </c>
      <c r="J130" s="49" t="s">
        <v>842</v>
      </c>
      <c r="K130" s="49" t="s">
        <v>842</v>
      </c>
    </row>
    <row r="131" spans="1:11" ht="20.100000000000001" customHeight="1" x14ac:dyDescent="0.25">
      <c r="A131"/>
      <c r="D131" s="167" t="str">
        <v>Incineration</v>
      </c>
      <c r="E131" s="171" t="str">
        <v>Sludge</v>
      </c>
      <c r="F131" s="209"/>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847</v>
      </c>
      <c r="J131" s="49" t="s">
        <v>842</v>
      </c>
      <c r="K131" s="49" t="s">
        <v>842</v>
      </c>
    </row>
    <row r="132" spans="1:11" ht="20.100000000000001" customHeight="1" x14ac:dyDescent="0.25">
      <c r="A132"/>
      <c r="D132" s="167" t="str">
        <v>Incineration</v>
      </c>
      <c r="E132" s="171" t="str">
        <v>Paper and cardboard</v>
      </c>
      <c r="F132" s="209"/>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49">
        <f t="shared" si="0"/>
        <v>4.5</v>
      </c>
      <c r="I132" s="49">
        <f t="shared" ref="I132:I137" si="2">G132+H132</f>
        <v>54.5</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0.92104999999999992</v>
      </c>
    </row>
    <row r="133" spans="1:11" ht="20.100000000000001" customHeight="1" x14ac:dyDescent="0.25">
      <c r="A133"/>
      <c r="D133" s="167" t="str">
        <v>Incineration</v>
      </c>
      <c r="E133" s="171" t="str">
        <v>Textiles</v>
      </c>
      <c r="F133" s="209"/>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si="2"/>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1:11" ht="20.100000000000001" customHeight="1" x14ac:dyDescent="0.25">
      <c r="A134"/>
      <c r="D134" s="167" t="str">
        <v>Incineration</v>
      </c>
      <c r="E134" s="171" t="str">
        <v>Rubber and leather</v>
      </c>
      <c r="F134" s="209"/>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1:11" ht="20.100000000000001" customHeight="1" x14ac:dyDescent="0.25">
      <c r="A135"/>
      <c r="D135" s="167" t="str">
        <v>Incineration</v>
      </c>
      <c r="E135" s="171" t="str">
        <v>Inert waste (including concrete, metal, plastic or glass)</v>
      </c>
      <c r="F135" s="209"/>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1:11" ht="20.100000000000001" customHeight="1" x14ac:dyDescent="0.25">
      <c r="A136"/>
      <c r="D136" s="167" t="str">
        <v>Incineration</v>
      </c>
      <c r="E136" s="171" t="str">
        <v>Municipal solid waste</v>
      </c>
      <c r="F136" s="166"/>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1:11" ht="20.100000000000001" customHeight="1" x14ac:dyDescent="0.25">
      <c r="A137"/>
      <c r="D137" s="167" t="str">
        <v>Incineration</v>
      </c>
      <c r="E137" s="171" t="str">
        <v>Commercial and industrial waste</v>
      </c>
      <c r="F137" s="166"/>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1:11" ht="20.100000000000001" customHeight="1" x14ac:dyDescent="0.25">
      <c r="A138"/>
      <c r="D138" s="167" t="str">
        <v>Composting</v>
      </c>
      <c r="E138" s="171" t="str">
        <v>All organic waste</v>
      </c>
      <c r="F138" s="166"/>
      <c r="G138" s="49" t="s">
        <v>842</v>
      </c>
      <c r="H138" s="49" t="str">
        <f t="shared" si="0"/>
        <v>Not used</v>
      </c>
      <c r="I138" s="49">
        <f>SUM(G139:G143)+SUM(H139:H143)</f>
        <v>29.5</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1.357</v>
      </c>
    </row>
    <row r="139" spans="1:11" ht="20.100000000000001" customHeight="1" x14ac:dyDescent="0.25">
      <c r="A139"/>
      <c r="D139" s="167" t="str">
        <v>Composting</v>
      </c>
      <c r="E139" s="171" t="str">
        <v>Food waste (including animal carcasses, spoiled animal feed or crop)</v>
      </c>
      <c r="F139" s="166"/>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25</v>
      </c>
      <c r="I139" s="49" t="s">
        <v>847</v>
      </c>
      <c r="J139" s="49" t="s">
        <v>842</v>
      </c>
      <c r="K139" s="49" t="s">
        <v>842</v>
      </c>
    </row>
    <row r="140" spans="1:11" ht="20.100000000000001" customHeight="1" x14ac:dyDescent="0.25">
      <c r="A140"/>
      <c r="D140" s="167" t="str">
        <v>Composting</v>
      </c>
      <c r="E140" s="171" t="str">
        <v>Green waste (including crop residues or prunings)</v>
      </c>
      <c r="F140" s="166"/>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847</v>
      </c>
      <c r="J140" s="49" t="s">
        <v>842</v>
      </c>
      <c r="K140" s="49" t="s">
        <v>842</v>
      </c>
    </row>
    <row r="141" spans="1:11" ht="20.100000000000001" customHeight="1" x14ac:dyDescent="0.25">
      <c r="A141"/>
      <c r="D141" s="167" t="str">
        <v>Composting</v>
      </c>
      <c r="E141" s="171" t="str">
        <v>Wood</v>
      </c>
      <c r="F141" s="166"/>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847</v>
      </c>
      <c r="J141" s="49" t="s">
        <v>842</v>
      </c>
      <c r="K141" s="49" t="s">
        <v>842</v>
      </c>
    </row>
    <row r="142" spans="1:11" ht="20.100000000000001" customHeight="1" x14ac:dyDescent="0.25">
      <c r="A142"/>
      <c r="D142" s="167" t="str">
        <v>Composting</v>
      </c>
      <c r="E142" s="171" t="str">
        <v>Sludge</v>
      </c>
      <c r="F142" s="166"/>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847</v>
      </c>
      <c r="J142" s="49" t="s">
        <v>842</v>
      </c>
      <c r="K142" s="49" t="s">
        <v>842</v>
      </c>
    </row>
    <row r="143" spans="1:11" ht="20.100000000000001" customHeight="1" x14ac:dyDescent="0.25">
      <c r="A143"/>
      <c r="D143" s="167" t="str">
        <v>Composting</v>
      </c>
      <c r="E143" s="171" t="str">
        <v>Paper and cardboard</v>
      </c>
      <c r="F143" s="166"/>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4.5</v>
      </c>
      <c r="I143" s="49" t="s">
        <v>847</v>
      </c>
      <c r="J143" s="49" t="s">
        <v>842</v>
      </c>
      <c r="K143" s="49" t="s">
        <v>842</v>
      </c>
    </row>
    <row r="144" spans="1:11" ht="20.100000000000001" customHeight="1" x14ac:dyDescent="0.25">
      <c r="A144"/>
      <c r="D144" s="167" t="str">
        <v>Anaerobic digestion</v>
      </c>
      <c r="E144" s="171" t="str">
        <v>All organic waste</v>
      </c>
      <c r="F144" s="166"/>
      <c r="G144" s="49" t="s">
        <v>842</v>
      </c>
      <c r="H144" s="49" t="str">
        <f t="shared" si="0"/>
        <v>Not used</v>
      </c>
      <c r="I144" s="49">
        <f>SUM(G145:G149)+SUM(H145:H149)</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1:11" ht="20.100000000000001" customHeight="1" x14ac:dyDescent="0.25">
      <c r="A145"/>
      <c r="D145" s="167" t="str">
        <v>Anaerobic digestion</v>
      </c>
      <c r="E145" s="171" t="str">
        <v>Food waste (including animal carcasses, spoiled animal feed or crop)</v>
      </c>
      <c r="F145" s="166"/>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847</v>
      </c>
      <c r="J145" s="49" t="s">
        <v>842</v>
      </c>
      <c r="K145" s="49" t="s">
        <v>842</v>
      </c>
    </row>
    <row r="146" spans="1:11" ht="20.100000000000001" customHeight="1" x14ac:dyDescent="0.25">
      <c r="A146"/>
      <c r="D146" s="167" t="str">
        <v>Anaerobic digestion</v>
      </c>
      <c r="E146" s="171" t="str">
        <v>Green waste (including crop residues or prunings)</v>
      </c>
      <c r="F146" s="166"/>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847</v>
      </c>
      <c r="J146" s="49" t="s">
        <v>842</v>
      </c>
      <c r="K146" s="49" t="s">
        <v>842</v>
      </c>
    </row>
    <row r="147" spans="1:11" ht="20.100000000000001" customHeight="1" x14ac:dyDescent="0.25">
      <c r="A147"/>
      <c r="D147" s="167" t="str">
        <v>Anaerobic digestion</v>
      </c>
      <c r="E147" s="171" t="str">
        <v>Wood</v>
      </c>
      <c r="F147" s="166"/>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847</v>
      </c>
      <c r="J147" s="49" t="s">
        <v>842</v>
      </c>
      <c r="K147" s="49" t="s">
        <v>842</v>
      </c>
    </row>
    <row r="148" spans="1:11" ht="20.100000000000001" customHeight="1" x14ac:dyDescent="0.25">
      <c r="A148"/>
      <c r="D148" s="167" t="str">
        <v>Anaerobic digestion</v>
      </c>
      <c r="E148" s="171" t="str">
        <v>Sludge</v>
      </c>
      <c r="F148" s="166"/>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847</v>
      </c>
      <c r="J148" s="49" t="s">
        <v>842</v>
      </c>
      <c r="K148" s="49" t="s">
        <v>842</v>
      </c>
    </row>
    <row r="149" spans="1:11" ht="20.100000000000001" customHeight="1" x14ac:dyDescent="0.25">
      <c r="A149"/>
      <c r="D149" s="167" t="str">
        <v>Anaerobic digestion</v>
      </c>
      <c r="E149" s="171" t="str">
        <v>Paper and cardboard</v>
      </c>
      <c r="F149" s="166"/>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847</v>
      </c>
      <c r="J149" s="49" t="s">
        <v>842</v>
      </c>
      <c r="K149" s="49" t="s">
        <v>842</v>
      </c>
    </row>
    <row r="150" spans="1:11" ht="20.100000000000001" customHeight="1" x14ac:dyDescent="0.25">
      <c r="A150"/>
    </row>
    <row r="151" spans="1:11" ht="20.100000000000001" customHeight="1" x14ac:dyDescent="0.25">
      <c r="A151"/>
      <c r="D151" s="176" t="s">
        <v>800</v>
      </c>
      <c r="E151" s="177">
        <f>SUM(K116:K149)</f>
        <v>438.82805000000002</v>
      </c>
      <c r="F151" s="178" t="str">
        <f>$E$103</f>
        <v>t CO2e</v>
      </c>
    </row>
    <row r="152" spans="1:11" ht="20.100000000000001" customHeight="1" x14ac:dyDescent="0.25">
      <c r="A152"/>
    </row>
    <row r="153" spans="1:11" ht="20.100000000000001" customHeight="1" x14ac:dyDescent="0.25">
      <c r="A153"/>
    </row>
    <row r="154" spans="1:11" ht="20.100000000000001" customHeight="1" x14ac:dyDescent="0.25">
      <c r="A154"/>
      <c r="D154" s="55" t="s">
        <v>801</v>
      </c>
    </row>
    <row r="155" spans="1:11" ht="20.100000000000001" customHeight="1" x14ac:dyDescent="0.25">
      <c r="A155"/>
      <c r="D155" s="56" t="s">
        <v>802</v>
      </c>
    </row>
    <row r="156" spans="1:11" ht="20.100000000000001" customHeight="1" x14ac:dyDescent="0.25">
      <c r="A156"/>
      <c r="D156" s="46" t="s">
        <v>791</v>
      </c>
      <c r="E156" s="46" t="s">
        <v>792</v>
      </c>
      <c r="F156" s="46"/>
      <c r="G156" s="46" t="s">
        <v>843</v>
      </c>
      <c r="H156" s="57" t="s">
        <v>844</v>
      </c>
      <c r="I156" s="57" t="s">
        <v>795</v>
      </c>
      <c r="J156" s="57" t="s">
        <v>845</v>
      </c>
      <c r="K156" s="57" t="s">
        <v>846</v>
      </c>
    </row>
    <row r="157" spans="1:11" ht="20.100000000000001" customHeight="1" x14ac:dyDescent="0.25">
      <c r="A157"/>
      <c r="D157" s="167" t="str" cm="1">
        <f t="array" ref="D157:D190">Table_SourceData_WasteSolid_WasteTreatmentEFs[Treatment type t]</f>
        <v>Landfill</v>
      </c>
      <c r="E157" s="171" t="str" cm="1">
        <f t="array" ref="E157:E190">Table_SourceData_WasteSolid_WasteTreatmentEFs[Waste type w]</f>
        <v>Food waste (including animal carcasses, spoiled animal feed or crop)</v>
      </c>
      <c r="F157" s="209"/>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49">
        <f t="shared" ref="H157:H190" si="3">I59</f>
        <v>25</v>
      </c>
      <c r="I157" s="49">
        <f>G157+H157</f>
        <v>75</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157.5</v>
      </c>
    </row>
    <row r="158" spans="1:11" ht="20.100000000000001" customHeight="1" x14ac:dyDescent="0.25">
      <c r="A158"/>
      <c r="D158" s="167" t="str">
        <v>Landfill</v>
      </c>
      <c r="E158" s="171" t="str">
        <v>Paper and cardboard</v>
      </c>
      <c r="F158" s="209"/>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49">
        <f t="shared" si="3"/>
        <v>4.5</v>
      </c>
      <c r="I158" s="49">
        <f t="shared" ref="I158:I167" si="4">G158+H158</f>
        <v>54.5</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179.85</v>
      </c>
    </row>
    <row r="159" spans="1:11" ht="20.100000000000001" customHeight="1" x14ac:dyDescent="0.25">
      <c r="A159"/>
      <c r="D159" s="167" t="str">
        <v>Landfill</v>
      </c>
      <c r="E159" s="171" t="str">
        <v>Green waste (including crop residues or prunings)</v>
      </c>
      <c r="F159" s="209"/>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49">
        <f t="shared" si="3"/>
        <v>12</v>
      </c>
      <c r="I159" s="49">
        <f t="shared" si="4"/>
        <v>62</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99.2</v>
      </c>
    </row>
    <row r="160" spans="1:11" ht="20.100000000000001" customHeight="1" x14ac:dyDescent="0.25">
      <c r="A160"/>
      <c r="D160" s="167" t="str">
        <v>Landfill</v>
      </c>
      <c r="E160" s="171" t="str">
        <v>Wood</v>
      </c>
      <c r="F160" s="209"/>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67" t="str">
        <v>Landfill</v>
      </c>
      <c r="E161" s="171" t="str">
        <v>Textiles</v>
      </c>
      <c r="F161" s="209"/>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0</v>
      </c>
      <c r="I161" s="49">
        <f t="shared" si="4"/>
        <v>0</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0</v>
      </c>
    </row>
    <row r="162" spans="4:11" ht="20.100000000000001" customHeight="1" x14ac:dyDescent="0.25">
      <c r="D162" s="167" t="str">
        <v>Landfill</v>
      </c>
      <c r="E162" s="171" t="str">
        <v>Sludge</v>
      </c>
      <c r="F162" s="209"/>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67" t="str">
        <v>Landfill</v>
      </c>
      <c r="E163" s="171" t="str">
        <v>Rubber and leather</v>
      </c>
      <c r="F163" s="209"/>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67" t="str">
        <v>Landfill</v>
      </c>
      <c r="E164" s="171" t="str">
        <v>Inert waste (including concrete, metal, plastic or glass)</v>
      </c>
      <c r="F164" s="209"/>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67" t="str">
        <v>Landfill</v>
      </c>
      <c r="E165" s="171" t="str">
        <v>Municipal solid waste</v>
      </c>
      <c r="F165" s="209"/>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67" t="str">
        <v>Landfill</v>
      </c>
      <c r="E166" s="171" t="str">
        <v>Commercial and industrial waste</v>
      </c>
      <c r="F166" s="209"/>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67" t="str">
        <v>Landfill</v>
      </c>
      <c r="E167" s="171" t="str">
        <v>Construction and demolition waste</v>
      </c>
      <c r="F167" s="209"/>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67" t="str">
        <v>Incineration</v>
      </c>
      <c r="E168" s="171" t="str">
        <v>Food waste, green waste, wood, sludge</v>
      </c>
      <c r="F168" s="209"/>
      <c r="G168" s="49" t="s">
        <v>842</v>
      </c>
      <c r="H168" s="49" t="str">
        <f t="shared" si="3"/>
        <v>Not used</v>
      </c>
      <c r="I168" s="49">
        <f>SUM(G169:G172)+SUM(H169:H172)</f>
        <v>62</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67" t="str">
        <v>Incineration</v>
      </c>
      <c r="E169" s="171" t="str">
        <v>Food waste (including animal carcasses, spoiled animal feed or crop)</v>
      </c>
      <c r="F169" s="209"/>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847</v>
      </c>
      <c r="J169" s="49" t="s">
        <v>842</v>
      </c>
      <c r="K169" s="49" t="s">
        <v>842</v>
      </c>
    </row>
    <row r="170" spans="4:11" ht="20.100000000000001" customHeight="1" x14ac:dyDescent="0.25">
      <c r="D170" s="167" t="str">
        <v>Incineration</v>
      </c>
      <c r="E170" s="171" t="str">
        <v>Green waste (including crop residues or prunings)</v>
      </c>
      <c r="F170" s="209"/>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49">
        <f t="shared" si="3"/>
        <v>12</v>
      </c>
      <c r="I170" s="49" t="s">
        <v>847</v>
      </c>
      <c r="J170" s="49" t="s">
        <v>842</v>
      </c>
      <c r="K170" s="49" t="s">
        <v>842</v>
      </c>
    </row>
    <row r="171" spans="4:11" ht="20.100000000000001" customHeight="1" x14ac:dyDescent="0.25">
      <c r="D171" s="167" t="str">
        <v>Incineration</v>
      </c>
      <c r="E171" s="171" t="str">
        <v>Wood</v>
      </c>
      <c r="F171" s="209"/>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847</v>
      </c>
      <c r="J171" s="49" t="s">
        <v>842</v>
      </c>
      <c r="K171" s="49" t="s">
        <v>842</v>
      </c>
    </row>
    <row r="172" spans="4:11" ht="20.100000000000001" customHeight="1" x14ac:dyDescent="0.25">
      <c r="D172" s="167" t="str">
        <v>Incineration</v>
      </c>
      <c r="E172" s="171" t="str">
        <v>Sludge</v>
      </c>
      <c r="F172" s="209"/>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847</v>
      </c>
      <c r="J172" s="49" t="s">
        <v>842</v>
      </c>
      <c r="K172" s="49" t="s">
        <v>842</v>
      </c>
    </row>
    <row r="173" spans="4:11" ht="20.100000000000001" customHeight="1" x14ac:dyDescent="0.25">
      <c r="D173" s="167" t="str">
        <v>Incineration</v>
      </c>
      <c r="E173" s="171" t="str">
        <v>Paper and cardboard</v>
      </c>
      <c r="F173" s="209"/>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49">
        <f t="shared" si="3"/>
        <v>0</v>
      </c>
      <c r="I173" s="49">
        <f t="shared" ref="I173:I178" si="5">G173+H173</f>
        <v>0</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0</v>
      </c>
    </row>
    <row r="174" spans="4:11" ht="20.100000000000001" customHeight="1" x14ac:dyDescent="0.25">
      <c r="D174" s="167" t="str">
        <v>Incineration</v>
      </c>
      <c r="E174" s="171" t="str">
        <v>Textiles</v>
      </c>
      <c r="F174" s="209"/>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67" t="str">
        <v>Incineration</v>
      </c>
      <c r="E175" s="171" t="str">
        <v>Rubber and leather</v>
      </c>
      <c r="F175" s="209"/>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67" t="str">
        <v>Incineration</v>
      </c>
      <c r="E176" s="171" t="str">
        <v>Inert waste (including concrete, metal, plastic or glass)</v>
      </c>
      <c r="F176" s="209"/>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67" t="str">
        <v>Incineration</v>
      </c>
      <c r="E177" s="171" t="str">
        <v>Municipal solid waste</v>
      </c>
      <c r="F177" s="166"/>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67" t="str">
        <v>Incineration</v>
      </c>
      <c r="E178" s="171" t="str">
        <v>Commercial and industrial waste</v>
      </c>
      <c r="F178" s="166"/>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67" t="str">
        <v>Composting</v>
      </c>
      <c r="E179" s="171" t="str">
        <v>All organic waste</v>
      </c>
      <c r="F179" s="166"/>
      <c r="G179" s="49" t="s">
        <v>842</v>
      </c>
      <c r="H179" s="49" t="str">
        <f t="shared" si="3"/>
        <v>Not used</v>
      </c>
      <c r="I179" s="49">
        <f>SUM(G180:G184)+SUM(H180:H184)</f>
        <v>100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4.5999999999999996</v>
      </c>
    </row>
    <row r="180" spans="4:11" ht="20.100000000000001" customHeight="1" x14ac:dyDescent="0.25">
      <c r="D180" s="167" t="str">
        <v>Composting</v>
      </c>
      <c r="E180" s="171" t="str">
        <v>Food waste (including animal carcasses, spoiled animal feed or crop)</v>
      </c>
      <c r="F180" s="166"/>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49">
        <f t="shared" si="3"/>
        <v>0</v>
      </c>
      <c r="I180" s="49" t="s">
        <v>847</v>
      </c>
      <c r="J180" s="49" t="s">
        <v>842</v>
      </c>
      <c r="K180" s="49" t="s">
        <v>842</v>
      </c>
    </row>
    <row r="181" spans="4:11" ht="20.100000000000001" customHeight="1" x14ac:dyDescent="0.25">
      <c r="D181" s="167" t="str">
        <v>Composting</v>
      </c>
      <c r="E181" s="171" t="str">
        <v>Green waste (including crop residues or prunings)</v>
      </c>
      <c r="F181" s="166"/>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847</v>
      </c>
      <c r="J181" s="49" t="s">
        <v>842</v>
      </c>
      <c r="K181" s="49" t="s">
        <v>842</v>
      </c>
    </row>
    <row r="182" spans="4:11" ht="20.100000000000001" customHeight="1" x14ac:dyDescent="0.25">
      <c r="D182" s="167" t="str">
        <v>Composting</v>
      </c>
      <c r="E182" s="171" t="str">
        <v>Wood</v>
      </c>
      <c r="F182" s="166"/>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847</v>
      </c>
      <c r="J182" s="49" t="s">
        <v>842</v>
      </c>
      <c r="K182" s="49" t="s">
        <v>842</v>
      </c>
    </row>
    <row r="183" spans="4:11" ht="20.100000000000001" customHeight="1" x14ac:dyDescent="0.25">
      <c r="D183" s="167" t="str">
        <v>Composting</v>
      </c>
      <c r="E183" s="171" t="str">
        <v>Sludge</v>
      </c>
      <c r="F183" s="166"/>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847</v>
      </c>
      <c r="J183" s="49" t="s">
        <v>842</v>
      </c>
      <c r="K183" s="49" t="s">
        <v>842</v>
      </c>
    </row>
    <row r="184" spans="4:11" ht="20.100000000000001" customHeight="1" x14ac:dyDescent="0.25">
      <c r="D184" s="167" t="str">
        <v>Composting</v>
      </c>
      <c r="E184" s="171" t="str">
        <v>Paper and cardboard</v>
      </c>
      <c r="F184" s="166"/>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49">
        <f t="shared" si="3"/>
        <v>0</v>
      </c>
      <c r="I184" s="49" t="s">
        <v>847</v>
      </c>
      <c r="J184" s="49" t="s">
        <v>842</v>
      </c>
      <c r="K184" s="49" t="s">
        <v>842</v>
      </c>
    </row>
    <row r="185" spans="4:11" ht="20.100000000000001" customHeight="1" x14ac:dyDescent="0.25">
      <c r="D185" s="167" t="str">
        <v>Anaerobic digestion</v>
      </c>
      <c r="E185" s="171" t="str">
        <v>All organic waste</v>
      </c>
      <c r="F185" s="166"/>
      <c r="G185" s="49" t="s">
        <v>842</v>
      </c>
      <c r="H185" s="49" t="str">
        <f t="shared" si="3"/>
        <v>Not used</v>
      </c>
      <c r="I185" s="49">
        <f>SUM(G186:G190)+SUM(H186:H190)</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67" t="str">
        <v>Anaerobic digestion</v>
      </c>
      <c r="E186" s="171" t="str">
        <v>Food waste (including animal carcasses, spoiled animal feed or crop)</v>
      </c>
      <c r="F186" s="166"/>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847</v>
      </c>
      <c r="J186" s="49" t="s">
        <v>842</v>
      </c>
      <c r="K186" s="49" t="s">
        <v>842</v>
      </c>
    </row>
    <row r="187" spans="4:11" ht="20.100000000000001" customHeight="1" x14ac:dyDescent="0.25">
      <c r="D187" s="167" t="str">
        <v>Anaerobic digestion</v>
      </c>
      <c r="E187" s="171" t="str">
        <v>Green waste (including crop residues or prunings)</v>
      </c>
      <c r="F187" s="166"/>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847</v>
      </c>
      <c r="J187" s="49" t="s">
        <v>842</v>
      </c>
      <c r="K187" s="49" t="s">
        <v>842</v>
      </c>
    </row>
    <row r="188" spans="4:11" ht="20.100000000000001" customHeight="1" x14ac:dyDescent="0.25">
      <c r="D188" s="167" t="str">
        <v>Anaerobic digestion</v>
      </c>
      <c r="E188" s="171" t="str">
        <v>Wood</v>
      </c>
      <c r="F188" s="166"/>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847</v>
      </c>
      <c r="J188" s="49" t="s">
        <v>842</v>
      </c>
      <c r="K188" s="49" t="s">
        <v>842</v>
      </c>
    </row>
    <row r="189" spans="4:11" ht="20.100000000000001" customHeight="1" x14ac:dyDescent="0.25">
      <c r="D189" s="167" t="str">
        <v>Anaerobic digestion</v>
      </c>
      <c r="E189" s="171" t="str">
        <v>Sludge</v>
      </c>
      <c r="F189" s="166"/>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847</v>
      </c>
      <c r="J189" s="49" t="s">
        <v>842</v>
      </c>
      <c r="K189" s="49" t="s">
        <v>842</v>
      </c>
    </row>
    <row r="190" spans="4:11" ht="20.100000000000001" customHeight="1" x14ac:dyDescent="0.25">
      <c r="D190" s="167" t="str">
        <v>Anaerobic digestion</v>
      </c>
      <c r="E190" s="171" t="str">
        <v>Paper and cardboard</v>
      </c>
      <c r="F190" s="166"/>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847</v>
      </c>
      <c r="J190" s="49" t="s">
        <v>842</v>
      </c>
      <c r="K190" s="49" t="s">
        <v>842</v>
      </c>
    </row>
    <row r="191" spans="4:11" ht="20.100000000000001" customHeight="1" x14ac:dyDescent="0.25"/>
    <row r="192" spans="4:11" ht="20.100000000000001" customHeight="1" x14ac:dyDescent="0.25">
      <c r="D192" s="176" t="s">
        <v>800</v>
      </c>
      <c r="E192" s="177">
        <f>SUM(K157:K190)</f>
        <v>441.15000000000003</v>
      </c>
      <c r="F192" s="178"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xr:uid="{52210C09-8563-40A7-AFD6-968A7BCE9913}"/>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C61"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852</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407</v>
      </c>
      <c r="E3" s="5"/>
      <c r="F3" s="5"/>
      <c r="G3" s="5"/>
      <c r="H3" s="5"/>
      <c r="I3" s="5"/>
      <c r="J3" s="5"/>
      <c r="K3" s="5"/>
      <c r="M3" s="5"/>
      <c r="N3" s="5" t="s">
        <v>408</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72" t="s">
        <v>626</v>
      </c>
      <c r="E7" s="172" t="str" cm="1">
        <f t="array" aca="1" ref="E7" ca="1">Common_InputFunctions.Utility_DisplayFunctionName(E19)</f>
        <v>=Fertiliser_Equations_OrganicN2O.VEERG_5_2_1_1__1_OrganicFertiliserApplicationN2OEmissions</v>
      </c>
      <c r="N7" s="172" t="s">
        <v>626</v>
      </c>
      <c r="O7" s="172" t="str" cm="1">
        <f t="array" aca="1" ref="O7" ca="1">Common_InputFunctions.Utility_DisplayFunctionName(O19)</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627</v>
      </c>
      <c r="E10" s="8" t="str" cm="1">
        <f t="array" ref="E10">Fertiliser_Equations_OrganicN2O.VEERG_5_2_1_1__1_OrganicFertiliserApplicationN2OEmissions_Variable()</f>
        <v>E_N2O</v>
      </c>
      <c r="N10" s="27" t="s">
        <v>627</v>
      </c>
      <c r="O10" s="8" t="str" cm="1">
        <f t="array" ref="O10">Fertiliser_Equations_OrganicN2O.VEERG_5_2_1_1__1_OrganicFertiliserApplicationN2OEmissions_Variable()</f>
        <v>E_N2O</v>
      </c>
    </row>
    <row r="11" spans="1:21" ht="20.100000000000001" customHeight="1" x14ac:dyDescent="0.25">
      <c r="A11" s="16" t="str">
        <f>HYPERLINK("#'Input - Farm Inputs'!A1", "Farm Inputs")</f>
        <v>Farm Inputs</v>
      </c>
      <c r="D11" s="27" t="s">
        <v>96</v>
      </c>
      <c r="E11" s="13" t="str" cm="1">
        <f t="array" ref="E11">Fertiliser_Equations_OrganicN2O.VEERG_5_2_1_1__1_OrganicFertiliserApplicationN2OEmissions_Unit()</f>
        <v>t N2O</v>
      </c>
      <c r="N11" s="27" t="s">
        <v>96</v>
      </c>
      <c r="O11" s="13" t="str" cm="1">
        <f t="array" ref="O11">Fertiliser_Equations_OrganicN2O.VEERG_5_2_1_1__1_OrganicFertiliserApplicationN2OEmissions_Unit()</f>
        <v>t N2O</v>
      </c>
    </row>
    <row r="12" spans="1:21" ht="20.100000000000001" customHeight="1" x14ac:dyDescent="0.25">
      <c r="A12" s="16" t="str">
        <f>HYPERLINK("#'Input - Livestock purchases'!A1", "Livestock purchases")</f>
        <v>Livestock purchases</v>
      </c>
    </row>
    <row r="13" spans="1:21" ht="20.100000000000001" customHeight="1" x14ac:dyDescent="0.25">
      <c r="A13" s="16" t="str">
        <f>HYPERLINK("#'Input - Freight'!A1", "Freight")</f>
        <v>Freight</v>
      </c>
      <c r="D13" s="167" t="str" cm="1">
        <f t="array" ref="D13:E17">_xlfn.CHOOSECOLS(Fertiliser_Equations_OrganicN2O.VEERG_5_2_1_1__1_OrganicFertiliserApplicationN2OEmissions_Arguments(), 1, 2)</f>
        <v>MNSoil_jf</v>
      </c>
      <c r="E13" s="171" t="str">
        <v>mass of nitrogen in organic fertiliser type f applied to production system j</v>
      </c>
      <c r="F13" s="205"/>
      <c r="G13" s="166"/>
      <c r="H13" s="167" t="str" cm="1">
        <f t="array" ref="H13:I17">_xlfn.CHOOSECOLS(Fertiliser_Equations_OrganicN2O.VEERG_5_2_1_1__1_OrganicFertiliserApplicationN2OEmissions_Arguments(), 3,4)</f>
        <v>kg N</v>
      </c>
      <c r="I13" s="169" t="str">
        <v>Calculated from 5.2.1.1 (2)</v>
      </c>
      <c r="J13" s="167">
        <f>X_Cell_ManureSentOffsite_MassNitrogenManure_Method1</f>
        <v>1000</v>
      </c>
      <c r="N13" s="167" t="str" cm="1">
        <f t="array" ref="N13:O17">_xlfn.CHOOSECOLS(Fertiliser_Equations_OrganicN2O.VEERG_5_2_1_1__1_OrganicFertiliserApplicationN2OEmissions_Arguments(), 1, 2)</f>
        <v>MNSoil_jf</v>
      </c>
      <c r="O13" s="171" t="str">
        <v>mass of nitrogen in organic fertiliser type f applied to production system j</v>
      </c>
      <c r="P13" s="205"/>
      <c r="Q13" s="166"/>
      <c r="R13" s="167" t="str" cm="1">
        <f t="array" ref="R13:S17">_xlfn.CHOOSECOLS(Fertiliser_Equations_OrganicN2O.VEERG_5_2_1_1__1_OrganicFertiliserApplicationN2OEmissions_Arguments(), 3,4)</f>
        <v>kg N</v>
      </c>
      <c r="S13" s="169" t="str">
        <v>Calculated from 5.2.1.1 (2)</v>
      </c>
      <c r="T13" s="167">
        <f>X_Cell_ManureSentOffsite_MassNitrogenManure_Method2</f>
        <v>2000</v>
      </c>
    </row>
    <row r="14" spans="1:21" ht="20.100000000000001" customHeight="1" x14ac:dyDescent="0.25">
      <c r="A14" s="16" t="str">
        <f>HYPERLINK("#'Input - Solid waste'!A1", "Solid waste")</f>
        <v>Solid waste</v>
      </c>
      <c r="D14" s="167" t="str">
        <v>EF_N2Oi</v>
      </c>
      <c r="E14" s="171" t="str">
        <v>emission factor for direct nitrous oxide emissions from organic fertiliser applied to soils and aquatic systems in climate zone i</v>
      </c>
      <c r="F14" s="205"/>
      <c r="G14" s="166"/>
      <c r="H14" s="167" t="str">
        <v>kg N2O-N/kg N</v>
      </c>
      <c r="I14" s="169" t="str">
        <v>Lookup</v>
      </c>
      <c r="J14" s="167">
        <f>Common_InputFunctions.Utility_LookupValueInTableNumber(J17, Table_SourceData_Common_EFOrganicFertCropResidues[Climate Zone],Table_SourceData_Common_EFOrganicFertCropResidues[EFNi &amp; EFN2Oi])</f>
        <v>5.0000000000000001E-3</v>
      </c>
      <c r="N14" s="167" t="str">
        <v>EF_N2Oi</v>
      </c>
      <c r="O14" s="171" t="str">
        <v>emission factor for direct nitrous oxide emissions from organic fertiliser applied to soils and aquatic systems in climate zone i</v>
      </c>
      <c r="P14" s="205"/>
      <c r="Q14" s="166"/>
      <c r="R14" s="167" t="str">
        <v>kg N2O-N/kg N</v>
      </c>
      <c r="S14" s="169" t="str">
        <v>Lookup</v>
      </c>
      <c r="T14" s="167"/>
    </row>
    <row r="15" spans="1:21" ht="20.100000000000001" customHeight="1" x14ac:dyDescent="0.25">
      <c r="A15" s="16" t="str">
        <f>HYPERLINK("#'Input - Manure sent off-site'!A1", "Manure sent off-site")</f>
        <v>Manure sent off-site</v>
      </c>
      <c r="D15" s="167" t="str">
        <v>C_N2O</v>
      </c>
      <c r="E15" s="171" t="str">
        <v>factor to convert elemental mass of nitrous oxide to molecular mass</v>
      </c>
      <c r="F15" s="205"/>
      <c r="G15" s="166"/>
      <c r="H15" s="167" t="str">
        <v/>
      </c>
      <c r="I15" s="169" t="str">
        <v>Constant</v>
      </c>
      <c r="J15" s="167">
        <f>Common_InputFunctions.Utility_LookupValueInTableNumber("N2O",Table_GasToMolecularConversionFactor[Gas],Table_GasToMolecularConversionFactor[Conversion factor combined])</f>
        <v>1.5714285714285714</v>
      </c>
      <c r="N15" s="167" t="str">
        <v>C_N2O</v>
      </c>
      <c r="O15" s="171" t="str">
        <v>factor to convert elemental mass of nitrous oxide to molecular mass</v>
      </c>
      <c r="P15" s="205"/>
      <c r="Q15" s="166"/>
      <c r="R15" s="167" t="str">
        <v/>
      </c>
      <c r="S15" s="169" t="str">
        <v>Constant</v>
      </c>
      <c r="T15" s="167"/>
    </row>
    <row r="16" spans="1:21" ht="20.100000000000001" customHeight="1" x14ac:dyDescent="0.25">
      <c r="A16" s="16" t="str">
        <f>HYPERLINK("#'Input - Electricity'!A1", "Electricity")</f>
        <v>Electricity</v>
      </c>
      <c r="D16" s="167" t="str">
        <v>j</v>
      </c>
      <c r="E16" s="171" t="str">
        <v>Production system</v>
      </c>
      <c r="F16" s="205"/>
      <c r="G16" s="166"/>
      <c r="H16" s="167" t="str">
        <v/>
      </c>
      <c r="I16" s="168" t="str">
        <v>Input</v>
      </c>
      <c r="J16" s="167" t="str">
        <f>X_Cell_ManureSentOffsite_ManureProductionSystem</f>
        <v>Crop</v>
      </c>
      <c r="N16" s="167" t="str">
        <v>j</v>
      </c>
      <c r="O16" s="171" t="str">
        <v>Production system</v>
      </c>
      <c r="P16" s="205"/>
      <c r="Q16" s="166"/>
      <c r="R16" s="167" t="str">
        <v/>
      </c>
      <c r="S16" s="168" t="str">
        <v>Input</v>
      </c>
      <c r="T16" s="167"/>
    </row>
    <row r="17" spans="1:20" ht="20.100000000000001" customHeight="1" x14ac:dyDescent="0.25">
      <c r="D17" s="167" t="str">
        <v>i</v>
      </c>
      <c r="E17" s="171" t="str">
        <v>Wet or dry climate zone</v>
      </c>
      <c r="F17" s="205"/>
      <c r="G17" s="166"/>
      <c r="H17" s="167" t="str">
        <v/>
      </c>
      <c r="I17" s="168" t="str">
        <v>Input</v>
      </c>
      <c r="J17" s="167" t="str">
        <f>X_Cell_Site_WetOrDryClimateZone</f>
        <v>Dry climate zone</v>
      </c>
      <c r="N17" s="167" t="str">
        <v>i</v>
      </c>
      <c r="O17" s="171" t="str">
        <v>Wet or dry climate zone</v>
      </c>
      <c r="P17" s="205"/>
      <c r="Q17" s="166"/>
      <c r="R17" s="167" t="str">
        <v/>
      </c>
      <c r="S17" s="168" t="str">
        <v>Input</v>
      </c>
      <c r="T17" s="167"/>
    </row>
    <row r="18" spans="1:20" ht="20.100000000000001" customHeight="1" x14ac:dyDescent="0.25"/>
    <row r="19" spans="1:20" ht="20.100000000000001" customHeight="1" x14ac:dyDescent="0.25">
      <c r="A19" s="21" t="s">
        <v>77</v>
      </c>
      <c r="D19" s="176" t="s">
        <v>746</v>
      </c>
      <c r="E19" s="177" cm="1">
        <f t="array" ref="E19">Fertiliser_Equations_OrganicN2O.VEERG_5_2_1_1__1_OrganicFertiliserApplicationN2OEmissions(J13,J14,J15)</f>
        <v>7.8571428571428577E-3</v>
      </c>
      <c r="F19" s="178" t="str">
        <f>$E$11</f>
        <v>t N2O</v>
      </c>
      <c r="N19" s="176" t="s">
        <v>746</v>
      </c>
      <c r="O19" s="177" cm="1">
        <f t="array" ref="O19">Fertiliser_Equations_OrganicN2O.VEERG_5_2_1_1__1_OrganicFertiliserApplicationN2OEmissions(T13,J14,J15)</f>
        <v>1.5714285714285715E-2</v>
      </c>
      <c r="P19" s="178" t="str">
        <f>$E$11</f>
        <v>t N2O</v>
      </c>
    </row>
    <row r="20" spans="1:20" ht="20.100000000000001" customHeight="1" x14ac:dyDescent="0.25">
      <c r="A20" s="16" t="str">
        <f>HYPERLINK("#'15 Scope 3'!A1", "15 Scope 3")</f>
        <v>15 Scope 3</v>
      </c>
    </row>
    <row r="21" spans="1:20" ht="20.100000000000001" customHeight="1" x14ac:dyDescent="0.25">
      <c r="A21" s="16" t="str">
        <f>HYPERLINK("#'10.1.1-2 Solid waste treatment'!A1", "10.1.1-2 Solid waste treatment")</f>
        <v>10.1.1-2 Solid waste treatment</v>
      </c>
    </row>
    <row r="22" spans="1:20" ht="20.100000000000001" customHeight="1" x14ac:dyDescent="0.25">
      <c r="A22" s="180" t="str">
        <f>HYPERLINK("#'Calcs - Manure sent off-site'!A1", "Calcs - Manure sent off-site")</f>
        <v>Calcs - Manure sent off-site</v>
      </c>
    </row>
    <row r="23" spans="1:20" ht="20.100000000000001" customHeight="1" x14ac:dyDescent="0.25">
      <c r="A23" s="16" t="str">
        <f>HYPERLINK("#'8.1.1.1-2 Transport fuel'!A1", "8.1.1.1-2 Transport fuel")</f>
        <v>8.1.1.1-2 Transport fuel</v>
      </c>
    </row>
    <row r="24" spans="1:20" ht="20.100000000000001" customHeight="1" x14ac:dyDescent="0.25">
      <c r="A24" s="16" t="str">
        <f>HYPERLINK("#'8.2.1.1-2 Stationary fuel'!A1", "8.2.1.1-2 Stationary fuel")</f>
        <v>8.2.1.1-2 Stationary fuel</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D26" s="172" t="s">
        <v>626</v>
      </c>
      <c r="E26" s="172" t="str" cm="1">
        <f t="array" aca="1" ref="E26" ca="1">Common_InputFunctions.Utility_DisplayFunctionName(E35)</f>
        <v>=Fertiliser_Equations_AtmosphericDeposition.VEERG_5_4_1_3__2_MassOfNitrogenVolatilisedFromOrganicFertiliser</v>
      </c>
      <c r="N26" s="172" t="s">
        <v>626</v>
      </c>
      <c r="O26" s="172" t="str" cm="1">
        <f t="array" aca="1" ref="O26" ca="1">Common_InputFunctions.Utility_DisplayFunctionName(O35)</f>
        <v>=Fertiliser_Equations_AtmosphericDeposition.VEERG_5_4_1_3__2_MassOfNitrogenVolatilisedFromOrganicFertiliser</v>
      </c>
    </row>
    <row r="27" spans="1:20" ht="20.100000000000001" customHeight="1" x14ac:dyDescent="0.25">
      <c r="A27" s="229" t="s">
        <v>78</v>
      </c>
    </row>
    <row r="28" spans="1:20" ht="20.100000000000001" customHeight="1" x14ac:dyDescent="0.25">
      <c r="A28" s="16" t="str">
        <f>HYPERLINK("#'Constants - Scope 3'!A1", "Constants - Scope 3")</f>
        <v>Constants - Scope 3</v>
      </c>
    </row>
    <row r="29" spans="1:20" ht="20.100000000000001" customHeight="1" x14ac:dyDescent="0.25">
      <c r="A29" s="16" t="str">
        <f>HYPERLINK("#'Constants - Solid Waste'!A1", "Constants - Solid Waste")</f>
        <v>Constants - Solid Waste</v>
      </c>
      <c r="D29" s="27" t="s">
        <v>627</v>
      </c>
      <c r="E29" s="8" t="str" cm="1">
        <f t="array" ref="E29">Fertiliser_Equations_AtmosphericDeposition.VEERG_5_4_1_3__2_MassOfNitrogenVolatilisedFromOrganicFertiliser_Variable()</f>
        <v>M_volorganicjf</v>
      </c>
      <c r="N29" s="27" t="s">
        <v>627</v>
      </c>
      <c r="O29" s="8" t="str" cm="1">
        <f t="array" ref="O29">Fertiliser_Equations_AtmosphericDeposition.VEERG_5_4_1_3__2_MassOfNitrogenVolatilisedFromOrganicFertiliser_Variable()</f>
        <v>M_volorganicjf</v>
      </c>
    </row>
    <row r="30" spans="1:20" ht="20.100000000000001" customHeight="1" x14ac:dyDescent="0.25">
      <c r="A30" s="16" t="str">
        <f>HYPERLINK("#'Constants - Fuel'!A1", "Constants - Fuel")</f>
        <v>Constants - Fuel</v>
      </c>
      <c r="D30" s="27" t="s">
        <v>96</v>
      </c>
      <c r="E30" s="13" t="str" cm="1">
        <f t="array" ref="E30">Fertiliser_Equations_AtmosphericDeposition.VEERG_5_4_1_3__2_MassOfNitrogenVolatilisedFromOrganicFertiliser_Unit()</f>
        <v>kg N</v>
      </c>
      <c r="N30" s="27" t="s">
        <v>96</v>
      </c>
      <c r="O30" s="13" t="str" cm="1">
        <f t="array" ref="O30">Fertiliser_Equations_AtmosphericDeposition.VEERG_5_4_1_3__2_MassOfNitrogenVolatilisedFromOrganicFertiliser_Unit()</f>
        <v>kg N</v>
      </c>
    </row>
    <row r="31" spans="1:20" ht="20.100000000000001" customHeight="1" x14ac:dyDescent="0.25">
      <c r="A31" s="16" t="str">
        <f>HYPERLINK("#'Constants - Poultry'!A1", "Constants - Poultry")</f>
        <v>Constants - Poultry</v>
      </c>
    </row>
    <row r="32" spans="1:20" ht="20.100000000000001" customHeight="1" x14ac:dyDescent="0.25">
      <c r="A32" s="16" t="str">
        <f>HYPERLINK("#'Constants - Swine'!A1", "Constants - Swine")</f>
        <v>Constants - Swine</v>
      </c>
      <c r="D32" s="167" t="str" cm="1">
        <f t="array" ref="D32:E33">_xlfn.CHOOSECOLS(Fertiliser_Equations_AtmosphericDeposition.VEERG_5_4_1_3__2_MassOfNitrogenVolatilisedFromOrganicFertiliser_Arguments(), 1, 2)</f>
        <v>MNSoil_jf</v>
      </c>
      <c r="E32" s="167" t="str">
        <v>mass of nitrogen in organic fertiliser type f applied to production system j</v>
      </c>
      <c r="F32" s="167"/>
      <c r="G32" s="167" t="str" cm="1">
        <f t="array" ref="G32:H33">_xlfn.CHOOSECOLS(Fertiliser_Equations_AtmosphericDeposition.VEERG_5_4_1_3__2_MassOfNitrogenVolatilisedFromOrganicFertiliser_Arguments(), 3,4)</f>
        <v>kg N</v>
      </c>
      <c r="H32" s="169" t="str">
        <v>Calculated from 5.2.1.1 (2)</v>
      </c>
      <c r="I32" s="167">
        <f>X_Cell_ManureSentOffsite_MassNitrogenManure_Method1</f>
        <v>1000</v>
      </c>
      <c r="N32" s="167" t="str" cm="1">
        <f t="array" ref="N32:O33">_xlfn.CHOOSECOLS(Fertiliser_Equations_AtmosphericDeposition.VEERG_5_4_1_3__2_MassOfNitrogenVolatilisedFromOrganicFertiliser_Arguments(), 1, 2)</f>
        <v>MNSoil_jf</v>
      </c>
      <c r="O32" s="167" t="str">
        <v>mass of nitrogen in organic fertiliser type f applied to production system j</v>
      </c>
      <c r="P32" s="167"/>
      <c r="Q32" s="167" t="str" cm="1">
        <f t="array" ref="Q32:R33">_xlfn.CHOOSECOLS(Fertiliser_Equations_AtmosphericDeposition.VEERG_5_4_1_3__2_MassOfNitrogenVolatilisedFromOrganicFertiliser_Arguments(), 3,4)</f>
        <v>kg N</v>
      </c>
      <c r="R32" s="169" t="str">
        <v>Calculated from 5.2.1.1 (2)</v>
      </c>
      <c r="S32" s="167">
        <f>X_Cell_ManureSentOffsite_MassNitrogenManure_Method2</f>
        <v>2000</v>
      </c>
    </row>
    <row r="33" spans="1:19" ht="20.100000000000001" customHeight="1" x14ac:dyDescent="0.25">
      <c r="A33" s="16" t="str">
        <f>HYPERLINK("#'Constants - Dairy'!A1", "Constants - Dairy")</f>
        <v>Constants - Dairy</v>
      </c>
      <c r="D33" s="167" t="str">
        <v>FracGASM_soil</v>
      </c>
      <c r="E33" s="167" t="str">
        <v>fraction of organic fertiliser N that volatilises</v>
      </c>
      <c r="F33" s="167"/>
      <c r="G33" s="167" t="str">
        <v>(kg NH3-N + NOx-N)/kg N</v>
      </c>
      <c r="H33" s="169" t="str">
        <v>Constant</v>
      </c>
      <c r="I33" s="167">
        <f>'Constants - Fertiliser'!$E$73</f>
        <v>0.21</v>
      </c>
      <c r="N33" s="167" t="str">
        <v>FracGASM_soil</v>
      </c>
      <c r="O33" s="167" t="str">
        <v>fraction of organic fertiliser N that volatilises</v>
      </c>
      <c r="P33" s="167"/>
      <c r="Q33" s="167" t="str">
        <v>(kg NH3-N + NOx-N)/kg N</v>
      </c>
      <c r="R33" s="169" t="str">
        <v>Constant</v>
      </c>
      <c r="S33" s="167"/>
    </row>
    <row r="34" spans="1:19" ht="20.100000000000001" customHeight="1" x14ac:dyDescent="0.25">
      <c r="A34" s="16" t="str">
        <f>HYPERLINK("#'Constants - Pasture Beef'!A1", "Constants - Pasture Beef")</f>
        <v>Constants - Pasture Beef</v>
      </c>
    </row>
    <row r="35" spans="1:19" ht="20.100000000000001" customHeight="1" x14ac:dyDescent="0.25">
      <c r="A35" s="16" t="str">
        <f>HYPERLINK("#'Constants - Common Livestock'!A1", "Constants - Common Livestock")</f>
        <v>Constants - Common Livestock</v>
      </c>
      <c r="D35" s="174" t="s">
        <v>748</v>
      </c>
      <c r="E35" s="98" cm="1">
        <f t="array" ref="E35">Fertiliser_Equations_AtmosphericDeposition.VEERG_5_4_1_3__2_MassOfNitrogenVolatilisedFromOrganicFertiliser(I32,I33)</f>
        <v>210</v>
      </c>
      <c r="F35" s="175" t="str">
        <f>E30</f>
        <v>kg N</v>
      </c>
      <c r="N35" s="174" t="s">
        <v>748</v>
      </c>
      <c r="O35" s="98" cm="1">
        <f t="array" ref="O35">Fertiliser_Equations_AtmosphericDeposition.VEERG_5_4_1_3__2_MassOfNitrogenVolatilisedFromOrganicFertiliser(S32,I33)</f>
        <v>420</v>
      </c>
      <c r="P35" s="175" t="str">
        <f>O30</f>
        <v>kg N</v>
      </c>
    </row>
    <row r="36" spans="1:19" ht="20.100000000000001" customHeight="1" x14ac:dyDescent="0.25">
      <c r="A36" s="16" t="str">
        <f>HYPERLINK("#'Constants - Fertiliser'!A1", "Constants - Fertiliser")</f>
        <v>Constants - Fertiliser</v>
      </c>
    </row>
    <row r="37" spans="1:19" ht="20.100000000000001" customHeight="1" x14ac:dyDescent="0.25">
      <c r="A37" s="16" t="str">
        <f>HYPERLINK("#'Constants - Electricity'!A1", "Constants - Electricity")</f>
        <v>Constants - Electricity</v>
      </c>
    </row>
    <row r="38" spans="1:19" ht="20.100000000000001" customHeight="1" x14ac:dyDescent="0.25">
      <c r="A38" s="16" t="str">
        <f>HYPERLINK("#'Constants - Common'!A1", "Constants - Common")</f>
        <v>Constants - Common</v>
      </c>
    </row>
    <row r="39" spans="1:19" ht="20.100000000000001" customHeight="1" x14ac:dyDescent="0.25"/>
    <row r="40" spans="1:1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D42" s="172" t="s">
        <v>626</v>
      </c>
      <c r="E42" s="172" t="str" cm="1">
        <f t="array" aca="1" ref="E42" ca="1">Common_InputFunctions.Utility_DisplayFunctionName(E55)</f>
        <v>=Fertiliser_Equations_AtmosphericDeposition.VEERG_5_4_1_3__1_OrganicFertiliserAtmosphericDepositionN2OEmissions</v>
      </c>
      <c r="N42" s="172" t="s">
        <v>626</v>
      </c>
      <c r="O42" s="172" t="str" cm="1">
        <f t="array" aca="1" ref="O42" ca="1">Common_InputFunctions.Utility_DisplayFunctionName(O55)</f>
        <v>=Fertiliser_Equations_AtmosphericDeposition.VEERG_5_4_1_3__1_OrganicFertiliserAtmosphericDepositionN2OEmissions</v>
      </c>
    </row>
    <row r="43" spans="1:19" ht="20.100000000000001" customHeight="1" x14ac:dyDescent="0.25"/>
    <row r="44" spans="1:19" ht="20.100000000000001" customHeight="1" x14ac:dyDescent="0.25"/>
    <row r="45" spans="1:19" ht="20.100000000000001" customHeight="1" x14ac:dyDescent="0.25">
      <c r="D45" s="27" t="s">
        <v>627</v>
      </c>
      <c r="E45" s="8" t="str" cm="1">
        <f t="array" ref="E45">Fertiliser_Equations_AtmosphericDeposition.VEERG_5_4_1_3__1_OrganicFertiliserAtmosphericDepositionN2OEmissions_Variable()</f>
        <v>E_adorganic</v>
      </c>
      <c r="N45" s="27" t="s">
        <v>627</v>
      </c>
      <c r="O45" s="8" t="str" cm="1">
        <f t="array" ref="O45">Fertiliser_Equations_AtmosphericDeposition.VEERG_5_4_1_3__1_OrganicFertiliserAtmosphericDepositionN2OEmissions_Variable()</f>
        <v>E_adorganic</v>
      </c>
    </row>
    <row r="46" spans="1:19" ht="20.100000000000001" customHeight="1" x14ac:dyDescent="0.25">
      <c r="D46" s="27" t="s">
        <v>96</v>
      </c>
      <c r="E46" s="13" t="str" cm="1">
        <f t="array" ref="E46">Fertiliser_Equations_AtmosphericDeposition.VEERG_5_4_1_3__1_OrganicFertiliserAtmosphericDepositionN2OEmissions_Unit()</f>
        <v>t N2O</v>
      </c>
      <c r="N46" s="27" t="s">
        <v>96</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67" t="str" cm="1">
        <f t="array" ref="D48:E53">_xlfn.CHOOSECOLS(Fertiliser_Equations_AtmosphericDeposition.VEERG_5_4_1_3__1_OrganicFertiliserAtmosphericDepositionN2OEmissions_Arguments(), 1, 2)</f>
        <v>M_volorganicjf</v>
      </c>
      <c r="E48" s="171" t="str">
        <v>mass of nitrogen volatilised from organic fertiliser applied to production system</v>
      </c>
      <c r="F48" s="166"/>
      <c r="G48" s="167" t="str" cm="1">
        <f t="array" ref="G48:H53">_xlfn.CHOOSECOLS(Fertiliser_Equations_AtmosphericDeposition.VEERG_5_4_1_3__1_OrganicFertiliserAtmosphericDepositionN2OEmissions_Arguments(), 3,4)</f>
        <v>kg N</v>
      </c>
      <c r="H48" s="169" t="str">
        <v>Calculated from 5.4.1.3 (2)</v>
      </c>
      <c r="I48" s="167">
        <f>E35</f>
        <v>210</v>
      </c>
      <c r="N48" s="167" t="str" cm="1">
        <f t="array" ref="N48:O53">_xlfn.CHOOSECOLS(Fertiliser_Equations_AtmosphericDeposition.VEERG_5_4_1_3__1_OrganicFertiliserAtmosphericDepositionN2OEmissions_Arguments(), 1, 2)</f>
        <v>M_volorganicjf</v>
      </c>
      <c r="O48" s="171" t="str">
        <v>mass of nitrogen volatilised from organic fertiliser applied to production system</v>
      </c>
      <c r="P48" s="166"/>
      <c r="Q48" s="167" t="str" cm="1">
        <f t="array" ref="Q48:R53">_xlfn.CHOOSECOLS(Fertiliser_Equations_AtmosphericDeposition.VEERG_5_4_1_3__1_OrganicFertiliserAtmosphericDepositionN2OEmissions_Arguments(), 3,4)</f>
        <v>kg N</v>
      </c>
      <c r="R48" s="169" t="str">
        <v>Calculated from 5.4.1.3 (2)</v>
      </c>
      <c r="S48" s="167">
        <f>O35</f>
        <v>420</v>
      </c>
    </row>
    <row r="49" spans="4:19" ht="20.100000000000001" customHeight="1" x14ac:dyDescent="0.25">
      <c r="D49" s="167" t="str">
        <v>EF_N2Oj</v>
      </c>
      <c r="E49" s="171" t="str">
        <v>emission factor for atmospheric deposition in production system j</v>
      </c>
      <c r="F49" s="166"/>
      <c r="G49" s="167" t="str">
        <v>kg N2O-N/kg N</v>
      </c>
      <c r="H49" s="169" t="str">
        <v>Constant</v>
      </c>
      <c r="I49" s="167">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67" t="str">
        <v>EF_N2Oj</v>
      </c>
      <c r="O49" s="171" t="str">
        <v>emission factor for atmospheric deposition in production system j</v>
      </c>
      <c r="P49" s="166"/>
      <c r="Q49" s="167" t="str">
        <v>kg N2O-N/kg N</v>
      </c>
      <c r="R49" s="169" t="str">
        <v>Constant</v>
      </c>
      <c r="S49" s="167"/>
    </row>
    <row r="50" spans="4:19" ht="20.100000000000001" customHeight="1" x14ac:dyDescent="0.25">
      <c r="D50" s="167" t="str">
        <v>C_N2O</v>
      </c>
      <c r="E50" s="171" t="str">
        <v>factor to convert elemental mass of nitrous oxide to molecular mass</v>
      </c>
      <c r="F50" s="166"/>
      <c r="G50" s="167" t="str">
        <v/>
      </c>
      <c r="H50" s="169" t="str">
        <v>Constant</v>
      </c>
      <c r="I50" s="206">
        <f>Common_InputFunctions.Utility_LookupValueInTableNumber("N2O",Table_GasToMolecularConversionFactor[Gas],Table_GasToMolecularConversionFactor[Conversion factor combined])</f>
        <v>1.5714285714285714</v>
      </c>
      <c r="N50" s="167" t="str">
        <v>C_N2O</v>
      </c>
      <c r="O50" s="171" t="str">
        <v>factor to convert elemental mass of nitrous oxide to molecular mass</v>
      </c>
      <c r="P50" s="166"/>
      <c r="Q50" s="167" t="str">
        <v/>
      </c>
      <c r="R50" s="169" t="str">
        <v>Constant</v>
      </c>
      <c r="S50" s="206"/>
    </row>
    <row r="51" spans="4:19" ht="20.100000000000001" customHeight="1" x14ac:dyDescent="0.25">
      <c r="D51" s="167" t="str">
        <v>j</v>
      </c>
      <c r="E51" s="171" t="str">
        <v>Production system</v>
      </c>
      <c r="F51" s="166"/>
      <c r="G51" s="167" t="str">
        <v/>
      </c>
      <c r="H51" s="168" t="str">
        <v>Input</v>
      </c>
      <c r="I51" s="167" t="str">
        <f>X_Cell_ManureSentOffsite_ManureProductionSystem</f>
        <v>Crop</v>
      </c>
      <c r="N51" s="167" t="str">
        <v>j</v>
      </c>
      <c r="O51" s="171" t="str">
        <v>Production system</v>
      </c>
      <c r="P51" s="166"/>
      <c r="Q51" s="167" t="str">
        <v/>
      </c>
      <c r="R51" s="168" t="str">
        <v>Input</v>
      </c>
      <c r="S51" s="167"/>
    </row>
    <row r="52" spans="4:19" ht="20.100000000000001" customHeight="1" x14ac:dyDescent="0.25">
      <c r="D52" s="167" t="str">
        <v>ir</v>
      </c>
      <c r="E52" s="171" t="str">
        <v>irrigation method</v>
      </c>
      <c r="F52" s="166"/>
      <c r="G52" s="167" t="str">
        <v/>
      </c>
      <c r="H52" s="168" t="str">
        <v>Input</v>
      </c>
      <c r="I52" s="167" t="str">
        <f>X_Cell_ManureSentOffsite_ManureIrrigationMethod</f>
        <v>Sprinkler irrigation</v>
      </c>
      <c r="N52" s="167" t="str">
        <v>ir</v>
      </c>
      <c r="O52" s="171" t="str">
        <v>irrigation method</v>
      </c>
      <c r="P52" s="166"/>
      <c r="Q52" s="167" t="str">
        <v/>
      </c>
      <c r="R52" s="168" t="str">
        <v>Input</v>
      </c>
      <c r="S52" s="167"/>
    </row>
    <row r="53" spans="4:19" ht="20.100000000000001" customHeight="1" x14ac:dyDescent="0.25">
      <c r="D53" s="167" t="str">
        <v>r</v>
      </c>
      <c r="E53" s="171" t="str">
        <v>rainfall region</v>
      </c>
      <c r="F53" s="166"/>
      <c r="G53" s="167" t="str">
        <v/>
      </c>
      <c r="H53" s="168" t="str">
        <v>Input</v>
      </c>
      <c r="I53" s="167" t="str">
        <f>X_Cell_Site_RainfallZone</f>
        <v>Low rainfall</v>
      </c>
      <c r="N53" s="167" t="str">
        <v>r</v>
      </c>
      <c r="O53" s="171" t="str">
        <v>rainfall region</v>
      </c>
      <c r="P53" s="166"/>
      <c r="Q53" s="167" t="str">
        <v/>
      </c>
      <c r="R53" s="168" t="str">
        <v>Input</v>
      </c>
      <c r="S53" s="167"/>
    </row>
    <row r="54" spans="4:19" ht="20.100000000000001" customHeight="1" x14ac:dyDescent="0.25"/>
    <row r="55" spans="4:19" ht="20.100000000000001" customHeight="1" x14ac:dyDescent="0.25">
      <c r="D55" s="176" t="s">
        <v>762</v>
      </c>
      <c r="E55" s="177" cm="1">
        <f t="array" ref="E55">Fertiliser_Equations_AtmosphericDeposition.VEERG_5_4_1_3__1_OrganicFertiliserAtmosphericDepositionN2OEmissions(I48,I49,I50)</f>
        <v>2.31E-3</v>
      </c>
      <c r="F55" s="178" t="str">
        <f>$E$46</f>
        <v>t N2O</v>
      </c>
      <c r="N55" s="176" t="s">
        <v>762</v>
      </c>
      <c r="O55" s="177" cm="1">
        <f t="array" ref="O55">Fertiliser_Equations_AtmosphericDeposition.VEERG_5_4_1_3__1_OrganicFertiliserAtmosphericDepositionN2OEmissions(S48,I49,I50)</f>
        <v>4.62E-3</v>
      </c>
      <c r="P55" s="178"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2" t="s">
        <v>626</v>
      </c>
      <c r="E61" s="172" t="str" cm="1">
        <f t="array" aca="1" ref="E61" ca="1">Common_InputFunctions.Utility_DisplayFunctionName(E74)</f>
        <v>=Fertiliser_Equations_LeachingAndRunoff.VEERG_5_5_1_1__3_MassOfNitrogenLeachedFromOrganicFertiliser</v>
      </c>
      <c r="N61" s="172" t="s">
        <v>626</v>
      </c>
      <c r="O61" s="172"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627</v>
      </c>
      <c r="E64" s="8" t="str" cm="1">
        <f t="array" ref="E64">Fertiliser_Equations_LeachingAndRunoff.VEERG_5_5_1_1__3_MassOfNitrogenLeachedFromOrganicFertiliser_Variable()</f>
        <v>M_leachorganicj</v>
      </c>
      <c r="N64" s="27" t="s">
        <v>627</v>
      </c>
      <c r="O64" s="8" t="str" cm="1">
        <f t="array" ref="O64">Fertiliser_Equations_LeachingAndRunoff.VEERG_5_5_1_1__3_MassOfNitrogenLeachedFromOrganicFertiliser_Variable()</f>
        <v>M_leachorganicj</v>
      </c>
    </row>
    <row r="65" spans="4:19" ht="20.100000000000001" customHeight="1" x14ac:dyDescent="0.25">
      <c r="D65" s="27" t="s">
        <v>96</v>
      </c>
      <c r="E65" s="13" t="str" cm="1">
        <f t="array" ref="E65">Fertiliser_Equations_LeachingAndRunoff.VEERG_5_5_1_1__3_MassOfNitrogenLeachedFromOrganicFertiliser_Unit()</f>
        <v>kg N</v>
      </c>
      <c r="N65" s="27" t="s">
        <v>96</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67" t="str" cm="1">
        <f t="array" ref="D67:E72">_xlfn.CHOOSECOLS(Fertiliser_Equations_LeachingAndRunoff.VEERG_5_5_1_1__3_MassOfNitrogenLeachedFromOrganicFertiliser_Arguments(), 1, 2)</f>
        <v>MNSoil_jf</v>
      </c>
      <c r="E67" s="171" t="str">
        <v>mass of nitrogen in organic fertiliser</v>
      </c>
      <c r="F67" s="166"/>
      <c r="G67" s="167" t="str" cm="1">
        <f t="array" ref="G67:H72">_xlfn.CHOOSECOLS(Fertiliser_Equations_LeachingAndRunoff.VEERG_5_5_1_1__3_MassOfNitrogenLeachedFromOrganicFertiliser_Arguments(), 3,4)</f>
        <v>kg N</v>
      </c>
      <c r="H67" s="169" t="str">
        <v>Calculated from 5.2.1.1 (2)</v>
      </c>
      <c r="I67" s="167">
        <f>X_Cell_ManureSentOffsite_MassNitrogenManure_Method1</f>
        <v>1000</v>
      </c>
      <c r="N67" s="167" t="str" cm="1">
        <f t="array" ref="N67:O72">_xlfn.CHOOSECOLS(Fertiliser_Equations_LeachingAndRunoff.VEERG_5_5_1_1__3_MassOfNitrogenLeachedFromOrganicFertiliser_Arguments(), 1, 2)</f>
        <v>MNSoil_jf</v>
      </c>
      <c r="O67" s="171" t="str">
        <v>mass of nitrogen in organic fertiliser</v>
      </c>
      <c r="P67" s="166"/>
      <c r="Q67" s="167" t="str" cm="1">
        <f t="array" ref="Q67:R72">_xlfn.CHOOSECOLS(Fertiliser_Equations_LeachingAndRunoff.VEERG_5_5_1_1__3_MassOfNitrogenLeachedFromOrganicFertiliser_Arguments(), 3,4)</f>
        <v>kg N</v>
      </c>
      <c r="R67" s="169" t="str">
        <v>Calculated from 5.2.1.1 (2)</v>
      </c>
      <c r="S67" s="167">
        <f>X_Cell_ManureSentOffsite_MassNitrogenManure_Method2</f>
        <v>2000</v>
      </c>
    </row>
    <row r="68" spans="4:19" ht="20.100000000000001" customHeight="1" x14ac:dyDescent="0.25">
      <c r="D68" s="167" t="str">
        <v>FracWETj</v>
      </c>
      <c r="E68" s="171" t="str">
        <v>fraction of N available for leaching and runoff</v>
      </c>
      <c r="F68" s="166"/>
      <c r="G68" s="167" t="str">
        <v>fraction</v>
      </c>
      <c r="H68" s="169" t="str">
        <v>Constant</v>
      </c>
      <c r="I68" s="167">
        <f>Common_InputFunctions.CommonCropping_GetFracWET(I70,I72,#REF!,#REF!,Table_SourceData_FracWETIrrigation[Irrigation type i],Table_SourceData_FracWETIrrigation[FracWET])</f>
        <v>1</v>
      </c>
      <c r="N68" s="167" t="str">
        <v>FracWETj</v>
      </c>
      <c r="O68" s="171" t="str">
        <v>fraction of N available for leaching and runoff</v>
      </c>
      <c r="P68" s="166"/>
      <c r="Q68" s="167" t="str">
        <v>fraction</v>
      </c>
      <c r="R68" s="169" t="str">
        <v>Constant</v>
      </c>
      <c r="S68" s="167"/>
    </row>
    <row r="69" spans="4:19" ht="20.100000000000001" customHeight="1" x14ac:dyDescent="0.25">
      <c r="D69" s="167" t="str">
        <v>FracLEACH</v>
      </c>
      <c r="E69" s="171" t="str">
        <v>fraction of N that is lost through leaching and runoff</v>
      </c>
      <c r="F69" s="166"/>
      <c r="G69" s="167" t="str">
        <v>fraction</v>
      </c>
      <c r="H69" s="169" t="str">
        <v>Constant</v>
      </c>
      <c r="I69" s="167">
        <f>'Constants - Fertiliser'!$E$78</f>
        <v>0.24</v>
      </c>
      <c r="N69" s="167" t="str">
        <v>FracLEACH</v>
      </c>
      <c r="O69" s="171" t="str">
        <v>fraction of N that is lost through leaching and runoff</v>
      </c>
      <c r="P69" s="166"/>
      <c r="Q69" s="167" t="str">
        <v>fraction</v>
      </c>
      <c r="R69" s="169" t="str">
        <v>Constant</v>
      </c>
      <c r="S69" s="167"/>
    </row>
    <row r="70" spans="4:19" ht="20.100000000000001" customHeight="1" x14ac:dyDescent="0.25">
      <c r="D70" s="167" t="str">
        <v>z</v>
      </c>
      <c r="E70" s="171" t="str">
        <v>location in leaching zone</v>
      </c>
      <c r="F70" s="166"/>
      <c r="G70" s="167" t="str">
        <v/>
      </c>
      <c r="H70" s="168" t="str">
        <v>Input</v>
      </c>
      <c r="I70" s="167" t="str">
        <f>X_Cell_Site_LeachingZone</f>
        <v>NO - Not in leaching zone</v>
      </c>
      <c r="N70" s="167" t="str">
        <v>z</v>
      </c>
      <c r="O70" s="171" t="str">
        <v>location in leaching zone</v>
      </c>
      <c r="P70" s="166"/>
      <c r="Q70" s="167" t="str">
        <v/>
      </c>
      <c r="R70" s="168" t="str">
        <v>Input</v>
      </c>
      <c r="S70" s="167"/>
    </row>
    <row r="71" spans="4:19" ht="20.100000000000001" customHeight="1" x14ac:dyDescent="0.25">
      <c r="D71" s="167" t="str">
        <v>j</v>
      </c>
      <c r="E71" s="171" t="str">
        <v>production system</v>
      </c>
      <c r="F71" s="166"/>
      <c r="G71" s="167" t="str">
        <v/>
      </c>
      <c r="H71" s="168" t="str">
        <v>Input</v>
      </c>
      <c r="I71" s="167" t="str">
        <f>X_Cell_ManureSentOffsite_ManureProductionSystem</f>
        <v>Crop</v>
      </c>
      <c r="N71" s="167" t="str">
        <v>j</v>
      </c>
      <c r="O71" s="171" t="str">
        <v>production system</v>
      </c>
      <c r="P71" s="166"/>
      <c r="Q71" s="167" t="str">
        <v/>
      </c>
      <c r="R71" s="168" t="str">
        <v>Input</v>
      </c>
      <c r="S71" s="167"/>
    </row>
    <row r="72" spans="4:19" ht="20.100000000000001" customHeight="1" x14ac:dyDescent="0.25">
      <c r="D72" s="167" t="str">
        <v>ir</v>
      </c>
      <c r="E72" s="171" t="str">
        <v>irrigation method</v>
      </c>
      <c r="F72" s="166"/>
      <c r="G72" s="167" t="str">
        <v/>
      </c>
      <c r="H72" s="168" t="str">
        <v>Input</v>
      </c>
      <c r="I72" s="167" t="str">
        <f>X_Cell_ManureSentOffsite_ManureIrrigationMethod</f>
        <v>Sprinkler irrigation</v>
      </c>
      <c r="N72" s="167" t="str">
        <v>ir</v>
      </c>
      <c r="O72" s="171" t="str">
        <v>irrigation method</v>
      </c>
      <c r="P72" s="166"/>
      <c r="Q72" s="167" t="str">
        <v/>
      </c>
      <c r="R72" s="168" t="str">
        <v>Input</v>
      </c>
      <c r="S72" s="167"/>
    </row>
    <row r="73" spans="4:19" ht="20.100000000000001" customHeight="1" x14ac:dyDescent="0.25"/>
    <row r="74" spans="4:19" ht="20.100000000000001" customHeight="1" x14ac:dyDescent="0.25">
      <c r="D74" s="174" t="s">
        <v>763</v>
      </c>
      <c r="E74" s="98" cm="1">
        <f t="array" ref="E74">Fertiliser_Equations_LeachingAndRunoff.VEERG_5_5_1_1__3_MassOfNitrogenLeachedFromOrganicFertiliser(I67,I68,I69)</f>
        <v>240</v>
      </c>
      <c r="F74" s="175" t="str">
        <f>$E$65</f>
        <v>kg N</v>
      </c>
      <c r="N74" s="174" t="s">
        <v>763</v>
      </c>
      <c r="O74" s="98" cm="1">
        <f t="array" ref="O74">Fertiliser_Equations_LeachingAndRunoff.VEERG_5_5_1_1__3_MassOfNitrogenLeachedFromOrganicFertiliser(S67,I68,I69)</f>
        <v>480</v>
      </c>
      <c r="P74" s="175"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2" t="s">
        <v>626</v>
      </c>
      <c r="E79" s="172" t="str" cm="1">
        <f t="array" aca="1" ref="E79" ca="1">Common_InputFunctions.Utility_DisplayFunctionName(E90)</f>
        <v>=Fertiliser_Equations_LeachingAndRunoff.VEERG_5_5_1_1__1_FertiliserLeachingAndRunoffN2OEmissions</v>
      </c>
      <c r="N79" s="172" t="s">
        <v>626</v>
      </c>
      <c r="O79" s="172" t="str" cm="1">
        <f t="array" aca="1" ref="O79" ca="1">Common_InputFunctions.Utility_DisplayFunctionName(O90)</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627</v>
      </c>
      <c r="E82" s="8" t="str" cm="1">
        <f t="array" ref="E82">Fertiliser_Equations_LeachingAndRunoff.VEERG_5_5_1_1__1_FertiliserLeachingAndRunoffN2OEmissions_Variable()</f>
        <v>E_fertleach</v>
      </c>
      <c r="N82" s="27" t="s">
        <v>627</v>
      </c>
      <c r="O82" s="8" t="str" cm="1">
        <f t="array" ref="O82">Fertiliser_Equations_LeachingAndRunoff.VEERG_5_5_1_1__1_FertiliserLeachingAndRunoffN2OEmissions_Variable()</f>
        <v>E_fertleach</v>
      </c>
    </row>
    <row r="83" spans="4:20" x14ac:dyDescent="0.25">
      <c r="D83" s="27" t="s">
        <v>96</v>
      </c>
      <c r="E83" s="13" t="str" cm="1">
        <f t="array" ref="E83">Fertiliser_Equations_LeachingAndRunoff.VEERG_5_5_1_1__1_FertiliserLeachingAndRunoffN2OEmissions_Unit()</f>
        <v>t N2O</v>
      </c>
      <c r="N83" s="27" t="s">
        <v>96</v>
      </c>
      <c r="O83" s="13" t="str" cm="1">
        <f t="array" ref="O83">Fertiliser_Equations_LeachingAndRunoff.VEERG_5_5_1_1__1_FertiliserLeachingAndRunoffN2OEmissions_Unit()</f>
        <v>t N2O</v>
      </c>
    </row>
    <row r="85" spans="4:20" x14ac:dyDescent="0.25">
      <c r="D85" s="167" t="str" cm="1">
        <f t="array" ref="D85:E88">_xlfn.CHOOSECOLS(Fertiliser_Equations_LeachingAndRunoff.VEERG_5_5_1_1__1_FertiliserLeachingAndRunoffN2OEmissions_Arguments(), 1, 2)</f>
        <v>M_leachinorganicj</v>
      </c>
      <c r="E85" s="171" t="str">
        <v>mass of nitrogen lost through leaching and runoff from inorganic fertiliser application in production system j</v>
      </c>
      <c r="F85" s="205"/>
      <c r="G85" s="166"/>
      <c r="H85" s="167" t="str" cm="1">
        <f t="array" ref="H85:I88">_xlfn.CHOOSECOLS(Fertiliser_Equations_LeachingAndRunoff.VEERG_5_5_1_1__1_FertiliserLeachingAndRunoffN2OEmissions_Arguments(), 3,4)</f>
        <v>kg N</v>
      </c>
      <c r="I85" s="169" t="str">
        <v>Calculated from 5.5.1.1 (2)</v>
      </c>
      <c r="J85" s="167">
        <v>0</v>
      </c>
      <c r="N85" s="167" t="str" cm="1">
        <f t="array" ref="N85:O88">_xlfn.CHOOSECOLS(Fertiliser_Equations_LeachingAndRunoff.VEERG_5_5_1_1__1_FertiliserLeachingAndRunoffN2OEmissions_Arguments(), 1, 2)</f>
        <v>M_leachinorganicj</v>
      </c>
      <c r="O85" s="171" t="str">
        <v>mass of nitrogen lost through leaching and runoff from inorganic fertiliser application in production system j</v>
      </c>
      <c r="P85" s="205"/>
      <c r="Q85" s="166"/>
      <c r="R85" s="167" t="str" cm="1">
        <f t="array" ref="R85:S88">_xlfn.CHOOSECOLS(Fertiliser_Equations_LeachingAndRunoff.VEERG_5_5_1_1__1_FertiliserLeachingAndRunoffN2OEmissions_Arguments(), 3,4)</f>
        <v>kg N</v>
      </c>
      <c r="S85" s="169" t="str">
        <v>Calculated from 5.5.1.1 (2)</v>
      </c>
      <c r="T85" s="167"/>
    </row>
    <row r="86" spans="4:20" x14ac:dyDescent="0.25">
      <c r="D86" s="167" t="str">
        <v>M_leachorganicj</v>
      </c>
      <c r="E86" s="171" t="str">
        <v>mass of nitrogen lost through leaching and runoff from organic fertiliser application</v>
      </c>
      <c r="F86" s="205"/>
      <c r="G86" s="166"/>
      <c r="H86" s="167" t="str">
        <v>kg N</v>
      </c>
      <c r="I86" s="169" t="str">
        <v>Calculated from 5.5.1.1 (3)</v>
      </c>
      <c r="J86" s="167">
        <f>E74</f>
        <v>240</v>
      </c>
      <c r="N86" s="167" t="str">
        <v>M_leachorganicj</v>
      </c>
      <c r="O86" s="171" t="str">
        <v>mass of nitrogen lost through leaching and runoff from organic fertiliser application</v>
      </c>
      <c r="P86" s="205"/>
      <c r="Q86" s="166"/>
      <c r="R86" s="167" t="str">
        <v>kg N</v>
      </c>
      <c r="S86" s="169" t="str">
        <v>Calculated from 5.5.1.1 (3)</v>
      </c>
      <c r="T86" s="167">
        <f>O74</f>
        <v>480</v>
      </c>
    </row>
    <row r="87" spans="4:20" x14ac:dyDescent="0.25">
      <c r="D87" s="167" t="str">
        <v>EF_leach</v>
      </c>
      <c r="E87" s="171" t="str">
        <v>emission factor for nitrogen leaching and runoff</v>
      </c>
      <c r="F87" s="205"/>
      <c r="G87" s="166"/>
      <c r="H87" s="167" t="str">
        <v>kg N2O-N/kg N</v>
      </c>
      <c r="I87" s="169" t="str">
        <v>Constant</v>
      </c>
      <c r="J87" s="167">
        <f>'Constants - Fertiliser'!$E$83</f>
        <v>1.0999999999999999E-2</v>
      </c>
      <c r="N87" s="167" t="str">
        <v>EF_leach</v>
      </c>
      <c r="O87" s="171" t="str">
        <v>emission factor for nitrogen leaching and runoff</v>
      </c>
      <c r="P87" s="205"/>
      <c r="Q87" s="166"/>
      <c r="R87" s="167" t="str">
        <v>kg N2O-N/kg N</v>
      </c>
      <c r="S87" s="169" t="str">
        <v>Constant</v>
      </c>
      <c r="T87" s="167"/>
    </row>
    <row r="88" spans="4:20" x14ac:dyDescent="0.25">
      <c r="D88" s="167" t="str">
        <v>C_N2O</v>
      </c>
      <c r="E88" s="171" t="str">
        <v>factor to convert elemental mass of nitrous oxide to molecular mass</v>
      </c>
      <c r="F88" s="205"/>
      <c r="G88" s="166"/>
      <c r="H88" s="167" t="str">
        <v/>
      </c>
      <c r="I88" s="169" t="str">
        <v>Constant</v>
      </c>
      <c r="J88" s="206">
        <f>Common_InputFunctions.Utility_LookupValueInTableNumber("N2O",Table_GasToMolecularConversionFactor[Gas],Table_GasToMolecularConversionFactor[Conversion factor combined])</f>
        <v>1.5714285714285714</v>
      </c>
      <c r="N88" s="167" t="str">
        <v>C_N2O</v>
      </c>
      <c r="O88" s="171" t="str">
        <v>factor to convert elemental mass of nitrous oxide to molecular mass</v>
      </c>
      <c r="P88" s="205"/>
      <c r="Q88" s="166"/>
      <c r="R88" s="167" t="str">
        <v/>
      </c>
      <c r="S88" s="169" t="str">
        <v>Constant</v>
      </c>
      <c r="T88" s="206"/>
    </row>
    <row r="90" spans="4:20" ht="23.25" x14ac:dyDescent="0.25">
      <c r="D90" s="176" t="s">
        <v>764</v>
      </c>
      <c r="E90" s="177" cm="1">
        <f t="array" ref="E90">Fertiliser_Equations_LeachingAndRunoff.VEERG_5_5_1_1__1_FertiliserLeachingAndRunoffN2OEmissions(J85,J86,J87,J88)</f>
        <v>4.1485714285714277E-3</v>
      </c>
      <c r="F90" s="178" t="str">
        <f>$E$83</f>
        <v>t N2O</v>
      </c>
      <c r="N90" s="176" t="s">
        <v>764</v>
      </c>
      <c r="O90" s="177" cm="1">
        <f t="array" ref="O90">Fertiliser_Equations_LeachingAndRunoff.VEERG_5_5_1_1__1_FertiliserLeachingAndRunoffN2OEmissions(J85,T86,J87,J88)</f>
        <v>8.2971428571428554E-3</v>
      </c>
      <c r="P90" s="178" t="str">
        <f>$E$83</f>
        <v>t N2O</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143D7-14FE-491F-B51B-C1AD176F1310}">
  <dimension ref="A1:R342"/>
  <sheetViews>
    <sheetView showGridLines="0" topLeftCell="A4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710</v>
      </c>
    </row>
    <row r="2" spans="1:18" s="2" customFormat="1" ht="20.100000000000001" customHeight="1" x14ac:dyDescent="0.25">
      <c r="A2"/>
    </row>
    <row r="3" spans="1:18" ht="20.100000000000001" customHeight="1" x14ac:dyDescent="0.25">
      <c r="A3" s="16" t="str">
        <f>HYPERLINK("#'Overview'!A1", "Overview")</f>
        <v>Overview</v>
      </c>
      <c r="C3" s="5"/>
      <c r="D3" s="5" t="s">
        <v>407</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2" t="s">
        <v>626</v>
      </c>
      <c r="E7" s="172" t="str" cm="1">
        <f t="array" aca="1" ref="E7" ca="1">Common_InputFunctions.Utility_DisplayFunctionName(N25)</f>
        <v>=Fuel_Equations.VEERG_8_1_1_1__1_FuelCombustionTransport</v>
      </c>
      <c r="K7" s="172" t="s">
        <v>626</v>
      </c>
      <c r="L7" s="172"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72"/>
      <c r="L8" s="172"/>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Farm Inputs'!A1", "Farm Inputs")</f>
        <v>Farm Inputs</v>
      </c>
      <c r="D11" s="27" t="s">
        <v>627</v>
      </c>
      <c r="E11" s="8" t="str" cm="1">
        <f t="array" ref="E11">Fuel_Equations.VEERG_8_1_1_1__1_FuelCombustionTransport_Variable()</f>
        <v>E_g</v>
      </c>
      <c r="K11" s="27" t="s">
        <v>627</v>
      </c>
      <c r="L11" s="8" t="str" cm="1">
        <f t="array" ref="L11">Scope3_Equations.VEERG_15_11_1_1__2_UpstreamTransportFuelEmissions_Variable()</f>
        <v>E_WTTtransq</v>
      </c>
      <c r="O11" s="17"/>
      <c r="P11" s="17"/>
      <c r="Q11" s="17"/>
    </row>
    <row r="12" spans="1:18" ht="20.100000000000001" customHeight="1" x14ac:dyDescent="0.25">
      <c r="A12" s="16" t="str">
        <f>HYPERLINK("#'Input - Livestock purchases'!A1", "Livestock purchases")</f>
        <v>Livestock purchases</v>
      </c>
      <c r="D12" s="27" t="s">
        <v>96</v>
      </c>
      <c r="E12" s="13" t="str" cm="1">
        <f t="array" ref="E12">Fuel_Equations.VEERG_8_1_1_1__1_FuelCombustionTransport_Unit()</f>
        <v>t CO2-e</v>
      </c>
      <c r="K12" s="27" t="s">
        <v>96</v>
      </c>
      <c r="L12" s="13" t="str" cm="1">
        <f t="array" ref="L12">Scope3_Equations.VEERG_15_11_1_1__2_UpstreamTransportFuelEmissions_Unit()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67" t="str" cm="1">
        <f t="array" ref="D14:E20">_xlfn.CHOOSECOLS(Fuel_Equations.VEERG_8_1_1_1__1_FuelCombustionTransport_Arguments(), 1,2)</f>
        <v>Q_Transtq</v>
      </c>
      <c r="E14" s="171" t="str">
        <v>Amount of fuel type q combusted for transport energy purposes</v>
      </c>
      <c r="F14" s="166"/>
      <c r="G14" s="167" t="str" cm="1">
        <f t="array" ref="G14:H20">_xlfn.CHOOSECOLS(Fuel_Equations.VEERG_8_1_1_1__1_FuelCombustionTransport_Arguments(), 3,4)</f>
        <v>Varies based on fuel type: kL, m3, GJ</v>
      </c>
      <c r="H14" s="227" t="str">
        <v>Input</v>
      </c>
      <c r="I14" s="170" t="str" cm="1">
        <f t="array" aca="1" ref="I14" ca="1">HYPERLINK(Common_InputFunctions.Utility_SourceHyperlink($D$22), $D$22)</f>
        <v>Table_E_g</v>
      </c>
      <c r="K14" s="167" t="str" cm="1">
        <f t="array" ref="K14:L16">_xlfn.CHOOSECOLS(Scope3_Equations.VEERG_15_11_1_1__2_UpstreamTransportFuelEmissions_Arguments(),1,2)</f>
        <v>Q_Transq</v>
      </c>
      <c r="L14" s="167" t="str">
        <v>amount of fuel q combusted for transport energy purposes</v>
      </c>
      <c r="M14" s="167"/>
      <c r="N14" s="167" t="str" cm="1">
        <f t="array" ref="N14:O16">_xlfn.CHOOSECOLS(Scope3_Equations.VEERG_15_11_1_1__2_UpstreamTransportFuelEmissions_Arguments(),3,4)</f>
        <v>kL</v>
      </c>
      <c r="O14" s="227" t="str">
        <v>Input</v>
      </c>
      <c r="P14" s="170"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67" t="str">
        <v>EC_Transq</v>
      </c>
      <c r="E15" s="171" t="str">
        <v>Energy content factor for transport energy purposes</v>
      </c>
      <c r="F15" s="166"/>
      <c r="G15" s="167" t="str">
        <v>GJ / unit of fuel</v>
      </c>
      <c r="H15" s="169" t="str">
        <v>Constant</v>
      </c>
      <c r="I15" s="170" t="str" cm="1">
        <f t="array" aca="1" ref="I15" ca="1">HYPERLINK(Common_InputFunctions.Utility_SourceHyperlink($D$22), $D$22)</f>
        <v>Table_E_g</v>
      </c>
      <c r="K15" s="167" t="str">
        <v>EC_Transq</v>
      </c>
      <c r="L15" s="167" t="str">
        <v>energy content factor for transport energy purposes</v>
      </c>
      <c r="M15" s="167"/>
      <c r="N15" s="167" t="str">
        <v>GJ/kL or GJ/m3</v>
      </c>
      <c r="O15" s="169" t="str">
        <v>Constant</v>
      </c>
      <c r="P15" s="170" t="str" cm="1">
        <f t="array" aca="1" ref="P15" ca="1">HYPERLINK(Common_InputFunctions.Utility_SourceHyperlink($D$22), $D$22)</f>
        <v>Table_E_g</v>
      </c>
      <c r="Q15" s="17"/>
    </row>
    <row r="16" spans="1:18" ht="20.100000000000001" customHeight="1" x14ac:dyDescent="0.25">
      <c r="A16" s="16" t="str">
        <f>HYPERLINK("#'Input - Electricity'!A1", "Electricity")</f>
        <v>Electricity</v>
      </c>
      <c r="D16" s="167" t="str">
        <v>EF_Trans1tqg</v>
      </c>
      <c r="E16" s="171" t="str">
        <v>Scope 1 emission factor for transport energy purposes for each greenhouse gas</v>
      </c>
      <c r="F16" s="166"/>
      <c r="G16" s="167" t="str">
        <v>kg CO2e / GJ</v>
      </c>
      <c r="H16" s="169" t="str">
        <v>Constant</v>
      </c>
      <c r="I16" s="170" t="str" cm="1">
        <f t="array" aca="1" ref="I16" ca="1">HYPERLINK(Common_InputFunctions.Utility_SourceHyperlink($D$22), $D$22)</f>
        <v>Table_E_g</v>
      </c>
      <c r="K16" s="167" t="str">
        <v>EF_Trans3q</v>
      </c>
      <c r="L16" s="167" t="str">
        <v>scope 3 emission factor for transport energy purposes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c r="D17" s="167" t="str">
        <v>q</v>
      </c>
      <c r="E17" s="171" t="str">
        <v>Fuel type</v>
      </c>
      <c r="F17" s="166"/>
      <c r="G17" s="167" t="str">
        <v/>
      </c>
      <c r="H17" s="169" t="str">
        <v>Constant</v>
      </c>
      <c r="I17" s="170"/>
      <c r="J17" s="17"/>
      <c r="P17" s="17"/>
      <c r="Q17" s="17"/>
    </row>
    <row r="18" spans="1:17" ht="20.100000000000001" customHeight="1" x14ac:dyDescent="0.25">
      <c r="A18"/>
      <c r="D18" s="167" t="str">
        <v>Trans</v>
      </c>
      <c r="E18" s="171" t="str">
        <v>Transport combustion</v>
      </c>
      <c r="F18" s="166"/>
      <c r="G18" s="167" t="str">
        <v/>
      </c>
      <c r="H18" s="169" t="str">
        <v>Constant</v>
      </c>
      <c r="I18" s="170"/>
      <c r="J18" s="17"/>
      <c r="L18" s="17"/>
      <c r="M18" s="17"/>
      <c r="N18" s="17"/>
      <c r="O18" s="17"/>
      <c r="P18" s="17"/>
      <c r="Q18" s="17"/>
    </row>
    <row r="19" spans="1:17" ht="20.100000000000001" customHeight="1" x14ac:dyDescent="0.25">
      <c r="A19" s="21" t="s">
        <v>77</v>
      </c>
      <c r="D19" s="167" t="str">
        <v>g</v>
      </c>
      <c r="E19" s="171" t="str">
        <v>Greenhouse gas</v>
      </c>
      <c r="F19" s="166"/>
      <c r="G19" s="167" t="str">
        <v/>
      </c>
      <c r="H19" s="169" t="str">
        <v>Constant</v>
      </c>
      <c r="I19" s="170"/>
      <c r="J19" s="17"/>
      <c r="L19" s="17"/>
      <c r="M19" s="17"/>
      <c r="N19" s="17"/>
      <c r="O19" s="17"/>
      <c r="P19" s="17"/>
      <c r="Q19" s="17"/>
    </row>
    <row r="20" spans="1:17" ht="20.100000000000001" customHeight="1" x14ac:dyDescent="0.25">
      <c r="A20" s="16" t="str">
        <f>HYPERLINK("#'15 Scope 3'!A1", "15 Scope 3")</f>
        <v>15 Scope 3</v>
      </c>
      <c r="D20" s="167" t="str">
        <v>1</v>
      </c>
      <c r="E20" s="171" t="str">
        <v>Scope 1</v>
      </c>
      <c r="F20" s="166"/>
      <c r="G20" s="167" t="str">
        <v/>
      </c>
      <c r="H20" s="169" t="str">
        <v>Constant</v>
      </c>
      <c r="I20" s="170"/>
      <c r="J20" s="17"/>
      <c r="L20" s="17"/>
      <c r="M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128</v>
      </c>
    </row>
    <row r="23" spans="1:17" ht="20.100000000000001" customHeight="1" x14ac:dyDescent="0.25">
      <c r="A23" s="180" t="str">
        <f>HYPERLINK("#'8.1.1.1-2 Transport fuel'!A1", "8.1.1.1-2 Transport fuel")</f>
        <v>8.1.1.1-2 Transport fuel</v>
      </c>
      <c r="D23" s="56" t="s">
        <v>129</v>
      </c>
    </row>
    <row r="24" spans="1:17" ht="20.100000000000001" customHeight="1" x14ac:dyDescent="0.25">
      <c r="A24" s="16" t="str">
        <f>HYPERLINK("#'8.2.1.1-2 Stationary fuel'!A1", "8.2.1.1-2 Stationary fuel")</f>
        <v>8.2.1.1-2 Stationary fuel</v>
      </c>
      <c r="D24" s="57" t="s">
        <v>130</v>
      </c>
      <c r="E24" s="57" t="s">
        <v>131</v>
      </c>
      <c r="F24" s="57" t="s">
        <v>132</v>
      </c>
      <c r="G24" s="57" t="s">
        <v>711</v>
      </c>
      <c r="H24" s="57" t="s">
        <v>712</v>
      </c>
      <c r="I24" s="57" t="s">
        <v>713</v>
      </c>
      <c r="J24" s="57" t="s">
        <v>714</v>
      </c>
      <c r="K24" s="57" t="s">
        <v>715</v>
      </c>
      <c r="L24" s="46" t="s">
        <v>716</v>
      </c>
      <c r="M24" s="57" t="s">
        <v>717</v>
      </c>
      <c r="N24" s="57" t="s">
        <v>718</v>
      </c>
      <c r="O24" s="57" t="s">
        <v>719</v>
      </c>
      <c r="P24" s="57" t="s">
        <v>720</v>
      </c>
      <c r="Q24" s="57" t="s">
        <v>721</v>
      </c>
    </row>
    <row r="25" spans="1:17" ht="20.100000000000001" customHeight="1" x14ac:dyDescent="0.25">
      <c r="A25"/>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182" cm="1">
        <f t="array" ref="N25">Fuel_Equations.VEERG_8_1_1_1__1_FuelCombustionTransport($L25,$G25,$H25)</f>
        <v>0</v>
      </c>
      <c r="O25" s="182" cm="1">
        <f t="array" ref="O25">Fuel_Equations.VEERG_8_1_1_1__1_FuelCombustionTransport($L25,$G25,$I25)</f>
        <v>0</v>
      </c>
      <c r="P25" s="182" cm="1">
        <f t="array" ref="P25">Fuel_Equations.VEERG_8_1_1_1__1_FuelCombustionTransport($L25,$G25,$J25)</f>
        <v>0</v>
      </c>
      <c r="Q25" s="182" cm="1">
        <f t="array" ref="Q25">Scope3_Equations.VEERG_15_11_1_1__2_UpstreamTransportFuelEmissions(L25,G25,K25)</f>
        <v>0</v>
      </c>
    </row>
    <row r="26" spans="1:17" ht="20.100000000000001"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81" cm="1">
        <f t="array" ref="L26">Fuel_InputFunctions.Fuel_TotalConsumption(Table_Input_Fuel[Amount consumed], Table_Input_Fuel[Fuel use (select)], D26, Table_Input_Fuel[Fuel type (select)],F26)</f>
        <v>10</v>
      </c>
      <c r="M26" s="181" t="str" cm="1">
        <f t="array" ref="M26">Common_InputFunctions.Utility_LookupValueInTable(F26,Table_FuelTypes_Units[Fuel type],Table_FuelTypes_Units[Unit])</f>
        <v>kL</v>
      </c>
      <c r="N26" s="182" cm="1">
        <f t="array" ref="N26">Fuel_Equations.VEERG_8_1_1_1__1_FuelCombustionTransport($L26,$G26,$H26)</f>
        <v>26.981400000000001</v>
      </c>
      <c r="O26" s="182" cm="1">
        <f t="array" ref="O26">Fuel_Equations.VEERG_8_1_1_1__1_FuelCombustionTransport($L26,$G26,$I26)</f>
        <v>3.8600000000000001E-3</v>
      </c>
      <c r="P26" s="182" cm="1">
        <f t="array" ref="P26">Fuel_Equations.VEERG_8_1_1_1__1_FuelCombustionTransport($L26,$G26,$J26)</f>
        <v>0.193</v>
      </c>
      <c r="Q26" s="182" cm="1">
        <f t="array" ref="Q26">Scope3_Equations.VEERG_15_11_1_1__2_UpstreamTransportFuelEmissions(L26,G26,K26)</f>
        <v>6.6778000000000004</v>
      </c>
    </row>
    <row r="27" spans="1:17" ht="20.100000000000001" customHeight="1" x14ac:dyDescent="0.25">
      <c r="A27" s="229" t="s">
        <v>78</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182" cm="1">
        <f t="array" ref="N27">Fuel_Equations.VEERG_8_1_1_1__1_FuelCombustionTransport($L27,$G27,$H27)</f>
        <v>0</v>
      </c>
      <c r="O27" s="182" cm="1">
        <f t="array" ref="O27">Fuel_Equations.VEERG_8_1_1_1__1_FuelCombustionTransport($L27,$G27,$I27)</f>
        <v>0</v>
      </c>
      <c r="P27" s="182" cm="1">
        <f t="array" ref="P27">Fuel_Equations.VEERG_8_1_1_1__1_FuelCombustionTransport($L27,$G27,$J27)</f>
        <v>0</v>
      </c>
      <c r="Q27" s="182" cm="1">
        <f t="array" ref="Q27">Scope3_Equations.VEERG_15_11_1_1__2_UpstreamTransportFuelEmissions(L27,G27,K27)</f>
        <v>0</v>
      </c>
    </row>
    <row r="28" spans="1:17" ht="20.100000000000001" customHeight="1" x14ac:dyDescent="0.25">
      <c r="A28" s="16" t="str">
        <f>HYPERLINK("#'Constants - Scope 3'!A1", "Constants - Scope 3")</f>
        <v>Constants - Scope 3</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182" cm="1">
        <f t="array" ref="N28">Fuel_Equations.VEERG_8_1_1_1__1_FuelCombustionTransport($L28,$G28,$H28)</f>
        <v>0</v>
      </c>
      <c r="O28" s="182" cm="1">
        <f t="array" ref="O28">Fuel_Equations.VEERG_8_1_1_1__1_FuelCombustionTransport($L28,$G28,$I28)</f>
        <v>0</v>
      </c>
      <c r="P28" s="182" cm="1">
        <f t="array" ref="P28">Fuel_Equations.VEERG_8_1_1_1__1_FuelCombustionTransport($L28,$G28,$J28)</f>
        <v>0</v>
      </c>
      <c r="Q28" s="182" cm="1">
        <f t="array" ref="Q28">Scope3_Equations.VEERG_15_11_1_1__2_UpstreamTransportFuelEmissions(L28,G28,K28)</f>
        <v>0</v>
      </c>
    </row>
    <row r="29" spans="1:17" ht="20.100000000000001" customHeight="1" x14ac:dyDescent="0.25">
      <c r="A29" s="16" t="str">
        <f>HYPERLINK("#'Constants - Solid Waste'!A1", "Constants - Solid Waste")</f>
        <v>Constants - Solid Waste</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182" cm="1">
        <f t="array" ref="N29">Fuel_Equations.VEERG_8_1_1_1__1_FuelCombustionTransport($L29,$G29,$H29)</f>
        <v>0</v>
      </c>
      <c r="O29" s="182" cm="1">
        <f t="array" ref="O29">Fuel_Equations.VEERG_8_1_1_1__1_FuelCombustionTransport($L29,$G29,$I29)</f>
        <v>0</v>
      </c>
      <c r="P29" s="182" cm="1">
        <f t="array" ref="P29">Fuel_Equations.VEERG_8_1_1_1__1_FuelCombustionTransport($L29,$G29,$J29)</f>
        <v>0</v>
      </c>
      <c r="Q29" s="182" cm="1">
        <f t="array" ref="Q29">Scope3_Equations.VEERG_15_11_1_1__2_UpstreamTransportFuelEmissions(L29,G29,IF(ISNUMBER(K29),K29,0))</f>
        <v>0</v>
      </c>
    </row>
    <row r="30" spans="1:17" ht="20.100000000000001" customHeight="1" x14ac:dyDescent="0.25">
      <c r="A30" s="16" t="str">
        <f>HYPERLINK("#'Constants - Fuel'!A1", "Constants - Fuel")</f>
        <v>Constants - Fuel</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182" cm="1">
        <f t="array" ref="N30">Fuel_Equations.VEERG_8_1_1_1__1_FuelCombustionTransport($L30,$G30,$H30)</f>
        <v>0</v>
      </c>
      <c r="O30" s="182" cm="1">
        <f t="array" ref="O30">Fuel_Equations.VEERG_8_1_1_1__1_FuelCombustionTransport($L30,$G30,$I30)</f>
        <v>0</v>
      </c>
      <c r="P30" s="182" cm="1">
        <f t="array" ref="P30">Fuel_Equations.VEERG_8_1_1_1__1_FuelCombustionTransport($L30,$G30,$J30)</f>
        <v>0</v>
      </c>
      <c r="Q30" s="182" cm="1">
        <f t="array" ref="Q30">Scope3_Equations.VEERG_15_11_1_1__2_UpstreamTransportFuelEmissions(L30,G30,IF(ISNUMBER(K30),K30,0))</f>
        <v>0</v>
      </c>
    </row>
    <row r="31" spans="1:17" ht="20.100000000000001" customHeight="1" x14ac:dyDescent="0.25">
      <c r="A31" s="16" t="str">
        <f>HYPERLINK("#'Constants - Poultry'!A1", "Constants - Poultry")</f>
        <v>Constants - Poultry</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81" cm="1">
        <f t="array" ref="L31">Fuel_InputFunctions.Fuel_TotalConsumption(Table_Input_Fuel[Amount consumed], Table_Input_Fuel[Fuel use (select)], D31, Table_Input_Fuel[Fuel type (select)],F31)</f>
        <v>0</v>
      </c>
      <c r="M31" s="181" t="str" cm="1">
        <f t="array" ref="M31">Common_InputFunctions.Utility_LookupValueInTable(F31,Table_FuelTypes_Units[Fuel type],Table_FuelTypes_Units[Unit])</f>
        <v>kL</v>
      </c>
      <c r="N31" s="182" cm="1">
        <f t="array" ref="N31">Fuel_Equations.VEERG_8_1_1_1__1_FuelCombustionTransport($L31,$G31,$H31)</f>
        <v>0</v>
      </c>
      <c r="O31" s="182" cm="1">
        <f t="array" ref="O31">Fuel_Equations.VEERG_8_1_1_1__1_FuelCombustionTransport($L31,$G31,$I31)</f>
        <v>0</v>
      </c>
      <c r="P31" s="182" cm="1">
        <f t="array" ref="P31">Fuel_Equations.VEERG_8_1_1_1__1_FuelCombustionTransport($L31,$G31,$J31)</f>
        <v>0</v>
      </c>
      <c r="Q31" s="182" cm="1">
        <f t="array" ref="Q31">Scope3_Equations.VEERG_15_11_1_1__2_UpstreamTransportFuelEmissions(L31,G31,IF(ISNUMBER(K31),K31,0))</f>
        <v>0</v>
      </c>
    </row>
    <row r="32" spans="1:17" ht="20.100000000000001" customHeight="1" x14ac:dyDescent="0.25">
      <c r="A32" s="16" t="str">
        <f>HYPERLINK("#'Constants - Swine'!A1", "Constants - Swine")</f>
        <v>Constants - Swine</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61" t="str" cm="1">
        <f t="array" ref="K32">IFERROR(_xlfn.XLOOKUP(1, (Table_Fuel_EFs_Transport[Fuel combusted]=$E32)*(Table_Fuel_EFs_Transport[Transport type]=$D$25), Table_Fuel_EFs_Transport[Scope 3 Emission Factor (kg CO2 - e / GJ)]), 0)</f>
        <v>NE</v>
      </c>
      <c r="L32" s="183" cm="1">
        <f t="array" ref="L32">Fuel_InputFunctions.Fuel_TotalConsumption(Table_Input_Fuel[Amount consumed], Table_Input_Fuel[Fuel use (select)], D32, Table_Input_Fuel[Fuel type (select)],F32)</f>
        <v>0</v>
      </c>
      <c r="M32" s="181" t="str" cm="1">
        <f t="array" ref="M32">Common_InputFunctions.Utility_LookupValueInTable(F32,Table_FuelTypes_Units[Fuel type],Table_FuelTypes_Units[Unit])</f>
        <v>kL</v>
      </c>
      <c r="N32" s="184" cm="1">
        <f t="array" ref="N32">Fuel_Equations.VEERG_8_1_1_1__1_FuelCombustionTransport($L32,$G32,$H32)</f>
        <v>0</v>
      </c>
      <c r="O32" s="184" cm="1">
        <f t="array" ref="O32">Fuel_Equations.VEERG_8_1_1_1__1_FuelCombustionTransport($L32,$G32,$I32)</f>
        <v>0</v>
      </c>
      <c r="P32" s="184" cm="1">
        <f t="array" ref="P32">Fuel_Equations.VEERG_8_1_1_1__1_FuelCombustionTransport($L32,$G32,$J32)</f>
        <v>0</v>
      </c>
      <c r="Q32" s="182" cm="1">
        <f t="array" ref="Q32">Scope3_Equations.VEERG_15_11_1_1__2_UpstreamTransportFuelEmissions(L32,G32,IF(ISNUMBER(K32),K32,0))</f>
        <v>0</v>
      </c>
    </row>
    <row r="33" spans="1:17" ht="20.100000000000001" customHeight="1" x14ac:dyDescent="0.25">
      <c r="A33" s="16" t="str">
        <f>HYPERLINK("#'Constants - Dairy'!A1", "Constants - Dairy")</f>
        <v>Constants - Dairy</v>
      </c>
      <c r="D33" s="60" t="str">
        <f>Table_FuelTypesPerUse[[#Headers],[Off-road Agriculture and forestry equipment]]</f>
        <v>Off-road Agriculture and forestry equipment</v>
      </c>
      <c r="E33" s="61" t="str">
        <f>'Constants - Fuel'!$E$11</f>
        <v>Diesel oil</v>
      </c>
      <c r="F33" s="61" t="str">
        <f>'Constants - Fuel'!H131</f>
        <v>Diesel</v>
      </c>
      <c r="G33" s="185" cm="1">
        <f t="array" ref="G33">IFERROR(_xlfn.XLOOKUP(1, (Table_Fuel_EFs_Transport[Fuel combusted]=$E33)*(Table_Fuel_EFs_Transport[Transport type]=$D$33), Table_Fuel_EFs_Transport[Energy Content Factor (GJ per unit of fuel)]), 0)</f>
        <v>38.6</v>
      </c>
      <c r="H33" s="185" cm="1">
        <f t="array" ref="H33">IFERROR(_xlfn.XLOOKUP(1, (Table_Fuel_EFs_Transport[Fuel combusted]=$E33)*(Table_Fuel_EFs_Transport[Transport type]=$D$33), Table_Fuel_EFs_Transport[Scope 1 Emission Factor (kg CO2 - e / GJ) CO2]), 0)</f>
        <v>69.900000000000006</v>
      </c>
      <c r="I33" s="185" cm="1">
        <f t="array" ref="I33">IFERROR(_xlfn.XLOOKUP(1, (Table_Fuel_EFs_Transport[Fuel combusted]=$E33)*(Table_Fuel_EFs_Transport[Transport type]=$D$33), Table_Fuel_EFs_Transport[Scope 1 Emission Factor (kg CO2 - e / GJ) CH4]), 0)</f>
        <v>0.3</v>
      </c>
      <c r="J33" s="185" cm="1">
        <f t="array" ref="J33">IFERROR(_xlfn.XLOOKUP(1, (Table_Fuel_EFs_Transport[Fuel combusted]=$E33)*(Table_Fuel_EFs_Transport[Transport type]=$D$33), Table_Fuel_EFs_Transport[Scope 1 Emission Factor (kg CO2 - e / GJ) N2O]), 0)</f>
        <v>0.5</v>
      </c>
      <c r="K33" s="186" cm="1">
        <f t="array" ref="K33">IFERROR(_xlfn.XLOOKUP(1, (Table_Fuel_EFs_Transport[Fuel combusted]=$E33)*(Table_Fuel_EFs_Transport[Transport type]=$D$25), Table_Fuel_EFs_Transport[Scope 3 Emission Factor (kg CO2 - e / GJ)]), 0)</f>
        <v>17.3</v>
      </c>
      <c r="L33" s="187" cm="1">
        <f t="array" ref="L33">Fuel_InputFunctions.Fuel_TotalConsumption(Table_Input_Fuel[Amount consumed], Table_Input_Fuel[Fuel use (select)], D33, Table_Input_Fuel[Fuel type (select)],F33)</f>
        <v>10</v>
      </c>
      <c r="M33" s="188" t="str" cm="1">
        <f t="array" ref="M33">Common_InputFunctions.Utility_LookupValueInTable(F33,Table_FuelTypes_Units[Fuel type],Table_FuelTypes_Units[Unit])</f>
        <v>kL</v>
      </c>
      <c r="N33" s="189" cm="1">
        <f t="array" ref="N33">Fuel_Equations.VEERG_8_1_1_1__1_FuelCombustionTransport($L33,$G33,$H33)</f>
        <v>26.981400000000001</v>
      </c>
      <c r="O33" s="189" cm="1">
        <f t="array" ref="O33">Fuel_Equations.VEERG_8_1_1_1__1_FuelCombustionTransport($L33,$G33,$I33)</f>
        <v>0.1158</v>
      </c>
      <c r="P33" s="189" cm="1">
        <f t="array" ref="P33">Fuel_Equations.VEERG_8_1_1_1__1_FuelCombustionTransport($L33,$G33,$J33)</f>
        <v>0.193</v>
      </c>
      <c r="Q33" s="190" cm="1">
        <f t="array" ref="Q33">Scope3_Equations.VEERG_15_11_1_1__2_UpstreamTransportFuelEmissions(L33,G33,K33)</f>
        <v>6.6778000000000004</v>
      </c>
    </row>
    <row r="34" spans="1:17" ht="20.100000000000001" customHeight="1" x14ac:dyDescent="0.25">
      <c r="A34" s="16" t="str">
        <f>HYPERLINK("#'Constants - Pasture Beef'!A1", "Constants - Pasture Beef")</f>
        <v>Constants - Pasture Beef</v>
      </c>
      <c r="D34" s="60" t="str">
        <f>Table_FuelTypesPerUse[[#Headers],[Aviation]]</f>
        <v>Aviation</v>
      </c>
      <c r="E34" s="61" t="str">
        <f>'Constants - Fuel'!$E$28</f>
        <v>Gasoline for use as fuel in an aircraft</v>
      </c>
      <c r="F34" s="61" t="str">
        <f>'Constants - Fuel'!$F$131</f>
        <v>Avgas</v>
      </c>
      <c r="G34" s="191" cm="1">
        <f t="array" ref="G34">IFERROR(_xlfn.XLOOKUP(1, (Table_Fuel_EFs_Transport[Fuel combusted]=$E34)*(Table_Fuel_EFs_Transport[Transport type]=$D$34), Table_Fuel_EFs_Transport[Energy Content Factor (GJ per unit of fuel)]), 0)</f>
        <v>33.1</v>
      </c>
      <c r="H34" s="191" cm="1">
        <f t="array" ref="H34">IFERROR(_xlfn.XLOOKUP(1, (Table_Fuel_EFs_Transport[Fuel combusted]=$E34)*(Table_Fuel_EFs_Transport[Transport type]=$D$34), Table_Fuel_EFs_Transport[Scope 1 Emission Factor (kg CO2 - e / GJ) CO2]), 0)</f>
        <v>67</v>
      </c>
      <c r="I34" s="191" cm="1">
        <f t="array" ref="I34">IFERROR(_xlfn.XLOOKUP(1, (Table_Fuel_EFs_Transport[Fuel combusted]=$E34)*(Table_Fuel_EFs_Transport[Transport type]=$D$34), Table_Fuel_EFs_Transport[Scope 1 Emission Factor (kg CO2 - e / GJ) CH4]), 0)</f>
        <v>0.06</v>
      </c>
      <c r="J34" s="191" cm="1">
        <f t="array" ref="J34">IFERROR(_xlfn.XLOOKUP(1, (Table_Fuel_EFs_Transport[Fuel combusted]=$E34)*(Table_Fuel_EFs_Transport[Transport type]=$D$34), Table_Fuel_EFs_Transport[Scope 1 Emission Factor (kg CO2 - e / GJ) N2O]), 0)</f>
        <v>0.6</v>
      </c>
      <c r="K34" s="191" cm="1">
        <f t="array" ref="K34">IFERROR(_xlfn.XLOOKUP(1, (Table_Fuel_EFs_Transport[Fuel combusted]=$E34)*(Table_Fuel_EFs_Transport[Transport type]=$D$25), Table_Fuel_EFs_Transport[Scope 3 Emission Factor (kg CO2 - e / GJ)]), 0)</f>
        <v>0</v>
      </c>
      <c r="L34" s="188" cm="1">
        <f t="array" ref="L34">Fuel_InputFunctions.Fuel_TotalConsumption(Table_Input_Fuel[Amount consumed], Table_Input_Fuel[Fuel use (select)], D34, Table_Input_Fuel[Fuel type (select)],F34)</f>
        <v>0</v>
      </c>
      <c r="M34" s="188" t="str" cm="1">
        <f t="array" ref="M34">Common_InputFunctions.Utility_LookupValueInTable(F34,Table_FuelTypes_Units[Fuel type],Table_FuelTypes_Units[Unit])</f>
        <v>kL</v>
      </c>
      <c r="N34" s="189" cm="1">
        <f t="array" ref="N34">Fuel_Equations.VEERG_8_1_1_1__1_FuelCombustionTransport($L34,$G34,$H34)</f>
        <v>0</v>
      </c>
      <c r="O34" s="189" cm="1">
        <f t="array" ref="O34">Fuel_Equations.VEERG_8_1_1_1__1_FuelCombustionTransport($L34,$G34,$I34)</f>
        <v>0</v>
      </c>
      <c r="P34" s="189" cm="1">
        <f t="array" ref="P34">Fuel_Equations.VEERG_8_1_1_1__1_FuelCombustionTransport($L34,$G34,$J34)</f>
        <v>0</v>
      </c>
      <c r="Q34" s="189" cm="1">
        <f t="array" ref="Q34">Scope3_Equations.VEERG_15_11_1_1__2_UpstreamTransportFuelEmissions(L34,G34,K34)</f>
        <v>0</v>
      </c>
    </row>
    <row r="35" spans="1:17" ht="20.100000000000001" customHeight="1" x14ac:dyDescent="0.25">
      <c r="A35" s="16" t="str">
        <f>HYPERLINK("#'Constants - Common Livestock'!A1", "Constants - Common Livestock")</f>
        <v>Constants - Common Livestock</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81" cm="1">
        <f t="array" ref="L35">Fuel_InputFunctions.Fuel_TotalConsumption(Table_Input_Fuel[Amount consumed], Table_Input_Fuel[Fuel use (select)], D35, Table_Input_Fuel[Fuel type (select)],F35)</f>
        <v>0</v>
      </c>
      <c r="M35" s="181" t="str" cm="1">
        <f t="array" ref="M35">Common_InputFunctions.Utility_LookupValueInTable(F35,Table_FuelTypes_Units[Fuel type],Table_FuelTypes_Units[Unit])</f>
        <v>kL</v>
      </c>
      <c r="N35" s="182" cm="1">
        <f t="array" ref="N35">Fuel_Equations.VEERG_8_1_1_1__1_FuelCombustionTransport($L35,$G35,$H35)</f>
        <v>0</v>
      </c>
      <c r="O35" s="182" cm="1">
        <f t="array" ref="O35">Fuel_Equations.VEERG_8_1_1_1__1_FuelCombustionTransport($L35,$G35,$I35)</f>
        <v>0</v>
      </c>
      <c r="P35" s="182" cm="1">
        <f t="array" ref="P35">Fuel_Equations.VEERG_8_1_1_1__1_FuelCombustionTransport($L35,$G35,$J35)</f>
        <v>0</v>
      </c>
      <c r="Q35" s="182" cm="1">
        <f t="array" ref="Q35">Scope3_Equations.VEERG_15_11_1_1__2_UpstreamTransportFuelEmissions(L35,G35,K35)</f>
        <v>0</v>
      </c>
    </row>
    <row r="36" spans="1:17" ht="20.100000000000001" customHeight="1" x14ac:dyDescent="0.25">
      <c r="A36" s="16" t="str">
        <f>HYPERLINK("#'Constants - Fertiliser'!A1", "Constants - Fertiliser")</f>
        <v>Constants - Fertiliser</v>
      </c>
      <c r="D36" s="59" t="str">
        <f>$D$34</f>
        <v>Aviation</v>
      </c>
      <c r="E36" s="58" t="str">
        <f>'Constants - Fuel'!$E$30</f>
        <v>Renewable aviation kerosene</v>
      </c>
      <c r="F36" s="58" t="str">
        <f>'Constants - Fuel'!$F$133</f>
        <v>Renewable aviation kerosene</v>
      </c>
      <c r="G36" s="161" cm="1">
        <f t="array" ref="G36">IFERROR(_xlfn.XLOOKUP(1, (Table_Fuel_EFs_Transport[Fuel combusted]=$E36)*(Table_Fuel_EFs_Transport[Transport type]=$D$34), Table_Fuel_EFs_Transport[Energy Content Factor (GJ per unit of fuel)]), 0)</f>
        <v>36.799999999999997</v>
      </c>
      <c r="H36" s="161" cm="1">
        <f t="array" ref="H36">IFERROR(_xlfn.XLOOKUP(1, (Table_Fuel_EFs_Transport[Fuel combusted]=$E36)*(Table_Fuel_EFs_Transport[Transport type]=$D$34), Table_Fuel_EFs_Transport[Scope 1 Emission Factor (kg CO2 - e / GJ) CO2]), 0)</f>
        <v>0</v>
      </c>
      <c r="I36" s="161" cm="1">
        <f t="array" ref="I36">IFERROR(_xlfn.XLOOKUP(1, (Table_Fuel_EFs_Transport[Fuel combusted]=$E36)*(Table_Fuel_EFs_Transport[Transport type]=$D$34), Table_Fuel_EFs_Transport[Scope 1 Emission Factor (kg CO2 - e / GJ) CH4]), 0)</f>
        <v>0.01</v>
      </c>
      <c r="J36" s="161" cm="1">
        <f t="array" ref="J36">IFERROR(_xlfn.XLOOKUP(1, (Table_Fuel_EFs_Transport[Fuel combusted]=$E36)*(Table_Fuel_EFs_Transport[Transport type]=$D$34), Table_Fuel_EFs_Transport[Scope 1 Emission Factor (kg CO2 - e / GJ) N2O]), 0)</f>
        <v>0.6</v>
      </c>
      <c r="K36" s="161" cm="1">
        <f t="array" ref="K36">IFERROR(_xlfn.XLOOKUP(1, (Table_Fuel_EFs_Transport[Fuel combusted]=$E36)*(Table_Fuel_EFs_Transport[Transport type]=$D$25), Table_Fuel_EFs_Transport[Scope 3 Emission Factor (kg CO2 - e / GJ)]), 0)</f>
        <v>0</v>
      </c>
      <c r="L36" s="183" cm="1">
        <f t="array" ref="L36">Fuel_InputFunctions.Fuel_TotalConsumption(Table_Input_Fuel[Amount consumed], Table_Input_Fuel[Fuel use (select)], D36, Table_Input_Fuel[Fuel type (select)],F36)</f>
        <v>0</v>
      </c>
      <c r="M36" s="181" t="str" cm="1">
        <f t="array" ref="M36">Common_InputFunctions.Utility_LookupValueInTable(F36,Table_FuelTypes_Units[Fuel type],Table_FuelTypes_Units[Unit])</f>
        <v>kL</v>
      </c>
      <c r="N36" s="182" cm="1">
        <f t="array" ref="N36">Fuel_Equations.VEERG_8_1_1_1__1_FuelCombustionTransport($L36,$G36,$H36)</f>
        <v>0</v>
      </c>
      <c r="O36" s="182" cm="1">
        <f t="array" ref="O36">Fuel_Equations.VEERG_8_1_1_1__1_FuelCombustionTransport($L36,$G36,$I36)</f>
        <v>0</v>
      </c>
      <c r="P36" s="182" cm="1">
        <f t="array" ref="P36">Fuel_Equations.VEERG_8_1_1_1__1_FuelCombustionTransport($L36,$G36,$J36)</f>
        <v>0</v>
      </c>
      <c r="Q36" s="184" cm="1">
        <f t="array" ref="Q36">Scope3_Equations.VEERG_15_11_1_1__2_UpstreamTransportFuelEmissions(L36,G36,K36)</f>
        <v>0</v>
      </c>
    </row>
    <row r="37" spans="1:17" ht="20.100000000000001" customHeight="1" x14ac:dyDescent="0.25">
      <c r="A37" s="16" t="str">
        <f>HYPERLINK("#'Constants - Electricity'!A1", "Constants - Electricity")</f>
        <v>Constants - Electricity</v>
      </c>
      <c r="D37" s="60" t="str">
        <f>Table_FuelTypesPerUse[[#Headers],[Vessels]]</f>
        <v>Vessels</v>
      </c>
      <c r="E37" s="61" t="str">
        <f>'Constants - Fuel'!$E$10</f>
        <v>Gasoline</v>
      </c>
      <c r="F37" s="61" t="str">
        <f>'Constants - Fuel'!$I$131</f>
        <v>Petrol</v>
      </c>
      <c r="G37" s="191" cm="1">
        <f t="array" ref="G37">IFERROR(_xlfn.XLOOKUP(1, (Table_Fuel_EFs_Transport[Fuel combusted]=$E37)*(Table_Fuel_EFs_Transport[Transport type]=$D$37), Table_Fuel_EFs_Transport[Energy Content Factor (GJ per unit of fuel)]), 0)</f>
        <v>34.200000000000003</v>
      </c>
      <c r="H37" s="191" cm="1">
        <f t="array" ref="H37">IFERROR(_xlfn.XLOOKUP(1, (Table_Fuel_EFs_Transport[Fuel combusted]=$E37)*(Table_Fuel_EFs_Transport[Transport type]=$D$37), Table_Fuel_EFs_Transport[Scope 1 Emission Factor (kg CO2 - e / GJ) CO2]), 0)</f>
        <v>67.400000000000006</v>
      </c>
      <c r="I37" s="191" cm="1">
        <f t="array" ref="I37">IFERROR(_xlfn.XLOOKUP(1, (Table_Fuel_EFs_Transport[Fuel combusted]=$E37)*(Table_Fuel_EFs_Transport[Transport type]=$D$37), Table_Fuel_EFs_Transport[Scope 1 Emission Factor (kg CO2 - e / GJ) CH4]), 0)</f>
        <v>10.1</v>
      </c>
      <c r="J37" s="191" cm="1">
        <f t="array" ref="J37">IFERROR(_xlfn.XLOOKUP(1, (Table_Fuel_EFs_Transport[Fuel combusted]=$E37)*(Table_Fuel_EFs_Transport[Transport type]=$D$37), Table_Fuel_EFs_Transport[Scope 1 Emission Factor (kg CO2 - e / GJ) N2O]), 0)</f>
        <v>0.3</v>
      </c>
      <c r="K37" s="191" cm="1">
        <f t="array" ref="K37">IFERROR(_xlfn.XLOOKUP(1, (Table_Fuel_EFs_Transport[Fuel combusted]=$E37)*(Table_Fuel_EFs_Transport[Transport type]=$D$25), Table_Fuel_EFs_Transport[Scope 3 Emission Factor (kg CO2 - e / GJ)]), 0)</f>
        <v>17.2</v>
      </c>
      <c r="L37" s="188" cm="1">
        <f t="array" ref="L37">Fuel_InputFunctions.Fuel_TotalConsumption(Table_Input_Fuel[Amount consumed], Table_Input_Fuel[Fuel use (select)], D37, Table_Input_Fuel[Fuel type (select)],F37)</f>
        <v>0</v>
      </c>
      <c r="M37" s="192" t="str" cm="1">
        <f t="array" ref="M37">Common_InputFunctions.Utility_LookupValueInTable(F37,Table_FuelTypes_Units[Fuel type],Table_FuelTypes_Units[Unit])</f>
        <v>kL</v>
      </c>
      <c r="N37" s="189" cm="1">
        <f t="array" ref="N37">Fuel_Equations.VEERG_8_1_1_1__1_FuelCombustionTransport($L37,$G37,$H37)</f>
        <v>0</v>
      </c>
      <c r="O37" s="189" cm="1">
        <f t="array" ref="O37">Fuel_Equations.VEERG_8_1_1_1__1_FuelCombustionTransport($L37,$G37,$I37)</f>
        <v>0</v>
      </c>
      <c r="P37" s="189" cm="1">
        <f t="array" ref="P37">Fuel_Equations.VEERG_8_1_1_1__1_FuelCombustionTransport($L37,$G37,$J37)</f>
        <v>0</v>
      </c>
      <c r="Q37" s="189" cm="1">
        <f t="array" ref="Q37">Scope3_Equations.VEERG_15_11_1_1__2_UpstreamTransportFuelEmissions(L37,G37,K37)</f>
        <v>0</v>
      </c>
    </row>
    <row r="38" spans="1:17" ht="20.100000000000001" customHeight="1" x14ac:dyDescent="0.25">
      <c r="A38" s="16" t="str">
        <f>HYPERLINK("#'Constants - Common'!A1", "Constants - Common")</f>
        <v>Constants - Common</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81" cm="1">
        <f t="array" ref="L38">Fuel_InputFunctions.Fuel_TotalConsumption(Table_Input_Fuel[Amount consumed], Table_Input_Fuel[Fuel use (select)], D38, Table_Input_Fuel[Fuel type (select)],F38)</f>
        <v>0</v>
      </c>
      <c r="M38" s="181" t="str" cm="1">
        <f t="array" ref="M38">Common_InputFunctions.Utility_LookupValueInTable(F38,Table_FuelTypes_Units[Fuel type],Table_FuelTypes_Units[Unit])</f>
        <v>kL</v>
      </c>
      <c r="N38" s="182" cm="1">
        <f t="array" ref="N38">Fuel_Equations.VEERG_8_1_1_1__1_FuelCombustionTransport($L38,$G38,$H38)</f>
        <v>0</v>
      </c>
      <c r="O38" s="182" cm="1">
        <f t="array" ref="O38">Fuel_Equations.VEERG_8_1_1_1__1_FuelCombustionTransport($L38,$G38,$I38)</f>
        <v>0</v>
      </c>
      <c r="P38" s="182" cm="1">
        <f t="array" ref="P38">Fuel_Equations.VEERG_8_1_1_1__1_FuelCombustionTransport($L38,$G38,$J38)</f>
        <v>0</v>
      </c>
      <c r="Q38" s="182" cm="1">
        <f t="array" ref="Q38">Scope3_Equations.VEERG_15_11_1_1__2_UpstreamTransportFuelEmissions(L38,G38,K38)</f>
        <v>0</v>
      </c>
    </row>
    <row r="39" spans="1:17" ht="20.100000000000001" customHeight="1" x14ac:dyDescent="0.25">
      <c r="A39"/>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81" cm="1">
        <f t="array" ref="L39">Fuel_InputFunctions.Fuel_TotalConsumption(Table_Input_Fuel[Amount consumed], Table_Input_Fuel[Fuel use (select)], D39, Table_Input_Fuel[Fuel type (select)],F39)</f>
        <v>10</v>
      </c>
      <c r="M39" s="181" t="str" cm="1">
        <f t="array" ref="M39">Common_InputFunctions.Utility_LookupValueInTable(F39,Table_FuelTypes_Units[Fuel type],Table_FuelTypes_Units[Unit])</f>
        <v>kL</v>
      </c>
      <c r="N39" s="182" cm="1">
        <f t="array" ref="N39">Fuel_Equations.VEERG_8_1_1_1__1_FuelCombustionTransport($L39,$G39,$H39)</f>
        <v>29.219199999999997</v>
      </c>
      <c r="O39" s="182" cm="1">
        <f t="array" ref="O39">Fuel_Equations.VEERG_8_1_1_1__1_FuelCombustionTransport($L39,$G39,$I39)</f>
        <v>7.9400000000000012E-2</v>
      </c>
      <c r="P39" s="182" cm="1">
        <f t="array" ref="P39">Fuel_Equations.VEERG_8_1_1_1__1_FuelCombustionTransport($L39,$G39,$J39)</f>
        <v>0.19850000000000001</v>
      </c>
      <c r="Q39" s="182" cm="1">
        <f t="array" ref="Q39">Scope3_Equations.VEERG_15_11_1_1__2_UpstreamTransportFuelEmissions(L39,G39,K39)</f>
        <v>7.1459999999999999</v>
      </c>
    </row>
    <row r="40" spans="1:17" ht="20.100000000000001" customHeight="1" x14ac:dyDescent="0.25">
      <c r="A40"/>
      <c r="H40" s="17"/>
      <c r="I40" s="17"/>
      <c r="J40" s="17"/>
      <c r="L40" s="17"/>
      <c r="M40" s="17"/>
      <c r="N40" s="17"/>
      <c r="O40" s="17"/>
      <c r="P40" s="17"/>
      <c r="Q40" s="17"/>
    </row>
    <row r="41" spans="1:17" ht="20.100000000000001" customHeight="1" x14ac:dyDescent="0.25">
      <c r="A41"/>
      <c r="H41" s="17"/>
      <c r="I41" s="17"/>
      <c r="J41" s="17"/>
      <c r="L41" s="17"/>
      <c r="M41" s="17"/>
      <c r="N41" s="17"/>
      <c r="O41" s="17"/>
      <c r="P41" s="17"/>
      <c r="Q41" s="17"/>
    </row>
    <row r="42" spans="1:17" ht="20.100000000000001" customHeight="1" x14ac:dyDescent="0.25">
      <c r="A42"/>
      <c r="D42" s="193" t="str">
        <f>"Total scope 1 - " &amp; D25</f>
        <v>Total scope 1 - Cars and light commercial vehicles</v>
      </c>
      <c r="E42" s="194"/>
      <c r="F42" s="195"/>
    </row>
    <row r="43" spans="1:17" ht="20.100000000000001" customHeight="1" x14ac:dyDescent="0.25">
      <c r="A43"/>
      <c r="D43" s="7" t="s">
        <v>722</v>
      </c>
      <c r="E43" s="196">
        <f>SUM(N25:N32)</f>
        <v>26.981400000000001</v>
      </c>
      <c r="F43" s="65" t="str">
        <f>$E$12</f>
        <v>t CO2-e</v>
      </c>
    </row>
    <row r="44" spans="1:17" ht="20.100000000000001" customHeight="1" x14ac:dyDescent="0.25">
      <c r="A44"/>
      <c r="D44" s="7" t="s">
        <v>723</v>
      </c>
      <c r="E44" s="196">
        <f>SUM(O25:O32)</f>
        <v>3.8600000000000001E-3</v>
      </c>
      <c r="F44" s="65" t="str">
        <f t="shared" ref="F44:F46" si="1">$E$12</f>
        <v>t CO2-e</v>
      </c>
    </row>
    <row r="45" spans="1:17" ht="20.100000000000001" customHeight="1" x14ac:dyDescent="0.25">
      <c r="A45"/>
      <c r="D45" s="7" t="s">
        <v>724</v>
      </c>
      <c r="E45" s="196">
        <f>SUM(P25:P32)</f>
        <v>0.193</v>
      </c>
      <c r="F45" s="65" t="str">
        <f t="shared" si="1"/>
        <v>t CO2-e</v>
      </c>
    </row>
    <row r="46" spans="1:17" ht="20.100000000000001" customHeight="1" x14ac:dyDescent="0.25">
      <c r="A46"/>
      <c r="D46" s="7" t="s">
        <v>725</v>
      </c>
      <c r="E46" s="196">
        <f>SUM(Q25:Q32)</f>
        <v>6.6778000000000004</v>
      </c>
      <c r="F46" s="65" t="str">
        <f t="shared" si="1"/>
        <v>t CO2-e</v>
      </c>
    </row>
    <row r="47" spans="1:17" ht="20.100000000000001" customHeight="1" x14ac:dyDescent="0.25">
      <c r="A47"/>
      <c r="D47" s="17"/>
      <c r="E47" s="17"/>
      <c r="F47" s="17"/>
    </row>
    <row r="48" spans="1:17" ht="20.100000000000001" customHeight="1" x14ac:dyDescent="0.25">
      <c r="A48"/>
      <c r="D48" s="193" t="str">
        <f>"Total scope 1 - " &amp; D33</f>
        <v>Total scope 1 - Off-road Agriculture and forestry equipment</v>
      </c>
      <c r="E48" s="197"/>
      <c r="F48" s="195"/>
      <c r="H48" s="17"/>
      <c r="I48" s="17"/>
      <c r="J48" s="17"/>
      <c r="L48" s="17"/>
      <c r="M48" s="17"/>
      <c r="N48" s="17"/>
      <c r="O48" s="17"/>
      <c r="P48" s="17"/>
      <c r="Q48" s="17"/>
    </row>
    <row r="49" spans="1:17" ht="20.100000000000001" customHeight="1" x14ac:dyDescent="0.25">
      <c r="A49"/>
      <c r="D49" s="7" t="s">
        <v>722</v>
      </c>
      <c r="E49" s="196">
        <f>SUM(N33:N33)</f>
        <v>26.981400000000001</v>
      </c>
      <c r="F49" s="65" t="str">
        <f t="shared" ref="F49:F52" si="2">$E$12</f>
        <v>t CO2-e</v>
      </c>
      <c r="H49" s="17"/>
      <c r="I49" s="17"/>
      <c r="J49" s="17"/>
      <c r="L49" s="17"/>
      <c r="M49" s="17"/>
      <c r="N49" s="17"/>
      <c r="O49" s="17"/>
      <c r="P49" s="17"/>
      <c r="Q49" s="17"/>
    </row>
    <row r="50" spans="1:17" ht="20.100000000000001" customHeight="1" x14ac:dyDescent="0.25">
      <c r="A50"/>
      <c r="D50" s="7" t="s">
        <v>723</v>
      </c>
      <c r="E50" s="196">
        <f>SUM(O33:O33)</f>
        <v>0.1158</v>
      </c>
      <c r="F50" s="65" t="str">
        <f t="shared" si="2"/>
        <v>t CO2-e</v>
      </c>
      <c r="H50" s="17"/>
      <c r="I50" s="17"/>
      <c r="J50" s="17"/>
      <c r="L50" s="17"/>
      <c r="M50" s="17"/>
      <c r="N50" s="17"/>
      <c r="O50" s="17"/>
      <c r="P50" s="17"/>
      <c r="Q50" s="17"/>
    </row>
    <row r="51" spans="1:17" ht="20.100000000000001" customHeight="1" x14ac:dyDescent="0.25">
      <c r="A51"/>
      <c r="D51" s="7" t="s">
        <v>724</v>
      </c>
      <c r="E51" s="196">
        <f>SUM(P33:P33)</f>
        <v>0.193</v>
      </c>
      <c r="F51" s="65" t="str">
        <f t="shared" si="2"/>
        <v>t CO2-e</v>
      </c>
      <c r="H51" s="17"/>
      <c r="I51" s="17"/>
      <c r="J51" s="17"/>
      <c r="L51" s="17"/>
      <c r="M51" s="17"/>
      <c r="N51" s="17"/>
      <c r="O51" s="17"/>
      <c r="P51" s="17"/>
      <c r="Q51" s="17"/>
    </row>
    <row r="52" spans="1:17" ht="20.100000000000001" customHeight="1" x14ac:dyDescent="0.25">
      <c r="A52"/>
      <c r="D52" s="7" t="s">
        <v>725</v>
      </c>
      <c r="E52" s="196">
        <f>SUM(Q33)</f>
        <v>6.6778000000000004</v>
      </c>
      <c r="F52" s="65" t="str">
        <f t="shared" si="2"/>
        <v>t CO2-e</v>
      </c>
      <c r="H52" s="17"/>
      <c r="I52" s="17"/>
      <c r="J52" s="17"/>
      <c r="L52" s="17"/>
      <c r="M52" s="17"/>
      <c r="N52" s="17"/>
      <c r="O52" s="17"/>
      <c r="P52" s="17"/>
      <c r="Q52" s="17"/>
    </row>
    <row r="53" spans="1:17" ht="20.100000000000001" customHeight="1" x14ac:dyDescent="0.25">
      <c r="A53"/>
      <c r="D53" s="17"/>
      <c r="E53" s="198"/>
      <c r="F53" s="17"/>
      <c r="G53" s="17"/>
      <c r="H53" s="17"/>
      <c r="I53" s="17"/>
      <c r="J53" s="17"/>
      <c r="L53" s="17"/>
      <c r="M53" s="17"/>
      <c r="N53" s="17"/>
      <c r="O53" s="17"/>
      <c r="P53" s="17"/>
      <c r="Q53" s="17"/>
    </row>
    <row r="54" spans="1:17" ht="20.100000000000001" customHeight="1" x14ac:dyDescent="0.25">
      <c r="A54"/>
      <c r="D54" s="193" t="str">
        <f>"Total scope 1 - " &amp; D34</f>
        <v>Total scope 1 - Aviation</v>
      </c>
      <c r="E54" s="197"/>
      <c r="F54" s="195"/>
      <c r="G54" s="17"/>
      <c r="H54" s="17"/>
      <c r="I54" s="17"/>
      <c r="J54" s="17"/>
      <c r="L54" s="17"/>
      <c r="M54" s="17"/>
      <c r="N54" s="17"/>
      <c r="O54" s="17"/>
      <c r="P54" s="17"/>
      <c r="Q54" s="17"/>
    </row>
    <row r="55" spans="1:17" ht="20.100000000000001" customHeight="1" x14ac:dyDescent="0.25">
      <c r="A55"/>
      <c r="D55" s="7" t="s">
        <v>722</v>
      </c>
      <c r="E55" s="196">
        <f>SUM(N34:N36)</f>
        <v>0</v>
      </c>
      <c r="F55" s="65" t="str">
        <f t="shared" ref="F55:F58" si="3">$E$12</f>
        <v>t CO2-e</v>
      </c>
      <c r="G55" s="17"/>
      <c r="H55" s="17"/>
      <c r="I55" s="17"/>
      <c r="J55" s="17"/>
      <c r="L55" s="17"/>
      <c r="M55" s="17"/>
      <c r="N55" s="17"/>
      <c r="O55" s="17"/>
      <c r="P55" s="17"/>
      <c r="Q55" s="17"/>
    </row>
    <row r="56" spans="1:17" ht="20.100000000000001" customHeight="1" x14ac:dyDescent="0.25">
      <c r="A56"/>
      <c r="D56" s="7" t="s">
        <v>723</v>
      </c>
      <c r="E56" s="196">
        <f>SUM(O34:O36)</f>
        <v>0</v>
      </c>
      <c r="F56" s="65" t="str">
        <f t="shared" si="3"/>
        <v>t CO2-e</v>
      </c>
      <c r="G56" s="17"/>
      <c r="H56" s="17"/>
      <c r="I56" s="17"/>
      <c r="J56" s="17"/>
      <c r="L56" s="17"/>
      <c r="M56" s="17"/>
      <c r="N56" s="17"/>
      <c r="O56" s="17"/>
      <c r="P56" s="17"/>
      <c r="Q56" s="17"/>
    </row>
    <row r="57" spans="1:17" ht="20.100000000000001" customHeight="1" x14ac:dyDescent="0.25">
      <c r="A57"/>
      <c r="D57" s="7" t="s">
        <v>724</v>
      </c>
      <c r="E57" s="196">
        <f>SUM(P34:P36)</f>
        <v>0</v>
      </c>
      <c r="F57" s="65" t="str">
        <f t="shared" si="3"/>
        <v>t CO2-e</v>
      </c>
      <c r="G57" s="17"/>
      <c r="H57" s="17"/>
      <c r="I57" s="17"/>
      <c r="J57" s="17"/>
      <c r="L57" s="17"/>
      <c r="M57" s="17"/>
      <c r="N57" s="17"/>
      <c r="O57" s="17"/>
      <c r="P57" s="17"/>
      <c r="Q57" s="17"/>
    </row>
    <row r="58" spans="1:17" ht="20.100000000000001" customHeight="1" x14ac:dyDescent="0.25">
      <c r="A58"/>
      <c r="D58" s="7" t="s">
        <v>725</v>
      </c>
      <c r="E58" s="196">
        <f>SUM(Q34:Q36)</f>
        <v>0</v>
      </c>
      <c r="F58" s="65" t="str">
        <f t="shared" si="3"/>
        <v>t CO2-e</v>
      </c>
      <c r="G58" s="17"/>
      <c r="H58" s="17"/>
      <c r="I58" s="17"/>
      <c r="J58" s="17"/>
      <c r="L58" s="17"/>
      <c r="M58" s="17"/>
      <c r="N58" s="17"/>
      <c r="O58" s="17"/>
      <c r="P58" s="17"/>
      <c r="Q58" s="17"/>
    </row>
    <row r="59" spans="1:17" ht="20.100000000000001" customHeight="1" x14ac:dyDescent="0.25">
      <c r="A59"/>
      <c r="D59" s="17"/>
      <c r="E59" s="198"/>
      <c r="F59" s="17"/>
      <c r="G59" s="17"/>
      <c r="H59" s="17"/>
      <c r="I59" s="17"/>
      <c r="J59" s="17"/>
      <c r="L59" s="17"/>
      <c r="M59" s="17"/>
      <c r="N59" s="17"/>
      <c r="O59" s="17"/>
      <c r="P59" s="17"/>
      <c r="Q59" s="17"/>
    </row>
    <row r="60" spans="1:17" ht="20.100000000000001" customHeight="1" x14ac:dyDescent="0.25">
      <c r="A60"/>
      <c r="D60" s="193" t="str">
        <f>"Total scope 1 - " &amp; D37</f>
        <v>Total scope 1 - Vessels</v>
      </c>
      <c r="E60" s="197"/>
      <c r="F60" s="195"/>
      <c r="G60" s="17"/>
      <c r="H60" s="17"/>
      <c r="I60" s="17"/>
      <c r="J60" s="17"/>
      <c r="L60" s="17"/>
      <c r="M60" s="17"/>
      <c r="N60" s="17"/>
      <c r="O60" s="17"/>
      <c r="P60" s="17"/>
      <c r="Q60" s="17"/>
    </row>
    <row r="61" spans="1:17" ht="20.100000000000001" customHeight="1" x14ac:dyDescent="0.25">
      <c r="A61"/>
      <c r="D61" s="7" t="s">
        <v>722</v>
      </c>
      <c r="E61" s="196">
        <f>SUM(N37:N39)</f>
        <v>29.219199999999997</v>
      </c>
      <c r="F61" s="65" t="str">
        <f t="shared" ref="F61:F64" si="4">$E$12</f>
        <v>t CO2-e</v>
      </c>
      <c r="G61" s="17"/>
      <c r="H61" s="17"/>
      <c r="I61" s="17"/>
      <c r="J61" s="17"/>
      <c r="L61" s="17"/>
      <c r="M61" s="17"/>
      <c r="N61" s="17"/>
      <c r="O61" s="17"/>
      <c r="P61" s="17"/>
      <c r="Q61" s="17"/>
    </row>
    <row r="62" spans="1:17" ht="20.100000000000001" customHeight="1" x14ac:dyDescent="0.25">
      <c r="A62"/>
      <c r="D62" s="7" t="s">
        <v>723</v>
      </c>
      <c r="E62" s="196">
        <f>SUM(O37:O39)</f>
        <v>7.9400000000000012E-2</v>
      </c>
      <c r="F62" s="65" t="str">
        <f t="shared" si="4"/>
        <v>t CO2-e</v>
      </c>
      <c r="G62" s="17"/>
      <c r="H62" s="17"/>
      <c r="I62" s="17"/>
      <c r="J62" s="17"/>
      <c r="L62" s="17"/>
      <c r="M62" s="17"/>
      <c r="N62" s="17"/>
      <c r="O62" s="17"/>
      <c r="P62" s="17"/>
      <c r="Q62" s="17"/>
    </row>
    <row r="63" spans="1:17" ht="20.100000000000001" customHeight="1" x14ac:dyDescent="0.25">
      <c r="A63"/>
      <c r="D63" s="7" t="s">
        <v>724</v>
      </c>
      <c r="E63" s="196">
        <f>SUM(P37:P39)</f>
        <v>0.19850000000000001</v>
      </c>
      <c r="F63" s="65" t="str">
        <f t="shared" si="4"/>
        <v>t CO2-e</v>
      </c>
      <c r="G63" s="17"/>
      <c r="H63" s="17"/>
      <c r="I63" s="17"/>
      <c r="J63" s="17"/>
      <c r="L63" s="17"/>
      <c r="M63" s="17"/>
      <c r="N63" s="17"/>
      <c r="O63" s="17"/>
      <c r="P63" s="17"/>
      <c r="Q63" s="17"/>
    </row>
    <row r="64" spans="1:17" ht="20.100000000000001" customHeight="1" x14ac:dyDescent="0.25">
      <c r="A64"/>
      <c r="D64" s="7" t="s">
        <v>725</v>
      </c>
      <c r="E64" s="196">
        <f>SUM(Q37:Q39)</f>
        <v>7.1459999999999999</v>
      </c>
      <c r="F64" s="65"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93" t="s">
        <v>726</v>
      </c>
      <c r="E66" s="199"/>
      <c r="F66" s="195"/>
      <c r="G66" s="17"/>
      <c r="H66" s="17"/>
      <c r="I66" s="17"/>
      <c r="J66" s="17"/>
      <c r="L66" s="17"/>
      <c r="M66" s="17"/>
      <c r="N66" s="17"/>
      <c r="O66" s="17"/>
      <c r="P66" s="17"/>
      <c r="Q66" s="17"/>
    </row>
    <row r="67" spans="1:17" ht="20.100000000000001" customHeight="1" x14ac:dyDescent="0.25">
      <c r="A67"/>
      <c r="D67" s="7" t="s">
        <v>722</v>
      </c>
      <c r="E67" s="196">
        <f>E43+E49+E55+E61</f>
        <v>83.182000000000002</v>
      </c>
      <c r="F67" s="65" t="str">
        <f t="shared" ref="F67:F70" si="5">$E$12</f>
        <v>t CO2-e</v>
      </c>
      <c r="G67" s="17"/>
    </row>
    <row r="68" spans="1:17" ht="20.100000000000001" customHeight="1" x14ac:dyDescent="0.25">
      <c r="A68"/>
      <c r="D68" s="7" t="s">
        <v>723</v>
      </c>
      <c r="E68" s="196">
        <f t="shared" ref="E68:E70" si="6">E44+E50+E56+E62</f>
        <v>0.19906000000000001</v>
      </c>
      <c r="F68" s="65" t="str">
        <f t="shared" si="5"/>
        <v>t CO2-e</v>
      </c>
      <c r="G68" s="17"/>
    </row>
    <row r="69" spans="1:17" ht="20.100000000000001" customHeight="1" x14ac:dyDescent="0.25">
      <c r="A69"/>
      <c r="D69" s="7" t="s">
        <v>724</v>
      </c>
      <c r="E69" s="196">
        <f t="shared" si="6"/>
        <v>0.58450000000000002</v>
      </c>
      <c r="F69" s="65" t="str">
        <f t="shared" si="5"/>
        <v>t CO2-e</v>
      </c>
      <c r="G69" s="17"/>
    </row>
    <row r="70" spans="1:17" ht="20.100000000000001" customHeight="1" x14ac:dyDescent="0.25">
      <c r="A70"/>
      <c r="D70" s="7" t="s">
        <v>725</v>
      </c>
      <c r="E70" s="196">
        <f t="shared" si="6"/>
        <v>20.5016</v>
      </c>
      <c r="F70" s="65"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4AF088AA-B31E-47BF-9536-45F1944F913E}"/>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6457F-3791-4C06-B932-E6E38E4D4E38}">
  <dimension ref="A1:R165"/>
  <sheetViews>
    <sheetView showGridLines="0" topLeftCell="A33"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727</v>
      </c>
    </row>
    <row r="2" spans="1:18" s="2" customFormat="1" ht="20.100000000000001" customHeight="1" x14ac:dyDescent="0.25">
      <c r="A2"/>
    </row>
    <row r="3" spans="1:18" ht="20.100000000000001" customHeight="1" x14ac:dyDescent="0.25">
      <c r="A3" s="16" t="str">
        <f>HYPERLINK("#'Overview'!A1", "Overview")</f>
        <v>Overview</v>
      </c>
      <c r="C3" s="5"/>
      <c r="D3" s="5" t="s">
        <v>407</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2" t="s">
        <v>626</v>
      </c>
      <c r="E7" s="172"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72" t="s">
        <v>626</v>
      </c>
      <c r="L8" s="172"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Farm Inputs'!A1", "Farm Inputs")</f>
        <v>Farm Inputs</v>
      </c>
      <c r="D11" s="27" t="s">
        <v>627</v>
      </c>
      <c r="E11" s="8" t="str" cm="1">
        <f t="array" ref="E11">Fuel_Equations.VEERG_8_2_1_1__1_FuelCombustionStationary_Variable()</f>
        <v>E_g</v>
      </c>
      <c r="K11" s="27" t="s">
        <v>627</v>
      </c>
      <c r="L11" s="8" t="str" cm="1">
        <f t="array" ref="L11">Scope3_Equations.VEERG_15_11_1_1__3_UpstreamStationaryFuelEmissions_Variable()</f>
        <v>E_WTTSCq</v>
      </c>
      <c r="O11" s="17"/>
      <c r="P11" s="17"/>
      <c r="Q11" s="17"/>
      <c r="R11" s="17"/>
    </row>
    <row r="12" spans="1:18" ht="20.100000000000001" customHeight="1" x14ac:dyDescent="0.25">
      <c r="A12" s="16" t="str">
        <f>HYPERLINK("#'Input - Livestock purchases'!A1", "Livestock purchases")</f>
        <v>Livestock purchases</v>
      </c>
      <c r="D12" s="27" t="s">
        <v>96</v>
      </c>
      <c r="E12" s="13" t="str" cm="1">
        <f t="array" ref="E12">Fuel_Equations.VEERG_8_2_1_1__1_FuelCombustionStationary_Unit()</f>
        <v>t CO2-e</v>
      </c>
      <c r="K12" s="27" t="s">
        <v>96</v>
      </c>
      <c r="L12" s="13" t="str" cm="1">
        <f t="array" ref="L12">Scope3_Equations.VEERG_15_11_1_1__3_UpstreamStationaryFuelEmissions_Unit()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67" t="str" cm="1">
        <f t="array" ref="D14:E20">_xlfn.CHOOSECOLS(Fuel_Equations.VEERG_8_2_1_1__1_FuelCombustionStationary_Arguments(), 1,2)</f>
        <v>Q_SCq</v>
      </c>
      <c r="E14" s="171" t="str">
        <v>Amount of fuel type q used for stationary combustion operations</v>
      </c>
      <c r="F14" s="166"/>
      <c r="G14" s="167" t="str" cm="1">
        <f t="array" ref="G14:H20">_xlfn.CHOOSECOLS(Fuel_Equations.VEERG_8_2_1_1__1_FuelCombustionStationary_Arguments(), 3,4)</f>
        <v>Varies based on fuel type: kL, m3, GJ</v>
      </c>
      <c r="H14" s="227" t="str">
        <v>Input</v>
      </c>
      <c r="I14" s="170" t="str" cm="1">
        <f t="array" aca="1" ref="I14" ca="1">HYPERLINK(Common_InputFunctions.Utility_SourceHyperlink($D$22), $D$22)</f>
        <v>Table_E_g</v>
      </c>
      <c r="K14" s="167" t="str" cm="1">
        <f t="array" ref="K14:L18">_xlfn.CHOOSECOLS(Scope3_Equations.VEERG_15_11_1_1__3_UpstreamStationaryFuelEmissions_Arguments(),1,2)</f>
        <v>Q_SCq</v>
      </c>
      <c r="L14" s="167" t="str">
        <v>amount of fuel q used for stationary combustion operations</v>
      </c>
      <c r="M14" s="167"/>
      <c r="N14" s="167" t="str" cm="1">
        <f t="array" ref="N14:O18">_xlfn.CHOOSECOLS(Scope3_Equations.VEERG_15_11_1_1__3_UpstreamStationaryFuelEmissions_Arguments(),3,4)</f>
        <v>kL</v>
      </c>
      <c r="O14" s="227" t="str">
        <v>Input</v>
      </c>
      <c r="P14" s="170"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67" t="str">
        <v>EC_SCq</v>
      </c>
      <c r="E15" s="171" t="str">
        <v>Energy content factor for stationary combustion operations</v>
      </c>
      <c r="F15" s="166"/>
      <c r="G15" s="167" t="str">
        <v>GJ / unit of fuel</v>
      </c>
      <c r="H15" s="169" t="str">
        <v>Constant</v>
      </c>
      <c r="I15" s="170" t="str" cm="1">
        <f t="array" aca="1" ref="I15" ca="1">HYPERLINK(Common_InputFunctions.Utility_SourceHyperlink($D$22), $D$22)</f>
        <v>Table_E_g</v>
      </c>
      <c r="K15" s="167" t="str">
        <v>EC_SCq</v>
      </c>
      <c r="L15" s="167" t="str">
        <v>energy content factor for stationary combustion operations</v>
      </c>
      <c r="M15" s="167"/>
      <c r="N15" s="167" t="str">
        <v>GJ/kL</v>
      </c>
      <c r="O15" s="169" t="str">
        <v>Constant</v>
      </c>
      <c r="P15" s="170" t="str" cm="1">
        <f t="array" aca="1" ref="P15" ca="1">HYPERLINK(Common_InputFunctions.Utility_SourceHyperlink($D$22), $D$22)</f>
        <v>Table_E_g</v>
      </c>
      <c r="Q15" s="17"/>
    </row>
    <row r="16" spans="1:18" ht="20.100000000000001" customHeight="1" x14ac:dyDescent="0.25">
      <c r="A16" s="16" t="str">
        <f>HYPERLINK("#'Input - Electricity'!A1", "Electricity")</f>
        <v>Electricity</v>
      </c>
      <c r="D16" s="167" t="str">
        <v>EF_SC1qg</v>
      </c>
      <c r="E16" s="171" t="str">
        <v>Scope 1 emission factor for stationary combustion for each greenhouse gas</v>
      </c>
      <c r="F16" s="166"/>
      <c r="G16" s="167" t="str">
        <v>kg CO2e / GJ</v>
      </c>
      <c r="H16" s="169" t="str">
        <v>Constant</v>
      </c>
      <c r="I16" s="170" t="str" cm="1">
        <f t="array" aca="1" ref="I16" ca="1">HYPERLINK(Common_InputFunctions.Utility_SourceHyperlink($D$22), $D$22)</f>
        <v>Table_E_g</v>
      </c>
      <c r="K16" s="167" t="str">
        <v>EF_SC3q</v>
      </c>
      <c r="L16" s="167" t="str">
        <v>scope 3 emission factor for stationary combustion operations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c r="D17" s="167" t="str">
        <v>q</v>
      </c>
      <c r="E17" s="171" t="str">
        <v>Fuel type</v>
      </c>
      <c r="F17" s="166"/>
      <c r="G17" s="167" t="str">
        <v/>
      </c>
      <c r="H17" s="169" t="str">
        <v>Constant</v>
      </c>
      <c r="I17" s="170"/>
      <c r="J17" s="17"/>
      <c r="K17" s="167" t="str">
        <v>i</v>
      </c>
      <c r="L17" s="171" t="str">
        <v>state</v>
      </c>
      <c r="M17" s="166"/>
      <c r="N17" s="167" t="str">
        <v/>
      </c>
      <c r="O17" s="227" t="str">
        <v>Input</v>
      </c>
      <c r="P17" s="167" t="str">
        <f>X_Cell_Site_State</f>
        <v>Western Australia</v>
      </c>
      <c r="Q17" s="17"/>
    </row>
    <row r="18" spans="1:17" ht="20.100000000000001" customHeight="1" x14ac:dyDescent="0.25">
      <c r="A18"/>
      <c r="D18" s="167" t="str">
        <v>SC</v>
      </c>
      <c r="E18" s="171" t="str">
        <v>Stationary combustion</v>
      </c>
      <c r="F18" s="166"/>
      <c r="G18" s="167" t="str">
        <v/>
      </c>
      <c r="H18" s="169" t="str">
        <v>Constant</v>
      </c>
      <c r="I18" s="170"/>
      <c r="J18" s="17"/>
      <c r="K18" s="167" t="str">
        <v>m</v>
      </c>
      <c r="L18" s="171" t="str">
        <v>metropolitan/non-metropolitan location</v>
      </c>
      <c r="M18" s="166"/>
      <c r="N18" s="167" t="str">
        <v/>
      </c>
      <c r="O18" s="227" t="str">
        <v>Input</v>
      </c>
      <c r="P18" s="167" t="str">
        <f>X_Cell_Fuel_IsMetroLocation</f>
        <v>Metro</v>
      </c>
      <c r="Q18" s="17"/>
    </row>
    <row r="19" spans="1:17" ht="20.100000000000001" customHeight="1" x14ac:dyDescent="0.25">
      <c r="A19" s="21" t="s">
        <v>77</v>
      </c>
      <c r="D19" s="167" t="str">
        <v>g</v>
      </c>
      <c r="E19" s="171" t="str">
        <v>Greenhouse gas</v>
      </c>
      <c r="F19" s="166"/>
      <c r="G19" s="167" t="str">
        <v/>
      </c>
      <c r="H19" s="169" t="str">
        <v>Constant</v>
      </c>
      <c r="I19" s="170"/>
      <c r="J19" s="17"/>
      <c r="L19" s="17"/>
      <c r="N19" s="17"/>
      <c r="O19" s="17"/>
      <c r="P19" s="17"/>
      <c r="Q19" s="17"/>
    </row>
    <row r="20" spans="1:17" ht="20.100000000000001" customHeight="1" x14ac:dyDescent="0.25">
      <c r="A20" s="16" t="str">
        <f>HYPERLINK("#'15 Scope 3'!A1", "15 Scope 3")</f>
        <v>15 Scope 3</v>
      </c>
      <c r="D20" s="167" t="str">
        <v>1</v>
      </c>
      <c r="E20" s="171" t="str">
        <v>Scope 1</v>
      </c>
      <c r="F20" s="166"/>
      <c r="G20" s="167" t="str">
        <v/>
      </c>
      <c r="H20" s="169" t="str">
        <v>Constant</v>
      </c>
      <c r="I20" s="170"/>
      <c r="J20" s="17"/>
      <c r="L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128</v>
      </c>
    </row>
    <row r="23" spans="1:17" ht="20.100000000000001" customHeight="1" x14ac:dyDescent="0.25">
      <c r="A23" s="16" t="str">
        <f>HYPERLINK("#'8.1.1.1-2 Transport fuel'!A1", "8.1.1.1-2 Transport fuel")</f>
        <v>8.1.1.1-2 Transport fuel</v>
      </c>
      <c r="D23" s="56" t="s">
        <v>728</v>
      </c>
    </row>
    <row r="24" spans="1:17" ht="20.100000000000001" customHeight="1" x14ac:dyDescent="0.25">
      <c r="A24" s="180" t="str">
        <f>HYPERLINK("#'8.2.1.1-2 Stationary fuel'!A1", "8.2.1.1-2 Stationary fuel")</f>
        <v>8.2.1.1-2 Stationary fuel</v>
      </c>
      <c r="D24" s="57" t="s">
        <v>130</v>
      </c>
      <c r="E24" s="57" t="s">
        <v>131</v>
      </c>
      <c r="F24" s="57" t="s">
        <v>132</v>
      </c>
      <c r="G24" s="57" t="s">
        <v>729</v>
      </c>
      <c r="H24" s="57" t="s">
        <v>730</v>
      </c>
      <c r="I24" s="57" t="s">
        <v>731</v>
      </c>
      <c r="J24" s="57" t="s">
        <v>732</v>
      </c>
      <c r="K24" s="57" t="s">
        <v>733</v>
      </c>
      <c r="L24" s="46" t="s">
        <v>734</v>
      </c>
      <c r="M24" s="57" t="s">
        <v>717</v>
      </c>
      <c r="N24" s="57" t="s">
        <v>718</v>
      </c>
      <c r="O24" s="57" t="s">
        <v>719</v>
      </c>
      <c r="P24" s="57" t="s">
        <v>720</v>
      </c>
      <c r="Q24" s="57" t="s">
        <v>735</v>
      </c>
    </row>
    <row r="25" spans="1:17" ht="20.100000000000001" customHeight="1" x14ac:dyDescent="0.25">
      <c r="A25"/>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00" cm="1">
        <f t="array" ref="N25">Fuel_Equations.VEERG_8_2_1_1__1_FuelCombustionStationary($L25,$G25,H25)</f>
        <v>0</v>
      </c>
      <c r="O25" s="200" cm="1">
        <f t="array" ref="O25">Fuel_Equations.VEERG_8_2_1_1__1_FuelCombustionStationary($L25,$G25,I25)</f>
        <v>0</v>
      </c>
      <c r="P25" s="200" cm="1">
        <f t="array" ref="P25">Fuel_Equations.VEERG_8_2_1_1__1_FuelCombustionStationary($L25,$G25,J25)</f>
        <v>0</v>
      </c>
      <c r="Q25" s="200" cm="1">
        <f t="array" ref="Q25">Fuel_Equations.VEERG_8_2_1_1__1_FuelCombustionStationary($L25,$G25,IF(ISNUMBER(K25), K25, 0))</f>
        <v>0</v>
      </c>
    </row>
    <row r="26" spans="1:17" ht="20.100000000000001"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81" cm="1">
        <f t="array" ref="L26">Fuel_InputFunctions.Fuel_TotalConsumption(Table_Input_Fuel[Amount consumed], Table_Input_Fuel[Fuel use (select)], D26, Table_Input_Fuel[Fuel type (select)],F26)</f>
        <v>0</v>
      </c>
      <c r="M26" s="181" t="str" cm="1">
        <f t="array" ref="M26">Common_InputFunctions.Utility_LookupValueInTable(F26,Table_FuelTypes_Units[Fuel type],Table_FuelTypes_Units[Unit])</f>
        <v>kL</v>
      </c>
      <c r="N26" s="200" cm="1">
        <f t="array" ref="N26">Fuel_Equations.VEERG_8_2_1_1__1_FuelCombustionStationary($L26,$G26,H26)</f>
        <v>0</v>
      </c>
      <c r="O26" s="200" cm="1">
        <f t="array" ref="O26">Fuel_Equations.VEERG_8_2_1_1__1_FuelCombustionStationary($L26,$G26,I26)</f>
        <v>0</v>
      </c>
      <c r="P26" s="200" cm="1">
        <f t="array" ref="P26">Fuel_Equations.VEERG_8_2_1_1__1_FuelCombustionStationary($L26,$G26,J26)</f>
        <v>0</v>
      </c>
      <c r="Q26" s="200" cm="1">
        <f t="array" ref="Q26">Fuel_Equations.VEERG_8_2_1_1__1_FuelCombustionStationary($L26,$G26,IF(ISNUMBER(K26), K26, 0))</f>
        <v>0</v>
      </c>
    </row>
    <row r="27" spans="1:17" ht="20.100000000000001" customHeight="1" x14ac:dyDescent="0.25">
      <c r="A27" s="229" t="s">
        <v>78</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00" cm="1">
        <f t="array" ref="N27">Fuel_Equations.VEERG_8_2_1_1__1_FuelCombustionStationary($L27,$G27,H27)</f>
        <v>0</v>
      </c>
      <c r="O27" s="200" cm="1">
        <f t="array" ref="O27">Fuel_Equations.VEERG_8_2_1_1__1_FuelCombustionStationary($L27,$G27,I27)</f>
        <v>0</v>
      </c>
      <c r="P27" s="200" cm="1">
        <f t="array" ref="P27">Fuel_Equations.VEERG_8_2_1_1__1_FuelCombustionStationary($L27,$G27,J27)</f>
        <v>0</v>
      </c>
      <c r="Q27" s="200" cm="1">
        <f t="array" ref="Q27">Fuel_Equations.VEERG_8_2_1_1__1_FuelCombustionStationary($L27,$G27,IF(ISNUMBER(K27), K27, 0))</f>
        <v>0</v>
      </c>
    </row>
    <row r="28" spans="1:17" ht="20.100000000000001" customHeight="1" x14ac:dyDescent="0.25">
      <c r="A28" s="16" t="str">
        <f>HYPERLINK("#'Constants - Scope 3'!A1", "Constants - Scope 3")</f>
        <v>Constants - Scope 3</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00" cm="1">
        <f t="array" ref="N28">Fuel_Equations.VEERG_8_2_1_1__1_FuelCombustionStationary($L28,$G28,H28)</f>
        <v>0</v>
      </c>
      <c r="O28" s="200" cm="1">
        <f t="array" ref="O28">Fuel_Equations.VEERG_8_2_1_1__1_FuelCombustionStationary($L28,$G28,I28)</f>
        <v>0</v>
      </c>
      <c r="P28" s="200" cm="1">
        <f t="array" ref="P28">Fuel_Equations.VEERG_8_2_1_1__1_FuelCombustionStationary($L28,$G28,J28)</f>
        <v>0</v>
      </c>
      <c r="Q28" s="200" cm="1">
        <f t="array" ref="Q28">Fuel_Equations.VEERG_8_2_1_1__1_FuelCombustionStationary($L28,$G28,IF(ISNUMBER(K28), K28, 0))</f>
        <v>0</v>
      </c>
    </row>
    <row r="29" spans="1:17" ht="20.100000000000001" customHeight="1" x14ac:dyDescent="0.25">
      <c r="A29" s="16" t="str">
        <f>HYPERLINK("#'Constants - Solid Waste'!A1", "Constants - Solid Waste")</f>
        <v>Constants - Solid Waste</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00" cm="1">
        <f t="array" ref="N29">Fuel_Equations.VEERG_8_2_1_1__1_FuelCombustionStationary($L29,$G29,H29)</f>
        <v>0</v>
      </c>
      <c r="O29" s="200" cm="1">
        <f t="array" ref="O29">Fuel_Equations.VEERG_8_2_1_1__1_FuelCombustionStationary($L29,$G29,I29)</f>
        <v>0</v>
      </c>
      <c r="P29" s="200" cm="1">
        <f t="array" ref="P29">Fuel_Equations.VEERG_8_2_1_1__1_FuelCombustionStationary($L29,$G29,J29)</f>
        <v>0</v>
      </c>
      <c r="Q29" s="200" cm="1">
        <f t="array" ref="Q29">Fuel_Equations.VEERG_8_2_1_1__1_FuelCombustionStationary($L29,$G29,IF(ISNUMBER(K29), K29, 0))</f>
        <v>0</v>
      </c>
    </row>
    <row r="30" spans="1:17" ht="20.100000000000001" customHeight="1" x14ac:dyDescent="0.25">
      <c r="A30" s="16" t="str">
        <f>HYPERLINK("#'Constants - Fuel'!A1", "Constants - Fuel")</f>
        <v>Constants - Fuel</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00" cm="1">
        <f t="array" ref="N30">Fuel_Equations.VEERG_8_2_1_1__1_FuelCombustionStationary($L30,$G30,H30)</f>
        <v>0</v>
      </c>
      <c r="O30" s="200" cm="1">
        <f t="array" ref="O30">Fuel_Equations.VEERG_8_2_1_1__1_FuelCombustionStationary($L30,$G30,I30)</f>
        <v>0</v>
      </c>
      <c r="P30" s="200" cm="1">
        <f t="array" ref="P30">Fuel_Equations.VEERG_8_2_1_1__1_FuelCombustionStationary($L30,$G30,J30)</f>
        <v>0</v>
      </c>
      <c r="Q30" s="200" cm="1">
        <f t="array" ref="Q30">Fuel_Equations.VEERG_8_2_1_1__1_FuelCombustionStationary($L30,$G30,IF(ISNUMBER(K30), K30, 0))</f>
        <v>0</v>
      </c>
    </row>
    <row r="31" spans="1:17" ht="20.100000000000001" customHeight="1" x14ac:dyDescent="0.25">
      <c r="A31" s="16" t="str">
        <f>HYPERLINK("#'Constants - Poultry'!A1", "Constants - Poultry")</f>
        <v>Constants - Poultry</v>
      </c>
      <c r="D31" s="59" t="str">
        <f t="shared" si="0"/>
        <v>Generators</v>
      </c>
      <c r="E31" s="58" t="str">
        <f>'Constants - Fuel'!$D$77</f>
        <v>Renewable diesel</v>
      </c>
      <c r="F31" s="58" t="str">
        <f>'Constants - Fuel'!D137</f>
        <v>Renewable diesel</v>
      </c>
      <c r="G31" s="161">
        <f>IFERROR(_xlfn.XLOOKUP($E31, Table_Fuel_EFs_StationaryLiquid[Fuel combusted], Table_Fuel_EFs_StationaryLiquid[Energy Content Factor (GJ per unit of fuel)]),0)</f>
        <v>38.6</v>
      </c>
      <c r="H31" s="161">
        <f>IFERROR(_xlfn.XLOOKUP($E31, Table_Fuel_EFs_StationaryLiquid[Fuel combusted], Table_Fuel_EFs_StationaryLiquid[Scope 1 Emission Factor (kg CO2 - e / GJ) CO2]),0)</f>
        <v>0</v>
      </c>
      <c r="I31" s="161">
        <f>IFERROR(_xlfn.XLOOKUP($E31, Table_Fuel_EFs_StationaryLiquid[Fuel combusted], Table_Fuel_EFs_StationaryLiquid[Scope 1 Emission Factor (kg CO2 - e / GJ) CH4]),0)</f>
        <v>0.1</v>
      </c>
      <c r="J31" s="161">
        <f>IFERROR(_xlfn.XLOOKUP($E31, Table_Fuel_EFs_StationaryLiquid[Fuel combusted], Table_Fuel_EFs_StationaryLiquid[Scope 1 Emission Factor (kg CO2 - e / GJ) N2O]),0)</f>
        <v>0.2</v>
      </c>
      <c r="K31" s="161" t="str">
        <f>IFERROR(_xlfn.XLOOKUP($E31, Table_Fuel_EFs_StationaryLiquid[Fuel combusted], Table_Fuel_EFs_StationaryLiquid[Scope 3 Emission Factor (kg CO2 - e / GJ)]),0)</f>
        <v>NE</v>
      </c>
      <c r="L31" s="183" cm="1">
        <f t="array" ref="L31">Fuel_InputFunctions.Fuel_TotalConsumption(Table_Input_Fuel[Amount consumed], Table_Input_Fuel[Fuel use (select)], D31, Table_Input_Fuel[Fuel type (select)],F31)</f>
        <v>0</v>
      </c>
      <c r="M31" s="183" t="str" cm="1">
        <f t="array" ref="M31">Common_InputFunctions.Utility_LookupValueInTable(F31,Table_FuelTypes_Units[Fuel type],Table_FuelTypes_Units[Unit])</f>
        <v>kL</v>
      </c>
      <c r="N31" s="201" cm="1">
        <f t="array" ref="N31">Fuel_Equations.VEERG_8_2_1_1__1_FuelCombustionStationary($L31,$G31,H31)</f>
        <v>0</v>
      </c>
      <c r="O31" s="201" cm="1">
        <f t="array" ref="O31">Fuel_Equations.VEERG_8_2_1_1__1_FuelCombustionStationary($L31,$G31,I31)</f>
        <v>0</v>
      </c>
      <c r="P31" s="201" cm="1">
        <f t="array" ref="P31">Fuel_Equations.VEERG_8_2_1_1__1_FuelCombustionStationary($L31,$G31,J31)</f>
        <v>0</v>
      </c>
      <c r="Q31" s="201" cm="1">
        <f t="array" ref="Q31">Fuel_Equations.VEERG_8_2_1_1__1_FuelCombustionStationary($L31,$G31,IF(ISNUMBER(K31), K31, 0))</f>
        <v>0</v>
      </c>
    </row>
    <row r="32" spans="1:17" ht="20.100000000000001" customHeight="1" x14ac:dyDescent="0.25">
      <c r="A32" s="16" t="str">
        <f>HYPERLINK("#'Constants - Swine'!A1", "Constants - Swine")</f>
        <v>Constants - Swine</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91">
        <f>IFERROR(_xlfn.XLOOKUP($E32, Table_Fuel_EFs_StationaryLiquid[Fuel combusted], Table_Fuel_EFs_StationaryLiquid[Energy Content Factor (GJ per unit of fuel)]),0)</f>
        <v>34.200000000000003</v>
      </c>
      <c r="H32" s="191">
        <f>IFERROR(_xlfn.XLOOKUP($E32, Table_Fuel_EFs_StationaryLiquid[Fuel combusted], Table_Fuel_EFs_StationaryLiquid[Scope 1 Emission Factor (kg CO2 - e / GJ) CO2]),0)</f>
        <v>67.400000000000006</v>
      </c>
      <c r="I32" s="191">
        <f>IFERROR(_xlfn.XLOOKUP($E32, Table_Fuel_EFs_StationaryLiquid[Fuel combusted], Table_Fuel_EFs_StationaryLiquid[Scope 1 Emission Factor (kg CO2 - e / GJ) CH4]),0)</f>
        <v>0.2</v>
      </c>
      <c r="J32" s="191">
        <f>IFERROR(_xlfn.XLOOKUP($E32, Table_Fuel_EFs_StationaryLiquid[Fuel combusted], Table_Fuel_EFs_StationaryLiquid[Scope 1 Emission Factor (kg CO2 - e / GJ) N2O]),0)</f>
        <v>0.2</v>
      </c>
      <c r="K32" s="191">
        <f>IFERROR(_xlfn.XLOOKUP($E32, Table_Fuel_EFs_StationaryLiquid[Fuel combusted], Table_Fuel_EFs_StationaryLiquid[Scope 3 Emission Factor (kg CO2 - e / GJ)]),0)</f>
        <v>17.2</v>
      </c>
      <c r="L32" s="187" cm="1">
        <f t="array" ref="L32">Fuel_InputFunctions.Fuel_TotalConsumption(Table_Input_Fuel[Amount consumed], Table_Input_Fuel[Fuel use (select)], D32, Table_Input_Fuel[Fuel type (select)],F32)</f>
        <v>10</v>
      </c>
      <c r="M32" s="188" t="str" cm="1">
        <f t="array" ref="M32">Common_InputFunctions.Utility_LookupValueInTable(F32,Table_FuelTypes_Units[Fuel type],Table_FuelTypes_Units[Unit])</f>
        <v>kL</v>
      </c>
      <c r="N32" s="202" cm="1">
        <f t="array" ref="N32">Fuel_Equations.VEERG_8_2_1_1__1_FuelCombustionStationary($L32,$G32,H32)</f>
        <v>23.050800000000002</v>
      </c>
      <c r="O32" s="202" cm="1">
        <f t="array" ref="O32">Fuel_Equations.VEERG_8_2_1_1__1_FuelCombustionStationary($L32,$G32,I32)</f>
        <v>6.8400000000000002E-2</v>
      </c>
      <c r="P32" s="202" cm="1">
        <f t="array" ref="P32">Fuel_Equations.VEERG_8_2_1_1__1_FuelCombustionStationary($L32,$G32,J32)</f>
        <v>6.8400000000000002E-2</v>
      </c>
      <c r="Q32" s="202" cm="1">
        <f t="array" ref="Q32">Fuel_Equations.VEERG_8_2_1_1__1_FuelCombustionStationary($L32,$G32,IF(ISNUMBER(K32), K32, 0))</f>
        <v>5.8823999999999996</v>
      </c>
    </row>
    <row r="33" spans="1:17" ht="20.100000000000001" customHeight="1" x14ac:dyDescent="0.25">
      <c r="A33" s="16" t="str">
        <f>HYPERLINK("#'Constants - Dairy'!A1", "Constants - Dairy")</f>
        <v>Constants - Dairy</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200" cm="1">
        <f t="array" ref="N33">Fuel_Equations.VEERG_8_2_1_1__1_FuelCombustionStationary($L33,$G33,H33)</f>
        <v>0</v>
      </c>
      <c r="O33" s="200" cm="1">
        <f t="array" ref="O33">Fuel_Equations.VEERG_8_2_1_1__1_FuelCombustionStationary($L33,$G33,I33)</f>
        <v>0</v>
      </c>
      <c r="P33" s="200" cm="1">
        <f t="array" ref="P33">Fuel_Equations.VEERG_8_2_1_1__1_FuelCombustionStationary($L33,$G33,J33)</f>
        <v>0</v>
      </c>
      <c r="Q33" s="200" cm="1">
        <f t="array" ref="Q33">Fuel_Equations.VEERG_8_2_1_1__1_FuelCombustionStationary($L33,$G33,IF(ISNUMBER(K33), K33, 0))</f>
        <v>0</v>
      </c>
    </row>
    <row r="34" spans="1:17" ht="20.100000000000001" customHeight="1" x14ac:dyDescent="0.25">
      <c r="A34" s="16" t="str">
        <f>HYPERLINK("#'Constants - Pasture Beef'!A1", "Constants - Pasture Beef")</f>
        <v>Constants - Pasture Beef</v>
      </c>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200" cm="1">
        <f t="array" ref="N34">Fuel_Equations.VEERG_8_2_1_1__1_FuelCombustionStationary($L34,$G34,H34)</f>
        <v>0</v>
      </c>
      <c r="O34" s="200" cm="1">
        <f t="array" ref="O34">Fuel_Equations.VEERG_8_2_1_1__1_FuelCombustionStationary($L34,$G34,I34)</f>
        <v>0</v>
      </c>
      <c r="P34" s="200" cm="1">
        <f t="array" ref="P34">Fuel_Equations.VEERG_8_2_1_1__1_FuelCombustionStationary($L34,$G34,J34)</f>
        <v>0</v>
      </c>
      <c r="Q34" s="200" cm="1">
        <f t="array" ref="Q34">Fuel_Equations.VEERG_8_2_1_1__1_FuelCombustionStationary($L34,$G34,IF(ISNUMBER(K34), K34, 0))</f>
        <v>0</v>
      </c>
    </row>
    <row r="35" spans="1:17" ht="20.100000000000001" customHeight="1" x14ac:dyDescent="0.25">
      <c r="A35" s="16" t="str">
        <f>HYPERLINK("#'Constants - Common Livestock'!A1", "Constants - Common Livestock")</f>
        <v>Constants - Common Livestock</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200" cm="1">
        <f t="array" ref="N35">Fuel_Equations.VEERG_8_2_1_1__1_FuelCombustionStationary($L35,$G35,H35)</f>
        <v>0</v>
      </c>
      <c r="O35" s="200" cm="1">
        <f t="array" ref="O35">Fuel_Equations.VEERG_8_2_1_1__1_FuelCombustionStationary($L35,$G35,I35)</f>
        <v>0</v>
      </c>
      <c r="P35" s="200" cm="1">
        <f t="array" ref="P35">Fuel_Equations.VEERG_8_2_1_1__1_FuelCombustionStationary($L35,$G35,J35)</f>
        <v>0</v>
      </c>
      <c r="Q35" s="200" cm="1">
        <f t="array" ref="Q35">Fuel_Equations.VEERG_8_2_1_1__1_FuelCombustionStationary($L35,$G35,IF(ISNUMBER(K35), K35, 0))</f>
        <v>0</v>
      </c>
    </row>
    <row r="36" spans="1:17" ht="20.100000000000001" customHeight="1" x14ac:dyDescent="0.25">
      <c r="A36" s="16" t="str">
        <f>HYPERLINK("#'Constants - Fertiliser'!A1", "Constants - Fertiliser")</f>
        <v>Constants - Fertiliser</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200" cm="1">
        <f t="array" ref="N36">Fuel_Equations.VEERG_8_2_1_1__1_FuelCombustionStationary($L36,$G36,H36)</f>
        <v>0</v>
      </c>
      <c r="O36" s="200" cm="1">
        <f t="array" ref="O36">Fuel_Equations.VEERG_8_2_1_1__1_FuelCombustionStationary($L36,$G36,I36)</f>
        <v>0</v>
      </c>
      <c r="P36" s="200" cm="1">
        <f t="array" ref="P36">Fuel_Equations.VEERG_8_2_1_1__1_FuelCombustionStationary($L36,$G36,J36)</f>
        <v>0</v>
      </c>
      <c r="Q36" s="200" cm="1">
        <f t="array" ref="Q36">Fuel_Equations.VEERG_8_2_1_1__1_FuelCombustionStationary($L36,$G36,IF(ISNUMBER(K36), K36, 0))</f>
        <v>0</v>
      </c>
    </row>
    <row r="37" spans="1:17" ht="20.100000000000001" customHeight="1" x14ac:dyDescent="0.25">
      <c r="A37" s="16" t="str">
        <f>HYPERLINK("#'Constants - Electricity'!A1", "Constants - Electricity")</f>
        <v>Constants - Electricity</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200" cm="1">
        <f t="array" ref="N37">Fuel_Equations.VEERG_8_2_1_1__1_FuelCombustionStationary($L37,$G37,H37)</f>
        <v>0</v>
      </c>
      <c r="O37" s="200" cm="1">
        <f t="array" ref="O37">Fuel_Equations.VEERG_8_2_1_1__1_FuelCombustionStationary($L37,$G37,I37)</f>
        <v>0</v>
      </c>
      <c r="P37" s="200" cm="1">
        <f t="array" ref="P37">Fuel_Equations.VEERG_8_2_1_1__1_FuelCombustionStationary($L37,$G37,J37)</f>
        <v>0</v>
      </c>
      <c r="Q37" s="200" cm="1">
        <f t="array" ref="Q37">Fuel_Equations.VEERG_8_2_1_1__1_FuelCombustionStationary($L37,$G37,IF(ISNUMBER(K37), K37, 0))</f>
        <v>0</v>
      </c>
    </row>
    <row r="38" spans="1:17" ht="20.100000000000001" customHeight="1" x14ac:dyDescent="0.25">
      <c r="A38" s="16" t="str">
        <f>HYPERLINK("#'Constants - Common'!A1", "Constants - Common")</f>
        <v>Constants - Common</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200" cm="1">
        <f t="array" ref="N38">Fuel_Equations.VEERG_8_2_1_1__1_FuelCombustionStationary($L38,$G38,H38)</f>
        <v>0</v>
      </c>
      <c r="O38" s="200" cm="1">
        <f t="array" ref="O38">Fuel_Equations.VEERG_8_2_1_1__1_FuelCombustionStationary($L38,$G38,I38)</f>
        <v>0</v>
      </c>
      <c r="P38" s="200" cm="1">
        <f t="array" ref="P38">Fuel_Equations.VEERG_8_2_1_1__1_FuelCombustionStationary($L38,$G38,J38)</f>
        <v>0</v>
      </c>
      <c r="Q38" s="200" cm="1">
        <f t="array" ref="Q38">Fuel_Equations.VEERG_8_2_1_1__1_FuelCombustionStationary($L38,$G38,IF(ISNUMBER(K38), K38, 0))</f>
        <v>0</v>
      </c>
    </row>
    <row r="39" spans="1:17" ht="20.100000000000001" customHeight="1" x14ac:dyDescent="0.25">
      <c r="A39"/>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territory],Table_Fuel_EFs_StationaryGaseous34[#Headers],Table_Fuel_EFs_StationaryGaseous34[#Data]),0)</f>
        <v>4.0999999999999996</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GJ</v>
      </c>
      <c r="N39" s="200" cm="1">
        <f t="array" ref="N39">Fuel_Equations.VEERG_8_2_1_1__1_FuelCombustionStationary($L39,$G39,H39)</f>
        <v>0</v>
      </c>
      <c r="O39" s="200" cm="1">
        <f t="array" ref="O39">Fuel_Equations.VEERG_8_2_1_1__1_FuelCombustionStationary($L39,$G39,I39)</f>
        <v>0</v>
      </c>
      <c r="P39" s="200" cm="1">
        <f t="array" ref="P39">Fuel_Equations.VEERG_8_2_1_1__1_FuelCombustionStationary($L39,$G39,J39)</f>
        <v>0</v>
      </c>
      <c r="Q39" s="200" cm="1">
        <f t="array" ref="Q39">Fuel_Equations.VEERG_8_2_1_1__1_FuelCombustionStationary($L39,$G39,IF(ISNUMBER(K39), K39, 0))</f>
        <v>0</v>
      </c>
    </row>
    <row r="40" spans="1:17" ht="20.100000000000001" customHeight="1" x14ac:dyDescent="0.25">
      <c r="A40"/>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territory],Table_Fuel_EFs_StationaryGaseous34[#Headers],Table_Fuel_EFs_StationaryGaseous34[#Data]),0)</f>
        <v>4.0999999999999996</v>
      </c>
      <c r="L40" s="181" cm="1">
        <f t="array" ref="L40">Fuel_InputFunctions.Fuel_TotalConsumption(Table_Input_Fuel[Amount consumed], Table_Input_Fuel[Fuel use (select)], D40, Table_Input_Fuel[Fuel type (select)],F40)</f>
        <v>100</v>
      </c>
      <c r="M40" s="181" t="str" cm="1">
        <f t="array" ref="M40">Common_InputFunctions.Utility_LookupValueInTable(F40,Table_FuelTypes_Units[Fuel type],Table_FuelTypes_Units[Unit])</f>
        <v>GJ</v>
      </c>
      <c r="N40" s="200" cm="1">
        <f t="array" ref="N40">Fuel_Equations.VEERG_8_2_1_1__1_FuelCombustionStationary($L40,$G40,H40)</f>
        <v>6.0200000000000005</v>
      </c>
      <c r="O40" s="200" cm="1">
        <f t="array" ref="O40">Fuel_Equations.VEERG_8_2_1_1__1_FuelCombustionStationary($L40,$G40,I40)</f>
        <v>4.0000000000000001E-3</v>
      </c>
      <c r="P40" s="200" cm="1">
        <f t="array" ref="P40">Fuel_Equations.VEERG_8_2_1_1__1_FuelCombustionStationary($L40,$G40,J40)</f>
        <v>3.0000000000000001E-3</v>
      </c>
      <c r="Q40" s="200" cm="1">
        <f t="array" ref="Q40">Fuel_Equations.VEERG_8_2_1_1__1_FuelCombustionStationary($L40,$G40,IF(ISNUMBER(K40), K40, 0))</f>
        <v>0.41</v>
      </c>
    </row>
    <row r="41" spans="1:17" ht="20.100000000000001" customHeight="1" x14ac:dyDescent="0.25">
      <c r="A41"/>
    </row>
    <row r="42" spans="1:17" ht="20.100000000000001" customHeight="1" x14ac:dyDescent="0.25">
      <c r="A42"/>
      <c r="D42" s="193" t="str">
        <f>"Total scope 1 - " &amp; D25</f>
        <v>Total scope 1 - Generators</v>
      </c>
      <c r="E42" s="194"/>
      <c r="F42" s="195"/>
    </row>
    <row r="43" spans="1:17" ht="20.100000000000001" customHeight="1" x14ac:dyDescent="0.25">
      <c r="A43"/>
      <c r="D43" s="7" t="s">
        <v>722</v>
      </c>
      <c r="E43" s="196">
        <f>SUM(N25:N31)</f>
        <v>0</v>
      </c>
      <c r="F43" s="65" t="str">
        <f>$E$12</f>
        <v>t CO2-e</v>
      </c>
    </row>
    <row r="44" spans="1:17" ht="20.100000000000001" customHeight="1" x14ac:dyDescent="0.25">
      <c r="A44"/>
      <c r="D44" s="7" t="s">
        <v>723</v>
      </c>
      <c r="E44" s="196">
        <f>SUM(O25:O31)</f>
        <v>0</v>
      </c>
      <c r="F44" s="65" t="str">
        <f t="shared" ref="F44:F46" si="2">$E$12</f>
        <v>t CO2-e</v>
      </c>
    </row>
    <row r="45" spans="1:17" ht="20.100000000000001" customHeight="1" x14ac:dyDescent="0.25">
      <c r="A45"/>
      <c r="D45" s="7" t="s">
        <v>724</v>
      </c>
      <c r="E45" s="196">
        <f>SUM(P25:P31)</f>
        <v>0</v>
      </c>
      <c r="F45" s="65" t="str">
        <f t="shared" si="2"/>
        <v>t CO2-e</v>
      </c>
    </row>
    <row r="46" spans="1:17" ht="20.100000000000001" customHeight="1" x14ac:dyDescent="0.25">
      <c r="A46"/>
      <c r="D46" s="7" t="s">
        <v>725</v>
      </c>
      <c r="E46" s="196">
        <f>SUM(Q25:Q31)</f>
        <v>0</v>
      </c>
      <c r="F46" s="65"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93" t="str">
        <f>"Total scope 1 - " &amp; D32</f>
        <v>Total scope 1 - Power standalone machinery or heating</v>
      </c>
      <c r="E48" s="197"/>
      <c r="F48" s="195"/>
      <c r="H48" s="17"/>
      <c r="I48" s="17"/>
      <c r="J48" s="17"/>
      <c r="L48" s="17"/>
      <c r="N48" s="17"/>
      <c r="O48" s="17"/>
      <c r="P48" s="17"/>
      <c r="Q48" s="17"/>
    </row>
    <row r="49" spans="1:17" ht="20.100000000000001" customHeight="1" x14ac:dyDescent="0.25">
      <c r="A49"/>
      <c r="D49" s="7" t="s">
        <v>722</v>
      </c>
      <c r="E49" s="196">
        <f>SUM(N32:N40)</f>
        <v>29.070800000000002</v>
      </c>
      <c r="F49" s="65" t="str">
        <f t="shared" ref="F49:F52" si="3">$E$12</f>
        <v>t CO2-e</v>
      </c>
      <c r="H49" s="17"/>
      <c r="I49" s="17"/>
      <c r="J49" s="17"/>
      <c r="L49" s="17"/>
      <c r="N49" s="17"/>
      <c r="O49" s="17"/>
      <c r="P49" s="17"/>
      <c r="Q49" s="17"/>
    </row>
    <row r="50" spans="1:17" ht="20.100000000000001" customHeight="1" x14ac:dyDescent="0.25">
      <c r="A50"/>
      <c r="D50" s="7" t="s">
        <v>723</v>
      </c>
      <c r="E50" s="196">
        <f>SUM(O32:O40)</f>
        <v>7.2400000000000006E-2</v>
      </c>
      <c r="F50" s="65" t="str">
        <f t="shared" si="3"/>
        <v>t CO2-e</v>
      </c>
      <c r="H50" s="17"/>
      <c r="I50" s="17"/>
      <c r="J50" s="17"/>
      <c r="L50" s="17"/>
      <c r="N50" s="17"/>
      <c r="O50" s="17"/>
      <c r="P50" s="17"/>
      <c r="Q50" s="17"/>
    </row>
    <row r="51" spans="1:17" ht="20.100000000000001" customHeight="1" x14ac:dyDescent="0.25">
      <c r="A51"/>
      <c r="D51" s="7" t="s">
        <v>724</v>
      </c>
      <c r="E51" s="196">
        <f>SUM(P32:P40)</f>
        <v>7.1400000000000005E-2</v>
      </c>
      <c r="F51" s="65" t="str">
        <f t="shared" si="3"/>
        <v>t CO2-e</v>
      </c>
      <c r="H51" s="17"/>
      <c r="I51" s="17"/>
      <c r="J51" s="17"/>
      <c r="L51" s="17"/>
      <c r="N51" s="17"/>
      <c r="O51" s="17"/>
      <c r="P51" s="17"/>
      <c r="Q51" s="17"/>
    </row>
    <row r="52" spans="1:17" ht="20.100000000000001" customHeight="1" x14ac:dyDescent="0.25">
      <c r="A52"/>
      <c r="D52" s="7" t="s">
        <v>725</v>
      </c>
      <c r="E52" s="196">
        <f>SUM(Q32:Q40)</f>
        <v>6.2923999999999998</v>
      </c>
      <c r="F52" s="65"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93" t="s">
        <v>736</v>
      </c>
      <c r="E54" s="197"/>
      <c r="F54" s="195"/>
      <c r="G54" s="17"/>
      <c r="H54" s="17"/>
      <c r="I54" s="17"/>
      <c r="J54" s="17"/>
      <c r="L54" s="17"/>
      <c r="N54" s="17"/>
      <c r="O54" s="17"/>
      <c r="P54" s="17"/>
      <c r="Q54" s="17"/>
    </row>
    <row r="55" spans="1:17" ht="20.100000000000001" customHeight="1" x14ac:dyDescent="0.25">
      <c r="A55"/>
      <c r="D55" s="7" t="s">
        <v>722</v>
      </c>
      <c r="E55" s="196">
        <f>E43+E49</f>
        <v>29.070800000000002</v>
      </c>
      <c r="F55" s="65" t="str">
        <f t="shared" ref="F55:F58" si="4">$E$12</f>
        <v>t CO2-e</v>
      </c>
      <c r="G55" s="17"/>
      <c r="H55" s="17"/>
      <c r="I55" s="17"/>
      <c r="J55" s="17"/>
      <c r="L55" s="17"/>
      <c r="N55" s="17"/>
      <c r="O55" s="17"/>
      <c r="P55" s="17"/>
      <c r="Q55" s="17"/>
    </row>
    <row r="56" spans="1:17" ht="20.100000000000001" customHeight="1" x14ac:dyDescent="0.25">
      <c r="A56"/>
      <c r="D56" s="7" t="s">
        <v>723</v>
      </c>
      <c r="E56" s="196">
        <f>E44+E50</f>
        <v>7.2400000000000006E-2</v>
      </c>
      <c r="F56" s="65" t="str">
        <f t="shared" si="4"/>
        <v>t CO2-e</v>
      </c>
      <c r="H56" s="17"/>
    </row>
    <row r="57" spans="1:17" ht="20.100000000000001" customHeight="1" x14ac:dyDescent="0.25">
      <c r="A57"/>
      <c r="D57" s="7" t="s">
        <v>724</v>
      </c>
      <c r="E57" s="196">
        <f>E45+E51</f>
        <v>7.1400000000000005E-2</v>
      </c>
      <c r="F57" s="65" t="str">
        <f t="shared" si="4"/>
        <v>t CO2-e</v>
      </c>
      <c r="G57" s="17"/>
      <c r="H57" s="17"/>
      <c r="I57" s="17"/>
      <c r="J57" s="17"/>
      <c r="L57" s="17"/>
      <c r="N57" s="17"/>
      <c r="O57" s="17"/>
      <c r="P57" s="17"/>
      <c r="Q57" s="17"/>
    </row>
    <row r="58" spans="1:17" ht="20.100000000000001" customHeight="1" x14ac:dyDescent="0.25">
      <c r="A58"/>
      <c r="D58" s="7" t="s">
        <v>725</v>
      </c>
      <c r="E58" s="196">
        <f>E46+E52</f>
        <v>6.2923999999999998</v>
      </c>
      <c r="F58" s="65"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Q238"/>
  <sheetViews>
    <sheetView showGridLines="0" topLeftCell="A9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Farm Inputs'!A1", "Farm Inputs")</f>
        <v>Farm Inputs</v>
      </c>
    </row>
    <row r="12" spans="1:17" ht="20.100000000000001" customHeight="1" x14ac:dyDescent="0.25">
      <c r="A12" s="16" t="str">
        <f>HYPERLINK("#'Input - Livestock purchases'!A1", "Livestock purchases")</f>
        <v>Livestock purchases</v>
      </c>
    </row>
    <row r="13" spans="1:17" ht="20.100000000000001" customHeight="1" x14ac:dyDescent="0.25">
      <c r="A13" s="16" t="str">
        <f>HYPERLINK("#'Input - Freight'!A1", "Freight")</f>
        <v>Freight</v>
      </c>
    </row>
    <row r="14" spans="1:17" ht="20.100000000000001" customHeight="1" x14ac:dyDescent="0.25">
      <c r="A14" s="16" t="str">
        <f>HYPERLINK("#'Input - Solid waste'!A1", "Solid waste")</f>
        <v>Solid waste</v>
      </c>
    </row>
    <row r="15" spans="1:17" ht="20.100000000000001" customHeight="1" x14ac:dyDescent="0.25">
      <c r="A15" s="16" t="str">
        <f>HYPERLINK("#'Input - Manure sent off-site'!A1", "Manure sent off-site")</f>
        <v>Manure sent off-site</v>
      </c>
    </row>
    <row r="16" spans="1:17" ht="20.100000000000001" customHeight="1" x14ac:dyDescent="0.25">
      <c r="A16" s="16" t="str">
        <f>HYPERLINK("#'Input - Electricity'!A1", "Electricity")</f>
        <v>Electricity</v>
      </c>
    </row>
    <row r="17" spans="1:11" ht="20.100000000000001" customHeight="1" x14ac:dyDescent="0.25"/>
    <row r="18" spans="1:11" ht="20.100000000000001" customHeight="1" x14ac:dyDescent="0.25"/>
    <row r="19" spans="1:11" ht="20.100000000000001" customHeight="1" x14ac:dyDescent="0.25">
      <c r="A19" s="21" t="s">
        <v>77</v>
      </c>
    </row>
    <row r="20" spans="1:11" ht="20.100000000000001" customHeight="1" x14ac:dyDescent="0.25">
      <c r="A20" s="16" t="str">
        <f>HYPERLINK("#'15 Scope 3'!A1", "15 Scope 3")</f>
        <v>15 Scope 3</v>
      </c>
    </row>
    <row r="21" spans="1:11" ht="20.100000000000001" customHeight="1" x14ac:dyDescent="0.25">
      <c r="A21" s="16" t="str">
        <f>HYPERLINK("#'10.1.1-2 Solid waste treatment'!A1", "10.1.1-2 Solid waste treatment")</f>
        <v>10.1.1-2 Solid waste treatment</v>
      </c>
    </row>
    <row r="22" spans="1:11" ht="20.100000000000001" customHeight="1" x14ac:dyDescent="0.25">
      <c r="A22" s="16" t="str">
        <f>HYPERLINK("#'Calcs - Manure sent off-site'!A1", "Calcs - Manure sent off-site")</f>
        <v>Calcs - Manure sent off-site</v>
      </c>
    </row>
    <row r="23" spans="1:11" ht="20.100000000000001" customHeight="1" x14ac:dyDescent="0.25">
      <c r="A23" s="16" t="str">
        <f>HYPERLINK("#'8.1.1.1-2 Transport fuel'!A1", "8.1.1.1-2 Transport fuel")</f>
        <v>8.1.1.1-2 Transport fuel</v>
      </c>
    </row>
    <row r="24" spans="1:11" ht="20.100000000000001" customHeight="1" x14ac:dyDescent="0.25">
      <c r="A24" s="16" t="str">
        <f>HYPERLINK("#'8.2.1.1-2 Stationary fuel'!A1", "8.2.1.1-2 Stationary fuel")</f>
        <v>8.2.1.1-2 Stationary fuel</v>
      </c>
    </row>
    <row r="25" spans="1:11" ht="20.100000000000001" customHeight="1" x14ac:dyDescent="0.25"/>
    <row r="26" spans="1:11" ht="20.100000000000001" customHeight="1" x14ac:dyDescent="0.25"/>
    <row r="27" spans="1:11" ht="20.100000000000001" customHeight="1" x14ac:dyDescent="0.25">
      <c r="A27" s="229" t="s">
        <v>78</v>
      </c>
    </row>
    <row r="28" spans="1:11" ht="20.100000000000001" customHeight="1" x14ac:dyDescent="0.25">
      <c r="A28" s="23" t="str">
        <f>HYPERLINK("#'Constants - Scope 3'!A1", "Constants - Scope 3")</f>
        <v>Constants - Scope 3</v>
      </c>
    </row>
    <row r="29" spans="1:11" ht="20.100000000000001" customHeight="1" x14ac:dyDescent="0.25">
      <c r="A29" s="16" t="str">
        <f>HYPERLINK("#'Constants - Solid Waste'!A1", "Constants - Solid Waste")</f>
        <v>Constants - Solid Waste</v>
      </c>
    </row>
    <row r="30" spans="1:11" ht="20.100000000000001" customHeight="1" x14ac:dyDescent="0.25">
      <c r="A30" s="16" t="str">
        <f>HYPERLINK("#'Constants - Fuel'!A1", "Constants - Fuel")</f>
        <v>Constants - Fuel</v>
      </c>
    </row>
    <row r="31" spans="1:11" ht="20.100000000000001" customHeight="1" x14ac:dyDescent="0.25">
      <c r="A31" s="16" t="str">
        <f>HYPERLINK("#'Constants - Poultry'!A1", "Constants - Poultry")</f>
        <v>Constants - Poultry</v>
      </c>
    </row>
    <row r="32" spans="1:11" ht="20.100000000000001" customHeight="1" x14ac:dyDescent="0.25">
      <c r="A32" s="16" t="str">
        <f>HYPERLINK("#'Constants - Swine'!A1", "Constants - Swine")</f>
        <v>Constants - Swine</v>
      </c>
      <c r="D32" s="9" t="s">
        <v>356</v>
      </c>
      <c r="K32" s="8" t="s">
        <v>428</v>
      </c>
    </row>
    <row r="33" spans="1:12" ht="20.100000000000001" customHeight="1" x14ac:dyDescent="0.25">
      <c r="A33" s="16" t="str">
        <f>HYPERLINK("#'Constants - Dairy'!A1", "Constants - Dairy")</f>
        <v>Constants - Dairy</v>
      </c>
      <c r="D33" s="10" t="s">
        <v>314</v>
      </c>
      <c r="E33" s="10" t="s">
        <v>215</v>
      </c>
      <c r="F33" s="10" t="s">
        <v>315</v>
      </c>
      <c r="G33" s="10" t="s">
        <v>281</v>
      </c>
      <c r="H33" s="10" t="s">
        <v>282</v>
      </c>
      <c r="I33" s="10" t="s">
        <v>357</v>
      </c>
      <c r="K33" s="10" t="s">
        <v>381</v>
      </c>
      <c r="L33" s="10" t="s">
        <v>511</v>
      </c>
    </row>
    <row r="34" spans="1:12" ht="20.100000000000001" customHeight="1" x14ac:dyDescent="0.25">
      <c r="A34" s="16" t="str">
        <f>HYPERLINK("#'Constants - Pasture Beef'!A1", "Constants - Pasture Beef")</f>
        <v>Constants - Pasture Beef</v>
      </c>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311</v>
      </c>
      <c r="L34" s="10" t="s">
        <v>332</v>
      </c>
    </row>
    <row r="35" spans="1:12" ht="20.100000000000001" customHeight="1" x14ac:dyDescent="0.25">
      <c r="A35" s="16" t="str">
        <f>HYPERLINK("#'Constants - Common Livestock'!A1", "Constants - Common Livestock")</f>
        <v>Constants - Common Livestock</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332</v>
      </c>
      <c r="L35" s="10" t="s">
        <v>332</v>
      </c>
    </row>
    <row r="36" spans="1:12" ht="20.100000000000001" customHeight="1" x14ac:dyDescent="0.25">
      <c r="A36" s="16" t="str">
        <f>HYPERLINK("#'Constants - Fertiliser'!A1", "Constants - Fertiliser")</f>
        <v>Constants - Fertiliser</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388</v>
      </c>
      <c r="L36" s="10" t="s">
        <v>388</v>
      </c>
    </row>
    <row r="37" spans="1:12" ht="20.100000000000001" customHeight="1" x14ac:dyDescent="0.25">
      <c r="A37" s="16" t="str">
        <f>HYPERLINK("#'Constants - Electricity'!A1", "Constants - Electricity")</f>
        <v>Constants - Electricity</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385</v>
      </c>
      <c r="L37" s="10" t="s">
        <v>385</v>
      </c>
    </row>
    <row r="38" spans="1:12" ht="20.100000000000001" customHeight="1" x14ac:dyDescent="0.25">
      <c r="A38" s="16" t="str">
        <f>HYPERLINK("#'Constants - Common'!A1", "Constants - Common")</f>
        <v>Constants - Common</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338</v>
      </c>
      <c r="L38" s="10" t="s">
        <v>338</v>
      </c>
    </row>
    <row r="39" spans="1:12"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432</v>
      </c>
      <c r="L39" s="10" t="s">
        <v>339</v>
      </c>
    </row>
    <row r="40" spans="1:12"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431</v>
      </c>
      <c r="L40" s="10" t="s">
        <v>339</v>
      </c>
    </row>
    <row r="41" spans="1:12"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433</v>
      </c>
      <c r="L41" s="10" t="s">
        <v>339</v>
      </c>
    </row>
    <row r="42" spans="1: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434</v>
      </c>
      <c r="L42" s="10" t="s">
        <v>430</v>
      </c>
    </row>
    <row r="43" spans="1: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435</v>
      </c>
      <c r="L43" s="10" t="s">
        <v>430</v>
      </c>
    </row>
    <row r="44" spans="1: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436</v>
      </c>
      <c r="L44" s="10" t="s">
        <v>430</v>
      </c>
    </row>
    <row r="45" spans="1: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437</v>
      </c>
      <c r="L45" s="10" t="s">
        <v>333</v>
      </c>
    </row>
    <row r="46" spans="1: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438</v>
      </c>
      <c r="L46" s="10" t="s">
        <v>333</v>
      </c>
    </row>
    <row r="47" spans="1: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439</v>
      </c>
      <c r="L47" s="10" t="s">
        <v>333</v>
      </c>
    </row>
    <row r="48" spans="1: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440</v>
      </c>
      <c r="L48" s="10" t="s">
        <v>333</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331</v>
      </c>
      <c r="L49" s="8" t="s">
        <v>331</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359</v>
      </c>
    </row>
    <row r="77" spans="4:9" ht="20.100000000000001" customHeight="1" x14ac:dyDescent="0.25">
      <c r="D77" s="10" t="s">
        <v>314</v>
      </c>
      <c r="E77" s="10" t="s">
        <v>215</v>
      </c>
      <c r="F77" s="10" t="s">
        <v>315</v>
      </c>
      <c r="G77" s="10" t="s">
        <v>281</v>
      </c>
      <c r="H77" s="10" t="s">
        <v>282</v>
      </c>
      <c r="I77" s="10" t="s">
        <v>357</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314</v>
      </c>
      <c r="E82" s="10" t="s">
        <v>215</v>
      </c>
      <c r="F82" s="10" t="s">
        <v>315</v>
      </c>
      <c r="G82" s="10" t="s">
        <v>281</v>
      </c>
      <c r="H82" s="10" t="s">
        <v>282</v>
      </c>
      <c r="I82" s="10" t="s">
        <v>357</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360</v>
      </c>
    </row>
    <row r="89" spans="4:16" ht="20.100000000000001" customHeight="1" x14ac:dyDescent="0.25">
      <c r="D89" s="10" t="s">
        <v>314</v>
      </c>
      <c r="E89" s="10" t="s">
        <v>215</v>
      </c>
      <c r="F89" s="10" t="s">
        <v>315</v>
      </c>
      <c r="G89" s="10" t="s">
        <v>281</v>
      </c>
      <c r="H89" s="10" t="s">
        <v>282</v>
      </c>
      <c r="I89" s="10" t="s">
        <v>357</v>
      </c>
      <c r="K89" s="10" t="s">
        <v>215</v>
      </c>
      <c r="L89" s="10" t="s">
        <v>381</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215</v>
      </c>
      <c r="O90" s="10" t="s">
        <v>381</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215</v>
      </c>
      <c r="L98" s="10" t="s">
        <v>381</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215</v>
      </c>
      <c r="O105" s="10" t="s">
        <v>381</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215</v>
      </c>
      <c r="L110" s="10" t="s">
        <v>381</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215</v>
      </c>
      <c r="O118" s="10" t="s">
        <v>381</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215</v>
      </c>
      <c r="L125" s="10" t="s">
        <v>381</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215</v>
      </c>
      <c r="O131" s="10" t="s">
        <v>381</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215</v>
      </c>
      <c r="L138" s="10" t="s">
        <v>381</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215</v>
      </c>
      <c r="O144" s="10" t="s">
        <v>381</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3" t="s">
        <v>215</v>
      </c>
      <c r="L151" s="153" t="s">
        <v>381</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215</v>
      </c>
      <c r="O152" s="10" t="s">
        <v>381</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215</v>
      </c>
      <c r="L153" s="10" t="s">
        <v>381</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215</v>
      </c>
      <c r="O154" s="10" t="s">
        <v>381</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215</v>
      </c>
      <c r="L155" s="10" t="s">
        <v>381</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215</v>
      </c>
      <c r="O156" s="10" t="s">
        <v>381</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215</v>
      </c>
      <c r="L157" s="10" t="s">
        <v>381</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215</v>
      </c>
      <c r="O158" s="10" t="s">
        <v>381</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314</v>
      </c>
      <c r="E161" s="10" t="s">
        <v>215</v>
      </c>
      <c r="F161" s="10" t="s">
        <v>315</v>
      </c>
      <c r="G161" s="10" t="s">
        <v>281</v>
      </c>
      <c r="H161" s="10" t="s">
        <v>282</v>
      </c>
      <c r="I161" s="10" t="s">
        <v>357</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314</v>
      </c>
      <c r="E167" s="10" t="s">
        <v>215</v>
      </c>
      <c r="F167" s="10" t="s">
        <v>315</v>
      </c>
      <c r="G167" s="10" t="s">
        <v>281</v>
      </c>
      <c r="H167" s="10" t="s">
        <v>282</v>
      </c>
      <c r="I167" s="10" t="s">
        <v>357</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345</v>
      </c>
    </row>
    <row r="173" spans="4:13" ht="20.100000000000001" customHeight="1" x14ac:dyDescent="0.25">
      <c r="D173" s="10" t="s">
        <v>314</v>
      </c>
      <c r="E173" s="10" t="s">
        <v>215</v>
      </c>
      <c r="F173" s="10" t="s">
        <v>315</v>
      </c>
      <c r="G173" s="10" t="s">
        <v>279</v>
      </c>
      <c r="H173" s="10" t="s">
        <v>171</v>
      </c>
      <c r="I173" s="10" t="s">
        <v>172</v>
      </c>
      <c r="J173" s="10" t="s">
        <v>280</v>
      </c>
      <c r="K173" s="10" t="s">
        <v>281</v>
      </c>
      <c r="L173" s="10" t="s">
        <v>282</v>
      </c>
      <c r="M173" s="10" t="s">
        <v>357</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361</v>
      </c>
      <c r="N200" s="10"/>
      <c r="O200" s="10"/>
      <c r="P200" s="10"/>
    </row>
    <row r="201" spans="4:16" ht="20.100000000000001" customHeight="1" x14ac:dyDescent="0.25">
      <c r="D201" s="10" t="s">
        <v>314</v>
      </c>
      <c r="E201" s="10" t="s">
        <v>215</v>
      </c>
      <c r="F201" s="10" t="s">
        <v>315</v>
      </c>
      <c r="G201" s="10" t="s">
        <v>281</v>
      </c>
      <c r="H201" s="10" t="s">
        <v>282</v>
      </c>
      <c r="I201" s="10" t="s">
        <v>357</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362</v>
      </c>
    </row>
    <row r="212" spans="4:16" ht="20.100000000000001" customHeight="1" x14ac:dyDescent="0.25">
      <c r="D212" s="10" t="s">
        <v>314</v>
      </c>
      <c r="E212" s="10" t="s">
        <v>215</v>
      </c>
      <c r="F212" s="10" t="s">
        <v>315</v>
      </c>
      <c r="G212" s="10" t="s">
        <v>281</v>
      </c>
      <c r="H212" s="10" t="s">
        <v>282</v>
      </c>
      <c r="I212" s="10" t="s">
        <v>357</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363</v>
      </c>
    </row>
    <row r="219" spans="4:16" ht="20.100000000000001" customHeight="1" x14ac:dyDescent="0.25">
      <c r="D219" s="10" t="s">
        <v>314</v>
      </c>
      <c r="E219" s="10" t="s">
        <v>215</v>
      </c>
      <c r="F219" s="10" t="s">
        <v>315</v>
      </c>
      <c r="G219" s="10" t="s">
        <v>281</v>
      </c>
      <c r="H219" s="10" t="s">
        <v>282</v>
      </c>
      <c r="I219" s="10" t="s">
        <v>357</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364</v>
      </c>
    </row>
    <row r="234" spans="4:9" ht="20.100000000000001" customHeight="1" x14ac:dyDescent="0.25">
      <c r="D234" s="10" t="s">
        <v>314</v>
      </c>
      <c r="E234" s="10" t="s">
        <v>215</v>
      </c>
      <c r="F234" s="10" t="s">
        <v>315</v>
      </c>
      <c r="G234" s="10" t="s">
        <v>281</v>
      </c>
      <c r="H234" s="10" t="s">
        <v>282</v>
      </c>
      <c r="I234" s="10" t="s">
        <v>357</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539DA-9881-4AE2-A85D-AF83187DB37D}">
  <sheetPr>
    <tabColor theme="2" tint="-0.499984740745262"/>
  </sheetPr>
  <dimension ref="A1:AI165"/>
  <sheetViews>
    <sheetView showGridLines="0" topLeftCell="A29"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767</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WasteSolid_SourceData.Waste_EmissionFactorsForWasteTreatment_Title()</f>
        <v>Emission factors for wastes disposed of at different treatment facilities</v>
      </c>
    </row>
    <row r="6" spans="1:35" ht="20.100000000000001" customHeight="1" x14ac:dyDescent="0.25">
      <c r="A6"/>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Farm Inputs'!A1", "Farm Inputs")</f>
        <v>Farm Inputs</v>
      </c>
      <c r="D11" s="12" t="str">
        <v>Added sub-categories for 'Incineration: Food waste, green waste, wood, sludge' in order to use volume to mass conversion factor values</v>
      </c>
    </row>
    <row r="12" spans="1:35" ht="20.100000000000001" customHeight="1" x14ac:dyDescent="0.25">
      <c r="A12" s="16" t="str">
        <f>HYPERLINK("#'Input - Livestock purchases'!A1", "Livestock purchases")</f>
        <v>Livestock purchases</v>
      </c>
      <c r="D12" s="12" t="str">
        <v>Added sub-categories for 'Composting: All organic waste' in order to use volume to mass conversion factor values</v>
      </c>
    </row>
    <row r="13" spans="1:35" ht="20.100000000000001" customHeight="1" x14ac:dyDescent="0.25">
      <c r="A13" s="16" t="str">
        <f>HYPERLINK("#'Input - Freight'!A1", "Freight")</f>
        <v>Freight</v>
      </c>
      <c r="D13" s="12" t="str">
        <v>Added sub-categories for 'Anaerobic digestion: All organic waste' in order to use volume to mass conversion factor values</v>
      </c>
    </row>
    <row r="14" spans="1:35" ht="20.100000000000001" customHeight="1" x14ac:dyDescent="0.25">
      <c r="A14" s="16" t="str">
        <f>HYPERLINK("#'Input - Solid waste'!A1", "Solid waste")</f>
        <v>Solid waste</v>
      </c>
      <c r="D14" s="8" t="str" cm="1">
        <f t="array" ref="D14">WasteSolid_SourceData.Waste_EmissionFactorsForWasteTreatment_Variable()</f>
        <v>EFwt</v>
      </c>
    </row>
    <row r="15" spans="1:35" ht="20.100000000000001" customHeight="1" x14ac:dyDescent="0.25">
      <c r="A15" s="16" t="str">
        <f>HYPERLINK("#'Input - Manure sent off-site'!A1", "Manure sent off-site")</f>
        <v>Manure sent off-site</v>
      </c>
      <c r="D15" s="13" t="str" cm="1">
        <f t="array" ref="D15">WasteSolid_SourceData.Waste_EmissionFactorsForWasteTreatment_Unit()</f>
        <v>t CO2e / t</v>
      </c>
      <c r="I15" s="8" t="s">
        <v>768</v>
      </c>
      <c r="K15" s="8" t="s">
        <v>769</v>
      </c>
      <c r="M15" s="8" t="s">
        <v>770</v>
      </c>
      <c r="O15" s="8" t="s">
        <v>771</v>
      </c>
    </row>
    <row r="16" spans="1:35" ht="20.100000000000001" customHeight="1" x14ac:dyDescent="0.25">
      <c r="A16" s="16" t="str">
        <f>HYPERLINK("#'Input - Electricity'!A1", "Electricity")</f>
        <v>Electricity</v>
      </c>
      <c r="D16" s="10" t="s">
        <v>772</v>
      </c>
      <c r="E16" s="10" t="s">
        <v>773</v>
      </c>
      <c r="F16" s="10" t="s">
        <v>774</v>
      </c>
      <c r="G16" s="10" t="s">
        <v>775</v>
      </c>
      <c r="I16" s="10" t="s">
        <v>773</v>
      </c>
      <c r="K16" s="160" t="s">
        <v>773</v>
      </c>
      <c r="M16" s="160" t="s">
        <v>773</v>
      </c>
      <c r="O16" s="160" t="s">
        <v>773</v>
      </c>
    </row>
    <row r="17" spans="1:15" ht="20.100000000000001" customHeight="1" x14ac:dyDescent="0.25">
      <c r="A17"/>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A18"/>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21" t="s">
        <v>77</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t="str">
        <f>HYPERLINK("#'15 Scope 3'!A1", "15 Scope 3")</f>
        <v>15 Scope 3</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t="str">
        <f>HYPERLINK("#'10.1.1-2 Solid waste treatment'!A1", "10.1.1-2 Solid waste treatment")</f>
        <v>10.1.1-2 Solid waste treatment</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16" t="str">
        <f>HYPERLINK("#'Calcs - Manure sent off-site'!A1", "Calcs - Manure sent off-site")</f>
        <v>Calcs - Manure sent off-site</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HYPERLINK("#'8.1.1.1-2 Transport fuel'!A1", "8.1.1.1-2 Transport fuel")</f>
        <v>8.1.1.1-2 Transport fuel</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HYPERLINK("#'8.2.1.1-2 Stationary fuel'!A1", "8.2.1.1-2 Stationary fuel")</f>
        <v>8.2.1.1-2 Stationary fuel</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A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A26"/>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229" t="s">
        <v>78</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s="16" t="str">
        <f>HYPERLINK("#'Constants - Scope 3'!A1", "Constants - Scope 3")</f>
        <v>Constants - Scope 3</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23" t="str">
        <f>HYPERLINK("#'Constants - Solid Waste'!A1", "Constants - Solid Waste")</f>
        <v>Constants - Solid Waste</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16" t="str">
        <f>HYPERLINK("#'Constants - Fuel'!A1", "Constants - Fuel")</f>
        <v>Constants - Fuel</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HYPERLINK("#'Constants - Poultry'!A1", "Constants - Poultry")</f>
        <v>Constants - Poultry</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16" t="str">
        <f>HYPERLINK("#'Constants - Swine'!A1", "Constants - Swine")</f>
        <v>Constants - Swine</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HYPERLINK("#'Constants - Dairy'!A1", "Constants - Dairy")</f>
        <v>Constants - Dairy</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16" t="str">
        <f>HYPERLINK("#'Constants - Pasture Beef'!A1", "Constants - Pasture Beef")</f>
        <v>Constants - Pasture Beef</v>
      </c>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16" t="str">
        <f>HYPERLINK("#'Constants - Common Livestock'!A1", "Constants - Common Livestock")</f>
        <v>Constants - Common Livestock</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Fertiliser'!A1", "Constants - Fertiliser")</f>
        <v>Constants - Fertiliser</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Electricity'!A1", "Constants - Electricity")</f>
        <v>Constants - Electricity</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20"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Common'!A1", "Constants - Common")</f>
        <v>Constants - Common</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20"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20"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20"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20"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20"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20"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20"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20"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20"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20"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20"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20"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20"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row>
    <row r="52" spans="1:7" ht="20.100000000000001" customHeight="1" x14ac:dyDescent="0.25">
      <c r="A52"/>
      <c r="D52" s="9" t="str" cm="1">
        <f t="array" ref="D52">WasteSolid_SourceData.Waste_WasteVolumeToMassConversion_Title()</f>
        <v>Volume to mass conversion factor for various waste types</v>
      </c>
    </row>
    <row r="53" spans="1:7" ht="20.100000000000001" customHeight="1" x14ac:dyDescent="0.25">
      <c r="A53"/>
      <c r="D53" s="11" t="str" cm="1">
        <f t="array" ref="D53">WasteSolid_SourceData.Waste_WasteVolumeToMassConversion_Source()</f>
        <v>VEERG 2026: Table A.4.1.2</v>
      </c>
    </row>
    <row r="54" spans="1:7" ht="20.100000000000001" customHeight="1" x14ac:dyDescent="0.25">
      <c r="A54"/>
      <c r="D54" s="12" t="str" cm="1">
        <f t="array" ref="D54">WasteSolid_SourceData.Waste_WasteVolumeToMassConversion_Variation()</f>
        <v>VARIATION OF SOURCE: Changed column header CFw to VTMw to match title variable.</v>
      </c>
    </row>
    <row r="55" spans="1:7" ht="20.100000000000001" customHeight="1" x14ac:dyDescent="0.25">
      <c r="A55"/>
      <c r="D55" s="8" t="str" cm="1">
        <f t="array" ref="D55">WasteSolid_SourceData.Waste_WasteVolumeToMassConversion_Variable()</f>
        <v>VTMw</v>
      </c>
    </row>
    <row r="56" spans="1:7" ht="20.100000000000001" customHeight="1" x14ac:dyDescent="0.25">
      <c r="A56"/>
      <c r="D56" s="13" t="str" cm="1">
        <f t="array" ref="D56">WasteSolid_SourceData.Waste_WasteVolumeToMassConversion_Unit()</f>
        <v>t/m3</v>
      </c>
    </row>
    <row r="57" spans="1:7" ht="20.100000000000001" customHeight="1" x14ac:dyDescent="0.25">
      <c r="A57"/>
      <c r="D57" s="10" t="s">
        <v>773</v>
      </c>
      <c r="E57" s="10" t="s">
        <v>776</v>
      </c>
    </row>
    <row r="58" spans="1:7" ht="20.100000000000001" customHeight="1" x14ac:dyDescent="0.25">
      <c r="A58"/>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A63"/>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A64"/>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A6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A66"/>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A67"/>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A68"/>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c r="A69"/>
    </row>
    <row r="70" spans="1:5" ht="20.100000000000001" customHeight="1" x14ac:dyDescent="0.25">
      <c r="A70"/>
    </row>
    <row r="71" spans="1:5" ht="20.100000000000001" customHeight="1" x14ac:dyDescent="0.25">
      <c r="A71"/>
    </row>
    <row r="72" spans="1:5" ht="20.100000000000001" customHeight="1" x14ac:dyDescent="0.25">
      <c r="A72"/>
    </row>
    <row r="73" spans="1:5" ht="20.100000000000001" customHeight="1" x14ac:dyDescent="0.25">
      <c r="A73"/>
    </row>
    <row r="74" spans="1:5" ht="20.100000000000001" customHeight="1" x14ac:dyDescent="0.25">
      <c r="A74"/>
    </row>
    <row r="75" spans="1:5" ht="20.100000000000001" customHeight="1" x14ac:dyDescent="0.25">
      <c r="A75"/>
    </row>
    <row r="76" spans="1:5" ht="20.100000000000001" customHeight="1" x14ac:dyDescent="0.25">
      <c r="A76"/>
    </row>
    <row r="77" spans="1:5" ht="20.100000000000001" customHeight="1" x14ac:dyDescent="0.25">
      <c r="A77"/>
    </row>
    <row r="78" spans="1:5" ht="20.100000000000001" customHeight="1" x14ac:dyDescent="0.25">
      <c r="A78"/>
    </row>
    <row r="79" spans="1:5" ht="20.100000000000001" customHeight="1" x14ac:dyDescent="0.25">
      <c r="A79"/>
    </row>
    <row r="80" spans="1:5"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D2A84-7B38-4B43-9844-790528FCA02B}">
  <dimension ref="A1:AI165"/>
  <sheetViews>
    <sheetView showGridLines="0" topLeftCell="A138"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Farm Inputs'!A1", "Farm Inputs")</f>
        <v>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Livestock purchases'!A1", "Livestock purchases")</f>
        <v>Livestock purchases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Freight'!A1", "Freight")</f>
        <v>Freight</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Solid waste'!A1", "Solid waste")</f>
        <v>Solid waste</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Manure sent off-site'!A1", "Manure sent off-site")</f>
        <v>Manure sent off-site</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Electricity'!A1", "Electricity")</f>
        <v>Electricity</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21" t="s">
        <v>77</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t="str">
        <f>HYPERLINK("#'15 Scope 3'!A1", "15 Scope 3")</f>
        <v>15 Scope 3</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t="str">
        <f>HYPERLINK("#'10.1.1-2 Solid waste treatment'!A1", "10.1.1-2 Solid waste treatment")</f>
        <v>10.1.1-2 Solid waste treatment</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16" t="str">
        <f>HYPERLINK("#'Calcs - Manure sent off-site'!A1", "Calcs - Manure sent off-site")</f>
        <v>Calcs - Manure sent off-site</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HYPERLINK("#'8.1.1.1-2 Transport fuel'!A1", "8.1.1.1-2 Transport fuel")</f>
        <v>8.1.1.1-2 Transport fuel</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HYPERLINK("#'8.2.1.1-2 Stationary fuel'!A1", "8.2.1.1-2 Stationary fuel")</f>
        <v>8.2.1.1-2 Stationary fuel</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229" t="s">
        <v>78</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s="16" t="str">
        <f>HYPERLINK("#'Constants - Scope 3'!A1", "Constants - Scope 3")</f>
        <v>Constants - Scope 3</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s="16" t="str">
        <f>HYPERLINK("#'Constants - Solid Waste'!A1", "Constants - Solid Waste")</f>
        <v>Constants - Solid Waste</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23" t="str">
        <f>HYPERLINK("#'Constants - Fuel'!A1", "Constants - Fuel")</f>
        <v>Constants - Fuel</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HYPERLINK("#'Constants - Poultry'!A1", "Constants - Poultry")</f>
        <v>Constants - Poultry</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HYPERLINK("#'Constants - Swine'!A1", "Constants - Swine")</f>
        <v>Constants - Swine</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16" t="str">
        <f>HYPERLINK("#'Constants - Dairy'!A1", "Constants - Dairy")</f>
        <v>Constants - Dairy</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s="16" t="str">
        <f>HYPERLINK("#'Constants - Pasture Beef'!A1", "Constants - Pasture Beef")</f>
        <v>Constants - Pasture Beef</v>
      </c>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row>
    <row r="37" spans="1:12" ht="20.100000000000001" customHeight="1" x14ac:dyDescent="0.25">
      <c r="A37" s="16" t="str">
        <f>HYPERLINK("#'Constants - Electricity'!A1", "Constants - Electricity")</f>
        <v>Constants - Electricity</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Common'!A1", "Constants - Common")</f>
        <v>Constants - Common</v>
      </c>
      <c r="D38" s="11" t="str" cm="1">
        <f t="array" ref="D38">Fuel_SourceData.Fuel_Scope1Scope3EmissionFactorsTransportOffRoad_Source()</f>
        <v>VEERG 2026: Table A.4.2.1</v>
      </c>
    </row>
    <row r="39" spans="1:12" ht="20.100000000000001" customHeight="1" x14ac:dyDescent="0.25">
      <c r="A39"/>
      <c r="D39" s="10" t="s">
        <v>79</v>
      </c>
      <c r="E39" s="10" t="s">
        <v>80</v>
      </c>
      <c r="F39" s="10" t="s">
        <v>81</v>
      </c>
      <c r="G39" s="10" t="s">
        <v>82</v>
      </c>
      <c r="H39" s="10" t="s">
        <v>83</v>
      </c>
      <c r="I39" s="10" t="s">
        <v>84</v>
      </c>
      <c r="J39" s="10" t="s">
        <v>85</v>
      </c>
    </row>
    <row r="40" spans="1:12" ht="20.100000000000001" customHeight="1" x14ac:dyDescent="0.25">
      <c r="A40"/>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708</v>
      </c>
      <c r="F112" s="20" t="s">
        <v>709</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17"/>
      <c r="K130" s="17"/>
      <c r="L130" s="17"/>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17"/>
      <c r="K131" s="17"/>
      <c r="L131" s="17"/>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17"/>
      <c r="K132" s="17"/>
      <c r="L132" s="17"/>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94</v>
      </c>
      <c r="J133" s="17"/>
      <c r="K133" s="17"/>
      <c r="L133" s="17"/>
    </row>
    <row r="134" spans="1:33" ht="20.100000000000001" customHeight="1" x14ac:dyDescent="0.25">
      <c r="A134"/>
      <c r="D134" s="34" t="str">
        <f>$D$146</f>
        <v>Biodiesel</v>
      </c>
      <c r="E134" s="34" t="str">
        <f>$D$146</f>
        <v>Biodiesel</v>
      </c>
      <c r="F134" s="33"/>
      <c r="G134" s="34" t="str">
        <f>$D$160</f>
        <v>Fuel oil</v>
      </c>
      <c r="H134" s="34"/>
      <c r="I134" s="34"/>
      <c r="J134" s="17"/>
      <c r="K134" s="17"/>
      <c r="L134" s="17"/>
    </row>
    <row r="135" spans="1:33" ht="20.100000000000001" customHeight="1" x14ac:dyDescent="0.25">
      <c r="A135"/>
      <c r="D135" s="34" t="str">
        <f>$D$147</f>
        <v>Ethanol</v>
      </c>
      <c r="E135" s="34" t="str">
        <f>$D$147</f>
        <v>Ethanol</v>
      </c>
      <c r="F135" s="33"/>
      <c r="G135" s="34" t="str">
        <f>$D$147</f>
        <v>Ethanol</v>
      </c>
      <c r="H135" s="34"/>
      <c r="I135" s="34"/>
      <c r="J135" s="17"/>
      <c r="K135" s="17"/>
      <c r="L135" s="17"/>
    </row>
    <row r="136" spans="1:33" ht="20.100000000000001" customHeight="1" x14ac:dyDescent="0.25">
      <c r="A136"/>
      <c r="D136" s="34" t="str">
        <f>$D$148</f>
        <v>Other biofuels</v>
      </c>
      <c r="E136" s="34" t="str">
        <f>$D$148</f>
        <v>Other biofuels</v>
      </c>
      <c r="F136" s="33"/>
      <c r="G136" s="34" t="str">
        <f>$D$146</f>
        <v>Biodiesel</v>
      </c>
      <c r="H136" s="34"/>
      <c r="I136" s="34"/>
      <c r="J136" s="17"/>
      <c r="K136" s="17"/>
      <c r="L136" s="17"/>
    </row>
    <row r="137" spans="1:33" ht="20.100000000000001" customHeight="1" x14ac:dyDescent="0.25">
      <c r="A137"/>
      <c r="D137" s="34" t="str">
        <f>$D$149</f>
        <v>Renewable diesel</v>
      </c>
      <c r="E137" s="34" t="str">
        <f>$D$149</f>
        <v>Renewable diesel</v>
      </c>
      <c r="F137" s="33"/>
      <c r="G137" s="34" t="str">
        <f>$D$149</f>
        <v>Renewable diesel</v>
      </c>
      <c r="H137" s="34"/>
      <c r="I137" s="34"/>
      <c r="J137" s="17"/>
      <c r="K137" s="17"/>
      <c r="L137" s="17"/>
    </row>
    <row r="138" spans="1:33" ht="20.100000000000001" customHeight="1" x14ac:dyDescent="0.25">
      <c r="A138"/>
      <c r="D138" s="33"/>
      <c r="E138" s="35" t="str">
        <f>$D$161</f>
        <v>Natural gas (via pipeline) in GJ</v>
      </c>
      <c r="F138" s="35"/>
      <c r="G138" s="34" t="str">
        <f>$D$148</f>
        <v>Other biofuels</v>
      </c>
      <c r="H138" s="34"/>
      <c r="I138" s="34"/>
      <c r="J138" s="17"/>
      <c r="K138" s="17"/>
      <c r="L138" s="17"/>
    </row>
    <row r="139" spans="1:33" ht="20.100000000000001" customHeight="1" x14ac:dyDescent="0.25">
      <c r="A139"/>
      <c r="D139" s="35"/>
      <c r="E139" s="35" t="str">
        <f>$D$162</f>
        <v>Town gas in GJ</v>
      </c>
      <c r="F139" s="35"/>
      <c r="G139" s="35"/>
      <c r="H139" s="35"/>
      <c r="I139" s="35"/>
      <c r="J139" s="17"/>
      <c r="K139" s="17"/>
      <c r="L139" s="17"/>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95</v>
      </c>
      <c r="E142" s="3" t="s">
        <v>96</v>
      </c>
      <c r="F142" s="3" t="s">
        <v>908</v>
      </c>
      <c r="G142" s="17"/>
      <c r="H142" s="17"/>
      <c r="I142" s="17"/>
      <c r="J142" s="17"/>
      <c r="K142" s="17"/>
      <c r="L142" s="17"/>
      <c r="M142" s="17"/>
      <c r="AG142" s="8"/>
    </row>
    <row r="143" spans="1:33" ht="20.100000000000001" customHeight="1" x14ac:dyDescent="0.25">
      <c r="A143"/>
      <c r="D143" s="34" t="s">
        <v>97</v>
      </c>
      <c r="E143" s="3" t="s">
        <v>98</v>
      </c>
      <c r="F143" s="3" t="s">
        <v>909</v>
      </c>
      <c r="G143" s="17"/>
      <c r="H143" s="17"/>
      <c r="I143" s="17"/>
      <c r="J143" s="17"/>
      <c r="K143" s="17"/>
      <c r="L143" s="17"/>
      <c r="M143" s="17"/>
      <c r="AG143" s="8"/>
    </row>
    <row r="144" spans="1:33" ht="20.100000000000001" customHeight="1" x14ac:dyDescent="0.25">
      <c r="A144"/>
      <c r="D144" s="34" t="s">
        <v>99</v>
      </c>
      <c r="E144" s="3" t="s">
        <v>98</v>
      </c>
      <c r="F144" s="3" t="s">
        <v>909</v>
      </c>
      <c r="G144" s="17"/>
      <c r="H144" s="17"/>
      <c r="I144" s="17"/>
      <c r="J144" s="17"/>
      <c r="K144" s="17"/>
      <c r="L144" s="17"/>
      <c r="M144" s="17"/>
      <c r="AG144" s="8"/>
    </row>
    <row r="145" spans="1:33" ht="20.100000000000001" customHeight="1" x14ac:dyDescent="0.25">
      <c r="A145"/>
      <c r="D145" s="34" t="s">
        <v>100</v>
      </c>
      <c r="E145" s="3" t="s">
        <v>98</v>
      </c>
      <c r="F145" s="3" t="s">
        <v>909</v>
      </c>
      <c r="G145" s="17"/>
      <c r="H145" s="17"/>
      <c r="I145" s="17"/>
      <c r="J145" s="17"/>
      <c r="K145" s="17"/>
      <c r="L145" s="17"/>
      <c r="M145" s="17"/>
      <c r="AG145" s="8"/>
    </row>
    <row r="146" spans="1:33" ht="20.100000000000001" customHeight="1" x14ac:dyDescent="0.25">
      <c r="A146"/>
      <c r="D146" s="34" t="s">
        <v>101</v>
      </c>
      <c r="E146" s="3" t="s">
        <v>98</v>
      </c>
      <c r="F146" s="3" t="s">
        <v>909</v>
      </c>
      <c r="G146" s="17"/>
      <c r="H146" s="17"/>
      <c r="I146" s="17"/>
      <c r="J146" s="17"/>
      <c r="K146" s="17"/>
      <c r="L146" s="17"/>
      <c r="M146" s="17"/>
      <c r="AG146" s="8"/>
    </row>
    <row r="147" spans="1:33" ht="20.100000000000001" customHeight="1" x14ac:dyDescent="0.25">
      <c r="A147"/>
      <c r="D147" s="34" t="s">
        <v>102</v>
      </c>
      <c r="E147" s="3" t="s">
        <v>98</v>
      </c>
      <c r="F147" s="3" t="s">
        <v>909</v>
      </c>
      <c r="G147" s="17"/>
      <c r="H147" s="17"/>
      <c r="I147" s="17"/>
      <c r="J147" s="17"/>
      <c r="K147" s="17"/>
      <c r="L147" s="17"/>
      <c r="M147" s="17"/>
      <c r="AG147" s="8"/>
    </row>
    <row r="148" spans="1:33" ht="20.100000000000001" customHeight="1" x14ac:dyDescent="0.25">
      <c r="A148"/>
      <c r="D148" s="34" t="s">
        <v>103</v>
      </c>
      <c r="E148" s="3" t="s">
        <v>98</v>
      </c>
      <c r="F148" s="3" t="s">
        <v>909</v>
      </c>
      <c r="G148" s="17"/>
      <c r="H148" s="17"/>
      <c r="I148" s="17"/>
      <c r="J148" s="17"/>
      <c r="K148" s="17"/>
      <c r="L148" s="17"/>
      <c r="M148" s="17"/>
      <c r="AG148" s="8"/>
    </row>
    <row r="149" spans="1:33" ht="20.100000000000001" customHeight="1" x14ac:dyDescent="0.25">
      <c r="A149"/>
      <c r="D149" s="34" t="s">
        <v>104</v>
      </c>
      <c r="E149" s="3" t="s">
        <v>98</v>
      </c>
      <c r="F149" s="3" t="s">
        <v>909</v>
      </c>
      <c r="G149" s="17"/>
      <c r="H149" s="17"/>
      <c r="I149" s="17"/>
      <c r="J149" s="17"/>
      <c r="K149" s="17"/>
      <c r="L149" s="17"/>
      <c r="M149" s="17"/>
      <c r="AG149" s="8"/>
    </row>
    <row r="150" spans="1:33" ht="20.100000000000001" customHeight="1" x14ac:dyDescent="0.25">
      <c r="A150"/>
      <c r="D150" s="34" t="s">
        <v>105</v>
      </c>
      <c r="E150" s="3" t="s">
        <v>98</v>
      </c>
      <c r="F150" s="3" t="s">
        <v>909</v>
      </c>
      <c r="G150" s="17"/>
      <c r="H150" s="17"/>
      <c r="I150" s="17"/>
      <c r="J150" s="17"/>
      <c r="K150" s="17"/>
      <c r="L150" s="17"/>
      <c r="M150" s="17"/>
      <c r="AG150" s="8"/>
    </row>
    <row r="151" spans="1:33" ht="20.100000000000001" customHeight="1" x14ac:dyDescent="0.25">
      <c r="A151"/>
      <c r="D151" s="34" t="s">
        <v>106</v>
      </c>
      <c r="E151" s="3" t="s">
        <v>98</v>
      </c>
      <c r="F151" s="3" t="s">
        <v>909</v>
      </c>
      <c r="G151" s="17"/>
      <c r="H151" s="17"/>
      <c r="I151" s="17"/>
      <c r="J151" s="17"/>
      <c r="K151" s="17"/>
      <c r="L151" s="17"/>
      <c r="M151" s="17"/>
      <c r="AG151" s="8"/>
    </row>
    <row r="152" spans="1:33" ht="20.100000000000001" customHeight="1" x14ac:dyDescent="0.25">
      <c r="A152"/>
      <c r="D152" s="36" t="s">
        <v>107</v>
      </c>
      <c r="E152" s="14" t="s">
        <v>98</v>
      </c>
      <c r="F152" s="3" t="s">
        <v>909</v>
      </c>
      <c r="G152" s="17"/>
      <c r="H152" s="17"/>
      <c r="I152" s="17"/>
      <c r="J152" s="17"/>
      <c r="K152" s="17"/>
      <c r="L152" s="17"/>
      <c r="M152" s="17"/>
      <c r="AG152" s="8"/>
    </row>
    <row r="153" spans="1:33" ht="20.100000000000001" customHeight="1" x14ac:dyDescent="0.25">
      <c r="A153"/>
      <c r="D153" s="36" t="s">
        <v>108</v>
      </c>
      <c r="E153" s="14" t="s">
        <v>98</v>
      </c>
      <c r="F153" s="3" t="s">
        <v>909</v>
      </c>
      <c r="G153" s="17"/>
      <c r="H153" s="17"/>
      <c r="I153" s="17"/>
      <c r="J153" s="17"/>
      <c r="K153" s="17"/>
      <c r="L153" s="17"/>
      <c r="M153" s="17"/>
      <c r="AG153" s="8"/>
    </row>
    <row r="154" spans="1:33" ht="20.100000000000001" customHeight="1" x14ac:dyDescent="0.25">
      <c r="A154"/>
      <c r="D154" s="36" t="s">
        <v>109</v>
      </c>
      <c r="E154" s="14" t="s">
        <v>98</v>
      </c>
      <c r="F154" s="3" t="s">
        <v>909</v>
      </c>
      <c r="G154" s="17"/>
      <c r="H154" s="17"/>
      <c r="I154" s="17"/>
      <c r="J154" s="17"/>
      <c r="K154" s="17"/>
      <c r="L154" s="17"/>
      <c r="M154" s="17"/>
      <c r="AG154" s="8"/>
    </row>
    <row r="155" spans="1:33" ht="20.100000000000001" customHeight="1" x14ac:dyDescent="0.25">
      <c r="A155"/>
      <c r="D155" s="36" t="s">
        <v>110</v>
      </c>
      <c r="E155" s="14" t="s">
        <v>98</v>
      </c>
      <c r="F155" s="3" t="s">
        <v>909</v>
      </c>
      <c r="G155" s="17"/>
      <c r="H155" s="17"/>
      <c r="I155" s="17"/>
      <c r="J155" s="17"/>
      <c r="K155" s="17"/>
      <c r="L155" s="17"/>
      <c r="M155" s="17"/>
      <c r="AG155" s="8"/>
    </row>
    <row r="156" spans="1:33" ht="20.100000000000001" customHeight="1" x14ac:dyDescent="0.25">
      <c r="A156"/>
      <c r="D156" s="36" t="s">
        <v>111</v>
      </c>
      <c r="E156" s="14" t="s">
        <v>98</v>
      </c>
      <c r="F156" s="3" t="s">
        <v>909</v>
      </c>
      <c r="G156" s="17"/>
      <c r="H156" s="17"/>
      <c r="I156" s="17"/>
      <c r="J156" s="17"/>
      <c r="K156" s="17"/>
      <c r="L156" s="17"/>
      <c r="M156" s="17"/>
      <c r="AG156" s="8"/>
    </row>
    <row r="157" spans="1:33" ht="20.100000000000001" customHeight="1" x14ac:dyDescent="0.25">
      <c r="A157"/>
      <c r="D157" s="36" t="s">
        <v>112</v>
      </c>
      <c r="E157" s="14" t="s">
        <v>98</v>
      </c>
      <c r="F157" s="3" t="s">
        <v>909</v>
      </c>
      <c r="G157" s="17"/>
      <c r="H157" s="17"/>
      <c r="I157" s="17"/>
      <c r="J157" s="17"/>
      <c r="K157" s="17"/>
      <c r="L157" s="17"/>
      <c r="M157" s="17"/>
      <c r="AG157" s="8"/>
    </row>
    <row r="158" spans="1:33" ht="20.100000000000001" customHeight="1" x14ac:dyDescent="0.25">
      <c r="A158"/>
      <c r="D158" s="36" t="s">
        <v>113</v>
      </c>
      <c r="E158" s="14" t="s">
        <v>98</v>
      </c>
      <c r="F158" s="3" t="s">
        <v>909</v>
      </c>
      <c r="G158" s="17"/>
      <c r="H158" s="17"/>
      <c r="I158" s="17"/>
      <c r="J158" s="17"/>
      <c r="K158" s="17"/>
      <c r="L158" s="17"/>
      <c r="M158" s="17"/>
      <c r="AG158" s="8"/>
    </row>
    <row r="159" spans="1:33" ht="20.100000000000001" customHeight="1" x14ac:dyDescent="0.25">
      <c r="A159"/>
      <c r="D159" s="36" t="s">
        <v>114</v>
      </c>
      <c r="E159" s="14" t="s">
        <v>98</v>
      </c>
      <c r="F159" s="3" t="s">
        <v>909</v>
      </c>
      <c r="G159" s="17"/>
      <c r="H159" s="17"/>
      <c r="I159" s="17"/>
      <c r="J159" s="17"/>
      <c r="K159" s="17"/>
      <c r="L159" s="17"/>
      <c r="M159" s="17"/>
      <c r="AG159" s="8"/>
    </row>
    <row r="160" spans="1:33" ht="20.100000000000001" customHeight="1" x14ac:dyDescent="0.25">
      <c r="A160"/>
      <c r="D160" s="36" t="s">
        <v>94</v>
      </c>
      <c r="E160" s="14" t="s">
        <v>98</v>
      </c>
      <c r="F160" s="3" t="s">
        <v>909</v>
      </c>
      <c r="G160" s="17"/>
      <c r="H160" s="17"/>
      <c r="I160" s="17"/>
      <c r="J160" s="17"/>
      <c r="K160" s="17"/>
      <c r="L160" s="17"/>
      <c r="M160" s="17"/>
      <c r="AG160" s="8"/>
    </row>
    <row r="161" spans="4:33" ht="20.100000000000001" customHeight="1" x14ac:dyDescent="0.25">
      <c r="D161" s="35" t="s">
        <v>115</v>
      </c>
      <c r="E161" s="17" t="s">
        <v>116</v>
      </c>
      <c r="F161" s="17" t="s">
        <v>116</v>
      </c>
      <c r="G161" s="17"/>
      <c r="H161" s="17"/>
      <c r="I161" s="17"/>
      <c r="J161" s="17"/>
      <c r="K161" s="17"/>
      <c r="L161" s="17"/>
      <c r="M161" s="17"/>
      <c r="AG161" s="8"/>
    </row>
    <row r="162" spans="4:33" ht="20.100000000000001" customHeight="1" x14ac:dyDescent="0.25">
      <c r="D162" s="17" t="s">
        <v>117</v>
      </c>
      <c r="E162" s="17" t="s">
        <v>116</v>
      </c>
      <c r="F162" s="17" t="s">
        <v>116</v>
      </c>
      <c r="G162" s="17"/>
      <c r="H162" s="17"/>
      <c r="I162" s="17"/>
      <c r="J162" s="17"/>
      <c r="K162" s="17"/>
      <c r="L162" s="17"/>
      <c r="M162" s="17"/>
      <c r="AG162" s="8"/>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858EC-3BEA-46FB-B53A-874405B58F7A}">
  <sheetPr>
    <tabColor theme="2" tint="-0.499984740745262"/>
  </sheetPr>
  <dimension ref="A1:W452"/>
  <sheetViews>
    <sheetView showGridLines="0" topLeftCell="A2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569</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570</v>
      </c>
      <c r="E8" s="10" t="s">
        <v>571</v>
      </c>
      <c r="F8" s="10" t="s">
        <v>572</v>
      </c>
      <c r="G8" s="10" t="s">
        <v>573</v>
      </c>
      <c r="H8" s="10" t="s">
        <v>574</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Farm Inputs'!A1", "Farm Inputs")</f>
        <v>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Livestock purchases'!A1", "Livestock purchases")</f>
        <v>Livestock purchases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Freight'!A1", "Freight")</f>
        <v>Freight</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M16" s="8"/>
    </row>
    <row r="17" spans="1:13" ht="20.100000000000001" customHeight="1" x14ac:dyDescent="0.25">
      <c r="A17"/>
      <c r="D17" s="9" t="str" cm="1">
        <f t="array" ref="D17">SourceData_Poultry.SourceData_Poultry_MethaneEmissionsPotential_Title()</f>
        <v>Poultry - Methane emissions potential per class</v>
      </c>
      <c r="M17" s="8"/>
    </row>
    <row r="18" spans="1:13" ht="20.100000000000001" customHeight="1" x14ac:dyDescent="0.25">
      <c r="A18"/>
      <c r="D18" s="11" t="str" cm="1">
        <f t="array" ref="D18">SourceData_Poultry.SourceData_Poultry_MethaneEmissionsPotential_Source()</f>
        <v>VEERG 2026: 4.6.2.3 CONSTANT: Poultry - Methane emissions potential per class</v>
      </c>
      <c r="M18" s="8"/>
    </row>
    <row r="19" spans="1:13" ht="20.100000000000001" customHeight="1" x14ac:dyDescent="0.25">
      <c r="A19" s="21" t="s">
        <v>77</v>
      </c>
      <c r="D19" s="10" t="s">
        <v>575</v>
      </c>
      <c r="E19" s="10" t="s">
        <v>576</v>
      </c>
      <c r="M19" s="8"/>
    </row>
    <row r="20" spans="1:13" ht="20.100000000000001" customHeight="1" x14ac:dyDescent="0.25">
      <c r="A20" s="16" t="str">
        <f>HYPERLINK("#'15 Scope 3'!A1", "15 Scope 3")</f>
        <v>15 Scope 3</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16" t="str">
        <f>HYPERLINK("#'10.1.1-2 Solid waste treatment'!A1", "10.1.1-2 Solid waste treatment")</f>
        <v>10.1.1-2 Solid waste treatment</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M24" s="8"/>
    </row>
    <row r="25" spans="1:13" ht="20.100000000000001" customHeight="1" x14ac:dyDescent="0.25">
      <c r="A25"/>
      <c r="M25" s="8"/>
    </row>
    <row r="26" spans="1:13" ht="20.100000000000001" customHeight="1" x14ac:dyDescent="0.25">
      <c r="A26"/>
      <c r="D26" s="9" t="s">
        <v>577</v>
      </c>
      <c r="G26" s="9" t="s">
        <v>578</v>
      </c>
      <c r="J26" s="9" t="s">
        <v>579</v>
      </c>
      <c r="M26" s="8"/>
    </row>
    <row r="27" spans="1:13" ht="20.100000000000001" customHeight="1" x14ac:dyDescent="0.25">
      <c r="A27" s="229" t="s">
        <v>78</v>
      </c>
      <c r="M27" s="8"/>
    </row>
    <row r="28" spans="1:13" ht="20.100000000000001" customHeight="1" x14ac:dyDescent="0.25">
      <c r="A28" s="16" t="str">
        <f>HYPERLINK("#'Constants - Scope 3'!A1", "Constants - Scope 3")</f>
        <v>Constants - Scope 3</v>
      </c>
      <c r="D28" s="159" t="s">
        <v>520</v>
      </c>
      <c r="E28" s="10" t="s">
        <v>325</v>
      </c>
      <c r="G28" s="159" t="s">
        <v>520</v>
      </c>
      <c r="H28" s="10" t="s">
        <v>325</v>
      </c>
      <c r="J28" s="159" t="s">
        <v>520</v>
      </c>
      <c r="K28" s="10" t="s">
        <v>325</v>
      </c>
      <c r="M28" s="8"/>
    </row>
    <row r="29" spans="1:13" ht="20.100000000000001" customHeight="1" x14ac:dyDescent="0.25">
      <c r="A29" s="16" t="str">
        <f>HYPERLINK("#'Constants - Solid Waste'!A1", "Constants - Solid Waste")</f>
        <v>Constants - Solid Waste</v>
      </c>
      <c r="D29" s="10" t="s">
        <v>58</v>
      </c>
      <c r="E29" s="10" t="s">
        <v>580</v>
      </c>
      <c r="G29" s="10" t="s">
        <v>58</v>
      </c>
      <c r="H29" s="10" t="s">
        <v>580</v>
      </c>
      <c r="J29" s="10" t="s">
        <v>55</v>
      </c>
      <c r="K29" s="10" t="s">
        <v>581</v>
      </c>
      <c r="M29" s="8"/>
    </row>
    <row r="30" spans="1:13" ht="20.100000000000001" customHeight="1" x14ac:dyDescent="0.25">
      <c r="A30" s="16" t="str">
        <f>HYPERLINK("#'Constants - Fuel'!A1", "Constants - Fuel")</f>
        <v>Constants - Fuel</v>
      </c>
      <c r="D30" s="10" t="s">
        <v>582</v>
      </c>
      <c r="E30" s="10" t="s">
        <v>583</v>
      </c>
      <c r="G30" s="10" t="s">
        <v>582</v>
      </c>
      <c r="H30" s="10" t="s">
        <v>583</v>
      </c>
      <c r="J30" s="10" t="s">
        <v>54</v>
      </c>
      <c r="K30" s="10" t="s">
        <v>584</v>
      </c>
      <c r="M30" s="8"/>
    </row>
    <row r="31" spans="1:13" ht="20.100000000000001" customHeight="1" x14ac:dyDescent="0.25">
      <c r="A31" s="23" t="str">
        <f>HYPERLINK("#'Constants - Poultry'!A1", "Constants - Poultry")</f>
        <v>Constants - Poultry</v>
      </c>
      <c r="D31" s="10" t="s">
        <v>585</v>
      </c>
      <c r="E31" s="10" t="s">
        <v>586</v>
      </c>
      <c r="G31" s="10" t="s">
        <v>585</v>
      </c>
      <c r="H31" s="10" t="s">
        <v>586</v>
      </c>
      <c r="J31" s="8" t="s">
        <v>51</v>
      </c>
      <c r="K31" s="8" t="s">
        <v>587</v>
      </c>
      <c r="M31" s="8"/>
    </row>
    <row r="32" spans="1:13" ht="20.100000000000001" customHeight="1" x14ac:dyDescent="0.25">
      <c r="A32" s="16" t="str">
        <f>HYPERLINK("#'Constants - Swine'!A1", "Constants - Swine")</f>
        <v>Constants - Swine</v>
      </c>
      <c r="D32" s="10" t="s">
        <v>62</v>
      </c>
      <c r="E32" s="10" t="s">
        <v>588</v>
      </c>
      <c r="G32" s="10" t="s">
        <v>62</v>
      </c>
      <c r="H32" s="10" t="s">
        <v>588</v>
      </c>
      <c r="J32" s="10" t="s">
        <v>60</v>
      </c>
      <c r="K32" s="10" t="s">
        <v>589</v>
      </c>
      <c r="M32" s="8"/>
    </row>
    <row r="33" spans="1:13" ht="20.100000000000001" customHeight="1" x14ac:dyDescent="0.25">
      <c r="A33" s="16" t="str">
        <f>HYPERLINK("#'Constants - Dairy'!A1", "Constants - Dairy")</f>
        <v>Constants - Dairy</v>
      </c>
      <c r="D33" s="10" t="s">
        <v>55</v>
      </c>
      <c r="E33" s="10" t="s">
        <v>581</v>
      </c>
      <c r="G33" s="8" t="s">
        <v>590</v>
      </c>
      <c r="H33" s="10" t="s">
        <v>590</v>
      </c>
      <c r="J33" s="10" t="s">
        <v>61</v>
      </c>
      <c r="K33" s="10" t="s">
        <v>591</v>
      </c>
      <c r="M33" s="8"/>
    </row>
    <row r="34" spans="1:13" ht="20.100000000000001" customHeight="1" x14ac:dyDescent="0.25">
      <c r="A34" s="16" t="str">
        <f>HYPERLINK("#'Constants - Pasture Beef'!A1", "Constants - Pasture Beef")</f>
        <v>Constants - Pasture Beef</v>
      </c>
      <c r="D34" s="10" t="s">
        <v>54</v>
      </c>
      <c r="E34" s="10" t="s">
        <v>584</v>
      </c>
      <c r="J34" s="8" t="s">
        <v>590</v>
      </c>
      <c r="K34" s="10" t="s">
        <v>590</v>
      </c>
      <c r="M34" s="8"/>
    </row>
    <row r="35" spans="1:13" ht="20.100000000000001" customHeight="1" x14ac:dyDescent="0.25">
      <c r="A35" s="16" t="str">
        <f>HYPERLINK("#'Constants - Common Livestock'!A1", "Constants - Common Livestock")</f>
        <v>Constants - Common Livestock</v>
      </c>
      <c r="D35" s="8" t="s">
        <v>51</v>
      </c>
      <c r="E35" s="8" t="s">
        <v>587</v>
      </c>
      <c r="M35" s="8"/>
    </row>
    <row r="36" spans="1:13" ht="20.100000000000001" customHeight="1" x14ac:dyDescent="0.25">
      <c r="A36" s="16" t="str">
        <f>HYPERLINK("#'Constants - Fertiliser'!A1", "Constants - Fertiliser")</f>
        <v>Constants - Fertiliser</v>
      </c>
      <c r="D36" s="10" t="s">
        <v>60</v>
      </c>
      <c r="E36" s="10" t="s">
        <v>589</v>
      </c>
      <c r="M36" s="8"/>
    </row>
    <row r="37" spans="1:13" ht="20.100000000000001" customHeight="1" x14ac:dyDescent="0.25">
      <c r="A37" s="16" t="str">
        <f>HYPERLINK("#'Constants - Electricity'!A1", "Constants - Electricity")</f>
        <v>Constants - Electricity</v>
      </c>
      <c r="D37" s="10" t="s">
        <v>61</v>
      </c>
      <c r="E37" s="10" t="s">
        <v>591</v>
      </c>
      <c r="M37" s="8"/>
    </row>
    <row r="38" spans="1:13" ht="20.100000000000001" customHeight="1" x14ac:dyDescent="0.25">
      <c r="A38" s="16" t="str">
        <f>HYPERLINK("#'Constants - Common'!A1", "Constants - Common")</f>
        <v>Constants - Common</v>
      </c>
      <c r="D38" s="8" t="s">
        <v>590</v>
      </c>
      <c r="E38" s="10" t="s">
        <v>590</v>
      </c>
      <c r="M38" s="8"/>
    </row>
    <row r="39" spans="1:13" ht="20.100000000000001" customHeight="1" x14ac:dyDescent="0.25">
      <c r="A39"/>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
        <v>592</v>
      </c>
      <c r="G42" s="9" t="s">
        <v>911</v>
      </c>
      <c r="J42" s="9" t="s">
        <v>142</v>
      </c>
      <c r="M42" s="8"/>
    </row>
    <row r="43" spans="1:13" ht="20.100000000000001" customHeight="1" x14ac:dyDescent="0.25">
      <c r="A43"/>
      <c r="M43" s="8"/>
    </row>
    <row r="44" spans="1:13" ht="20.100000000000001" customHeight="1" x14ac:dyDescent="0.25">
      <c r="A44"/>
      <c r="D44" s="10" t="s">
        <v>144</v>
      </c>
      <c r="G44" s="10" t="s">
        <v>144</v>
      </c>
      <c r="J44" s="10" t="s">
        <v>43</v>
      </c>
      <c r="M44" s="8"/>
    </row>
    <row r="45" spans="1:13" ht="20.100000000000001" customHeight="1" x14ac:dyDescent="0.25">
      <c r="A45"/>
      <c r="D45" s="10" t="str" cm="1">
        <f t="array" ref="D45">Common_InputFunctions.Utility_DisplayArrayInTable(SourceData_Poultry.SourceData_Poultry_ProductionSystems_Data(), Table_SourceData_Poultry_ProductionSystems[[#Headers],[Production system]], 0)</f>
        <v>Free range</v>
      </c>
      <c r="G45" s="10" t="str">
        <f>'Constants - Common'!$F$187</f>
        <v>Pasture</v>
      </c>
      <c r="J45" s="10" t="s">
        <v>147</v>
      </c>
      <c r="M45" s="8"/>
    </row>
    <row r="46" spans="1:13" ht="20.100000000000001" customHeight="1" x14ac:dyDescent="0.25">
      <c r="A46"/>
      <c r="D46" s="8" t="str" cm="1">
        <f t="array" ref="D46">Common_InputFunctions.Utility_DisplayArrayInTable(SourceData_Poultry.SourceData_Poultry_ProductionSystems_Data(), Table_SourceData_Poultry_ProductionSystems[[#Headers],[Production system]], 0)</f>
        <v>Barn</v>
      </c>
      <c r="G46" s="8" t="str">
        <f>'Constants - Common'!$F$188</f>
        <v>Crop</v>
      </c>
      <c r="J46" s="10" t="s">
        <v>151</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J47" s="8" t="s">
        <v>154</v>
      </c>
      <c r="M47" s="8"/>
    </row>
    <row r="48" spans="1:13" ht="20.100000000000001" customHeight="1" x14ac:dyDescent="0.25">
      <c r="A48"/>
      <c r="J48" s="8" t="s">
        <v>157</v>
      </c>
      <c r="M48" s="8"/>
    </row>
    <row r="49" spans="1:14" ht="20.100000000000001" customHeight="1" x14ac:dyDescent="0.25">
      <c r="A49"/>
      <c r="J49" s="8" t="s">
        <v>159</v>
      </c>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528</v>
      </c>
      <c r="E59" s="10" t="s">
        <v>593</v>
      </c>
      <c r="F59" s="10" t="s">
        <v>332</v>
      </c>
      <c r="G59" s="10" t="s">
        <v>311</v>
      </c>
      <c r="H59" s="10" t="s">
        <v>333</v>
      </c>
      <c r="I59" s="10" t="s">
        <v>430</v>
      </c>
      <c r="J59" s="10" t="s">
        <v>338</v>
      </c>
      <c r="K59" s="10" t="s">
        <v>388</v>
      </c>
      <c r="L59" s="10" t="s">
        <v>339</v>
      </c>
      <c r="M59" s="10" t="s">
        <v>385</v>
      </c>
      <c r="N59" s="10" t="s">
        <v>545</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520</v>
      </c>
      <c r="E75" s="10" t="s">
        <v>551</v>
      </c>
      <c r="F75" s="10" t="s">
        <v>545</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557</v>
      </c>
      <c r="E84" s="10" t="s">
        <v>558</v>
      </c>
      <c r="F84" s="10" t="s">
        <v>529</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557</v>
      </c>
      <c r="E97" s="10" t="s">
        <v>559</v>
      </c>
      <c r="F97" s="10" t="s">
        <v>529</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594</v>
      </c>
      <c r="E119" s="10" t="s">
        <v>560</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EF2C5-9D84-4582-9903-1C916B13E687}">
  <dimension ref="A1:W452"/>
  <sheetViews>
    <sheetView showGridLines="0" topLeftCell="A86"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541</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542</v>
      </c>
      <c r="G6" s="9" t="s">
        <v>142</v>
      </c>
      <c r="M6" s="8"/>
    </row>
    <row r="7" spans="1:21" ht="20.100000000000001" customHeight="1" x14ac:dyDescent="0.25">
      <c r="A7" s="19" t="s">
        <v>67</v>
      </c>
      <c r="M7" s="8"/>
    </row>
    <row r="8" spans="1:21" ht="20.100000000000001" customHeight="1" x14ac:dyDescent="0.25">
      <c r="A8" s="16" t="str">
        <f>HYPERLINK("#'Input - Site'!A1", "Site")</f>
        <v>Site</v>
      </c>
      <c r="D8" s="10" t="s">
        <v>144</v>
      </c>
      <c r="G8" s="10" t="s">
        <v>43</v>
      </c>
      <c r="M8" s="8"/>
    </row>
    <row r="9" spans="1:21" ht="20.100000000000001" customHeight="1" x14ac:dyDescent="0.25">
      <c r="A9" s="16" t="str">
        <f>HYPERLINK("#'Input - Fuel'!A1", "Fuel")</f>
        <v>Fuel</v>
      </c>
      <c r="D9" s="10" t="s">
        <v>146</v>
      </c>
      <c r="G9" s="10" t="s">
        <v>147</v>
      </c>
      <c r="M9" s="8"/>
    </row>
    <row r="10" spans="1:21" ht="20.100000000000001" customHeight="1" x14ac:dyDescent="0.25">
      <c r="A10" s="16" t="str">
        <f>HYPERLINK("#'Input - Fertiliser'!A1", "Fertiliser")</f>
        <v>Fertiliser</v>
      </c>
      <c r="D10" s="8" t="s">
        <v>149</v>
      </c>
      <c r="G10" s="10" t="s">
        <v>151</v>
      </c>
      <c r="M10" s="8"/>
    </row>
    <row r="11" spans="1:21" ht="20.100000000000001" customHeight="1" x14ac:dyDescent="0.25">
      <c r="A11" s="16" t="str">
        <f>HYPERLINK("#'Input - Farm Inputs'!A1", "Farm Inputs")</f>
        <v>Farm Inputs</v>
      </c>
      <c r="G11" s="8" t="s">
        <v>154</v>
      </c>
      <c r="M11" s="8"/>
    </row>
    <row r="12" spans="1:21" ht="20.100000000000001" customHeight="1" x14ac:dyDescent="0.25">
      <c r="A12" s="16" t="str">
        <f>HYPERLINK("#'Input - Livestock purchases'!A1", "Livestock purchases")</f>
        <v>Livestock purchases</v>
      </c>
      <c r="G12" s="8" t="s">
        <v>157</v>
      </c>
      <c r="M12" s="8"/>
    </row>
    <row r="13" spans="1:21" ht="20.100000000000001" customHeight="1" x14ac:dyDescent="0.25">
      <c r="A13" s="16" t="str">
        <f>HYPERLINK("#'Input - Freight'!A1", "Freight")</f>
        <v>Freight</v>
      </c>
      <c r="G13" s="8" t="s">
        <v>159</v>
      </c>
      <c r="M13" s="8"/>
    </row>
    <row r="14" spans="1:21" ht="20.100000000000001" customHeight="1" x14ac:dyDescent="0.25">
      <c r="A14" s="16" t="str">
        <f>HYPERLINK("#'Input - Solid waste'!A1", "Solid waste")</f>
        <v>Solid waste</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Manure sent off-site'!A1", "Manure sent off-site")</f>
        <v>Manure sent off-site</v>
      </c>
      <c r="D15" s="11" t="str" cm="1">
        <f t="array" ref="D15">SourceData_Swine.SourceData_Swine_FracLEACH_DrylotMMS_Source()</f>
        <v>VEERG 2026: 4.5.2.3 CONSTANT</v>
      </c>
      <c r="M15" s="8"/>
    </row>
    <row r="16" spans="1:21" ht="20.100000000000001" customHeight="1" x14ac:dyDescent="0.25">
      <c r="A16" s="16" t="str">
        <f>HYPERLINK("#'Input - Electricity'!A1", "Electricity")</f>
        <v>Electricity</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c r="M18" s="8"/>
    </row>
    <row r="19" spans="1:13" ht="20.100000000000001" customHeight="1" x14ac:dyDescent="0.25">
      <c r="A19" s="21" t="s">
        <v>77</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HYPERLINK("#'15 Scope 3'!A1", "15 Scope 3")</f>
        <v>15 Scope 3</v>
      </c>
      <c r="D20" s="11" t="str" cm="1">
        <f t="array" ref="D20">SourceData_Swine.SourceData_Swine_MethaneVolatileSolidsEmissionsPotential_Source()</f>
        <v>IPCC (2019), Chapter 10 [4]</v>
      </c>
      <c r="M20" s="8"/>
    </row>
    <row r="21" spans="1:13" ht="20.100000000000001" customHeight="1" x14ac:dyDescent="0.25">
      <c r="A21" s="16" t="str">
        <f>HYPERLINK("#'10.1.1-2 Solid waste treatment'!A1", "10.1.1-2 Solid waste treatment")</f>
        <v>10.1.1-2 Solid waste treatment</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D24" s="9" t="str" cm="1">
        <f t="array" ref="D24">SourceData_Swine.SourceData_Swine_MMS_MCFs_Title()</f>
        <v>Methane conversion factor for temperature zone and manure management system.</v>
      </c>
      <c r="H24" s="157" t="s">
        <v>543</v>
      </c>
      <c r="M24" s="8"/>
    </row>
    <row r="25" spans="1:13" ht="20.100000000000001" customHeight="1" x14ac:dyDescent="0.25">
      <c r="A25"/>
      <c r="D25" s="11" t="str" cm="1">
        <f t="array" ref="D25">SourceData_Swine.SourceData_Swine_MMS_MCFs_Source()</f>
        <v>VEERG 2026: Table A.1.6.4: Swine - MCFs (MCFim)</v>
      </c>
      <c r="H25" s="157" t="s">
        <v>544</v>
      </c>
      <c r="M25" s="8"/>
    </row>
    <row r="26" spans="1:13" ht="20.100000000000001"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229" t="s">
        <v>78</v>
      </c>
      <c r="M27" s="8"/>
    </row>
    <row r="28" spans="1:13" ht="20.100000000000001" customHeight="1" x14ac:dyDescent="0.25">
      <c r="A28" s="16" t="str">
        <f>HYPERLINK("#'Constants - Scope 3'!A1", "Constants - Scope 3")</f>
        <v>Constants - Scope 3</v>
      </c>
      <c r="D28" s="10" t="s">
        <v>520</v>
      </c>
      <c r="E28" s="10" t="s">
        <v>332</v>
      </c>
      <c r="F28" s="10" t="s">
        <v>311</v>
      </c>
      <c r="G28" s="10" t="s">
        <v>333</v>
      </c>
      <c r="H28" s="10" t="s">
        <v>430</v>
      </c>
      <c r="I28" s="10" t="s">
        <v>388</v>
      </c>
      <c r="J28" s="10" t="s">
        <v>385</v>
      </c>
      <c r="K28" s="10" t="s">
        <v>338</v>
      </c>
      <c r="L28" s="10" t="s">
        <v>339</v>
      </c>
      <c r="M28" s="10" t="s">
        <v>545</v>
      </c>
    </row>
    <row r="29" spans="1:13" ht="20.100000000000001" customHeight="1" x14ac:dyDescent="0.25">
      <c r="A29" s="16" t="str">
        <f>HYPERLINK("#'Constants - Solid Waste'!A1", "Constants - Solid Waste")</f>
        <v>Constants - Solid Waste</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16" t="str">
        <f>HYPERLINK("#'Constants - Fuel'!A1", "Constants - Fuel")</f>
        <v>Constants - Fuel</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HYPERLINK("#'Constants - Poultry'!A1", "Constants - Poultry")</f>
        <v>Constants - Poultry</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23" t="str">
        <f>HYPERLINK("#'Constants - Swine'!A1", "Constants - Swine")</f>
        <v>Constants - Swine</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HYPERLINK("#'Constants - Dairy'!A1", "Constants - Dairy")</f>
        <v>Constants - Dairy</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s="16" t="str">
        <f>HYPERLINK("#'Constants - Pasture Beef'!A1", "Constants - Pasture Beef")</f>
        <v>Constants - Pasture Beef</v>
      </c>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Fertiliser'!A1", "Constants - Fertiliser")</f>
        <v>Constants - Fertiliser</v>
      </c>
      <c r="M36" s="8"/>
    </row>
    <row r="37" spans="1:13" ht="20.100000000000001" customHeight="1" x14ac:dyDescent="0.25">
      <c r="A37" s="16" t="str">
        <f>HYPERLINK("#'Constants - Electricity'!A1", "Constants - Electricity")</f>
        <v>Constants - Electricity</v>
      </c>
      <c r="M37" s="8"/>
    </row>
    <row r="38" spans="1:13" ht="20.100000000000001" customHeight="1" x14ac:dyDescent="0.25">
      <c r="A38" s="16" t="str">
        <f>HYPERLINK("#'Constants - Common'!A1", "Constants - Common")</f>
        <v>Constants - Common</v>
      </c>
      <c r="D38" s="9" t="s">
        <v>546</v>
      </c>
      <c r="G38" s="9" t="s">
        <v>547</v>
      </c>
      <c r="K38" s="9" t="s">
        <v>548</v>
      </c>
      <c r="M38" s="8"/>
    </row>
    <row r="39" spans="1:13" ht="20.100000000000001" customHeight="1" x14ac:dyDescent="0.25">
      <c r="A39"/>
      <c r="M39" s="8"/>
    </row>
    <row r="40" spans="1:13" ht="20.100000000000001" customHeight="1" x14ac:dyDescent="0.25">
      <c r="A40"/>
      <c r="D40" s="159" t="s">
        <v>520</v>
      </c>
      <c r="E40" s="10" t="s">
        <v>325</v>
      </c>
      <c r="G40" s="159" t="s">
        <v>520</v>
      </c>
      <c r="H40" s="10" t="s">
        <v>325</v>
      </c>
      <c r="K40" s="159" t="s">
        <v>520</v>
      </c>
      <c r="L40" s="10" t="s">
        <v>325</v>
      </c>
      <c r="M40" s="8"/>
    </row>
    <row r="41" spans="1:13" ht="20.100000000000001" customHeight="1" x14ac:dyDescent="0.25">
      <c r="A41"/>
      <c r="D41" s="10" t="s">
        <v>50</v>
      </c>
      <c r="E41" s="10" t="s">
        <v>913</v>
      </c>
      <c r="G41" s="10" t="s">
        <v>50</v>
      </c>
      <c r="H41" s="10" t="s">
        <v>913</v>
      </c>
      <c r="K41" s="10" t="s">
        <v>50</v>
      </c>
      <c r="L41" s="10" t="s">
        <v>913</v>
      </c>
      <c r="M41" s="8"/>
    </row>
    <row r="42" spans="1:13" ht="20.100000000000001" customHeight="1" x14ac:dyDescent="0.25">
      <c r="A42"/>
      <c r="D42" s="10" t="s">
        <v>55</v>
      </c>
      <c r="E42" s="10" t="s">
        <v>581</v>
      </c>
      <c r="G42" s="10" t="s">
        <v>918</v>
      </c>
      <c r="H42" s="10" t="s">
        <v>919</v>
      </c>
      <c r="K42" s="10" t="s">
        <v>55</v>
      </c>
      <c r="L42" s="10" t="s">
        <v>581</v>
      </c>
      <c r="M42" s="8"/>
    </row>
    <row r="43" spans="1:13" ht="20.100000000000001" customHeight="1" x14ac:dyDescent="0.25">
      <c r="A43"/>
      <c r="D43" s="10" t="s">
        <v>918</v>
      </c>
      <c r="E43" s="10" t="s">
        <v>919</v>
      </c>
      <c r="G43" s="10" t="s">
        <v>51</v>
      </c>
      <c r="H43" s="10" t="s">
        <v>587</v>
      </c>
      <c r="K43" s="10" t="s">
        <v>918</v>
      </c>
      <c r="L43" s="10" t="s">
        <v>919</v>
      </c>
      <c r="M43" s="8"/>
    </row>
    <row r="44" spans="1:13" ht="20.100000000000001" customHeight="1" x14ac:dyDescent="0.25">
      <c r="A44"/>
      <c r="D44" s="10" t="s">
        <v>51</v>
      </c>
      <c r="E44" s="10" t="s">
        <v>587</v>
      </c>
      <c r="G44" s="10" t="s">
        <v>57</v>
      </c>
      <c r="H44" s="10" t="s">
        <v>920</v>
      </c>
      <c r="K44" s="10" t="s">
        <v>51</v>
      </c>
      <c r="L44" s="10" t="s">
        <v>587</v>
      </c>
      <c r="M44" s="8"/>
    </row>
    <row r="45" spans="1:13" ht="20.100000000000001" customHeight="1" x14ac:dyDescent="0.25">
      <c r="A45"/>
      <c r="D45" s="10" t="s">
        <v>57</v>
      </c>
      <c r="E45" s="10" t="s">
        <v>920</v>
      </c>
      <c r="G45" s="10" t="s">
        <v>56</v>
      </c>
      <c r="H45" s="10" t="s">
        <v>921</v>
      </c>
      <c r="K45" s="10" t="s">
        <v>57</v>
      </c>
      <c r="L45" s="10" t="s">
        <v>920</v>
      </c>
      <c r="M45" s="8"/>
    </row>
    <row r="46" spans="1:13" ht="20.100000000000001" customHeight="1" x14ac:dyDescent="0.25">
      <c r="A46"/>
      <c r="D46" s="10" t="s">
        <v>56</v>
      </c>
      <c r="E46" s="10" t="s">
        <v>921</v>
      </c>
      <c r="K46" s="10" t="s">
        <v>56</v>
      </c>
      <c r="L46" s="10" t="s">
        <v>921</v>
      </c>
      <c r="M46" s="8"/>
    </row>
    <row r="47" spans="1:13" ht="20.100000000000001" customHeight="1" x14ac:dyDescent="0.25">
      <c r="A47"/>
      <c r="D47" s="10" t="s">
        <v>61</v>
      </c>
      <c r="E47" s="10" t="s">
        <v>591</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549</v>
      </c>
      <c r="G51" s="9" t="s">
        <v>550</v>
      </c>
      <c r="M51" s="8"/>
    </row>
    <row r="52" spans="1:13" ht="20.100000000000001" customHeight="1" x14ac:dyDescent="0.25">
      <c r="A52"/>
      <c r="M52" s="8"/>
    </row>
    <row r="53" spans="1:13" ht="20.100000000000001" customHeight="1" x14ac:dyDescent="0.25">
      <c r="A53"/>
      <c r="D53" s="159" t="s">
        <v>520</v>
      </c>
      <c r="E53" s="10" t="s">
        <v>551</v>
      </c>
      <c r="G53" s="10" t="s">
        <v>144</v>
      </c>
      <c r="M53" s="8"/>
    </row>
    <row r="54" spans="1:13" ht="20.100000000000001" customHeight="1" x14ac:dyDescent="0.25">
      <c r="A54"/>
      <c r="D54" s="10" t="s">
        <v>50</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
        <v>55</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
        <v>918</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
        <v>51</v>
      </c>
      <c r="E57" s="10">
        <v>0.75</v>
      </c>
      <c r="M57" s="8"/>
    </row>
    <row r="58" spans="1:13" ht="20.100000000000001" customHeight="1" x14ac:dyDescent="0.25">
      <c r="A58"/>
      <c r="D58" s="10" t="s">
        <v>57</v>
      </c>
      <c r="E58" s="10">
        <v>0.05</v>
      </c>
      <c r="M58" s="8"/>
    </row>
    <row r="59" spans="1:13" ht="20.100000000000001" customHeight="1" x14ac:dyDescent="0.25">
      <c r="A59"/>
      <c r="D59" s="10" t="s">
        <v>56</v>
      </c>
      <c r="E59" s="10">
        <v>0</v>
      </c>
      <c r="M59" s="8"/>
    </row>
    <row r="60" spans="1:13" ht="20.100000000000001" customHeight="1" x14ac:dyDescent="0.25">
      <c r="A60"/>
      <c r="D60" s="10" t="s">
        <v>61</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318</v>
      </c>
      <c r="E67" s="10" t="s">
        <v>552</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318</v>
      </c>
      <c r="E78" s="10" t="s">
        <v>553</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318</v>
      </c>
      <c r="E89" s="10" t="s">
        <v>554</v>
      </c>
      <c r="F89" s="10" t="s">
        <v>555</v>
      </c>
      <c r="G89" s="10" t="s">
        <v>556</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557</v>
      </c>
      <c r="E99" s="10" t="s">
        <v>558</v>
      </c>
      <c r="F99" s="10" t="s">
        <v>529</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557</v>
      </c>
      <c r="E111" s="10" t="s">
        <v>559</v>
      </c>
      <c r="F111" s="10" t="s">
        <v>529</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3">
    <tablePart r:id="rId1"/>
    <tablePart r:id="rId2"/>
    <tablePart r:id="rId3"/>
    <tablePart r:id="rId4"/>
    <tablePart r:id="rId5"/>
    <tablePart r:id="rId6"/>
    <tablePart r:id="rId7"/>
    <tablePart r:id="rId8"/>
    <tablePart r:id="rId9"/>
    <tablePart r:id="rId10"/>
    <tablePart r:id="rId11"/>
    <tablePart r:id="rId12"/>
    <tablePart r:id="rId1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146CA-6450-44CC-B21B-75C75F9356C2}">
  <dimension ref="A1:V288"/>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517</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518</v>
      </c>
      <c r="G5" s="9" t="s">
        <v>519</v>
      </c>
      <c r="J5" s="9" t="s">
        <v>142</v>
      </c>
      <c r="M5" s="8"/>
    </row>
    <row r="6" spans="1:21" ht="20.100000000000001" customHeight="1" x14ac:dyDescent="0.25">
      <c r="A6"/>
      <c r="M6" s="8"/>
    </row>
    <row r="7" spans="1:21" ht="20.100000000000001" customHeight="1" x14ac:dyDescent="0.25">
      <c r="A7" s="19" t="s">
        <v>67</v>
      </c>
      <c r="D7" s="159" t="s">
        <v>520</v>
      </c>
      <c r="E7" s="10" t="s">
        <v>325</v>
      </c>
      <c r="G7" s="10" t="s">
        <v>144</v>
      </c>
      <c r="J7" s="10" t="s">
        <v>43</v>
      </c>
      <c r="M7" s="8"/>
    </row>
    <row r="8" spans="1:21" ht="20.100000000000001" customHeight="1" x14ac:dyDescent="0.25">
      <c r="A8" s="16" t="str">
        <f>HYPERLINK("#'Input - Site'!A1", "Site")</f>
        <v>Site</v>
      </c>
      <c r="D8" s="10" t="s">
        <v>50</v>
      </c>
      <c r="E8" s="10" t="s">
        <v>913</v>
      </c>
      <c r="G8" s="10" t="str">
        <f>'Constants - Common'!$F$187</f>
        <v>Pasture</v>
      </c>
      <c r="J8" s="10" t="s">
        <v>147</v>
      </c>
      <c r="M8" s="8"/>
    </row>
    <row r="9" spans="1:21" ht="20.100000000000001" customHeight="1" x14ac:dyDescent="0.25">
      <c r="A9" s="16" t="str">
        <f>HYPERLINK("#'Input - Fuel'!A1", "Fuel")</f>
        <v>Fuel</v>
      </c>
      <c r="D9" s="10" t="s">
        <v>914</v>
      </c>
      <c r="E9" s="10" t="s">
        <v>915</v>
      </c>
      <c r="G9" s="8" t="str">
        <f>'Constants - Common'!$F$188</f>
        <v>Crop</v>
      </c>
      <c r="J9" s="10" t="s">
        <v>151</v>
      </c>
      <c r="M9" s="8"/>
    </row>
    <row r="10" spans="1:21" ht="20.100000000000001" customHeight="1" x14ac:dyDescent="0.25">
      <c r="A10" s="16" t="str">
        <f>HYPERLINK("#'Input - Fertiliser'!A1", "Fertiliser")</f>
        <v>Fertiliser</v>
      </c>
      <c r="D10" s="10" t="s">
        <v>916</v>
      </c>
      <c r="E10" s="10" t="s">
        <v>917</v>
      </c>
      <c r="J10" s="8" t="s">
        <v>154</v>
      </c>
      <c r="M10" s="8"/>
    </row>
    <row r="11" spans="1:21" ht="20.100000000000001" customHeight="1" x14ac:dyDescent="0.25">
      <c r="A11" s="16" t="str">
        <f>HYPERLINK("#'Input - Farm Inputs'!A1", "Farm Inputs")</f>
        <v>Farm Inputs</v>
      </c>
      <c r="D11" s="10" t="s">
        <v>55</v>
      </c>
      <c r="E11" s="10" t="s">
        <v>581</v>
      </c>
      <c r="J11" s="8" t="s">
        <v>157</v>
      </c>
      <c r="M11" s="8"/>
    </row>
    <row r="12" spans="1:21" ht="20.100000000000001" customHeight="1" x14ac:dyDescent="0.25">
      <c r="A12" s="16" t="str">
        <f>HYPERLINK("#'Input - Livestock purchases'!A1", "Livestock purchases")</f>
        <v>Livestock purchases</v>
      </c>
      <c r="J12" s="8" t="s">
        <v>159</v>
      </c>
      <c r="M12" s="8"/>
    </row>
    <row r="13" spans="1:21" ht="20.100000000000001" customHeight="1" x14ac:dyDescent="0.25">
      <c r="A13" s="16" t="str">
        <f>HYPERLINK("#'Input - Freight'!A1", "Freight")</f>
        <v>Freight</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D16" s="9" t="str" cm="1">
        <f t="array" ref="D16">SourceData_Dairy.SourceData_Dairy_LiveweightCowsAndHeifers_Title()</f>
        <v>Table A.1.3.1: Dairy cattle - Liveweight (kg) - Cows and Heifers (Wj)</v>
      </c>
      <c r="M16" s="8"/>
    </row>
    <row r="17" spans="1:13" ht="20.100000000000001" customHeight="1" x14ac:dyDescent="0.25">
      <c r="A17"/>
      <c r="D17" s="11" t="str" cm="1">
        <f t="array" ref="D17">SourceData_Dairy.SourceData_Dairy_LiveweightCowsAndHeifers_Source()</f>
        <v>VEERG 2026: Table A.1.3.1</v>
      </c>
      <c r="M17" s="8"/>
    </row>
    <row r="18" spans="1:13" ht="20.100000000000001" customHeight="1" x14ac:dyDescent="0.25">
      <c r="A18"/>
      <c r="D18" s="8" t="str" cm="1">
        <f t="array" ref="D18">SourceData_Dairy.SourceData_Dairy_LiveweightCowsAndHeifers_Variable()</f>
        <v>Wj</v>
      </c>
      <c r="M18" s="8"/>
    </row>
    <row r="19" spans="1:13" ht="20.100000000000001" customHeight="1" x14ac:dyDescent="0.25">
      <c r="A19" s="21" t="s">
        <v>77</v>
      </c>
      <c r="D19" s="13" t="str" cm="1">
        <f t="array" ref="D19">SourceData_Dairy.SourceData_Dairy_LiveweightCowsAndHeifers_Unit()</f>
        <v>kg</v>
      </c>
      <c r="M19" s="8"/>
    </row>
    <row r="20" spans="1:13" ht="20.100000000000001" customHeight="1" x14ac:dyDescent="0.25">
      <c r="A20" s="16" t="str">
        <f>HYPERLINK("#'15 Scope 3'!A1", "15 Scope 3")</f>
        <v>15 Scope 3</v>
      </c>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16" t="str">
        <f>HYPERLINK("#'10.1.1-2 Solid waste treatment'!A1", "10.1.1-2 Solid waste treatment")</f>
        <v>10.1.1-2 Solid waste treatment</v>
      </c>
      <c r="D21" s="10" t="s">
        <v>499</v>
      </c>
      <c r="E21" s="10" t="s">
        <v>512</v>
      </c>
      <c r="F21" s="10" t="s">
        <v>521</v>
      </c>
      <c r="G21" s="10" t="s">
        <v>513</v>
      </c>
      <c r="M21" s="8"/>
    </row>
    <row r="22" spans="1:13" ht="20.100000000000001" customHeight="1" x14ac:dyDescent="0.25">
      <c r="A22" s="16" t="str">
        <f>HYPERLINK("#'Calcs - Manure sent off-site'!A1", "Calcs - Manure sent off-site")</f>
        <v>Calcs - Manure sent off-site</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HYPERLINK("#'8.1.1.1-2 Transport fuel'!A1", "8.1.1.1-2 Transport fuel")</f>
        <v>8.1.1.1-2 Transport fuel</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HYPERLINK("#'8.2.1.1-2 Stationary fuel'!A1", "8.2.1.1-2 Stationary fuel")</f>
        <v>8.2.1.1-2 Stationary fuel</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229" t="s">
        <v>78</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s="16" t="str">
        <f>HYPERLINK("#'Constants - Scope 3'!A1", "Constants - Scope 3")</f>
        <v>Constants - Scope 3</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s="16" t="str">
        <f>HYPERLINK("#'Constants - Solid Waste'!A1", "Constants - Solid Waste")</f>
        <v>Constants - Solid Waste</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16" t="str">
        <f>HYPERLINK("#'Constants - Fuel'!A1", "Constants - Fuel")</f>
        <v>Constants - Fuel</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HYPERLINK("#'Constants - Poultry'!A1", "Constants - Poultry")</f>
        <v>Constants - Poultry</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HYPERLINK("#'Constants - Swine'!A1", "Constants - Swine")</f>
        <v>Constants - Swine</v>
      </c>
      <c r="M32" s="8"/>
    </row>
    <row r="33" spans="1:13" ht="20.100000000000001" customHeight="1" x14ac:dyDescent="0.25">
      <c r="A33" s="23" t="str">
        <f>HYPERLINK("#'Constants - Dairy'!A1", "Constants - Dairy")</f>
        <v>Constants - Dairy</v>
      </c>
      <c r="M33" s="8"/>
    </row>
    <row r="34" spans="1:13" ht="20.100000000000001" customHeight="1" x14ac:dyDescent="0.25">
      <c r="A34" s="16" t="str">
        <f>HYPERLINK("#'Constants - Pasture Beef'!A1", "Constants - Pasture Beef")</f>
        <v>Constants - Pasture Beef</v>
      </c>
      <c r="D34" s="9" t="str" cm="1">
        <f t="array" ref="D34">SourceData_Dairy.SourceData_Dairy_LiveweightBulls_Title()</f>
        <v>Table A.1.3.2: Dairy cattle - Liveweight (kg) - Bulls (Wj)</v>
      </c>
      <c r="M34" s="8"/>
    </row>
    <row r="35" spans="1:13" ht="20.100000000000001" customHeight="1" x14ac:dyDescent="0.25">
      <c r="A35" s="16" t="str">
        <f>HYPERLINK("#'Constants - Common Livestock'!A1", "Constants - Common Livestock")</f>
        <v>Constants - Common Livestock</v>
      </c>
      <c r="D35" s="11" t="str" cm="1">
        <f t="array" ref="D35">SourceData_Dairy.SourceData_Dairy_LiveweightBulls_Source()</f>
        <v>VEERG 2026: Table A.1.3.2</v>
      </c>
      <c r="M35" s="8"/>
    </row>
    <row r="36" spans="1:13" ht="20.100000000000001" customHeight="1" x14ac:dyDescent="0.25">
      <c r="A36" s="16" t="str">
        <f>HYPERLINK("#'Constants - Fertiliser'!A1", "Constants - Fertiliser")</f>
        <v>Constants - Fertiliser</v>
      </c>
      <c r="D36" s="8" t="str" cm="1">
        <f t="array" ref="D36">SourceData_Dairy.SourceData_Dairy_LiveweightBulls_Variable()</f>
        <v>Wj</v>
      </c>
      <c r="M36" s="8"/>
    </row>
    <row r="37" spans="1:13" ht="20.100000000000001" customHeight="1" x14ac:dyDescent="0.25">
      <c r="A37" s="16" t="str">
        <f>HYPERLINK("#'Constants - Electricity'!A1", "Constants - Electricity")</f>
        <v>Constants - Electricity</v>
      </c>
      <c r="D37" s="13" t="str" cm="1">
        <f t="array" ref="D37">SourceData_Dairy.SourceData_Dairy_LiveweightBulls_Unit()</f>
        <v>kg</v>
      </c>
      <c r="M37" s="8"/>
    </row>
    <row r="38" spans="1:13" ht="20.100000000000001" customHeight="1" x14ac:dyDescent="0.25">
      <c r="A38" s="16" t="str">
        <f>HYPERLINK("#'Constants - Common'!A1", "Constants - Common")</f>
        <v>Constants - Common</v>
      </c>
      <c r="D38" s="10" t="s">
        <v>499</v>
      </c>
      <c r="E38" s="10" t="s">
        <v>522</v>
      </c>
      <c r="F38" s="10" t="s">
        <v>523</v>
      </c>
      <c r="M38" s="8"/>
    </row>
    <row r="39" spans="1:13" ht="20.100000000000001" customHeight="1" x14ac:dyDescent="0.25">
      <c r="A39"/>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tr" cm="1">
        <f t="array" ref="D42">SourceData_Dairy.SourceData_Dairy_LiveweightGain_Title()</f>
        <v>Table A.1.3.3: Dairy cattle - Liveweight gain (kg) (LWGj)</v>
      </c>
      <c r="M42" s="8"/>
    </row>
    <row r="43" spans="1:13" ht="20.100000000000001" customHeight="1" x14ac:dyDescent="0.25">
      <c r="A43"/>
      <c r="D43" s="11" t="str" cm="1">
        <f t="array" ref="D43">SourceData_Dairy.SourceData_Dairy_LiveweightGain_Source()</f>
        <v>VEERG 2026: Table A.1.3.3</v>
      </c>
      <c r="M43" s="8"/>
    </row>
    <row r="44" spans="1:13" ht="20.100000000000001" customHeight="1" x14ac:dyDescent="0.25">
      <c r="A44"/>
      <c r="D44" s="8" t="str" cm="1">
        <f t="array" ref="D44">SourceData_Dairy.SourceData_Dairy_LiveweightGain_Variable()</f>
        <v>LWGj</v>
      </c>
      <c r="M44" s="8"/>
    </row>
    <row r="45" spans="1:13" ht="20.100000000000001" customHeight="1" x14ac:dyDescent="0.25">
      <c r="A45"/>
      <c r="D45" s="13" t="str" cm="1">
        <f t="array" ref="D45">SourceData_Dairy.SourceData_Dairy_LiveweightGain_Unit()</f>
        <v>kg</v>
      </c>
      <c r="M45" s="8"/>
    </row>
    <row r="46" spans="1:13" ht="20.100000000000001" customHeight="1" x14ac:dyDescent="0.25">
      <c r="A46"/>
      <c r="D46" s="10" t="s">
        <v>512</v>
      </c>
      <c r="E46" s="10" t="s">
        <v>521</v>
      </c>
      <c r="F46" s="10" t="s">
        <v>513</v>
      </c>
      <c r="G46" s="10" t="s">
        <v>522</v>
      </c>
      <c r="H46" s="10" t="s">
        <v>523</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60" t="s">
        <v>512</v>
      </c>
      <c r="E54" s="160" t="s">
        <v>521</v>
      </c>
      <c r="F54" s="160" t="s">
        <v>513</v>
      </c>
      <c r="G54" s="160" t="s">
        <v>522</v>
      </c>
      <c r="H54" s="160" t="s">
        <v>523</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524</v>
      </c>
      <c r="E62" s="10" t="s">
        <v>525</v>
      </c>
      <c r="F62" s="10" t="s">
        <v>526</v>
      </c>
      <c r="G62" s="10" t="s">
        <v>527</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528</v>
      </c>
      <c r="E72" s="10" t="s">
        <v>311</v>
      </c>
      <c r="F72" s="10" t="s">
        <v>332</v>
      </c>
      <c r="G72" s="10" t="s">
        <v>430</v>
      </c>
      <c r="H72" s="10" t="s">
        <v>333</v>
      </c>
      <c r="I72" s="10" t="s">
        <v>388</v>
      </c>
      <c r="J72" s="10" t="s">
        <v>385</v>
      </c>
      <c r="K72" s="10" t="s">
        <v>338</v>
      </c>
      <c r="L72" s="10" t="s">
        <v>339</v>
      </c>
      <c r="M72" s="10" t="s">
        <v>529</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528</v>
      </c>
      <c r="E86" s="10" t="s">
        <v>530</v>
      </c>
      <c r="F86" s="10" t="s">
        <v>531</v>
      </c>
      <c r="G86" s="10" t="s">
        <v>529</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524</v>
      </c>
      <c r="E98" s="10" t="s">
        <v>532</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524</v>
      </c>
      <c r="E107" s="10" t="s">
        <v>533</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534</v>
      </c>
      <c r="E116" s="10" t="s">
        <v>146</v>
      </c>
      <c r="F116" s="10" t="s">
        <v>535</v>
      </c>
      <c r="G116" s="10" t="s">
        <v>536</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528</v>
      </c>
      <c r="E128" s="10" t="s">
        <v>530</v>
      </c>
      <c r="F128" s="10" t="s">
        <v>529</v>
      </c>
      <c r="G128" s="157" t="s">
        <v>537</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524</v>
      </c>
      <c r="E141" s="10" t="s">
        <v>538</v>
      </c>
      <c r="F141" s="10" t="s">
        <v>539</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SourceData_Dairy.SourceData_Dairy_FractionOfNitrogenLostThroughLeachingAndRunoffSolidStorage_Title()</f>
        <v>Fraction of nitrogen lost through leaching and runoff for solid storage MMS only</v>
      </c>
      <c r="M211" s="14"/>
    </row>
    <row r="212" spans="1:13" x14ac:dyDescent="0.25">
      <c r="D212" s="11" t="str" cm="1">
        <f t="array" ref="D212">SourceData_Dairy.SourceData_Dairy_FractionOfNitrogenLostThroughLeachingAndRunoffSolidStorage_Source()</f>
        <v>VEERG 2026: 4.3.2.3 CONSTANTS</v>
      </c>
      <c r="M212" s="14"/>
    </row>
    <row r="213" spans="1:13" x14ac:dyDescent="0.25">
      <c r="D213" s="8" t="str" cm="1">
        <f t="array" ref="D213">SourceData_Dairy.SourceData_Dairy_FractionOfNitrogenLostThroughLeachingAndRunoffSolidStorage_Variable()</f>
        <v>Frac_LEACH_MS</v>
      </c>
      <c r="M213" s="14"/>
    </row>
    <row r="214" spans="1:13" x14ac:dyDescent="0.25">
      <c r="D214" s="13" t="str" cm="1">
        <f t="array" ref="D214">SourceData_Dairy.SourceData_Dairy_FractionOfNitrogenLostThroughLeachingAndRunoffSolidStorage_Unit()</f>
        <v>Fraction</v>
      </c>
      <c r="M214" s="14"/>
    </row>
    <row r="215" spans="1:13" x14ac:dyDescent="0.25">
      <c r="A215" s="53" t="str">
        <f>HYPERLINK("#A1", "▲ Back to top")</f>
        <v>▲ Back to top</v>
      </c>
      <c r="D215" s="27" cm="1">
        <f t="array" ref="D215">SourceData_Dairy.SourceData_Dairy_FractionOfNitrogenLostThroughLeachingAndRunoffSolidStorage_Data()</f>
        <v>0.02</v>
      </c>
      <c r="M215" s="14"/>
    </row>
    <row r="216" spans="1:13" x14ac:dyDescent="0.25">
      <c r="M216" s="14"/>
    </row>
    <row r="217" spans="1:13" ht="23.25" x14ac:dyDescent="0.25">
      <c r="D217" s="9" t="str" cm="1">
        <f t="array" ref="D217">SourceData_Dairy.SourceData_Dairy_FracGASMSoil_Title()</f>
        <v>Fraction of nitrogen volatilized from urine and faeces deposited on pasture</v>
      </c>
      <c r="M217" s="14"/>
    </row>
    <row r="218" spans="1:13" x14ac:dyDescent="0.25">
      <c r="D218" s="11" t="str" cm="1">
        <f t="array" ref="D218">SourceData_Dairy.SourceData_Dairy_FracGASMSoil_Source()</f>
        <v>VEERG 2026: 4.3.2.3 CONSTANTS</v>
      </c>
      <c r="M218" s="14"/>
    </row>
    <row r="219" spans="1:13" x14ac:dyDescent="0.25">
      <c r="D219" s="8" t="str" cm="1">
        <f t="array" ref="D219">SourceData_Dairy.SourceData_Dairy_FracGASMSoil_Variable()</f>
        <v>FracGASMsoil</v>
      </c>
      <c r="M219" s="14"/>
    </row>
    <row r="220" spans="1:13" x14ac:dyDescent="0.25">
      <c r="D220" s="13" t="str" cm="1">
        <f t="array" ref="D220">SourceData_Dairy.SourceData_Dairy_FracGASMSoil_Unit()</f>
        <v>(kg NH3-N + NOx-N)/kg N</v>
      </c>
      <c r="M220" s="14"/>
    </row>
    <row r="221" spans="1:13" x14ac:dyDescent="0.25">
      <c r="D221" s="27" cm="1">
        <f t="array" ref="D221">SourceData_Dairy.SourceData_Dairy_FracGASMSoil_Data()</f>
        <v>0.21</v>
      </c>
      <c r="M221" s="14"/>
    </row>
    <row r="222" spans="1:13" x14ac:dyDescent="0.25">
      <c r="M222" s="14"/>
    </row>
    <row r="223" spans="1:13" ht="23.25" x14ac:dyDescent="0.25">
      <c r="D223" s="9" t="str" cm="1">
        <f t="array" ref="D223">SourceData_Dairy.SourceData_Dairy_FatContentInMilk_Title()</f>
        <v>Fat content in fat and protein corrected milk</v>
      </c>
      <c r="M223" s="14"/>
    </row>
    <row r="224" spans="1:13" x14ac:dyDescent="0.25">
      <c r="D224" s="11" t="str" cm="1">
        <f t="array" ref="D224">SourceData_Dairy.SourceData_Dairy_FatContentInMilk_Source()</f>
        <v>VEERG 2026: 3.3.2.2 DATA (METHOD 1 AND 2 OPTIONS)</v>
      </c>
      <c r="M224" s="14"/>
    </row>
    <row r="225" spans="4:13" x14ac:dyDescent="0.25">
      <c r="D225" s="8" t="str" cm="1">
        <f t="array" ref="D225">SourceData_Dairy.SourceData_Dairy_FatContentInMilk_Variable()</f>
        <v>FC_j</v>
      </c>
      <c r="M225" s="14"/>
    </row>
    <row r="226" spans="4:13" x14ac:dyDescent="0.25">
      <c r="D226" s="13" t="str" cm="1">
        <f t="array" ref="D226">SourceData_Dairy.SourceData_Dairy_FatContentInMilk_Unit()</f>
        <v>percent</v>
      </c>
      <c r="M226" s="14"/>
    </row>
    <row r="227" spans="4:13" x14ac:dyDescent="0.25">
      <c r="D227" s="27" cm="1">
        <f t="array" ref="D227">SourceData_Dairy.SourceData_Dairy_FatContentInMilk_Data()</f>
        <v>4</v>
      </c>
      <c r="M227" s="14"/>
    </row>
    <row r="228" spans="4:13" x14ac:dyDescent="0.25">
      <c r="M228" s="14"/>
    </row>
    <row r="229" spans="4:13" ht="23.25" x14ac:dyDescent="0.25">
      <c r="D229" s="9" t="str" cm="1">
        <f t="array" ref="D229">SourceData_Dairy.SourceData_Dairy_ProteinContentInMilk_Title()</f>
        <v>Protein content in fat and protein corrected milk</v>
      </c>
      <c r="M229" s="14"/>
    </row>
    <row r="230" spans="4:13" x14ac:dyDescent="0.25">
      <c r="D230" s="11" t="str" cm="1">
        <f t="array" ref="D230">SourceData_Dairy.SourceData_Dairy_ProteinContentInMilk_Source()</f>
        <v>VEERG 2026: 3.3.2.2 DATA (METHOD 1 AND 2 OPTIONS)</v>
      </c>
      <c r="M230" s="14"/>
    </row>
    <row r="231" spans="4:13" x14ac:dyDescent="0.25">
      <c r="D231" s="8" t="str" cm="1">
        <f t="array" ref="D231">SourceData_Dairy.SourceData_Dairy_ProteinContentInMilk_Variable()</f>
        <v>PC_j</v>
      </c>
      <c r="M231" s="14"/>
    </row>
    <row r="232" spans="4:13" x14ac:dyDescent="0.25">
      <c r="D232" s="13" t="str" cm="1">
        <f t="array" ref="D232">SourceData_Dairy.SourceData_Dairy_ProteinContentInMilk_Unit()</f>
        <v>percent</v>
      </c>
      <c r="M232" s="14"/>
    </row>
    <row r="233" spans="4:13" x14ac:dyDescent="0.25">
      <c r="D233" s="27" cm="1">
        <f t="array" ref="D233">SourceData_Dairy.SourceData_Dairy_ProteinContentInMilk_Data()</f>
        <v>3.3</v>
      </c>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95F83-BE04-437B-957D-C1D97200E09E}">
  <dimension ref="A1:V483"/>
  <sheetViews>
    <sheetView showGridLines="0" topLeftCell="A436"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441</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442</v>
      </c>
      <c r="G5" s="9" t="s">
        <v>142</v>
      </c>
      <c r="M5" s="8" t="s">
        <v>443</v>
      </c>
      <c r="O5" s="8" t="s">
        <v>444</v>
      </c>
      <c r="Q5" s="8" t="s">
        <v>445</v>
      </c>
      <c r="S5" s="8" t="s">
        <v>446</v>
      </c>
    </row>
    <row r="6" spans="1:21" ht="20.100000000000001" customHeight="1" x14ac:dyDescent="0.25">
      <c r="A6"/>
      <c r="M6" s="8"/>
    </row>
    <row r="7" spans="1:21" ht="20.100000000000001" customHeight="1" x14ac:dyDescent="0.25">
      <c r="A7" s="19" t="s">
        <v>67</v>
      </c>
      <c r="D7" s="10" t="s">
        <v>144</v>
      </c>
      <c r="G7" s="10" t="s">
        <v>43</v>
      </c>
      <c r="M7" s="3" t="s">
        <v>381</v>
      </c>
      <c r="O7" s="10" t="s">
        <v>381</v>
      </c>
      <c r="Q7" s="10" t="s">
        <v>381</v>
      </c>
      <c r="S7" s="10" t="s">
        <v>381</v>
      </c>
    </row>
    <row r="8" spans="1:21" ht="20.100000000000001" customHeight="1" x14ac:dyDescent="0.25">
      <c r="A8" s="16" t="str">
        <f>HYPERLINK("#'Input - Site'!A1", "Site")</f>
        <v>Site</v>
      </c>
      <c r="D8" s="10" t="str">
        <f>'Constants - Common'!$F$187</f>
        <v>Pasture</v>
      </c>
      <c r="G8" s="10" t="s">
        <v>147</v>
      </c>
      <c r="M8" s="10" t="s">
        <v>447</v>
      </c>
      <c r="O8" s="10" t="s">
        <v>448</v>
      </c>
      <c r="Q8" s="10" t="s">
        <v>449</v>
      </c>
      <c r="S8" s="10" t="s">
        <v>429</v>
      </c>
    </row>
    <row r="9" spans="1:21" ht="20.100000000000001" customHeight="1" x14ac:dyDescent="0.25">
      <c r="A9" s="16" t="str">
        <f>HYPERLINK("#'Input - Fuel'!A1", "Fuel")</f>
        <v>Fuel</v>
      </c>
      <c r="D9" s="8" t="str">
        <f>'Constants - Common'!$F$188</f>
        <v>Crop</v>
      </c>
      <c r="G9" s="10" t="s">
        <v>151</v>
      </c>
      <c r="M9" s="10" t="s">
        <v>450</v>
      </c>
      <c r="O9" s="10" t="s">
        <v>451</v>
      </c>
      <c r="Q9" s="10" t="s">
        <v>452</v>
      </c>
    </row>
    <row r="10" spans="1:21" ht="20.100000000000001" customHeight="1" x14ac:dyDescent="0.25">
      <c r="A10" s="16" t="str">
        <f>HYPERLINK("#'Input - Fertiliser'!A1", "Fertiliser")</f>
        <v>Fertiliser</v>
      </c>
      <c r="G10" s="8" t="s">
        <v>154</v>
      </c>
      <c r="M10" s="10" t="s">
        <v>453</v>
      </c>
      <c r="O10" s="10" t="s">
        <v>454</v>
      </c>
      <c r="Q10" s="10" t="s">
        <v>455</v>
      </c>
      <c r="S10" s="8" t="s">
        <v>456</v>
      </c>
    </row>
    <row r="11" spans="1:21" ht="20.100000000000001" customHeight="1" x14ac:dyDescent="0.25">
      <c r="A11" s="16" t="str">
        <f>HYPERLINK("#'Input - Farm Inputs'!A1", "Farm Inputs")</f>
        <v>Farm Inputs</v>
      </c>
      <c r="G11" s="8" t="s">
        <v>157</v>
      </c>
      <c r="M11" s="8"/>
      <c r="Q11" s="10" t="s">
        <v>457</v>
      </c>
    </row>
    <row r="12" spans="1:21" ht="20.100000000000001" customHeight="1" x14ac:dyDescent="0.25">
      <c r="A12" s="16" t="str">
        <f>HYPERLINK("#'Input - Livestock purchases'!A1", "Livestock purchases")</f>
        <v>Livestock purchases</v>
      </c>
      <c r="G12" s="8" t="s">
        <v>159</v>
      </c>
      <c r="M12" s="8"/>
      <c r="S12" s="10" t="s">
        <v>381</v>
      </c>
    </row>
    <row r="13" spans="1:21" ht="20.100000000000001" customHeight="1" x14ac:dyDescent="0.25">
      <c r="A13" s="16" t="str">
        <f>HYPERLINK("#'Input - Freight'!A1", "Freight")</f>
        <v>Freight</v>
      </c>
      <c r="M13" s="8"/>
      <c r="S13" s="10" t="s">
        <v>429</v>
      </c>
    </row>
    <row r="14" spans="1:21" ht="20.100000000000001" customHeight="1" x14ac:dyDescent="0.25">
      <c r="A14" s="16" t="str">
        <f>HYPERLINK("#'Input - Solid waste'!A1", "Solid waste")</f>
        <v>Solid waste</v>
      </c>
      <c r="D14" s="9" t="str" cm="1">
        <f t="array" ref="D14">SourceData_PastureBeef.SourceData_PastureBeef_Liveweight_Title()</f>
        <v>Beef pasture cattle - Liveweight (kg) (Wjkl)</v>
      </c>
      <c r="M14" s="8"/>
    </row>
    <row r="15" spans="1:21" ht="20.100000000000001" customHeight="1" x14ac:dyDescent="0.25">
      <c r="A15" s="16" t="str">
        <f>HYPERLINK("#'Input - Manure sent off-site'!A1", "Manure sent off-site")</f>
        <v>Manure sent off-site</v>
      </c>
      <c r="D15" s="11" t="str" cm="1">
        <f t="array" ref="D15">SourceData_PastureBeef.SourceData_PastureBeef_Liveweight_Source()</f>
        <v>VEERG 2026: Table A.1.2.1</v>
      </c>
      <c r="M15" s="8"/>
      <c r="S15" s="8" t="s">
        <v>458</v>
      </c>
    </row>
    <row r="16" spans="1:21" ht="20.100000000000001" customHeight="1" x14ac:dyDescent="0.25">
      <c r="A16" s="16" t="str">
        <f>HYPERLINK("#'Input - Electricity'!A1", "Electricity")</f>
        <v>Electricity</v>
      </c>
      <c r="D16" s="8" t="str" cm="1">
        <f t="array" ref="D16">SourceData_PastureBeef.SourceData_PastureBeef_Liveweight_Variable()</f>
        <v>Wjkl</v>
      </c>
      <c r="M16" s="8"/>
    </row>
    <row r="17" spans="1:19" ht="20.100000000000001" customHeight="1" x14ac:dyDescent="0.25">
      <c r="A17"/>
      <c r="D17" s="13" t="str" cm="1">
        <f t="array" ref="D17">SourceData_PastureBeef.SourceData_PastureBeef_Liveweight_Unit()</f>
        <v>kg</v>
      </c>
      <c r="M17" s="8"/>
      <c r="O17" s="8" t="s">
        <v>510</v>
      </c>
      <c r="S17" s="10" t="s">
        <v>381</v>
      </c>
    </row>
    <row r="18" spans="1:19" ht="20.100000000000001" customHeight="1" x14ac:dyDescent="0.25">
      <c r="A18"/>
      <c r="D18" s="10" t="s">
        <v>276</v>
      </c>
      <c r="E18" s="10" t="s">
        <v>381</v>
      </c>
      <c r="F18" s="10" t="s">
        <v>47</v>
      </c>
      <c r="G18" s="10" t="s">
        <v>459</v>
      </c>
      <c r="H18" s="10" t="s">
        <v>460</v>
      </c>
      <c r="I18" s="10" t="s">
        <v>461</v>
      </c>
      <c r="J18" s="10" t="s">
        <v>462</v>
      </c>
      <c r="K18" s="10" t="s">
        <v>463</v>
      </c>
      <c r="L18" s="10" t="s">
        <v>464</v>
      </c>
      <c r="M18" s="10" t="s">
        <v>465</v>
      </c>
      <c r="O18" s="10" t="s">
        <v>283</v>
      </c>
      <c r="S18" s="10" t="s">
        <v>429</v>
      </c>
    </row>
    <row r="19" spans="1:19" ht="20.100000000000001" customHeight="1" x14ac:dyDescent="0.25">
      <c r="A19" s="21" t="s">
        <v>77</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3" t="s">
        <v>479</v>
      </c>
    </row>
    <row r="20" spans="1:19" ht="20.100000000000001" customHeight="1" x14ac:dyDescent="0.25">
      <c r="A20" s="16" t="str">
        <f>HYPERLINK("#'15 Scope 3'!A1", "15 Scope 3")</f>
        <v>15 Scope 3</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3" t="s">
        <v>480</v>
      </c>
      <c r="S20" s="8" t="s">
        <v>466</v>
      </c>
    </row>
    <row r="21" spans="1:19" ht="20.100000000000001" customHeight="1" x14ac:dyDescent="0.25">
      <c r="A21" s="16" t="str">
        <f>HYPERLINK("#'10.1.1-2 Solid waste treatment'!A1", "10.1.1-2 Solid waste treatment")</f>
        <v>10.1.1-2 Solid waste treatment</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3" t="s">
        <v>481</v>
      </c>
    </row>
    <row r="22" spans="1:19" ht="20.100000000000001" customHeight="1" x14ac:dyDescent="0.25">
      <c r="A22" s="16" t="str">
        <f>HYPERLINK("#'Calcs - Manure sent off-site'!A1", "Calcs - Manure sent off-site")</f>
        <v>Calcs - Manure sent off-site</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3" t="s">
        <v>482</v>
      </c>
      <c r="S22" s="10" t="s">
        <v>381</v>
      </c>
    </row>
    <row r="23" spans="1:19" ht="20.100000000000001" customHeight="1" x14ac:dyDescent="0.25">
      <c r="A23" s="16" t="str">
        <f>HYPERLINK("#'8.1.1.1-2 Transport fuel'!A1", "8.1.1.1-2 Transport fuel")</f>
        <v>8.1.1.1-2 Transport fuel</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3" t="s">
        <v>483</v>
      </c>
      <c r="S23" s="10" t="s">
        <v>429</v>
      </c>
    </row>
    <row r="24" spans="1:19" ht="20.100000000000001" customHeight="1" x14ac:dyDescent="0.25">
      <c r="A24" s="16" t="str">
        <f>HYPERLINK("#'8.2.1.1-2 Stationary fuel'!A1", "8.2.1.1-2 Stationary fuel")</f>
        <v>8.2.1.1-2 Stationary fuel</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3" t="s">
        <v>484</v>
      </c>
    </row>
    <row r="25" spans="1:19" ht="20.100000000000001" customHeight="1" x14ac:dyDescent="0.25">
      <c r="A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3" t="s">
        <v>485</v>
      </c>
      <c r="S25" s="8" t="s">
        <v>467</v>
      </c>
    </row>
    <row r="26" spans="1:19" ht="20.100000000000001"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3" t="s">
        <v>486</v>
      </c>
    </row>
    <row r="27" spans="1:19" ht="20.100000000000001" customHeight="1" x14ac:dyDescent="0.25">
      <c r="A27" s="229" t="s">
        <v>78</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3" t="s">
        <v>487</v>
      </c>
      <c r="S27" s="10" t="s">
        <v>381</v>
      </c>
    </row>
    <row r="28" spans="1:19" ht="20.100000000000001" customHeight="1" x14ac:dyDescent="0.25">
      <c r="A28" s="16" t="str">
        <f>HYPERLINK("#'Constants - Scope 3'!A1", "Constants - Scope 3")</f>
        <v>Constants - Scope 3</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3" t="s">
        <v>488</v>
      </c>
      <c r="S28" s="10" t="s">
        <v>429</v>
      </c>
    </row>
    <row r="29" spans="1:19" ht="20.100000000000001" customHeight="1" x14ac:dyDescent="0.25">
      <c r="A29" s="16" t="str">
        <f>HYPERLINK("#'Constants - Solid Waste'!A1", "Constants - Solid Waste")</f>
        <v>Constants - Solid Waste</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16" t="str">
        <f>HYPERLINK("#'Constants - Fuel'!A1", "Constants - Fuel")</f>
        <v>Constants - Fuel</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HYPERLINK("#'Constants - Poultry'!A1", "Constants - Poultry")</f>
        <v>Constants - Poultry</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c r="O31" s="8" t="s">
        <v>428</v>
      </c>
    </row>
    <row r="32" spans="1:19" ht="20.100000000000001" customHeight="1" x14ac:dyDescent="0.25">
      <c r="A32" s="16" t="str">
        <f>HYPERLINK("#'Constants - Swine'!A1", "Constants - Swine")</f>
        <v>Constants - Swine</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c r="O32" s="10" t="s">
        <v>381</v>
      </c>
      <c r="P32" s="10" t="s">
        <v>511</v>
      </c>
    </row>
    <row r="33" spans="1:16" ht="20.100000000000001" customHeight="1" x14ac:dyDescent="0.25">
      <c r="A33" s="16" t="str">
        <f>HYPERLINK("#'Constants - Dairy'!A1", "Constants - Dairy")</f>
        <v>Constants - Dairy</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c r="O33" s="10" t="s">
        <v>311</v>
      </c>
      <c r="P33" s="10" t="s">
        <v>332</v>
      </c>
    </row>
    <row r="34" spans="1:16" ht="20.100000000000001" customHeight="1" x14ac:dyDescent="0.25">
      <c r="A34" s="23" t="str">
        <f>HYPERLINK("#'Constants - Pasture Beef'!A1", "Constants - Pasture Beef")</f>
        <v>Constants - Pasture Beef</v>
      </c>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c r="O34" s="10" t="s">
        <v>332</v>
      </c>
      <c r="P34" s="10" t="s">
        <v>332</v>
      </c>
    </row>
    <row r="35" spans="1:16" ht="20.100000000000001" customHeight="1" x14ac:dyDescent="0.25">
      <c r="A35" s="16" t="str">
        <f>HYPERLINK("#'Constants - Common Livestock'!A1", "Constants - Common Livestock")</f>
        <v>Constants - Common Livestock</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c r="O35" s="10" t="s">
        <v>388</v>
      </c>
      <c r="P35" s="10" t="s">
        <v>388</v>
      </c>
    </row>
    <row r="36" spans="1:16" ht="20.100000000000001" customHeight="1" x14ac:dyDescent="0.25">
      <c r="A36" s="16" t="str">
        <f>HYPERLINK("#'Constants - Fertiliser'!A1", "Constants - Fertiliser")</f>
        <v>Constants - Fertiliser</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c r="O36" s="10" t="s">
        <v>385</v>
      </c>
      <c r="P36" s="10" t="s">
        <v>385</v>
      </c>
    </row>
    <row r="37" spans="1:16" ht="20.100000000000001" customHeight="1" x14ac:dyDescent="0.25">
      <c r="A37" s="16" t="str">
        <f>HYPERLINK("#'Constants - Electricity'!A1", "Constants - Electricity")</f>
        <v>Constants - Electricity</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c r="O37" s="10" t="s">
        <v>338</v>
      </c>
      <c r="P37" s="10" t="s">
        <v>338</v>
      </c>
    </row>
    <row r="38" spans="1:16" ht="20.100000000000001" customHeight="1" x14ac:dyDescent="0.25">
      <c r="A38" s="16" t="str">
        <f>HYPERLINK("#'Constants - Common'!A1", "Constants - Common")</f>
        <v>Constants - Common</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c r="O38" s="10" t="s">
        <v>432</v>
      </c>
      <c r="P38" s="10" t="s">
        <v>339</v>
      </c>
    </row>
    <row r="39" spans="1:16" ht="20.100000000000001" customHeight="1" x14ac:dyDescent="0.25">
      <c r="A39"/>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c r="O39" s="10" t="s">
        <v>431</v>
      </c>
      <c r="P39" s="10" t="s">
        <v>339</v>
      </c>
    </row>
    <row r="40" spans="1:16" ht="20.100000000000001" customHeight="1" x14ac:dyDescent="0.25">
      <c r="A40"/>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c r="O40" s="10" t="s">
        <v>433</v>
      </c>
      <c r="P40" s="10" t="s">
        <v>339</v>
      </c>
    </row>
    <row r="41" spans="1:16" ht="20.100000000000001" customHeight="1" x14ac:dyDescent="0.25">
      <c r="A41"/>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c r="O41" s="10" t="s">
        <v>434</v>
      </c>
      <c r="P41" s="10" t="s">
        <v>430</v>
      </c>
    </row>
    <row r="42" spans="1:16" ht="20.100000000000001" customHeight="1" x14ac:dyDescent="0.25">
      <c r="A42"/>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c r="O42" s="10" t="s">
        <v>435</v>
      </c>
      <c r="P42" s="10" t="s">
        <v>430</v>
      </c>
    </row>
    <row r="43" spans="1:16" ht="20.100000000000001" customHeight="1" x14ac:dyDescent="0.25">
      <c r="A43"/>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c r="O43" s="10" t="s">
        <v>436</v>
      </c>
      <c r="P43" s="10" t="s">
        <v>430</v>
      </c>
    </row>
    <row r="44" spans="1:16" ht="20.100000000000001" customHeight="1" x14ac:dyDescent="0.25">
      <c r="A44"/>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c r="O44" s="10" t="s">
        <v>437</v>
      </c>
      <c r="P44" s="10" t="s">
        <v>333</v>
      </c>
    </row>
    <row r="45" spans="1:16" ht="20.100000000000001" customHeight="1" x14ac:dyDescent="0.25">
      <c r="A4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c r="O45" s="10" t="s">
        <v>438</v>
      </c>
      <c r="P45" s="10" t="s">
        <v>333</v>
      </c>
    </row>
    <row r="46" spans="1:16" ht="20.100000000000001" customHeight="1" x14ac:dyDescent="0.25">
      <c r="A46"/>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c r="O46" s="10" t="s">
        <v>439</v>
      </c>
      <c r="P46" s="10" t="s">
        <v>333</v>
      </c>
    </row>
    <row r="47" spans="1:16" ht="20.100000000000001" customHeight="1" x14ac:dyDescent="0.25">
      <c r="A47"/>
      <c r="M47" s="8"/>
      <c r="O47" s="10" t="s">
        <v>440</v>
      </c>
      <c r="P47" s="10" t="s">
        <v>333</v>
      </c>
    </row>
    <row r="48" spans="1:16" ht="20.100000000000001" customHeight="1" x14ac:dyDescent="0.25">
      <c r="A48"/>
      <c r="M48" s="8"/>
      <c r="O48" s="8" t="s">
        <v>331</v>
      </c>
      <c r="P48" s="8" t="s">
        <v>331</v>
      </c>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276</v>
      </c>
      <c r="E53" s="10" t="s">
        <v>381</v>
      </c>
      <c r="F53" s="10" t="s">
        <v>47</v>
      </c>
      <c r="G53" s="10" t="s">
        <v>468</v>
      </c>
      <c r="H53" s="10" t="s">
        <v>469</v>
      </c>
      <c r="I53" s="10" t="s">
        <v>470</v>
      </c>
      <c r="J53" s="10" t="s">
        <v>471</v>
      </c>
      <c r="K53" s="10" t="s">
        <v>472</v>
      </c>
      <c r="L53" s="10" t="s">
        <v>473</v>
      </c>
      <c r="M53" s="10" t="s">
        <v>474</v>
      </c>
      <c r="N53" s="10" t="s">
        <v>475</v>
      </c>
      <c r="O53" s="10" t="s">
        <v>476</v>
      </c>
      <c r="P53" s="10" t="s">
        <v>477</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478</v>
      </c>
      <c r="M84" s="8"/>
    </row>
    <row r="85" spans="1:22" ht="20.100000000000001" customHeight="1" x14ac:dyDescent="0.25">
      <c r="A85"/>
      <c r="D85" s="10" t="s">
        <v>276</v>
      </c>
      <c r="E85" s="10" t="s">
        <v>381</v>
      </c>
      <c r="F85" s="10" t="s">
        <v>47</v>
      </c>
      <c r="G85" s="156" t="s">
        <v>479</v>
      </c>
      <c r="H85" s="156" t="s">
        <v>480</v>
      </c>
      <c r="I85" s="156" t="s">
        <v>481</v>
      </c>
      <c r="J85" s="156" t="s">
        <v>482</v>
      </c>
      <c r="K85" s="156" t="s">
        <v>483</v>
      </c>
      <c r="L85" s="156" t="s">
        <v>484</v>
      </c>
      <c r="M85" s="156" t="s">
        <v>485</v>
      </c>
      <c r="N85" s="156" t="s">
        <v>486</v>
      </c>
      <c r="O85" s="156" t="s">
        <v>487</v>
      </c>
      <c r="P85" s="156" t="s">
        <v>488</v>
      </c>
      <c r="V85" s="8"/>
    </row>
    <row r="86" spans="1:22" ht="20.100000000000001" customHeight="1" x14ac:dyDescent="0.25">
      <c r="A86"/>
      <c r="D86" s="10" t="s">
        <v>311</v>
      </c>
      <c r="E86" s="10" t="s">
        <v>429</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311</v>
      </c>
      <c r="E87" s="10" t="s">
        <v>429</v>
      </c>
      <c r="F87" s="10" t="s">
        <v>489</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311</v>
      </c>
      <c r="E88" s="10" t="s">
        <v>429</v>
      </c>
      <c r="F88" s="10" t="s">
        <v>490</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311</v>
      </c>
      <c r="E89" s="10" t="s">
        <v>429</v>
      </c>
      <c r="F89" s="10" t="s">
        <v>491</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332</v>
      </c>
      <c r="E90" s="10" t="s">
        <v>429</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332</v>
      </c>
      <c r="E91" s="10" t="s">
        <v>429</v>
      </c>
      <c r="F91" s="10" t="s">
        <v>489</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332</v>
      </c>
      <c r="E92" s="10" t="s">
        <v>429</v>
      </c>
      <c r="F92" s="10" t="s">
        <v>490</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332</v>
      </c>
      <c r="E93" s="10" t="s">
        <v>429</v>
      </c>
      <c r="F93" s="10" t="s">
        <v>491</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388</v>
      </c>
      <c r="E94" s="10" t="s">
        <v>429</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388</v>
      </c>
      <c r="E95" s="10" t="s">
        <v>429</v>
      </c>
      <c r="F95" s="10" t="s">
        <v>489</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388</v>
      </c>
      <c r="E96" s="10" t="s">
        <v>429</v>
      </c>
      <c r="F96" s="10" t="s">
        <v>490</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388</v>
      </c>
      <c r="E97" s="10" t="s">
        <v>429</v>
      </c>
      <c r="F97" s="10" t="s">
        <v>491</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385</v>
      </c>
      <c r="E98" s="10" t="s">
        <v>429</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385</v>
      </c>
      <c r="E99" s="10" t="s">
        <v>429</v>
      </c>
      <c r="F99" s="10" t="s">
        <v>489</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385</v>
      </c>
      <c r="E100" s="10" t="s">
        <v>429</v>
      </c>
      <c r="F100" s="10" t="s">
        <v>490</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385</v>
      </c>
      <c r="E101" s="10" t="s">
        <v>429</v>
      </c>
      <c r="F101" s="10" t="s">
        <v>491</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338</v>
      </c>
      <c r="E102" s="10" t="s">
        <v>429</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338</v>
      </c>
      <c r="E103" s="10" t="s">
        <v>429</v>
      </c>
      <c r="F103" s="10" t="s">
        <v>489</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338</v>
      </c>
      <c r="E104" s="10" t="s">
        <v>429</v>
      </c>
      <c r="F104" s="10" t="s">
        <v>490</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338</v>
      </c>
      <c r="E105" s="10" t="s">
        <v>429</v>
      </c>
      <c r="F105" s="10" t="s">
        <v>491</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339</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339</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339</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339</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339</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339</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339</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339</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339</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339</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339</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339</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430</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430</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430</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430</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430</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430</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430</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430</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430</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430</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430</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430</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333</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333</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333</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333</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333</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333</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333</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333</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333</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333</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333</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333</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333</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333</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333</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333</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331</v>
      </c>
      <c r="E146" s="8" t="s">
        <v>429</v>
      </c>
      <c r="F146" s="8" t="str">
        <f>F142</f>
        <v>Spring</v>
      </c>
      <c r="G146" s="8">
        <f t="shared" ref="G146:P149"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331</v>
      </c>
      <c r="E147" s="8" t="s">
        <v>429</v>
      </c>
      <c r="F147" s="8" t="str">
        <f>F143</f>
        <v>Summer</v>
      </c>
      <c r="G147" s="8">
        <f t="shared" si="30"/>
        <v>193</v>
      </c>
      <c r="H147" s="8">
        <f t="shared" si="30"/>
        <v>660.33333333333337</v>
      </c>
      <c r="I147" s="8">
        <f t="shared" si="30"/>
        <v>156.33333333333334</v>
      </c>
      <c r="J147" s="8">
        <f t="shared" si="30"/>
        <v>309.73333333333335</v>
      </c>
      <c r="K147" s="8">
        <f t="shared" si="30"/>
        <v>417.4</v>
      </c>
      <c r="L147" s="8">
        <f t="shared" si="30"/>
        <v>458.53333333333336</v>
      </c>
      <c r="M147" s="8">
        <f t="shared" si="30"/>
        <v>162</v>
      </c>
      <c r="N147" s="8">
        <f t="shared" si="30"/>
        <v>353.46666666666664</v>
      </c>
      <c r="O147" s="8">
        <f t="shared" si="30"/>
        <v>428.42857142857144</v>
      </c>
      <c r="P147" s="8">
        <f t="shared" si="30"/>
        <v>472.61538461538464</v>
      </c>
    </row>
    <row r="148" spans="1:16" ht="20.100000000000001" customHeight="1" x14ac:dyDescent="0.25">
      <c r="A148"/>
      <c r="D148" s="8" t="s">
        <v>331</v>
      </c>
      <c r="E148" s="8" t="s">
        <v>429</v>
      </c>
      <c r="F148" s="8" t="str">
        <f>F144</f>
        <v>Autumn</v>
      </c>
      <c r="G148" s="8">
        <f t="shared" si="30"/>
        <v>170.66666666666666</v>
      </c>
      <c r="H148" s="8">
        <f t="shared" si="30"/>
        <v>654.26666666666665</v>
      </c>
      <c r="I148" s="8">
        <f t="shared" si="30"/>
        <v>161.53333333333333</v>
      </c>
      <c r="J148" s="8">
        <f t="shared" si="30"/>
        <v>307.93333333333334</v>
      </c>
      <c r="K148" s="8">
        <f t="shared" si="30"/>
        <v>419.66666666666669</v>
      </c>
      <c r="L148" s="8">
        <f t="shared" si="30"/>
        <v>454.06666666666666</v>
      </c>
      <c r="M148" s="8">
        <f t="shared" si="30"/>
        <v>169.86666666666667</v>
      </c>
      <c r="N148" s="8">
        <f t="shared" si="30"/>
        <v>363.13333333333333</v>
      </c>
      <c r="O148" s="8">
        <f t="shared" si="30"/>
        <v>430.14285714285717</v>
      </c>
      <c r="P148" s="8">
        <f t="shared" si="30"/>
        <v>479.69230769230768</v>
      </c>
    </row>
    <row r="149" spans="1:16" ht="20.100000000000001" customHeight="1" x14ac:dyDescent="0.25">
      <c r="A149"/>
      <c r="D149" s="8" t="s">
        <v>331</v>
      </c>
      <c r="E149" s="8" t="s">
        <v>429</v>
      </c>
      <c r="F149" s="8" t="str">
        <f>F145</f>
        <v>Winter</v>
      </c>
      <c r="G149" s="8">
        <f t="shared" si="30"/>
        <v>214.53333333333333</v>
      </c>
      <c r="H149" s="8">
        <f t="shared" si="30"/>
        <v>650.5333333333333</v>
      </c>
      <c r="I149" s="8">
        <f t="shared" si="30"/>
        <v>196.53333333333333</v>
      </c>
      <c r="J149" s="8">
        <f t="shared" si="30"/>
        <v>333.6</v>
      </c>
      <c r="K149" s="8">
        <f t="shared" si="30"/>
        <v>427.4</v>
      </c>
      <c r="L149" s="8">
        <f t="shared" si="30"/>
        <v>453.33333333333331</v>
      </c>
      <c r="M149" s="8">
        <f t="shared" si="30"/>
        <v>207.26666666666668</v>
      </c>
      <c r="N149" s="8">
        <f t="shared" si="30"/>
        <v>381.93333333333334</v>
      </c>
      <c r="O149" s="8">
        <f t="shared" si="30"/>
        <v>438.28571428571428</v>
      </c>
      <c r="P149" s="8">
        <f t="shared" si="30"/>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276</v>
      </c>
      <c r="E154" s="10" t="s">
        <v>381</v>
      </c>
      <c r="F154" s="10" t="s">
        <v>47</v>
      </c>
      <c r="G154" s="10" t="s">
        <v>468</v>
      </c>
      <c r="H154" s="10" t="s">
        <v>469</v>
      </c>
      <c r="I154" s="10" t="s">
        <v>492</v>
      </c>
      <c r="J154" s="10" t="s">
        <v>462</v>
      </c>
      <c r="K154" s="10" t="s">
        <v>493</v>
      </c>
      <c r="L154" s="10" t="s">
        <v>474</v>
      </c>
      <c r="M154" s="10" t="s">
        <v>494</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276</v>
      </c>
      <c r="E189" s="10" t="s">
        <v>381</v>
      </c>
      <c r="F189" s="10" t="s">
        <v>47</v>
      </c>
      <c r="G189" s="10" t="s">
        <v>468</v>
      </c>
      <c r="H189" s="10" t="s">
        <v>469</v>
      </c>
      <c r="I189" s="10" t="s">
        <v>492</v>
      </c>
      <c r="J189" s="10" t="s">
        <v>462</v>
      </c>
      <c r="K189" s="10" t="s">
        <v>495</v>
      </c>
      <c r="L189" s="10" t="s">
        <v>496</v>
      </c>
      <c r="M189" s="10" t="s">
        <v>474</v>
      </c>
      <c r="N189" s="10" t="s">
        <v>475</v>
      </c>
      <c r="O189" s="10" t="s">
        <v>476</v>
      </c>
      <c r="P189" s="10" t="s">
        <v>477</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478</v>
      </c>
      <c r="M220" s="8"/>
    </row>
    <row r="221" spans="4:16" x14ac:dyDescent="0.25">
      <c r="M221" s="8"/>
    </row>
    <row r="222" spans="4:16" x14ac:dyDescent="0.25">
      <c r="D222" s="10" t="s">
        <v>276</v>
      </c>
      <c r="E222" s="10" t="s">
        <v>381</v>
      </c>
      <c r="F222" s="10" t="s">
        <v>47</v>
      </c>
      <c r="G222" s="156" t="s">
        <v>479</v>
      </c>
      <c r="H222" s="156" t="s">
        <v>480</v>
      </c>
      <c r="I222" s="156" t="s">
        <v>481</v>
      </c>
      <c r="J222" s="156" t="s">
        <v>482</v>
      </c>
      <c r="K222" s="156" t="s">
        <v>483</v>
      </c>
      <c r="L222" s="156" t="s">
        <v>484</v>
      </c>
      <c r="M222" s="156" t="s">
        <v>485</v>
      </c>
      <c r="N222" s="156" t="s">
        <v>486</v>
      </c>
      <c r="O222" s="156" t="s">
        <v>487</v>
      </c>
      <c r="P222" s="156" t="s">
        <v>488</v>
      </c>
    </row>
    <row r="223" spans="4:16" x14ac:dyDescent="0.25">
      <c r="D223" s="10" t="s">
        <v>311</v>
      </c>
      <c r="E223" s="10" t="s">
        <v>429</v>
      </c>
      <c r="F223" s="10" t="str">
        <f>F155</f>
        <v>Spring</v>
      </c>
      <c r="G223" s="10">
        <f>G155</f>
        <v>0.5</v>
      </c>
      <c r="H223" s="10">
        <f t="shared" ref="H223:J223" si="31">H155</f>
        <v>0.2</v>
      </c>
      <c r="I223" s="10">
        <f t="shared" si="31"/>
        <v>0.5</v>
      </c>
      <c r="J223" s="10">
        <f t="shared" si="31"/>
        <v>0.4</v>
      </c>
      <c r="K223" s="10">
        <f>K155</f>
        <v>0.3</v>
      </c>
      <c r="L223" s="10">
        <f>K155</f>
        <v>0.3</v>
      </c>
      <c r="M223" s="10">
        <f>L155</f>
        <v>0.5</v>
      </c>
      <c r="N223" s="10">
        <f>M155</f>
        <v>0.4</v>
      </c>
      <c r="O223" s="10">
        <f>M155</f>
        <v>0.4</v>
      </c>
      <c r="P223" s="10">
        <f>M155</f>
        <v>0.4</v>
      </c>
    </row>
    <row r="224" spans="4:16" x14ac:dyDescent="0.25">
      <c r="D224" s="10" t="s">
        <v>311</v>
      </c>
      <c r="E224" s="10" t="s">
        <v>429</v>
      </c>
      <c r="F224" s="10" t="str">
        <f t="shared" ref="F224:K226" si="32">F156</f>
        <v>Summer</v>
      </c>
      <c r="G224" s="10">
        <f t="shared" si="32"/>
        <v>1</v>
      </c>
      <c r="H224" s="10">
        <f t="shared" si="32"/>
        <v>0.4</v>
      </c>
      <c r="I224" s="10">
        <f t="shared" si="32"/>
        <v>0.9</v>
      </c>
      <c r="J224" s="10">
        <f t="shared" si="32"/>
        <v>0.7</v>
      </c>
      <c r="K224" s="10">
        <f t="shared" si="32"/>
        <v>0.3</v>
      </c>
      <c r="L224" s="10">
        <f t="shared" ref="L224:N226" si="33">K156</f>
        <v>0.3</v>
      </c>
      <c r="M224" s="10">
        <f t="shared" si="33"/>
        <v>0.9</v>
      </c>
      <c r="N224" s="10">
        <f t="shared" si="33"/>
        <v>0.4</v>
      </c>
      <c r="O224" s="10">
        <f t="shared" ref="O224:O226" si="34">M156</f>
        <v>0.4</v>
      </c>
      <c r="P224" s="10">
        <f t="shared" ref="P224:P226" si="35">M156</f>
        <v>0.4</v>
      </c>
    </row>
    <row r="225" spans="4:16" x14ac:dyDescent="0.25">
      <c r="D225" s="10" t="s">
        <v>311</v>
      </c>
      <c r="E225" s="10" t="s">
        <v>429</v>
      </c>
      <c r="F225" s="10" t="str">
        <f t="shared" si="32"/>
        <v>Autumn</v>
      </c>
      <c r="G225" s="10">
        <f t="shared" si="32"/>
        <v>0.8</v>
      </c>
      <c r="H225" s="10">
        <f t="shared" si="32"/>
        <v>0.3</v>
      </c>
      <c r="I225" s="10">
        <f t="shared" si="32"/>
        <v>0.7</v>
      </c>
      <c r="J225" s="10">
        <f t="shared" si="32"/>
        <v>0.3</v>
      </c>
      <c r="K225" s="10">
        <f t="shared" si="32"/>
        <v>0.2</v>
      </c>
      <c r="L225" s="10">
        <f t="shared" si="33"/>
        <v>0.2</v>
      </c>
      <c r="M225" s="10">
        <f t="shared" si="33"/>
        <v>0.7</v>
      </c>
      <c r="N225" s="10">
        <f t="shared" si="33"/>
        <v>0.3</v>
      </c>
      <c r="O225" s="10">
        <f t="shared" si="34"/>
        <v>0.3</v>
      </c>
      <c r="P225" s="10">
        <f t="shared" si="35"/>
        <v>0.3</v>
      </c>
    </row>
    <row r="226" spans="4:16" x14ac:dyDescent="0.25">
      <c r="D226" s="10" t="s">
        <v>311</v>
      </c>
      <c r="E226" s="10" t="s">
        <v>429</v>
      </c>
      <c r="F226" s="10" t="str">
        <f t="shared" si="32"/>
        <v>Winter</v>
      </c>
      <c r="G226" s="10">
        <f t="shared" si="32"/>
        <v>0.4</v>
      </c>
      <c r="H226" s="10">
        <f t="shared" si="32"/>
        <v>0.1</v>
      </c>
      <c r="I226" s="10">
        <f t="shared" si="32"/>
        <v>0.4</v>
      </c>
      <c r="J226" s="10">
        <f t="shared" si="32"/>
        <v>0.2</v>
      </c>
      <c r="K226" s="10">
        <f t="shared" si="32"/>
        <v>0.1</v>
      </c>
      <c r="L226" s="10">
        <f t="shared" si="33"/>
        <v>0.1</v>
      </c>
      <c r="M226" s="10">
        <f t="shared" si="33"/>
        <v>0.4</v>
      </c>
      <c r="N226" s="10">
        <f t="shared" si="33"/>
        <v>0.1</v>
      </c>
      <c r="O226" s="10">
        <f t="shared" si="34"/>
        <v>0.1</v>
      </c>
      <c r="P226" s="10">
        <f t="shared" si="35"/>
        <v>0.1</v>
      </c>
    </row>
    <row r="227" spans="4:16" x14ac:dyDescent="0.25">
      <c r="D227" s="10" t="s">
        <v>332</v>
      </c>
      <c r="E227" s="10" t="s">
        <v>429</v>
      </c>
      <c r="F227" s="10" t="str">
        <f>F155</f>
        <v>Spring</v>
      </c>
      <c r="G227" s="10">
        <f>G155</f>
        <v>0.5</v>
      </c>
      <c r="H227" s="10">
        <f t="shared" ref="H227:J227" si="36">H155</f>
        <v>0.2</v>
      </c>
      <c r="I227" s="10">
        <f t="shared" si="36"/>
        <v>0.5</v>
      </c>
      <c r="J227" s="10">
        <f t="shared" si="36"/>
        <v>0.4</v>
      </c>
      <c r="K227" s="10">
        <f>K155</f>
        <v>0.3</v>
      </c>
      <c r="L227" s="10">
        <f>K155</f>
        <v>0.3</v>
      </c>
      <c r="M227" s="10">
        <f t="shared" ref="M227" si="37">L155</f>
        <v>0.5</v>
      </c>
      <c r="N227" s="10">
        <f>M155</f>
        <v>0.4</v>
      </c>
      <c r="O227" s="10">
        <f>M155</f>
        <v>0.4</v>
      </c>
      <c r="P227" s="10">
        <f>M155</f>
        <v>0.4</v>
      </c>
    </row>
    <row r="228" spans="4:16" x14ac:dyDescent="0.25">
      <c r="D228" s="10" t="s">
        <v>332</v>
      </c>
      <c r="E228" s="10" t="s">
        <v>429</v>
      </c>
      <c r="F228" s="10" t="str">
        <f t="shared" ref="F228:K231" si="38">F156</f>
        <v>Summer</v>
      </c>
      <c r="G228" s="10">
        <f t="shared" si="38"/>
        <v>1</v>
      </c>
      <c r="H228" s="10">
        <f t="shared" si="38"/>
        <v>0.4</v>
      </c>
      <c r="I228" s="10">
        <f t="shared" si="38"/>
        <v>0.9</v>
      </c>
      <c r="J228" s="10">
        <f t="shared" si="38"/>
        <v>0.7</v>
      </c>
      <c r="K228" s="10">
        <f t="shared" si="38"/>
        <v>0.3</v>
      </c>
      <c r="L228" s="10">
        <f t="shared" ref="L228:N231" si="39">K156</f>
        <v>0.3</v>
      </c>
      <c r="M228" s="10">
        <f t="shared" si="39"/>
        <v>0.9</v>
      </c>
      <c r="N228" s="10">
        <f t="shared" si="39"/>
        <v>0.4</v>
      </c>
      <c r="O228" s="10">
        <f t="shared" ref="O228:O230" si="40">M156</f>
        <v>0.4</v>
      </c>
      <c r="P228" s="10">
        <f t="shared" ref="P228:P230" si="41">M156</f>
        <v>0.4</v>
      </c>
    </row>
    <row r="229" spans="4:16" x14ac:dyDescent="0.25">
      <c r="D229" s="10" t="s">
        <v>332</v>
      </c>
      <c r="E229" s="10" t="s">
        <v>429</v>
      </c>
      <c r="F229" s="10" t="str">
        <f t="shared" si="38"/>
        <v>Autumn</v>
      </c>
      <c r="G229" s="10">
        <f t="shared" si="38"/>
        <v>0.8</v>
      </c>
      <c r="H229" s="10">
        <f t="shared" si="38"/>
        <v>0.3</v>
      </c>
      <c r="I229" s="10">
        <f t="shared" si="38"/>
        <v>0.7</v>
      </c>
      <c r="J229" s="10">
        <f t="shared" si="38"/>
        <v>0.3</v>
      </c>
      <c r="K229" s="10">
        <f t="shared" si="38"/>
        <v>0.2</v>
      </c>
      <c r="L229" s="10">
        <f t="shared" si="39"/>
        <v>0.2</v>
      </c>
      <c r="M229" s="10">
        <f t="shared" si="39"/>
        <v>0.7</v>
      </c>
      <c r="N229" s="10">
        <f t="shared" si="39"/>
        <v>0.3</v>
      </c>
      <c r="O229" s="10">
        <f t="shared" si="40"/>
        <v>0.3</v>
      </c>
      <c r="P229" s="10">
        <f t="shared" si="41"/>
        <v>0.3</v>
      </c>
    </row>
    <row r="230" spans="4:16" x14ac:dyDescent="0.25">
      <c r="D230" s="10" t="s">
        <v>332</v>
      </c>
      <c r="E230" s="10" t="s">
        <v>429</v>
      </c>
      <c r="F230" s="10" t="str">
        <f t="shared" si="38"/>
        <v>Winter</v>
      </c>
      <c r="G230" s="10">
        <f t="shared" si="38"/>
        <v>0.4</v>
      </c>
      <c r="H230" s="10">
        <f t="shared" si="38"/>
        <v>0.1</v>
      </c>
      <c r="I230" s="10">
        <f t="shared" si="38"/>
        <v>0.4</v>
      </c>
      <c r="J230" s="10">
        <f t="shared" si="38"/>
        <v>0.2</v>
      </c>
      <c r="K230" s="10">
        <f t="shared" si="38"/>
        <v>0.1</v>
      </c>
      <c r="L230" s="10">
        <f t="shared" si="39"/>
        <v>0.1</v>
      </c>
      <c r="M230" s="10">
        <f t="shared" si="39"/>
        <v>0.4</v>
      </c>
      <c r="N230" s="10">
        <f t="shared" si="39"/>
        <v>0.1</v>
      </c>
      <c r="O230" s="10">
        <f t="shared" si="40"/>
        <v>0.1</v>
      </c>
      <c r="P230" s="10">
        <f t="shared" si="41"/>
        <v>0.1</v>
      </c>
    </row>
    <row r="231" spans="4:16" x14ac:dyDescent="0.25">
      <c r="D231" s="10" t="s">
        <v>388</v>
      </c>
      <c r="E231" s="10" t="s">
        <v>429</v>
      </c>
      <c r="F231" s="10" t="str">
        <f>F159</f>
        <v>Spring</v>
      </c>
      <c r="G231" s="10">
        <f>G159</f>
        <v>0.99</v>
      </c>
      <c r="H231" s="10">
        <f t="shared" si="38"/>
        <v>1.1000000000000001</v>
      </c>
      <c r="I231" s="10">
        <f t="shared" si="38"/>
        <v>0.88</v>
      </c>
      <c r="J231" s="10">
        <f t="shared" si="38"/>
        <v>0.55000000000000004</v>
      </c>
      <c r="K231" s="10">
        <f>K159</f>
        <v>0.55000000000000004</v>
      </c>
      <c r="L231" s="10">
        <f>K159</f>
        <v>0.55000000000000004</v>
      </c>
      <c r="M231" s="10">
        <f t="shared" si="39"/>
        <v>0.88</v>
      </c>
      <c r="N231" s="10">
        <f>M159</f>
        <v>0.22</v>
      </c>
      <c r="O231" s="10">
        <f>M159</f>
        <v>0.22</v>
      </c>
      <c r="P231" s="10">
        <f>M159</f>
        <v>0.22</v>
      </c>
    </row>
    <row r="232" spans="4:16" x14ac:dyDescent="0.25">
      <c r="D232" s="10" t="s">
        <v>388</v>
      </c>
      <c r="E232" s="10" t="s">
        <v>429</v>
      </c>
      <c r="F232" s="10" t="str">
        <f t="shared" ref="F232:K247" si="42">F160</f>
        <v>Summer</v>
      </c>
      <c r="G232" s="10">
        <f t="shared" si="42"/>
        <v>0.77</v>
      </c>
      <c r="H232" s="10">
        <f t="shared" si="42"/>
        <v>0</v>
      </c>
      <c r="I232" s="10">
        <f t="shared" si="42"/>
        <v>0.66</v>
      </c>
      <c r="J232" s="10">
        <f t="shared" si="42"/>
        <v>0.22</v>
      </c>
      <c r="K232" s="10">
        <f t="shared" si="42"/>
        <v>0</v>
      </c>
      <c r="L232" s="10">
        <f t="shared" ref="L232:N247" si="43">K160</f>
        <v>0</v>
      </c>
      <c r="M232" s="10">
        <f t="shared" si="43"/>
        <v>0.66</v>
      </c>
      <c r="N232" s="10">
        <f t="shared" si="43"/>
        <v>0</v>
      </c>
      <c r="O232" s="10">
        <f t="shared" ref="O232:O254" si="44">M160</f>
        <v>0</v>
      </c>
      <c r="P232" s="10">
        <f t="shared" ref="P232:P254" si="45">M160</f>
        <v>0</v>
      </c>
    </row>
    <row r="233" spans="4:16" x14ac:dyDescent="0.25">
      <c r="D233" s="10" t="s">
        <v>388</v>
      </c>
      <c r="E233" s="10" t="s">
        <v>429</v>
      </c>
      <c r="F233" s="10" t="str">
        <f t="shared" si="42"/>
        <v>Autumn</v>
      </c>
      <c r="G233" s="10">
        <f t="shared" si="42"/>
        <v>0.9</v>
      </c>
      <c r="H233" s="10">
        <f t="shared" si="42"/>
        <v>-1.1000000000000001</v>
      </c>
      <c r="I233" s="10">
        <f t="shared" si="42"/>
        <v>0.7</v>
      </c>
      <c r="J233" s="10">
        <f t="shared" si="42"/>
        <v>0.22</v>
      </c>
      <c r="K233" s="10">
        <f t="shared" si="42"/>
        <v>-0.55000000000000004</v>
      </c>
      <c r="L233" s="10">
        <f t="shared" si="43"/>
        <v>-0.55000000000000004</v>
      </c>
      <c r="M233" s="10">
        <f t="shared" si="43"/>
        <v>0.8</v>
      </c>
      <c r="N233" s="10">
        <f t="shared" si="43"/>
        <v>-0.22</v>
      </c>
      <c r="O233" s="10">
        <f t="shared" si="44"/>
        <v>-0.22</v>
      </c>
      <c r="P233" s="10">
        <f t="shared" si="45"/>
        <v>-0.22</v>
      </c>
    </row>
    <row r="234" spans="4:16" x14ac:dyDescent="0.25">
      <c r="D234" s="10" t="s">
        <v>388</v>
      </c>
      <c r="E234" s="10" t="s">
        <v>429</v>
      </c>
      <c r="F234" s="10" t="str">
        <f t="shared" si="42"/>
        <v>Winter</v>
      </c>
      <c r="G234" s="10">
        <f t="shared" si="42"/>
        <v>0.88</v>
      </c>
      <c r="H234" s="10">
        <f t="shared" si="42"/>
        <v>0</v>
      </c>
      <c r="I234" s="10">
        <f t="shared" si="42"/>
        <v>0.77</v>
      </c>
      <c r="J234" s="10">
        <f t="shared" si="42"/>
        <v>0.55000000000000004</v>
      </c>
      <c r="K234" s="10">
        <f t="shared" si="42"/>
        <v>0</v>
      </c>
      <c r="L234" s="10">
        <f t="shared" si="43"/>
        <v>0</v>
      </c>
      <c r="M234" s="10">
        <f t="shared" si="43"/>
        <v>0.82</v>
      </c>
      <c r="N234" s="10">
        <f t="shared" si="43"/>
        <v>0</v>
      </c>
      <c r="O234" s="10">
        <f t="shared" si="44"/>
        <v>0</v>
      </c>
      <c r="P234" s="10">
        <f t="shared" si="45"/>
        <v>0</v>
      </c>
    </row>
    <row r="235" spans="4:16" x14ac:dyDescent="0.25">
      <c r="D235" s="10" t="s">
        <v>385</v>
      </c>
      <c r="E235" s="10" t="s">
        <v>429</v>
      </c>
      <c r="F235" s="10" t="str">
        <f t="shared" si="42"/>
        <v>Spring</v>
      </c>
      <c r="G235" s="10">
        <f t="shared" si="42"/>
        <v>1</v>
      </c>
      <c r="H235" s="10">
        <f t="shared" si="42"/>
        <v>0.5</v>
      </c>
      <c r="I235" s="10">
        <f t="shared" si="42"/>
        <v>1</v>
      </c>
      <c r="J235" s="10">
        <f t="shared" si="42"/>
        <v>1</v>
      </c>
      <c r="K235" s="10">
        <f t="shared" si="42"/>
        <v>-0.44</v>
      </c>
      <c r="L235" s="10">
        <f t="shared" si="43"/>
        <v>-0.44</v>
      </c>
      <c r="M235" s="10">
        <f t="shared" si="43"/>
        <v>1</v>
      </c>
      <c r="N235" s="10">
        <f t="shared" si="43"/>
        <v>0.5</v>
      </c>
      <c r="O235" s="10">
        <f t="shared" si="44"/>
        <v>0.5</v>
      </c>
      <c r="P235" s="10">
        <f t="shared" si="45"/>
        <v>0.5</v>
      </c>
    </row>
    <row r="236" spans="4:16" x14ac:dyDescent="0.25">
      <c r="D236" s="10" t="s">
        <v>385</v>
      </c>
      <c r="E236" s="10" t="s">
        <v>429</v>
      </c>
      <c r="F236" s="10" t="str">
        <f t="shared" si="42"/>
        <v>Summer</v>
      </c>
      <c r="G236" s="10">
        <f t="shared" si="42"/>
        <v>0.82</v>
      </c>
      <c r="H236" s="10">
        <f t="shared" si="42"/>
        <v>0.55000000000000004</v>
      </c>
      <c r="I236" s="10">
        <f t="shared" si="42"/>
        <v>0.71</v>
      </c>
      <c r="J236" s="10">
        <f t="shared" si="42"/>
        <v>0.55000000000000004</v>
      </c>
      <c r="K236" s="10">
        <f t="shared" si="42"/>
        <v>0.99</v>
      </c>
      <c r="L236" s="10">
        <f t="shared" si="43"/>
        <v>0.99</v>
      </c>
      <c r="M236" s="10">
        <f t="shared" si="43"/>
        <v>0.77</v>
      </c>
      <c r="N236" s="10">
        <f t="shared" si="43"/>
        <v>0.5</v>
      </c>
      <c r="O236" s="10">
        <f t="shared" si="44"/>
        <v>0.5</v>
      </c>
      <c r="P236" s="10">
        <f t="shared" si="45"/>
        <v>0.5</v>
      </c>
    </row>
    <row r="237" spans="4:16" x14ac:dyDescent="0.25">
      <c r="D237" s="10" t="s">
        <v>385</v>
      </c>
      <c r="E237" s="10" t="s">
        <v>429</v>
      </c>
      <c r="F237" s="10" t="str">
        <f t="shared" si="42"/>
        <v>Autumn</v>
      </c>
      <c r="G237" s="10">
        <f t="shared" si="42"/>
        <v>0.77</v>
      </c>
      <c r="H237" s="10">
        <f t="shared" si="42"/>
        <v>0.5</v>
      </c>
      <c r="I237" s="10">
        <f t="shared" si="42"/>
        <v>0.55000000000000004</v>
      </c>
      <c r="J237" s="10">
        <f t="shared" si="42"/>
        <v>0.11</v>
      </c>
      <c r="K237" s="10">
        <f t="shared" si="42"/>
        <v>-0.33</v>
      </c>
      <c r="L237" s="10">
        <f t="shared" si="43"/>
        <v>-0.33</v>
      </c>
      <c r="M237" s="10">
        <f t="shared" si="43"/>
        <v>0.6</v>
      </c>
      <c r="N237" s="10">
        <f t="shared" si="43"/>
        <v>0.33</v>
      </c>
      <c r="O237" s="10">
        <f t="shared" si="44"/>
        <v>0.33</v>
      </c>
      <c r="P237" s="10">
        <f t="shared" si="45"/>
        <v>0.33</v>
      </c>
    </row>
    <row r="238" spans="4:16" x14ac:dyDescent="0.25">
      <c r="D238" s="10" t="s">
        <v>385</v>
      </c>
      <c r="E238" s="10" t="s">
        <v>429</v>
      </c>
      <c r="F238" s="10" t="str">
        <f t="shared" si="42"/>
        <v>Winter</v>
      </c>
      <c r="G238" s="10">
        <f t="shared" si="42"/>
        <v>0.11</v>
      </c>
      <c r="H238" s="10">
        <f t="shared" si="42"/>
        <v>-0.27</v>
      </c>
      <c r="I238" s="10">
        <f t="shared" si="42"/>
        <v>0.11</v>
      </c>
      <c r="J238" s="10">
        <f t="shared" si="42"/>
        <v>0.22</v>
      </c>
      <c r="K238" s="10">
        <f t="shared" si="42"/>
        <v>-0.44</v>
      </c>
      <c r="L238" s="10">
        <f t="shared" si="43"/>
        <v>-0.44</v>
      </c>
      <c r="M238" s="10">
        <f t="shared" si="43"/>
        <v>0.16</v>
      </c>
      <c r="N238" s="10">
        <f t="shared" si="43"/>
        <v>-0.22</v>
      </c>
      <c r="O238" s="10">
        <f t="shared" si="44"/>
        <v>-0.22</v>
      </c>
      <c r="P238" s="10">
        <f t="shared" si="45"/>
        <v>-0.22</v>
      </c>
    </row>
    <row r="239" spans="4:16" x14ac:dyDescent="0.25">
      <c r="D239" s="10" t="s">
        <v>338</v>
      </c>
      <c r="E239" s="10" t="s">
        <v>429</v>
      </c>
      <c r="F239" s="10" t="str">
        <f t="shared" si="42"/>
        <v>Spring</v>
      </c>
      <c r="G239" s="10">
        <f t="shared" si="42"/>
        <v>1.1000000000000001</v>
      </c>
      <c r="H239" s="10">
        <f t="shared" si="42"/>
        <v>1.1000000000000001</v>
      </c>
      <c r="I239" s="10">
        <f t="shared" si="42"/>
        <v>1.1000000000000001</v>
      </c>
      <c r="J239" s="10">
        <f t="shared" si="42"/>
        <v>0.99</v>
      </c>
      <c r="K239" s="10">
        <f t="shared" si="42"/>
        <v>0.99</v>
      </c>
      <c r="L239" s="10">
        <f t="shared" si="43"/>
        <v>0.99</v>
      </c>
      <c r="M239" s="10">
        <f t="shared" si="43"/>
        <v>1.1000000000000001</v>
      </c>
      <c r="N239" s="10">
        <f t="shared" si="43"/>
        <v>0.77</v>
      </c>
      <c r="O239" s="10">
        <f t="shared" si="44"/>
        <v>0.77</v>
      </c>
      <c r="P239" s="10">
        <f t="shared" si="45"/>
        <v>0.77</v>
      </c>
    </row>
    <row r="240" spans="4:16" x14ac:dyDescent="0.25">
      <c r="D240" s="10" t="s">
        <v>338</v>
      </c>
      <c r="E240" s="10" t="s">
        <v>429</v>
      </c>
      <c r="F240" s="10" t="str">
        <f t="shared" si="42"/>
        <v>Summer</v>
      </c>
      <c r="G240" s="10">
        <f t="shared" si="42"/>
        <v>0.33</v>
      </c>
      <c r="H240" s="10">
        <f t="shared" si="42"/>
        <v>0.33</v>
      </c>
      <c r="I240" s="10">
        <f t="shared" si="42"/>
        <v>0.22</v>
      </c>
      <c r="J240" s="10">
        <f t="shared" si="42"/>
        <v>0.33</v>
      </c>
      <c r="K240" s="10">
        <f t="shared" si="42"/>
        <v>-0.1</v>
      </c>
      <c r="L240" s="10">
        <f t="shared" si="43"/>
        <v>-0.1</v>
      </c>
      <c r="M240" s="10">
        <f t="shared" si="43"/>
        <v>0.33</v>
      </c>
      <c r="N240" s="10">
        <f t="shared" si="43"/>
        <v>0.11</v>
      </c>
      <c r="O240" s="10">
        <f t="shared" si="44"/>
        <v>0.11</v>
      </c>
      <c r="P240" s="10">
        <f t="shared" si="45"/>
        <v>0.11</v>
      </c>
    </row>
    <row r="241" spans="4:16" x14ac:dyDescent="0.25">
      <c r="D241" s="10" t="s">
        <v>338</v>
      </c>
      <c r="E241" s="10" t="s">
        <v>429</v>
      </c>
      <c r="F241" s="10" t="str">
        <f t="shared" si="42"/>
        <v>Autumn</v>
      </c>
      <c r="G241" s="10">
        <f t="shared" si="42"/>
        <v>0.5</v>
      </c>
      <c r="H241" s="10">
        <f t="shared" si="42"/>
        <v>0.2</v>
      </c>
      <c r="I241" s="10">
        <f t="shared" si="42"/>
        <v>0.55000000000000004</v>
      </c>
      <c r="J241" s="10">
        <f t="shared" si="42"/>
        <v>0.44</v>
      </c>
      <c r="K241" s="10">
        <f t="shared" si="42"/>
        <v>0.2</v>
      </c>
      <c r="L241" s="10">
        <f t="shared" si="43"/>
        <v>0.2</v>
      </c>
      <c r="M241" s="10">
        <f t="shared" si="43"/>
        <v>0.55000000000000004</v>
      </c>
      <c r="N241" s="10">
        <f t="shared" si="43"/>
        <v>0.2</v>
      </c>
      <c r="O241" s="10">
        <f t="shared" si="44"/>
        <v>0.2</v>
      </c>
      <c r="P241" s="10">
        <f t="shared" si="45"/>
        <v>0.2</v>
      </c>
    </row>
    <row r="242" spans="4:16" x14ac:dyDescent="0.25">
      <c r="D242" s="10" t="s">
        <v>338</v>
      </c>
      <c r="E242" s="10" t="s">
        <v>429</v>
      </c>
      <c r="F242" s="10" t="str">
        <f t="shared" si="42"/>
        <v>Winter</v>
      </c>
      <c r="G242" s="10">
        <f t="shared" si="42"/>
        <v>0.55000000000000004</v>
      </c>
      <c r="H242" s="10">
        <f t="shared" si="42"/>
        <v>0.22</v>
      </c>
      <c r="I242" s="10">
        <f t="shared" si="42"/>
        <v>0.49</v>
      </c>
      <c r="J242" s="10">
        <f t="shared" si="42"/>
        <v>0.22</v>
      </c>
      <c r="K242" s="10">
        <f t="shared" si="42"/>
        <v>0.22</v>
      </c>
      <c r="L242" s="10">
        <f t="shared" si="43"/>
        <v>0.22</v>
      </c>
      <c r="M242" s="10">
        <f t="shared" si="43"/>
        <v>0.49</v>
      </c>
      <c r="N242" s="10">
        <f t="shared" si="43"/>
        <v>0.33</v>
      </c>
      <c r="O242" s="10">
        <f t="shared" si="44"/>
        <v>0.33</v>
      </c>
      <c r="P242" s="10">
        <f t="shared" si="45"/>
        <v>0.33</v>
      </c>
    </row>
    <row r="243" spans="4:16" x14ac:dyDescent="0.25">
      <c r="D243" s="10" t="s">
        <v>339</v>
      </c>
      <c r="E243" s="10" t="str">
        <f>E171</f>
        <v>South West</v>
      </c>
      <c r="F243" s="10" t="str">
        <f t="shared" si="42"/>
        <v>Spring</v>
      </c>
      <c r="G243" s="10">
        <f t="shared" si="42"/>
        <v>1.64</v>
      </c>
      <c r="H243" s="10">
        <f t="shared" si="42"/>
        <v>1.1000000000000001</v>
      </c>
      <c r="I243" s="10">
        <f t="shared" si="42"/>
        <v>1.21</v>
      </c>
      <c r="J243" s="10">
        <f t="shared" si="42"/>
        <v>0.99</v>
      </c>
      <c r="K243" s="10">
        <f t="shared" si="42"/>
        <v>0.66</v>
      </c>
      <c r="L243" s="10">
        <f t="shared" si="43"/>
        <v>0.66</v>
      </c>
      <c r="M243" s="10">
        <f t="shared" si="43"/>
        <v>1.42</v>
      </c>
      <c r="N243" s="10">
        <f t="shared" si="43"/>
        <v>1.1000000000000001</v>
      </c>
      <c r="O243" s="10">
        <f t="shared" si="44"/>
        <v>1.1000000000000001</v>
      </c>
      <c r="P243" s="10">
        <f t="shared" si="45"/>
        <v>1.1000000000000001</v>
      </c>
    </row>
    <row r="244" spans="4:16" x14ac:dyDescent="0.25">
      <c r="D244" s="10" t="s">
        <v>339</v>
      </c>
      <c r="E244" s="10" t="str">
        <f t="shared" ref="E244:K254" si="46">E172</f>
        <v>South West</v>
      </c>
      <c r="F244" s="10" t="str">
        <f t="shared" si="42"/>
        <v>Summer</v>
      </c>
      <c r="G244" s="10">
        <f t="shared" si="42"/>
        <v>0.44</v>
      </c>
      <c r="H244" s="10">
        <f t="shared" si="42"/>
        <v>-0.22</v>
      </c>
      <c r="I244" s="10">
        <f t="shared" si="42"/>
        <v>0.44</v>
      </c>
      <c r="J244" s="10">
        <f t="shared" si="42"/>
        <v>0.33</v>
      </c>
      <c r="K244" s="10">
        <f t="shared" si="42"/>
        <v>-0.22</v>
      </c>
      <c r="L244" s="10">
        <f t="shared" si="43"/>
        <v>-0.22</v>
      </c>
      <c r="M244" s="10">
        <f t="shared" si="43"/>
        <v>0.44</v>
      </c>
      <c r="N244" s="10">
        <f t="shared" si="43"/>
        <v>-0.11</v>
      </c>
      <c r="O244" s="10">
        <f t="shared" si="44"/>
        <v>-0.11</v>
      </c>
      <c r="P244" s="10">
        <f t="shared" si="45"/>
        <v>-0.11</v>
      </c>
    </row>
    <row r="245" spans="4:16" x14ac:dyDescent="0.25">
      <c r="D245" s="10" t="s">
        <v>339</v>
      </c>
      <c r="E245" s="10" t="str">
        <f t="shared" si="46"/>
        <v>South West</v>
      </c>
      <c r="F245" s="10" t="str">
        <f t="shared" si="42"/>
        <v>Autumn</v>
      </c>
      <c r="G245" s="10">
        <f t="shared" si="42"/>
        <v>0.6</v>
      </c>
      <c r="H245" s="10">
        <f t="shared" si="42"/>
        <v>0</v>
      </c>
      <c r="I245" s="10">
        <f t="shared" si="42"/>
        <v>0.6</v>
      </c>
      <c r="J245" s="10">
        <f t="shared" si="42"/>
        <v>0.22</v>
      </c>
      <c r="K245" s="10">
        <f t="shared" si="42"/>
        <v>-0.55000000000000004</v>
      </c>
      <c r="L245" s="10">
        <f t="shared" si="43"/>
        <v>-0.55000000000000004</v>
      </c>
      <c r="M245" s="10">
        <f t="shared" si="43"/>
        <v>0.6</v>
      </c>
      <c r="N245" s="10">
        <f t="shared" si="43"/>
        <v>0</v>
      </c>
      <c r="O245" s="10">
        <f t="shared" si="44"/>
        <v>0</v>
      </c>
      <c r="P245" s="10">
        <f t="shared" si="45"/>
        <v>0</v>
      </c>
    </row>
    <row r="246" spans="4:16" x14ac:dyDescent="0.25">
      <c r="D246" s="10" t="s">
        <v>339</v>
      </c>
      <c r="E246" s="10" t="str">
        <f t="shared" si="46"/>
        <v>South West</v>
      </c>
      <c r="F246" s="10" t="str">
        <f t="shared" si="42"/>
        <v>Winter</v>
      </c>
      <c r="G246" s="10">
        <f t="shared" si="42"/>
        <v>0.99</v>
      </c>
      <c r="H246" s="10">
        <f t="shared" si="42"/>
        <v>0.22</v>
      </c>
      <c r="I246" s="10">
        <f t="shared" si="42"/>
        <v>0.77</v>
      </c>
      <c r="J246" s="10">
        <f t="shared" si="42"/>
        <v>0.11</v>
      </c>
      <c r="K246" s="10">
        <f t="shared" si="42"/>
        <v>0.11</v>
      </c>
      <c r="L246" s="10">
        <f t="shared" si="43"/>
        <v>0.11</v>
      </c>
      <c r="M246" s="10">
        <f t="shared" si="43"/>
        <v>0.77</v>
      </c>
      <c r="N246" s="10">
        <f t="shared" si="43"/>
        <v>0.44</v>
      </c>
      <c r="O246" s="10">
        <f t="shared" si="44"/>
        <v>0.44</v>
      </c>
      <c r="P246" s="10">
        <f t="shared" si="45"/>
        <v>0.44</v>
      </c>
    </row>
    <row r="247" spans="4:16" x14ac:dyDescent="0.25">
      <c r="D247" s="10" t="s">
        <v>339</v>
      </c>
      <c r="E247" s="10" t="str">
        <f t="shared" si="46"/>
        <v>Pilbara</v>
      </c>
      <c r="F247" s="10" t="str">
        <f t="shared" si="42"/>
        <v>Spring</v>
      </c>
      <c r="G247" s="10">
        <f t="shared" si="42"/>
        <v>0.7</v>
      </c>
      <c r="H247" s="10">
        <f t="shared" si="42"/>
        <v>-0.55000000000000004</v>
      </c>
      <c r="I247" s="10">
        <f t="shared" si="42"/>
        <v>0.7</v>
      </c>
      <c r="J247" s="10">
        <f t="shared" si="42"/>
        <v>0.22</v>
      </c>
      <c r="K247" s="10">
        <f t="shared" si="42"/>
        <v>-0.22</v>
      </c>
      <c r="L247" s="10">
        <f t="shared" si="43"/>
        <v>-0.22</v>
      </c>
      <c r="M247" s="10">
        <f t="shared" si="43"/>
        <v>0.7</v>
      </c>
      <c r="N247" s="10">
        <f t="shared" si="43"/>
        <v>-0.22</v>
      </c>
      <c r="O247" s="10">
        <f t="shared" si="44"/>
        <v>-0.22</v>
      </c>
      <c r="P247" s="10">
        <f t="shared" si="45"/>
        <v>-0.22</v>
      </c>
    </row>
    <row r="248" spans="4:16" x14ac:dyDescent="0.25">
      <c r="D248" s="10" t="s">
        <v>339</v>
      </c>
      <c r="E248" s="10" t="str">
        <f t="shared" si="46"/>
        <v>Pilbara</v>
      </c>
      <c r="F248" s="10" t="str">
        <f t="shared" si="46"/>
        <v>Summer</v>
      </c>
      <c r="G248" s="10">
        <f t="shared" si="46"/>
        <v>0.77</v>
      </c>
      <c r="H248" s="10">
        <f t="shared" si="46"/>
        <v>0.55000000000000004</v>
      </c>
      <c r="I248" s="10">
        <f t="shared" si="46"/>
        <v>0.77</v>
      </c>
      <c r="J248" s="10">
        <f t="shared" si="46"/>
        <v>0.66</v>
      </c>
      <c r="K248" s="10">
        <f t="shared" si="46"/>
        <v>0.55000000000000004</v>
      </c>
      <c r="L248" s="10">
        <f t="shared" ref="L248:N254" si="47">K176</f>
        <v>0.55000000000000004</v>
      </c>
      <c r="M248" s="10">
        <f t="shared" si="47"/>
        <v>0.77</v>
      </c>
      <c r="N248" s="10">
        <f t="shared" si="47"/>
        <v>0.33</v>
      </c>
      <c r="O248" s="10">
        <f t="shared" si="44"/>
        <v>0.33</v>
      </c>
      <c r="P248" s="10">
        <f t="shared" si="45"/>
        <v>0.33</v>
      </c>
    </row>
    <row r="249" spans="4:16" x14ac:dyDescent="0.25">
      <c r="D249" s="10" t="s">
        <v>339</v>
      </c>
      <c r="E249" s="10" t="str">
        <f t="shared" si="46"/>
        <v>Pilbara</v>
      </c>
      <c r="F249" s="10" t="str">
        <f t="shared" si="46"/>
        <v>Autumn</v>
      </c>
      <c r="G249" s="10">
        <f t="shared" si="46"/>
        <v>0.88</v>
      </c>
      <c r="H249" s="10">
        <f t="shared" si="46"/>
        <v>0.55000000000000004</v>
      </c>
      <c r="I249" s="10">
        <f t="shared" si="46"/>
        <v>0.88</v>
      </c>
      <c r="J249" s="10">
        <f t="shared" si="46"/>
        <v>0.22</v>
      </c>
      <c r="K249" s="10">
        <f t="shared" si="46"/>
        <v>0.22</v>
      </c>
      <c r="L249" s="10">
        <f t="shared" si="47"/>
        <v>0.22</v>
      </c>
      <c r="M249" s="10">
        <f t="shared" si="47"/>
        <v>0.88</v>
      </c>
      <c r="N249" s="10">
        <f t="shared" si="47"/>
        <v>0.22</v>
      </c>
      <c r="O249" s="10">
        <f t="shared" si="44"/>
        <v>0.22</v>
      </c>
      <c r="P249" s="10">
        <f t="shared" si="45"/>
        <v>0.22</v>
      </c>
    </row>
    <row r="250" spans="4:16" x14ac:dyDescent="0.25">
      <c r="D250" s="10" t="s">
        <v>339</v>
      </c>
      <c r="E250" s="10" t="str">
        <f t="shared" si="46"/>
        <v>Pilbara</v>
      </c>
      <c r="F250" s="10" t="str">
        <f t="shared" si="46"/>
        <v>Winter</v>
      </c>
      <c r="G250" s="10">
        <f t="shared" si="46"/>
        <v>0.22</v>
      </c>
      <c r="H250" s="10">
        <f t="shared" si="46"/>
        <v>-0.55000000000000004</v>
      </c>
      <c r="I250" s="10">
        <f t="shared" si="46"/>
        <v>0.22</v>
      </c>
      <c r="J250" s="10">
        <f t="shared" si="46"/>
        <v>0.11</v>
      </c>
      <c r="K250" s="10">
        <f t="shared" si="46"/>
        <v>-0.22</v>
      </c>
      <c r="L250" s="10">
        <f t="shared" si="47"/>
        <v>-0.22</v>
      </c>
      <c r="M250" s="10">
        <f t="shared" si="47"/>
        <v>0.22</v>
      </c>
      <c r="N250" s="10">
        <f t="shared" si="47"/>
        <v>-0.33</v>
      </c>
      <c r="O250" s="10">
        <f t="shared" si="44"/>
        <v>-0.33</v>
      </c>
      <c r="P250" s="10">
        <f t="shared" si="45"/>
        <v>-0.33</v>
      </c>
    </row>
    <row r="251" spans="4:16" x14ac:dyDescent="0.25">
      <c r="D251" s="10" t="s">
        <v>339</v>
      </c>
      <c r="E251" s="10" t="str">
        <f t="shared" si="46"/>
        <v>Kimberley</v>
      </c>
      <c r="F251" s="10" t="str">
        <f t="shared" si="46"/>
        <v>Spring</v>
      </c>
      <c r="G251" s="10">
        <f t="shared" si="46"/>
        <v>0.22</v>
      </c>
      <c r="H251" s="10">
        <f t="shared" si="46"/>
        <v>-0.55000000000000004</v>
      </c>
      <c r="I251" s="10">
        <f t="shared" si="46"/>
        <v>0.33</v>
      </c>
      <c r="J251" s="10">
        <f t="shared" si="46"/>
        <v>0.22</v>
      </c>
      <c r="K251" s="10">
        <f t="shared" si="46"/>
        <v>-0.33</v>
      </c>
      <c r="L251" s="10">
        <f t="shared" si="47"/>
        <v>-0.33</v>
      </c>
      <c r="M251" s="10">
        <f t="shared" si="47"/>
        <v>0.22</v>
      </c>
      <c r="N251" s="10">
        <f t="shared" si="47"/>
        <v>-0.55000000000000004</v>
      </c>
      <c r="O251" s="10">
        <f t="shared" si="44"/>
        <v>-0.55000000000000004</v>
      </c>
      <c r="P251" s="10">
        <f t="shared" si="45"/>
        <v>-0.55000000000000004</v>
      </c>
    </row>
    <row r="252" spans="4:16" x14ac:dyDescent="0.25">
      <c r="D252" s="10" t="s">
        <v>339</v>
      </c>
      <c r="E252" s="10" t="str">
        <f t="shared" si="46"/>
        <v>Kimberley</v>
      </c>
      <c r="F252" s="10" t="str">
        <f t="shared" si="46"/>
        <v>Summer</v>
      </c>
      <c r="G252" s="10">
        <f t="shared" si="46"/>
        <v>0.8</v>
      </c>
      <c r="H252" s="10">
        <f t="shared" si="46"/>
        <v>0.55000000000000004</v>
      </c>
      <c r="I252" s="10">
        <f t="shared" si="46"/>
        <v>0.7</v>
      </c>
      <c r="J252" s="10">
        <f t="shared" si="46"/>
        <v>0.44</v>
      </c>
      <c r="K252" s="10">
        <f t="shared" si="46"/>
        <v>0.66</v>
      </c>
      <c r="L252" s="10">
        <f t="shared" si="47"/>
        <v>0.66</v>
      </c>
      <c r="M252" s="10">
        <f t="shared" si="47"/>
        <v>0.8</v>
      </c>
      <c r="N252" s="10">
        <f t="shared" si="47"/>
        <v>0.55000000000000004</v>
      </c>
      <c r="O252" s="10">
        <f t="shared" si="44"/>
        <v>0.55000000000000004</v>
      </c>
      <c r="P252" s="10">
        <f t="shared" si="45"/>
        <v>0.55000000000000004</v>
      </c>
    </row>
    <row r="253" spans="4:16" x14ac:dyDescent="0.25">
      <c r="D253" s="10" t="s">
        <v>339</v>
      </c>
      <c r="E253" s="10" t="str">
        <f t="shared" si="46"/>
        <v>Kimberley</v>
      </c>
      <c r="F253" s="10" t="str">
        <f t="shared" si="46"/>
        <v>Autumn</v>
      </c>
      <c r="G253" s="10">
        <f t="shared" si="46"/>
        <v>0.66</v>
      </c>
      <c r="H253" s="10">
        <f t="shared" si="46"/>
        <v>0.55000000000000004</v>
      </c>
      <c r="I253" s="10">
        <f t="shared" si="46"/>
        <v>0.55000000000000004</v>
      </c>
      <c r="J253" s="10">
        <f t="shared" si="46"/>
        <v>0.55000000000000004</v>
      </c>
      <c r="K253" s="10">
        <f t="shared" si="46"/>
        <v>0.11</v>
      </c>
      <c r="L253" s="10">
        <f t="shared" si="47"/>
        <v>0.11</v>
      </c>
      <c r="M253" s="10">
        <f t="shared" si="47"/>
        <v>0.66</v>
      </c>
      <c r="N253" s="10">
        <f t="shared" si="47"/>
        <v>0.55000000000000004</v>
      </c>
      <c r="O253" s="10">
        <f t="shared" si="44"/>
        <v>0.55000000000000004</v>
      </c>
      <c r="P253" s="10">
        <f t="shared" si="45"/>
        <v>0.55000000000000004</v>
      </c>
    </row>
    <row r="254" spans="4:16" x14ac:dyDescent="0.25">
      <c r="D254" s="10" t="s">
        <v>339</v>
      </c>
      <c r="E254" s="10" t="str">
        <f t="shared" si="46"/>
        <v>Kimberley</v>
      </c>
      <c r="F254" s="10" t="str">
        <f t="shared" si="46"/>
        <v>Winter</v>
      </c>
      <c r="G254" s="10">
        <f t="shared" si="46"/>
        <v>0.33</v>
      </c>
      <c r="H254" s="10">
        <f t="shared" si="46"/>
        <v>-0.55000000000000004</v>
      </c>
      <c r="I254" s="10">
        <f t="shared" si="46"/>
        <v>0.11</v>
      </c>
      <c r="J254" s="10">
        <f t="shared" si="46"/>
        <v>0.11</v>
      </c>
      <c r="K254" s="10">
        <f t="shared" si="46"/>
        <v>-0.44</v>
      </c>
      <c r="L254" s="10">
        <f t="shared" si="47"/>
        <v>-0.44</v>
      </c>
      <c r="M254" s="10">
        <f t="shared" si="47"/>
        <v>0.33</v>
      </c>
      <c r="N254" s="10">
        <f t="shared" si="47"/>
        <v>-0.55000000000000004</v>
      </c>
      <c r="O254" s="10">
        <f t="shared" si="44"/>
        <v>-0.55000000000000004</v>
      </c>
      <c r="P254" s="10">
        <f t="shared" si="45"/>
        <v>-0.55000000000000004</v>
      </c>
    </row>
    <row r="255" spans="4:16" x14ac:dyDescent="0.25">
      <c r="D255" s="10" t="s">
        <v>430</v>
      </c>
      <c r="E255" s="10" t="str">
        <f>E190</f>
        <v>Alice Springs</v>
      </c>
      <c r="F255" s="10" t="str">
        <f>F190</f>
        <v>Spring</v>
      </c>
      <c r="G255" s="10">
        <f>G190</f>
        <v>0.22</v>
      </c>
      <c r="H255" s="10">
        <f t="shared" ref="H255:P255" si="48">H190</f>
        <v>-0.23</v>
      </c>
      <c r="I255" s="10">
        <f t="shared" si="48"/>
        <v>0.25</v>
      </c>
      <c r="J255" s="10">
        <f t="shared" si="48"/>
        <v>0.17</v>
      </c>
      <c r="K255" s="10">
        <f t="shared" si="48"/>
        <v>0.18</v>
      </c>
      <c r="L255" s="10">
        <f t="shared" si="48"/>
        <v>-0.28000000000000003</v>
      </c>
      <c r="M255" s="10">
        <f t="shared" si="48"/>
        <v>0.32</v>
      </c>
      <c r="N255" s="10">
        <f t="shared" si="48"/>
        <v>0.24</v>
      </c>
      <c r="O255" s="10">
        <f t="shared" si="48"/>
        <v>0.25</v>
      </c>
      <c r="P255" s="10">
        <f t="shared" si="48"/>
        <v>-0.05</v>
      </c>
    </row>
    <row r="256" spans="4:16" x14ac:dyDescent="0.25">
      <c r="D256" s="10" t="s">
        <v>430</v>
      </c>
      <c r="E256" s="10" t="str">
        <f t="shared" ref="E256:P271" si="49">E191</f>
        <v>Alice Springs</v>
      </c>
      <c r="F256" s="10" t="str">
        <f t="shared" si="49"/>
        <v>Summer</v>
      </c>
      <c r="G256" s="10">
        <f t="shared" si="49"/>
        <v>0.66</v>
      </c>
      <c r="H256" s="10">
        <f t="shared" si="49"/>
        <v>0.2</v>
      </c>
      <c r="I256" s="10">
        <f t="shared" si="49"/>
        <v>0.62</v>
      </c>
      <c r="J256" s="10">
        <f t="shared" si="49"/>
        <v>0.54</v>
      </c>
      <c r="K256" s="10">
        <f t="shared" si="49"/>
        <v>0.38</v>
      </c>
      <c r="L256" s="10">
        <f t="shared" si="49"/>
        <v>0.27</v>
      </c>
      <c r="M256" s="10">
        <f t="shared" si="49"/>
        <v>0.75</v>
      </c>
      <c r="N256" s="10">
        <f t="shared" si="49"/>
        <v>0.64</v>
      </c>
      <c r="O256" s="10">
        <f t="shared" si="49"/>
        <v>0.55000000000000004</v>
      </c>
      <c r="P256" s="10">
        <f t="shared" si="49"/>
        <v>0.48</v>
      </c>
    </row>
    <row r="257" spans="4:16" x14ac:dyDescent="0.25">
      <c r="D257" s="10" t="s">
        <v>430</v>
      </c>
      <c r="E257" s="10" t="str">
        <f t="shared" si="49"/>
        <v>Alice Springs</v>
      </c>
      <c r="F257" s="10" t="str">
        <f t="shared" si="49"/>
        <v>Autumn</v>
      </c>
      <c r="G257" s="10">
        <f t="shared" si="49"/>
        <v>0.49</v>
      </c>
      <c r="H257" s="10">
        <f t="shared" si="49"/>
        <v>0.13</v>
      </c>
      <c r="I257" s="10">
        <f t="shared" si="49"/>
        <v>0.54</v>
      </c>
      <c r="J257" s="10">
        <f t="shared" si="49"/>
        <v>0.45</v>
      </c>
      <c r="K257" s="10">
        <f t="shared" si="49"/>
        <v>0.35</v>
      </c>
      <c r="L257" s="10">
        <f t="shared" si="49"/>
        <v>0.15</v>
      </c>
      <c r="M257" s="10">
        <f t="shared" si="49"/>
        <v>0.63</v>
      </c>
      <c r="N257" s="10">
        <f t="shared" si="49"/>
        <v>0.54</v>
      </c>
      <c r="O257" s="10">
        <f t="shared" si="49"/>
        <v>0.42</v>
      </c>
      <c r="P257" s="10">
        <f t="shared" si="49"/>
        <v>0.26</v>
      </c>
    </row>
    <row r="258" spans="4:16" x14ac:dyDescent="0.25">
      <c r="D258" s="10" t="s">
        <v>430</v>
      </c>
      <c r="E258" s="10" t="str">
        <f t="shared" si="49"/>
        <v>Alice Springs</v>
      </c>
      <c r="F258" s="10" t="str">
        <f t="shared" si="49"/>
        <v>Winter</v>
      </c>
      <c r="G258" s="10">
        <f t="shared" si="49"/>
        <v>0.27</v>
      </c>
      <c r="H258" s="10">
        <f t="shared" si="49"/>
        <v>-0.8</v>
      </c>
      <c r="I258" s="10">
        <f t="shared" si="49"/>
        <v>0.22</v>
      </c>
      <c r="J258" s="10">
        <f t="shared" si="49"/>
        <v>0.09</v>
      </c>
      <c r="K258" s="10">
        <f t="shared" si="49"/>
        <v>0.12</v>
      </c>
      <c r="L258" s="10">
        <f t="shared" si="49"/>
        <v>0.02</v>
      </c>
      <c r="M258" s="10">
        <f t="shared" si="49"/>
        <v>0.25</v>
      </c>
      <c r="N258" s="10">
        <f t="shared" si="49"/>
        <v>0.18</v>
      </c>
      <c r="O258" s="10">
        <f t="shared" si="49"/>
        <v>0.12</v>
      </c>
      <c r="P258" s="10">
        <f t="shared" si="49"/>
        <v>0.03</v>
      </c>
    </row>
    <row r="259" spans="4:16" x14ac:dyDescent="0.25">
      <c r="D259" s="10" t="s">
        <v>430</v>
      </c>
      <c r="E259" s="10" t="str">
        <f t="shared" si="49"/>
        <v>Barkly</v>
      </c>
      <c r="F259" s="10" t="str">
        <f t="shared" si="49"/>
        <v>Spring</v>
      </c>
      <c r="G259" s="10">
        <f t="shared" si="49"/>
        <v>0.22</v>
      </c>
      <c r="H259" s="10">
        <f t="shared" si="49"/>
        <v>-0.44</v>
      </c>
      <c r="I259" s="10">
        <f t="shared" si="49"/>
        <v>0.2</v>
      </c>
      <c r="J259" s="10">
        <f t="shared" si="49"/>
        <v>0.21</v>
      </c>
      <c r="K259" s="10">
        <f t="shared" si="49"/>
        <v>0.18</v>
      </c>
      <c r="L259" s="10">
        <f t="shared" si="49"/>
        <v>0.01</v>
      </c>
      <c r="M259" s="10">
        <f t="shared" si="49"/>
        <v>0.12</v>
      </c>
      <c r="N259" s="10">
        <f t="shared" si="49"/>
        <v>0.09</v>
      </c>
      <c r="O259" s="10" t="str">
        <f t="shared" si="49"/>
        <v>NO</v>
      </c>
      <c r="P259" s="10" t="str">
        <f t="shared" si="49"/>
        <v>NO</v>
      </c>
    </row>
    <row r="260" spans="4:16" x14ac:dyDescent="0.25">
      <c r="D260" s="10" t="s">
        <v>430</v>
      </c>
      <c r="E260" s="10" t="str">
        <f t="shared" si="49"/>
        <v>Barkly</v>
      </c>
      <c r="F260" s="10" t="str">
        <f t="shared" si="49"/>
        <v>Summer</v>
      </c>
      <c r="G260" s="10">
        <f t="shared" si="49"/>
        <v>0.66</v>
      </c>
      <c r="H260" s="10">
        <f t="shared" si="49"/>
        <v>0.22</v>
      </c>
      <c r="I260" s="10">
        <f t="shared" si="49"/>
        <v>0.68</v>
      </c>
      <c r="J260" s="10">
        <f t="shared" si="49"/>
        <v>0.22</v>
      </c>
      <c r="K260" s="10">
        <f t="shared" si="49"/>
        <v>0.24</v>
      </c>
      <c r="L260" s="10">
        <f t="shared" si="49"/>
        <v>0.25</v>
      </c>
      <c r="M260" s="10">
        <f t="shared" si="49"/>
        <v>0.64</v>
      </c>
      <c r="N260" s="10">
        <f t="shared" si="49"/>
        <v>0.37</v>
      </c>
      <c r="O260" s="10" t="str">
        <f t="shared" si="49"/>
        <v>NO</v>
      </c>
      <c r="P260" s="10" t="str">
        <f t="shared" si="49"/>
        <v>NO</v>
      </c>
    </row>
    <row r="261" spans="4:16" x14ac:dyDescent="0.25">
      <c r="D261" s="10" t="s">
        <v>430</v>
      </c>
      <c r="E261" s="10" t="str">
        <f t="shared" si="49"/>
        <v>Barkly</v>
      </c>
      <c r="F261" s="10" t="str">
        <f t="shared" si="49"/>
        <v>Autumn</v>
      </c>
      <c r="G261" s="10">
        <f t="shared" si="49"/>
        <v>0.49</v>
      </c>
      <c r="H261" s="10">
        <f t="shared" si="49"/>
        <v>0.05</v>
      </c>
      <c r="I261" s="10">
        <f t="shared" si="49"/>
        <v>0.64</v>
      </c>
      <c r="J261" s="10">
        <f t="shared" si="49"/>
        <v>0.25</v>
      </c>
      <c r="K261" s="10">
        <f t="shared" si="49"/>
        <v>0.28999999999999998</v>
      </c>
      <c r="L261" s="10">
        <f t="shared" si="49"/>
        <v>0.12</v>
      </c>
      <c r="M261" s="10">
        <f t="shared" si="49"/>
        <v>0.56999999999999995</v>
      </c>
      <c r="N261" s="10">
        <f t="shared" si="49"/>
        <v>0.49</v>
      </c>
      <c r="O261" s="10" t="str">
        <f t="shared" si="49"/>
        <v>NO</v>
      </c>
      <c r="P261" s="10" t="str">
        <f t="shared" si="49"/>
        <v>NO</v>
      </c>
    </row>
    <row r="262" spans="4:16" x14ac:dyDescent="0.25">
      <c r="D262" s="10" t="s">
        <v>430</v>
      </c>
      <c r="E262" s="10" t="str">
        <f t="shared" si="49"/>
        <v>Barkly</v>
      </c>
      <c r="F262" s="10" t="str">
        <f t="shared" si="49"/>
        <v>Winter</v>
      </c>
      <c r="G262" s="10">
        <f t="shared" si="49"/>
        <v>0.27</v>
      </c>
      <c r="H262" s="10">
        <f t="shared" si="49"/>
        <v>-0.27</v>
      </c>
      <c r="I262" s="10">
        <f t="shared" si="49"/>
        <v>0.31</v>
      </c>
      <c r="J262" s="10">
        <f t="shared" si="49"/>
        <v>0.28999999999999998</v>
      </c>
      <c r="K262" s="10">
        <f t="shared" si="49"/>
        <v>0.19</v>
      </c>
      <c r="L262" s="10">
        <f t="shared" si="49"/>
        <v>0.04</v>
      </c>
      <c r="M262" s="10">
        <f t="shared" si="49"/>
        <v>0.26</v>
      </c>
      <c r="N262" s="10">
        <f t="shared" si="49"/>
        <v>0.28000000000000003</v>
      </c>
      <c r="O262" s="10" t="str">
        <f t="shared" si="49"/>
        <v>NO</v>
      </c>
      <c r="P262" s="10" t="str">
        <f t="shared" si="49"/>
        <v>NO</v>
      </c>
    </row>
    <row r="263" spans="4:16" x14ac:dyDescent="0.25">
      <c r="D263" s="10" t="s">
        <v>430</v>
      </c>
      <c r="E263" s="10" t="str">
        <f t="shared" si="49"/>
        <v>Northern</v>
      </c>
      <c r="F263" s="10" t="str">
        <f t="shared" si="49"/>
        <v>Spring</v>
      </c>
      <c r="G263" s="10">
        <f t="shared" si="49"/>
        <v>0.22</v>
      </c>
      <c r="H263" s="10">
        <f t="shared" si="49"/>
        <v>-0.44</v>
      </c>
      <c r="I263" s="10">
        <f t="shared" si="49"/>
        <v>0</v>
      </c>
      <c r="J263" s="10">
        <f t="shared" si="49"/>
        <v>0.15</v>
      </c>
      <c r="K263" s="10">
        <f t="shared" si="49"/>
        <v>0.08</v>
      </c>
      <c r="L263" s="10">
        <f t="shared" si="49"/>
        <v>0.17</v>
      </c>
      <c r="M263" s="10">
        <f t="shared" si="49"/>
        <v>0.06</v>
      </c>
      <c r="N263" s="10">
        <f t="shared" si="49"/>
        <v>0.02</v>
      </c>
      <c r="O263" s="10">
        <f t="shared" si="49"/>
        <v>-0.14000000000000001</v>
      </c>
      <c r="P263" s="10" t="str">
        <f t="shared" si="49"/>
        <v>NO</v>
      </c>
    </row>
    <row r="264" spans="4:16" x14ac:dyDescent="0.25">
      <c r="D264" s="10" t="s">
        <v>430</v>
      </c>
      <c r="E264" s="10" t="str">
        <f t="shared" si="49"/>
        <v>Northern</v>
      </c>
      <c r="F264" s="10" t="str">
        <f t="shared" si="49"/>
        <v>Summer</v>
      </c>
      <c r="G264" s="10">
        <f t="shared" si="49"/>
        <v>0.66</v>
      </c>
      <c r="H264" s="10">
        <f t="shared" si="49"/>
        <v>0.22</v>
      </c>
      <c r="I264" s="10">
        <f t="shared" si="49"/>
        <v>0.79</v>
      </c>
      <c r="J264" s="10">
        <f t="shared" si="49"/>
        <v>0.4</v>
      </c>
      <c r="K264" s="10">
        <f t="shared" si="49"/>
        <v>0.38</v>
      </c>
      <c r="L264" s="10">
        <f t="shared" si="49"/>
        <v>0.27</v>
      </c>
      <c r="M264" s="10">
        <f t="shared" si="49"/>
        <v>0.8</v>
      </c>
      <c r="N264" s="10">
        <f t="shared" si="49"/>
        <v>0.16</v>
      </c>
      <c r="O264" s="10">
        <f t="shared" si="49"/>
        <v>0.3</v>
      </c>
      <c r="P264" s="10" t="str">
        <f t="shared" si="49"/>
        <v>NO</v>
      </c>
    </row>
    <row r="265" spans="4:16" x14ac:dyDescent="0.25">
      <c r="D265" s="10" t="s">
        <v>430</v>
      </c>
      <c r="E265" s="10" t="str">
        <f t="shared" si="49"/>
        <v>Northern</v>
      </c>
      <c r="F265" s="10" t="str">
        <f t="shared" si="49"/>
        <v>Autumn</v>
      </c>
      <c r="G265" s="10">
        <f t="shared" si="49"/>
        <v>0.49</v>
      </c>
      <c r="H265" s="10">
        <f t="shared" si="49"/>
        <v>0.05</v>
      </c>
      <c r="I265" s="10">
        <f t="shared" si="49"/>
        <v>0.55000000000000004</v>
      </c>
      <c r="J265" s="10">
        <f t="shared" si="49"/>
        <v>0.38</v>
      </c>
      <c r="K265" s="10">
        <f t="shared" si="49"/>
        <v>0.36</v>
      </c>
      <c r="L265" s="10">
        <f t="shared" si="49"/>
        <v>0.06</v>
      </c>
      <c r="M265" s="10">
        <f t="shared" si="49"/>
        <v>0.57999999999999996</v>
      </c>
      <c r="N265" s="10">
        <f t="shared" si="49"/>
        <v>0.23</v>
      </c>
      <c r="O265" s="10">
        <f t="shared" si="49"/>
        <v>0.4</v>
      </c>
      <c r="P265" s="10" t="str">
        <f t="shared" si="49"/>
        <v>NO</v>
      </c>
    </row>
    <row r="266" spans="4:16" x14ac:dyDescent="0.25">
      <c r="D266" s="10" t="s">
        <v>430</v>
      </c>
      <c r="E266" s="10" t="str">
        <f t="shared" si="49"/>
        <v>Northern</v>
      </c>
      <c r="F266" s="10" t="str">
        <f t="shared" si="49"/>
        <v>Winter</v>
      </c>
      <c r="G266" s="10">
        <f t="shared" si="49"/>
        <v>0.27</v>
      </c>
      <c r="H266" s="10">
        <f t="shared" si="49"/>
        <v>-0.27</v>
      </c>
      <c r="I266" s="10">
        <f t="shared" si="49"/>
        <v>0.02</v>
      </c>
      <c r="J266" s="10">
        <f t="shared" si="49"/>
        <v>0.09</v>
      </c>
      <c r="K266" s="10">
        <f t="shared" si="49"/>
        <v>0.16</v>
      </c>
      <c r="L266" s="10">
        <f t="shared" si="49"/>
        <v>-0.04</v>
      </c>
      <c r="M266" s="10">
        <f t="shared" si="49"/>
        <v>0.21</v>
      </c>
      <c r="N266" s="10">
        <f t="shared" si="49"/>
        <v>0.03</v>
      </c>
      <c r="O266" s="10">
        <f t="shared" si="49"/>
        <v>0.11</v>
      </c>
      <c r="P266" s="10" t="str">
        <f t="shared" si="49"/>
        <v>NO</v>
      </c>
    </row>
    <row r="267" spans="4:16" x14ac:dyDescent="0.25">
      <c r="D267" s="10" t="s">
        <v>333</v>
      </c>
      <c r="E267" s="10" t="str">
        <f t="shared" si="49"/>
        <v>High</v>
      </c>
      <c r="F267" s="10" t="str">
        <f t="shared" si="49"/>
        <v>Spring</v>
      </c>
      <c r="G267" s="10">
        <f t="shared" si="49"/>
        <v>0.27</v>
      </c>
      <c r="H267" s="10">
        <f t="shared" si="49"/>
        <v>-0.19</v>
      </c>
      <c r="I267" s="10">
        <f t="shared" si="49"/>
        <v>0.38</v>
      </c>
      <c r="J267" s="10">
        <f t="shared" si="49"/>
        <v>0.25</v>
      </c>
      <c r="K267" s="10">
        <f t="shared" si="49"/>
        <v>7.0000000000000007E-2</v>
      </c>
      <c r="L267" s="10">
        <f t="shared" si="49"/>
        <v>0.05</v>
      </c>
      <c r="M267" s="10">
        <f t="shared" si="49"/>
        <v>0.52</v>
      </c>
      <c r="N267" s="10">
        <f t="shared" si="49"/>
        <v>0.55000000000000004</v>
      </c>
      <c r="O267" s="10">
        <f t="shared" si="49"/>
        <v>0.19</v>
      </c>
      <c r="P267" s="10">
        <f t="shared" si="49"/>
        <v>0.6</v>
      </c>
    </row>
    <row r="268" spans="4:16" x14ac:dyDescent="0.25">
      <c r="D268" s="10" t="s">
        <v>333</v>
      </c>
      <c r="E268" s="10" t="str">
        <f t="shared" si="49"/>
        <v>High</v>
      </c>
      <c r="F268" s="10" t="str">
        <f t="shared" si="49"/>
        <v>Summer</v>
      </c>
      <c r="G268" s="10">
        <f t="shared" si="49"/>
        <v>0.16</v>
      </c>
      <c r="H268" s="10">
        <f t="shared" si="49"/>
        <v>0.16</v>
      </c>
      <c r="I268" s="10">
        <f t="shared" si="49"/>
        <v>0.8</v>
      </c>
      <c r="J268" s="10">
        <f t="shared" si="49"/>
        <v>0.56999999999999995</v>
      </c>
      <c r="K268" s="10">
        <f t="shared" si="49"/>
        <v>0.76</v>
      </c>
      <c r="L268" s="10">
        <f t="shared" si="49"/>
        <v>0.49</v>
      </c>
      <c r="M268" s="10">
        <f t="shared" si="49"/>
        <v>0.84</v>
      </c>
      <c r="N268" s="10">
        <f t="shared" si="49"/>
        <v>0.51</v>
      </c>
      <c r="O268" s="10">
        <f t="shared" si="49"/>
        <v>0.36</v>
      </c>
      <c r="P268" s="10">
        <f t="shared" si="49"/>
        <v>0.17</v>
      </c>
    </row>
    <row r="269" spans="4:16" x14ac:dyDescent="0.25">
      <c r="D269" s="10" t="s">
        <v>333</v>
      </c>
      <c r="E269" s="10" t="str">
        <f t="shared" si="49"/>
        <v>High</v>
      </c>
      <c r="F269" s="10" t="str">
        <f t="shared" si="49"/>
        <v>Autumn</v>
      </c>
      <c r="G269" s="10">
        <f t="shared" si="49"/>
        <v>0.45</v>
      </c>
      <c r="H269" s="10">
        <f t="shared" si="49"/>
        <v>0.1</v>
      </c>
      <c r="I269" s="10">
        <f t="shared" si="49"/>
        <v>0.49</v>
      </c>
      <c r="J269" s="10">
        <f t="shared" si="49"/>
        <v>0.41</v>
      </c>
      <c r="K269" s="10">
        <f t="shared" si="49"/>
        <v>0.4</v>
      </c>
      <c r="L269" s="10">
        <f t="shared" si="49"/>
        <v>0.17</v>
      </c>
      <c r="M269" s="10">
        <f t="shared" si="49"/>
        <v>0.54</v>
      </c>
      <c r="N269" s="10">
        <f t="shared" si="49"/>
        <v>0.64</v>
      </c>
      <c r="O269" s="10">
        <f t="shared" si="49"/>
        <v>-0.05</v>
      </c>
      <c r="P269" s="10">
        <f t="shared" si="49"/>
        <v>0.32</v>
      </c>
    </row>
    <row r="270" spans="4:16" x14ac:dyDescent="0.25">
      <c r="D270" s="10" t="s">
        <v>333</v>
      </c>
      <c r="E270" s="10" t="str">
        <f t="shared" si="49"/>
        <v>High</v>
      </c>
      <c r="F270" s="10" t="str">
        <f t="shared" si="49"/>
        <v>Winter</v>
      </c>
      <c r="G270" s="10">
        <f t="shared" si="49"/>
        <v>0.51</v>
      </c>
      <c r="H270" s="10">
        <f t="shared" si="49"/>
        <v>-7.0000000000000007E-2</v>
      </c>
      <c r="I270" s="10">
        <f t="shared" si="49"/>
        <v>0.13</v>
      </c>
      <c r="J270" s="10">
        <f t="shared" si="49"/>
        <v>-0.09</v>
      </c>
      <c r="K270" s="10">
        <f t="shared" si="49"/>
        <v>-0.13</v>
      </c>
      <c r="L270" s="10">
        <f t="shared" si="49"/>
        <v>7.0000000000000007E-2</v>
      </c>
      <c r="M270" s="10">
        <f t="shared" si="49"/>
        <v>0.25</v>
      </c>
      <c r="N270" s="10">
        <f t="shared" si="49"/>
        <v>0.71</v>
      </c>
      <c r="O270" s="10">
        <f t="shared" si="49"/>
        <v>0.17</v>
      </c>
      <c r="P270" s="10">
        <f t="shared" si="49"/>
        <v>0.43</v>
      </c>
    </row>
    <row r="271" spans="4:16" x14ac:dyDescent="0.25">
      <c r="D271" s="10" t="s">
        <v>333</v>
      </c>
      <c r="E271" s="10" t="str">
        <f t="shared" si="49"/>
        <v>Moderate/High</v>
      </c>
      <c r="F271" s="10" t="str">
        <f t="shared" si="49"/>
        <v>Spring</v>
      </c>
      <c r="G271" s="10">
        <f t="shared" si="49"/>
        <v>-0.12</v>
      </c>
      <c r="H271" s="10">
        <f t="shared" si="49"/>
        <v>-0.19</v>
      </c>
      <c r="I271" s="10">
        <f t="shared" si="49"/>
        <v>0.41</v>
      </c>
      <c r="J271" s="10">
        <f t="shared" si="49"/>
        <v>0.09</v>
      </c>
      <c r="K271" s="10">
        <f t="shared" si="49"/>
        <v>0.41</v>
      </c>
      <c r="L271" s="10">
        <f t="shared" si="49"/>
        <v>-0.19</v>
      </c>
      <c r="M271" s="10">
        <f t="shared" si="49"/>
        <v>7.0000000000000007E-2</v>
      </c>
      <c r="N271" s="10">
        <f t="shared" si="49"/>
        <v>1.07</v>
      </c>
      <c r="O271" s="10">
        <f t="shared" si="49"/>
        <v>-0.08</v>
      </c>
      <c r="P271" s="10">
        <f t="shared" si="49"/>
        <v>0</v>
      </c>
    </row>
    <row r="272" spans="4:16" x14ac:dyDescent="0.25">
      <c r="D272" s="10" t="s">
        <v>333</v>
      </c>
      <c r="E272" s="10" t="str">
        <f t="shared" ref="E272:P282" si="50">E207</f>
        <v>Moderate/High</v>
      </c>
      <c r="F272" s="10" t="str">
        <f t="shared" si="50"/>
        <v>Summer</v>
      </c>
      <c r="G272" s="10">
        <f t="shared" si="50"/>
        <v>0.65</v>
      </c>
      <c r="H272" s="10">
        <f t="shared" si="50"/>
        <v>0.19</v>
      </c>
      <c r="I272" s="10">
        <f t="shared" si="50"/>
        <v>0.65</v>
      </c>
      <c r="J272" s="10">
        <f t="shared" si="50"/>
        <v>0.51</v>
      </c>
      <c r="K272" s="10">
        <f t="shared" si="50"/>
        <v>0.18</v>
      </c>
      <c r="L272" s="10">
        <f t="shared" si="50"/>
        <v>0.63</v>
      </c>
      <c r="M272" s="10">
        <f t="shared" si="50"/>
        <v>1.3</v>
      </c>
      <c r="N272" s="10">
        <f t="shared" si="50"/>
        <v>0.48</v>
      </c>
      <c r="O272" s="10">
        <f t="shared" si="50"/>
        <v>1.1200000000000001</v>
      </c>
      <c r="P272" s="10">
        <f t="shared" si="50"/>
        <v>0.38</v>
      </c>
    </row>
    <row r="273" spans="4:16" x14ac:dyDescent="0.25">
      <c r="D273" s="10" t="s">
        <v>333</v>
      </c>
      <c r="E273" s="10" t="str">
        <f t="shared" si="50"/>
        <v>Moderate/High</v>
      </c>
      <c r="F273" s="10" t="str">
        <f t="shared" si="50"/>
        <v>Autumn</v>
      </c>
      <c r="G273" s="10">
        <f t="shared" si="50"/>
        <v>0.7</v>
      </c>
      <c r="H273" s="10">
        <f t="shared" si="50"/>
        <v>0.13</v>
      </c>
      <c r="I273" s="10">
        <f t="shared" si="50"/>
        <v>0.52</v>
      </c>
      <c r="J273" s="10">
        <f t="shared" si="50"/>
        <v>0.34</v>
      </c>
      <c r="K273" s="10">
        <f t="shared" si="50"/>
        <v>0.02</v>
      </c>
      <c r="L273" s="10">
        <f t="shared" si="50"/>
        <v>0.04</v>
      </c>
      <c r="M273" s="10">
        <f t="shared" si="50"/>
        <v>0.77</v>
      </c>
      <c r="N273" s="10">
        <f t="shared" si="50"/>
        <v>0.42</v>
      </c>
      <c r="O273" s="10">
        <f t="shared" si="50"/>
        <v>0.12</v>
      </c>
      <c r="P273" s="10">
        <f t="shared" si="50"/>
        <v>0.74</v>
      </c>
    </row>
    <row r="274" spans="4:16" x14ac:dyDescent="0.25">
      <c r="D274" s="10" t="s">
        <v>333</v>
      </c>
      <c r="E274" s="10" t="str">
        <f t="shared" si="50"/>
        <v>Moderate/High</v>
      </c>
      <c r="F274" s="10" t="str">
        <f t="shared" si="50"/>
        <v>Winter</v>
      </c>
      <c r="G274" s="10">
        <f t="shared" si="50"/>
        <v>0.32</v>
      </c>
      <c r="H274" s="10">
        <f t="shared" si="50"/>
        <v>-0.06</v>
      </c>
      <c r="I274" s="10">
        <f t="shared" si="50"/>
        <v>0.25</v>
      </c>
      <c r="J274" s="10">
        <f t="shared" si="50"/>
        <v>0.19</v>
      </c>
      <c r="K274" s="10">
        <f t="shared" si="50"/>
        <v>-0.1</v>
      </c>
      <c r="L274" s="10">
        <f t="shared" si="50"/>
        <v>-0.02</v>
      </c>
      <c r="M274" s="10">
        <f t="shared" si="50"/>
        <v>0.02</v>
      </c>
      <c r="N274" s="10">
        <f t="shared" si="50"/>
        <v>0.23</v>
      </c>
      <c r="O274" s="10">
        <f t="shared" si="50"/>
        <v>-0.13</v>
      </c>
      <c r="P274" s="10">
        <f t="shared" si="50"/>
        <v>0</v>
      </c>
    </row>
    <row r="275" spans="4:16" x14ac:dyDescent="0.25">
      <c r="D275" s="10" t="s">
        <v>333</v>
      </c>
      <c r="E275" s="10" t="str">
        <f t="shared" si="50"/>
        <v>Moderate/Low</v>
      </c>
      <c r="F275" s="10" t="str">
        <f t="shared" si="50"/>
        <v>Spring</v>
      </c>
      <c r="G275" s="10">
        <f t="shared" si="50"/>
        <v>0.62</v>
      </c>
      <c r="H275" s="10">
        <f t="shared" si="50"/>
        <v>-0.19</v>
      </c>
      <c r="I275" s="10">
        <f t="shared" si="50"/>
        <v>0.37</v>
      </c>
      <c r="J275" s="10">
        <f t="shared" si="50"/>
        <v>0.41</v>
      </c>
      <c r="K275" s="10">
        <f t="shared" si="50"/>
        <v>0.06</v>
      </c>
      <c r="L275" s="10">
        <f t="shared" si="50"/>
        <v>-0.02</v>
      </c>
      <c r="M275" s="10">
        <f t="shared" si="50"/>
        <v>0.47</v>
      </c>
      <c r="N275" s="10">
        <f t="shared" si="50"/>
        <v>0.44</v>
      </c>
      <c r="O275" s="10">
        <f t="shared" si="50"/>
        <v>0.3</v>
      </c>
      <c r="P275" s="10">
        <f t="shared" si="50"/>
        <v>0.13</v>
      </c>
    </row>
    <row r="276" spans="4:16" x14ac:dyDescent="0.25">
      <c r="D276" s="10" t="s">
        <v>333</v>
      </c>
      <c r="E276" s="10" t="str">
        <f t="shared" si="50"/>
        <v>Moderate/Low</v>
      </c>
      <c r="F276" s="10" t="str">
        <f t="shared" si="50"/>
        <v>Summer</v>
      </c>
      <c r="G276" s="10">
        <f t="shared" si="50"/>
        <v>0.05</v>
      </c>
      <c r="H276" s="10">
        <f t="shared" si="50"/>
        <v>0.19</v>
      </c>
      <c r="I276" s="10">
        <f t="shared" si="50"/>
        <v>0.31</v>
      </c>
      <c r="J276" s="10">
        <f t="shared" si="50"/>
        <v>0.54</v>
      </c>
      <c r="K276" s="10">
        <f t="shared" si="50"/>
        <v>0.53</v>
      </c>
      <c r="L276" s="10">
        <f t="shared" si="50"/>
        <v>0.15</v>
      </c>
      <c r="M276" s="10">
        <f t="shared" si="50"/>
        <v>0.28000000000000003</v>
      </c>
      <c r="N276" s="10">
        <f t="shared" si="50"/>
        <v>0.56999999999999995</v>
      </c>
      <c r="O276" s="10">
        <f t="shared" si="50"/>
        <v>0.42</v>
      </c>
      <c r="P276" s="10">
        <f t="shared" si="50"/>
        <v>0.4</v>
      </c>
    </row>
    <row r="277" spans="4:16" x14ac:dyDescent="0.25">
      <c r="D277" s="10" t="s">
        <v>333</v>
      </c>
      <c r="E277" s="10" t="str">
        <f t="shared" si="50"/>
        <v>Moderate/Low</v>
      </c>
      <c r="F277" s="10" t="str">
        <f t="shared" si="50"/>
        <v>Autumn</v>
      </c>
      <c r="G277" s="10">
        <f t="shared" si="50"/>
        <v>0.33</v>
      </c>
      <c r="H277" s="10">
        <f t="shared" si="50"/>
        <v>0.13</v>
      </c>
      <c r="I277" s="10">
        <f t="shared" si="50"/>
        <v>0.39</v>
      </c>
      <c r="J277" s="10">
        <f t="shared" si="50"/>
        <v>0.36</v>
      </c>
      <c r="K277" s="10">
        <f t="shared" si="50"/>
        <v>0.26</v>
      </c>
      <c r="L277" s="10">
        <f t="shared" si="50"/>
        <v>0.11</v>
      </c>
      <c r="M277" s="10">
        <f t="shared" si="50"/>
        <v>0.4</v>
      </c>
      <c r="N277" s="10">
        <f t="shared" si="50"/>
        <v>0.44</v>
      </c>
      <c r="O277" s="10">
        <f t="shared" si="50"/>
        <v>0.37</v>
      </c>
      <c r="P277" s="10">
        <f t="shared" si="50"/>
        <v>-0.01</v>
      </c>
    </row>
    <row r="278" spans="4:16" x14ac:dyDescent="0.25">
      <c r="D278" s="10" t="s">
        <v>333</v>
      </c>
      <c r="E278" s="10" t="str">
        <f t="shared" si="50"/>
        <v>Moderate/Low</v>
      </c>
      <c r="F278" s="10" t="str">
        <f t="shared" si="50"/>
        <v>Winter</v>
      </c>
      <c r="G278" s="10">
        <f t="shared" si="50"/>
        <v>0.61</v>
      </c>
      <c r="H278" s="10">
        <f t="shared" si="50"/>
        <v>-0.06</v>
      </c>
      <c r="I278" s="10">
        <f t="shared" si="50"/>
        <v>0.21</v>
      </c>
      <c r="J278" s="10">
        <f t="shared" si="50"/>
        <v>0.18</v>
      </c>
      <c r="K278" s="10">
        <f t="shared" si="50"/>
        <v>0.12</v>
      </c>
      <c r="L278" s="10">
        <f t="shared" si="50"/>
        <v>0.06</v>
      </c>
      <c r="M278" s="10">
        <f t="shared" si="50"/>
        <v>0.28999999999999998</v>
      </c>
      <c r="N278" s="10">
        <f t="shared" si="50"/>
        <v>0.41</v>
      </c>
      <c r="O278" s="10">
        <f t="shared" si="50"/>
        <v>0.41</v>
      </c>
      <c r="P278" s="10">
        <f t="shared" si="50"/>
        <v>-0.15</v>
      </c>
    </row>
    <row r="279" spans="4:16" x14ac:dyDescent="0.25">
      <c r="D279" s="10" t="s">
        <v>333</v>
      </c>
      <c r="E279" s="10" t="str">
        <f t="shared" si="50"/>
        <v>Low</v>
      </c>
      <c r="F279" s="10" t="str">
        <f t="shared" si="50"/>
        <v>Spring</v>
      </c>
      <c r="G279" s="10">
        <f t="shared" si="50"/>
        <v>-0.2</v>
      </c>
      <c r="H279" s="10">
        <f t="shared" si="50"/>
        <v>0.02</v>
      </c>
      <c r="I279" s="10">
        <f t="shared" si="50"/>
        <v>0.24</v>
      </c>
      <c r="J279" s="10">
        <f t="shared" si="50"/>
        <v>0.3</v>
      </c>
      <c r="K279" s="10">
        <f t="shared" si="50"/>
        <v>0.23</v>
      </c>
      <c r="L279" s="10">
        <f t="shared" si="50"/>
        <v>-0.05</v>
      </c>
      <c r="M279" s="10">
        <f t="shared" si="50"/>
        <v>0.34</v>
      </c>
      <c r="N279" s="10">
        <f t="shared" si="50"/>
        <v>0.3</v>
      </c>
      <c r="O279" s="10">
        <f t="shared" si="50"/>
        <v>0.56999999999999995</v>
      </c>
      <c r="P279" s="10">
        <f t="shared" si="50"/>
        <v>0.52</v>
      </c>
    </row>
    <row r="280" spans="4:16" x14ac:dyDescent="0.25">
      <c r="D280" s="10" t="s">
        <v>333</v>
      </c>
      <c r="E280" s="10" t="str">
        <f t="shared" si="50"/>
        <v>Low</v>
      </c>
      <c r="F280" s="10" t="str">
        <f t="shared" si="50"/>
        <v>Summer</v>
      </c>
      <c r="G280" s="10">
        <f t="shared" si="50"/>
        <v>0.62</v>
      </c>
      <c r="H280" s="10">
        <f t="shared" si="50"/>
        <v>0.21</v>
      </c>
      <c r="I280" s="10">
        <f t="shared" si="50"/>
        <v>0.25</v>
      </c>
      <c r="J280" s="10">
        <f t="shared" si="50"/>
        <v>0.32</v>
      </c>
      <c r="K280" s="10">
        <f t="shared" si="50"/>
        <v>0.47</v>
      </c>
      <c r="L280" s="10">
        <f t="shared" si="50"/>
        <v>0.31</v>
      </c>
      <c r="M280" s="10">
        <f t="shared" si="50"/>
        <v>0.14000000000000001</v>
      </c>
      <c r="N280" s="10">
        <f t="shared" si="50"/>
        <v>0.4</v>
      </c>
      <c r="O280" s="10">
        <f t="shared" si="50"/>
        <v>0.26</v>
      </c>
      <c r="P280" s="10">
        <f t="shared" si="50"/>
        <v>0.43</v>
      </c>
    </row>
    <row r="281" spans="4:16" x14ac:dyDescent="0.25">
      <c r="D281" s="10" t="s">
        <v>333</v>
      </c>
      <c r="E281" s="10" t="str">
        <f t="shared" si="50"/>
        <v>Low</v>
      </c>
      <c r="F281" s="10" t="str">
        <f t="shared" si="50"/>
        <v>Autumn</v>
      </c>
      <c r="G281" s="10">
        <f t="shared" si="50"/>
        <v>0.4</v>
      </c>
      <c r="H281" s="10">
        <f t="shared" si="50"/>
        <v>0.13</v>
      </c>
      <c r="I281" s="10">
        <f t="shared" si="50"/>
        <v>0.12</v>
      </c>
      <c r="J281" s="10">
        <f t="shared" si="50"/>
        <v>0.27</v>
      </c>
      <c r="K281" s="10">
        <f t="shared" si="50"/>
        <v>0.3</v>
      </c>
      <c r="L281" s="10">
        <f t="shared" si="50"/>
        <v>0.08</v>
      </c>
      <c r="M281" s="10">
        <f t="shared" si="50"/>
        <v>0.13</v>
      </c>
      <c r="N281" s="10">
        <f t="shared" si="50"/>
        <v>0.24</v>
      </c>
      <c r="O281" s="10">
        <f t="shared" si="50"/>
        <v>0.15</v>
      </c>
      <c r="P281" s="10">
        <f t="shared" si="50"/>
        <v>0.21</v>
      </c>
    </row>
    <row r="282" spans="4:16" x14ac:dyDescent="0.25">
      <c r="D282" s="10" t="s">
        <v>333</v>
      </c>
      <c r="E282" s="10" t="str">
        <f t="shared" si="50"/>
        <v>Low</v>
      </c>
      <c r="F282" s="10" t="str">
        <f t="shared" si="50"/>
        <v>Winter</v>
      </c>
      <c r="G282" s="10">
        <f t="shared" si="50"/>
        <v>0.08</v>
      </c>
      <c r="H282" s="10">
        <f t="shared" si="50"/>
        <v>0.04</v>
      </c>
      <c r="I282" s="10">
        <f t="shared" si="50"/>
        <v>0.06</v>
      </c>
      <c r="J282" s="10">
        <f t="shared" si="50"/>
        <v>0.18</v>
      </c>
      <c r="K282" s="10">
        <f t="shared" si="50"/>
        <v>0.11</v>
      </c>
      <c r="L282" s="10">
        <f t="shared" si="50"/>
        <v>-7.0000000000000007E-2</v>
      </c>
      <c r="M282" s="10">
        <f t="shared" si="50"/>
        <v>0.13</v>
      </c>
      <c r="N282" s="10">
        <f t="shared" si="50"/>
        <v>0.16</v>
      </c>
      <c r="O282" s="10">
        <f t="shared" si="50"/>
        <v>0.4</v>
      </c>
      <c r="P282" s="10">
        <f t="shared" si="50"/>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276</v>
      </c>
      <c r="E290" s="10" t="s">
        <v>381</v>
      </c>
      <c r="F290" s="10" t="s">
        <v>497</v>
      </c>
      <c r="G290" s="10" t="s">
        <v>489</v>
      </c>
      <c r="H290" s="10" t="s">
        <v>490</v>
      </c>
      <c r="I290" s="10" t="s">
        <v>491</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276</v>
      </c>
      <c r="E313" s="10" t="s">
        <v>381</v>
      </c>
      <c r="F313" s="10" t="s">
        <v>497</v>
      </c>
      <c r="G313" s="10" t="s">
        <v>489</v>
      </c>
      <c r="H313" s="10" t="s">
        <v>490</v>
      </c>
      <c r="I313" s="10" t="s">
        <v>491</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498</v>
      </c>
      <c r="M333" s="8"/>
    </row>
    <row r="334" spans="4:13" x14ac:dyDescent="0.25">
      <c r="D334" s="10" t="s">
        <v>499</v>
      </c>
      <c r="E334" s="10" t="s">
        <v>47</v>
      </c>
      <c r="F334" s="10" t="s">
        <v>500</v>
      </c>
      <c r="G334" s="10" t="s">
        <v>501</v>
      </c>
      <c r="I334" s="10" t="s">
        <v>499</v>
      </c>
      <c r="J334" s="10" t="s">
        <v>47</v>
      </c>
      <c r="K334" s="10" t="s">
        <v>500</v>
      </c>
      <c r="L334" s="10" t="s">
        <v>501</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502</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503</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502</v>
      </c>
      <c r="K337" s="10">
        <f>F340</f>
        <v>1.3</v>
      </c>
      <c r="L337" s="10">
        <f t="shared" ref="L337:L338" si="51">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503</v>
      </c>
      <c r="K338" s="10">
        <f t="shared" ref="K338" si="52">F341</f>
        <v>1.1000000000000001</v>
      </c>
      <c r="L338" s="10">
        <f t="shared" si="51"/>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276</v>
      </c>
      <c r="E350" s="10" t="s">
        <v>504</v>
      </c>
      <c r="F350" s="10" t="s">
        <v>505</v>
      </c>
      <c r="G350" s="10" t="s">
        <v>470</v>
      </c>
      <c r="H350" s="10" t="s">
        <v>471</v>
      </c>
      <c r="I350" s="10" t="s">
        <v>506</v>
      </c>
      <c r="J350" s="10" t="s">
        <v>474</v>
      </c>
      <c r="K350" s="10" t="s">
        <v>494</v>
      </c>
      <c r="L350" s="10" t="s">
        <v>507</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276</v>
      </c>
      <c r="E361" s="156" t="s">
        <v>479</v>
      </c>
      <c r="F361" s="156" t="s">
        <v>480</v>
      </c>
      <c r="G361" s="156" t="s">
        <v>481</v>
      </c>
      <c r="H361" s="156" t="s">
        <v>482</v>
      </c>
      <c r="I361" s="156" t="s">
        <v>483</v>
      </c>
      <c r="J361" s="156" t="s">
        <v>484</v>
      </c>
      <c r="K361" s="156" t="s">
        <v>485</v>
      </c>
      <c r="L361" s="156" t="s">
        <v>486</v>
      </c>
      <c r="M361" s="156" t="s">
        <v>487</v>
      </c>
      <c r="N361" s="156" t="s">
        <v>488</v>
      </c>
      <c r="O361" s="10" t="s">
        <v>507</v>
      </c>
    </row>
    <row r="362" spans="4:15" x14ac:dyDescent="0.25">
      <c r="D362" s="10" t="str">
        <f>D351</f>
        <v>ACT</v>
      </c>
      <c r="E362" s="10">
        <f t="shared" ref="E362:H362" si="53">E351</f>
        <v>700</v>
      </c>
      <c r="F362" s="10">
        <f t="shared" si="53"/>
        <v>700</v>
      </c>
      <c r="G362" s="10">
        <f t="shared" si="53"/>
        <v>500</v>
      </c>
      <c r="H362" s="10">
        <f t="shared" si="53"/>
        <v>500</v>
      </c>
      <c r="I362" s="10">
        <f>I351</f>
        <v>500</v>
      </c>
      <c r="J362" s="10">
        <f>I351</f>
        <v>500</v>
      </c>
      <c r="K362" s="10">
        <f t="shared" ref="K362" si="54">J351</f>
        <v>600</v>
      </c>
      <c r="L362" s="10">
        <f>K351</f>
        <v>600</v>
      </c>
      <c r="M362" s="10">
        <f>K351</f>
        <v>600</v>
      </c>
      <c r="N362" s="10">
        <f>K351</f>
        <v>600</v>
      </c>
      <c r="O362" s="10" t="str">
        <f>L351</f>
        <v>ACT</v>
      </c>
    </row>
    <row r="363" spans="4:15" x14ac:dyDescent="0.25">
      <c r="D363" s="10" t="str">
        <f t="shared" ref="D363:I369" si="55">D352</f>
        <v>NSW</v>
      </c>
      <c r="E363" s="10">
        <f t="shared" si="55"/>
        <v>700</v>
      </c>
      <c r="F363" s="10">
        <f t="shared" si="55"/>
        <v>700</v>
      </c>
      <c r="G363" s="10">
        <f t="shared" si="55"/>
        <v>500</v>
      </c>
      <c r="H363" s="10">
        <f t="shared" si="55"/>
        <v>500</v>
      </c>
      <c r="I363" s="10">
        <f t="shared" si="55"/>
        <v>500</v>
      </c>
      <c r="J363" s="10">
        <f t="shared" ref="J363:L369" si="56">I352</f>
        <v>500</v>
      </c>
      <c r="K363" s="10">
        <f t="shared" si="56"/>
        <v>600</v>
      </c>
      <c r="L363" s="10">
        <f t="shared" si="56"/>
        <v>600</v>
      </c>
      <c r="M363" s="10">
        <f t="shared" ref="M363:M369" si="57">K352</f>
        <v>600</v>
      </c>
      <c r="N363" s="10">
        <f t="shared" ref="N363:O369" si="58">K352</f>
        <v>600</v>
      </c>
      <c r="O363" s="10" t="str">
        <f t="shared" si="58"/>
        <v>NSW</v>
      </c>
    </row>
    <row r="364" spans="4:15" x14ac:dyDescent="0.25">
      <c r="D364" s="10" t="str">
        <f t="shared" si="55"/>
        <v>Northern Territory</v>
      </c>
      <c r="E364" s="10">
        <f t="shared" si="55"/>
        <v>770</v>
      </c>
      <c r="F364" s="10">
        <f t="shared" si="55"/>
        <v>770</v>
      </c>
      <c r="G364" s="10">
        <f t="shared" si="55"/>
        <v>550</v>
      </c>
      <c r="H364" s="10">
        <f t="shared" si="55"/>
        <v>550</v>
      </c>
      <c r="I364" s="10">
        <f t="shared" si="55"/>
        <v>550</v>
      </c>
      <c r="J364" s="10">
        <f t="shared" si="56"/>
        <v>550</v>
      </c>
      <c r="K364" s="10">
        <f t="shared" si="56"/>
        <v>660</v>
      </c>
      <c r="L364" s="10">
        <f t="shared" si="56"/>
        <v>660</v>
      </c>
      <c r="M364" s="10">
        <f t="shared" si="57"/>
        <v>660</v>
      </c>
      <c r="N364" s="10">
        <f t="shared" si="58"/>
        <v>660</v>
      </c>
      <c r="O364" s="10" t="str">
        <f t="shared" si="58"/>
        <v>NT</v>
      </c>
    </row>
    <row r="365" spans="4:15" x14ac:dyDescent="0.25">
      <c r="D365" s="10" t="str">
        <f t="shared" si="55"/>
        <v>Queensland</v>
      </c>
      <c r="E365" s="10">
        <f t="shared" si="55"/>
        <v>770</v>
      </c>
      <c r="F365" s="10">
        <f t="shared" si="55"/>
        <v>770</v>
      </c>
      <c r="G365" s="10">
        <f t="shared" si="55"/>
        <v>550</v>
      </c>
      <c r="H365" s="10">
        <f t="shared" si="55"/>
        <v>550</v>
      </c>
      <c r="I365" s="10">
        <f t="shared" si="55"/>
        <v>550</v>
      </c>
      <c r="J365" s="10">
        <f t="shared" si="56"/>
        <v>550</v>
      </c>
      <c r="K365" s="10">
        <f t="shared" si="56"/>
        <v>660</v>
      </c>
      <c r="L365" s="10">
        <f t="shared" si="56"/>
        <v>660</v>
      </c>
      <c r="M365" s="10">
        <f t="shared" si="57"/>
        <v>660</v>
      </c>
      <c r="N365" s="10">
        <f t="shared" si="58"/>
        <v>660</v>
      </c>
      <c r="O365" s="10" t="str">
        <f t="shared" si="58"/>
        <v>QLD</v>
      </c>
    </row>
    <row r="366" spans="4:15" x14ac:dyDescent="0.25">
      <c r="D366" s="10" t="str">
        <f t="shared" si="55"/>
        <v>South Australia</v>
      </c>
      <c r="E366" s="10">
        <f t="shared" si="55"/>
        <v>770</v>
      </c>
      <c r="F366" s="10">
        <f t="shared" si="55"/>
        <v>770</v>
      </c>
      <c r="G366" s="10">
        <f t="shared" si="55"/>
        <v>550</v>
      </c>
      <c r="H366" s="10">
        <f t="shared" si="55"/>
        <v>550</v>
      </c>
      <c r="I366" s="10">
        <f t="shared" si="55"/>
        <v>550</v>
      </c>
      <c r="J366" s="10">
        <f t="shared" si="56"/>
        <v>550</v>
      </c>
      <c r="K366" s="10">
        <f t="shared" si="56"/>
        <v>660</v>
      </c>
      <c r="L366" s="10">
        <f t="shared" si="56"/>
        <v>660</v>
      </c>
      <c r="M366" s="10">
        <f t="shared" si="57"/>
        <v>660</v>
      </c>
      <c r="N366" s="10">
        <f t="shared" si="58"/>
        <v>660</v>
      </c>
      <c r="O366" s="10" t="str">
        <f t="shared" si="58"/>
        <v>SA</v>
      </c>
    </row>
    <row r="367" spans="4:15" x14ac:dyDescent="0.25">
      <c r="D367" s="10" t="str">
        <f t="shared" si="55"/>
        <v>Tasmania</v>
      </c>
      <c r="E367" s="10">
        <f t="shared" si="55"/>
        <v>770</v>
      </c>
      <c r="F367" s="10">
        <f t="shared" si="55"/>
        <v>770</v>
      </c>
      <c r="G367" s="10">
        <f t="shared" si="55"/>
        <v>550</v>
      </c>
      <c r="H367" s="10">
        <f t="shared" si="55"/>
        <v>550</v>
      </c>
      <c r="I367" s="10">
        <f t="shared" si="55"/>
        <v>550</v>
      </c>
      <c r="J367" s="10">
        <f t="shared" si="56"/>
        <v>550</v>
      </c>
      <c r="K367" s="10">
        <f t="shared" si="56"/>
        <v>660</v>
      </c>
      <c r="L367" s="10">
        <f t="shared" si="56"/>
        <v>660</v>
      </c>
      <c r="M367" s="10">
        <f t="shared" si="57"/>
        <v>660</v>
      </c>
      <c r="N367" s="10">
        <f t="shared" si="58"/>
        <v>660</v>
      </c>
      <c r="O367" s="10" t="str">
        <f t="shared" si="58"/>
        <v>TAS</v>
      </c>
    </row>
    <row r="368" spans="4:15" x14ac:dyDescent="0.25">
      <c r="D368" s="10" t="str">
        <f t="shared" si="55"/>
        <v>Victoria</v>
      </c>
      <c r="E368" s="10">
        <f t="shared" si="55"/>
        <v>770</v>
      </c>
      <c r="F368" s="10">
        <f t="shared" si="55"/>
        <v>770</v>
      </c>
      <c r="G368" s="10">
        <f t="shared" si="55"/>
        <v>550</v>
      </c>
      <c r="H368" s="10">
        <f t="shared" si="55"/>
        <v>550</v>
      </c>
      <c r="I368" s="10">
        <f t="shared" si="55"/>
        <v>550</v>
      </c>
      <c r="J368" s="10">
        <f t="shared" si="56"/>
        <v>550</v>
      </c>
      <c r="K368" s="10">
        <f t="shared" si="56"/>
        <v>660</v>
      </c>
      <c r="L368" s="10">
        <f t="shared" si="56"/>
        <v>660</v>
      </c>
      <c r="M368" s="10">
        <f t="shared" si="57"/>
        <v>660</v>
      </c>
      <c r="N368" s="10">
        <f t="shared" si="58"/>
        <v>660</v>
      </c>
      <c r="O368" s="10" t="str">
        <f t="shared" si="58"/>
        <v>VIC</v>
      </c>
    </row>
    <row r="369" spans="4:15" x14ac:dyDescent="0.25">
      <c r="D369" s="10" t="str">
        <f t="shared" si="55"/>
        <v>Western Australia</v>
      </c>
      <c r="E369" s="10">
        <f t="shared" si="55"/>
        <v>770</v>
      </c>
      <c r="F369" s="10">
        <f t="shared" si="55"/>
        <v>770</v>
      </c>
      <c r="G369" s="10">
        <f t="shared" si="55"/>
        <v>550</v>
      </c>
      <c r="H369" s="10">
        <f t="shared" si="55"/>
        <v>550</v>
      </c>
      <c r="I369" s="10">
        <f t="shared" si="55"/>
        <v>550</v>
      </c>
      <c r="J369" s="10">
        <f t="shared" si="56"/>
        <v>550</v>
      </c>
      <c r="K369" s="10">
        <f t="shared" si="56"/>
        <v>660</v>
      </c>
      <c r="L369" s="10">
        <f t="shared" si="56"/>
        <v>660</v>
      </c>
      <c r="M369" s="10">
        <f t="shared" si="57"/>
        <v>660</v>
      </c>
      <c r="N369" s="10">
        <f t="shared" si="58"/>
        <v>660</v>
      </c>
      <c r="O369" s="10" t="str">
        <f t="shared" si="58"/>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57" t="s">
        <v>508</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276</v>
      </c>
      <c r="E377" s="10" t="s">
        <v>381</v>
      </c>
      <c r="F377" s="10" t="s">
        <v>62</v>
      </c>
      <c r="G377" s="10" t="s">
        <v>509</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276</v>
      </c>
      <c r="E400" s="10" t="s">
        <v>381</v>
      </c>
      <c r="F400" s="10" t="s">
        <v>62</v>
      </c>
      <c r="G400" s="10" t="s">
        <v>509</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ht="15" customHeight="1" x14ac:dyDescent="0.25">
      <c r="D442" s="10" t="s">
        <v>314</v>
      </c>
      <c r="E442" s="10" t="s">
        <v>215</v>
      </c>
      <c r="F442" s="10" t="s">
        <v>315</v>
      </c>
      <c r="G442" s="10" t="s">
        <v>281</v>
      </c>
      <c r="H442" s="10" t="s">
        <v>282</v>
      </c>
      <c r="I442" s="10" t="s">
        <v>357</v>
      </c>
      <c r="M442" s="8"/>
    </row>
    <row r="443" spans="4:13" x14ac:dyDescent="0.25">
      <c r="D443" s="10" t="str" cm="1">
        <f t="array" ref="D443">Common_InputFunctions.Utility_DisplayArrayInTable(Scope3_SourceData.Scope3_Livestock_Data(), Table_SourceData_Scope3_Animals173[[#Headers],[Category]], 0, 2)</f>
        <v>Beef cattle</v>
      </c>
      <c r="E443" s="10" t="str" cm="1">
        <f t="array" ref="E443">Common_InputFunctions.Utility_DisplayArrayInTable(Scope3_SourceData.Scope3_Livestock_Data(), Table_SourceData_Scope3_Animals173[[#Headers],[Category]], 0, 2)</f>
        <v>Cattle, for manufacturing beef</v>
      </c>
      <c r="F443" s="10" t="str" cm="1">
        <f t="array" ref="F443">Common_InputFunctions.Utility_DisplayArrayInTable(Scope3_SourceData.Scope3_Livestock_Data(), Table_SourceData_Scope3_Animals173[[#Headers],[Category]], 0, 2)</f>
        <v>Australia</v>
      </c>
      <c r="G443" s="10" t="str" cm="1">
        <f t="array" ref="G443">Common_InputFunctions.Utility_DisplayArrayInTable(Scope3_SourceData.Scope3_Livestock_Data(), Table_SourceData_Scope3_Animals173[[#Headers],[Category]], 0, 2)</f>
        <v>kg liveweight</v>
      </c>
      <c r="H443" s="10" cm="1">
        <f t="array" ref="H443">Common_InputFunctions.Utility_DisplayArrayInTable(Scope3_SourceData.Scope3_Livestock_Data(), Table_SourceData_Scope3_Animals173[[#Headers],[Category]], 0, 2)</f>
        <v>11</v>
      </c>
      <c r="I443" s="10" t="str" cm="1">
        <f t="array" ref="I443">Common_InputFunctions.Utility_DisplayArrayInTable(Scope3_SourceData.Scope3_Livestock_Data(), Table_SourceData_Scope3_Animals173[[#Headers],[Category]], 0, 2)</f>
        <v>at market</v>
      </c>
      <c r="M443" s="8"/>
    </row>
    <row r="444" spans="4:13" x14ac:dyDescent="0.25">
      <c r="D444" s="10" t="str" cm="1">
        <f t="array" ref="D444">Common_InputFunctions.Utility_DisplayArrayInTable(Scope3_SourceData.Scope3_Livestock_Data(), Table_SourceData_Scope3_Animals173[[#Headers],[Category]], 0, 2)</f>
        <v>Beef cattle</v>
      </c>
      <c r="E444" s="10" t="str" cm="1">
        <f t="array" ref="E444">Common_InputFunctions.Utility_DisplayArrayInTable(Scope3_SourceData.Scope3_Livestock_Data(), Table_SourceData_Scope3_Animals173[[#Headers],[Category]], 0, 2)</f>
        <v>Cattle, for manufacturing beef</v>
      </c>
      <c r="F444" s="10" t="str" cm="1">
        <f t="array" ref="F444">Common_InputFunctions.Utility_DisplayArrayInTable(Scope3_SourceData.Scope3_Livestock_Data(), Table_SourceData_Scope3_Animals173[[#Headers],[Category]], 0, 2)</f>
        <v>NSW</v>
      </c>
      <c r="G444" s="10" t="str" cm="1">
        <f t="array" ref="G444">Common_InputFunctions.Utility_DisplayArrayInTable(Scope3_SourceData.Scope3_Livestock_Data(), Table_SourceData_Scope3_Animals173[[#Headers],[Category]], 0, 2)</f>
        <v>kg liveweight</v>
      </c>
      <c r="H444" s="10" cm="1">
        <f t="array" ref="H444">Common_InputFunctions.Utility_DisplayArrayInTable(Scope3_SourceData.Scope3_Livestock_Data(), Table_SourceData_Scope3_Animals173[[#Headers],[Category]], 0, 2)</f>
        <v>8.2100000000000009</v>
      </c>
      <c r="I444" s="10" t="str" cm="1">
        <f t="array" ref="I444">Common_InputFunctions.Utility_DisplayArrayInTable(Scope3_SourceData.Scope3_Livestock_Data(), Table_SourceData_Scope3_Animals173[[#Headers],[Category]], 0, 2)</f>
        <v>at market</v>
      </c>
      <c r="M444" s="8"/>
    </row>
    <row r="445" spans="4:13" x14ac:dyDescent="0.25">
      <c r="D445" s="10" t="str" cm="1">
        <f t="array" ref="D445">Common_InputFunctions.Utility_DisplayArrayInTable(Scope3_SourceData.Scope3_Livestock_Data(), Table_SourceData_Scope3_Animals173[[#Headers],[Category]], 0, 2)</f>
        <v>Beef cattle</v>
      </c>
      <c r="E445" s="10" t="str" cm="1">
        <f t="array" ref="E445">Common_InputFunctions.Utility_DisplayArrayInTable(Scope3_SourceData.Scope3_Livestock_Data(), Table_SourceData_Scope3_Animals173[[#Headers],[Category]], 0, 2)</f>
        <v>Cattle, for manufacturing beef</v>
      </c>
      <c r="F445" s="10" t="str" cm="1">
        <f t="array" ref="F445">Common_InputFunctions.Utility_DisplayArrayInTable(Scope3_SourceData.Scope3_Livestock_Data(), Table_SourceData_Scope3_Animals173[[#Headers],[Category]], 0, 2)</f>
        <v>NT</v>
      </c>
      <c r="G445" s="10" t="str" cm="1">
        <f t="array" ref="G445">Common_InputFunctions.Utility_DisplayArrayInTable(Scope3_SourceData.Scope3_Livestock_Data(), Table_SourceData_Scope3_Animals173[[#Headers],[Category]], 0, 2)</f>
        <v>kg liveweight</v>
      </c>
      <c r="H445" s="10" cm="1">
        <f t="array" ref="H445">Common_InputFunctions.Utility_DisplayArrayInTable(Scope3_SourceData.Scope3_Livestock_Data(), Table_SourceData_Scope3_Animals173[[#Headers],[Category]], 0, 2)</f>
        <v>12.2</v>
      </c>
      <c r="I445" s="10" t="str" cm="1">
        <f t="array" ref="I445">Common_InputFunctions.Utility_DisplayArrayInTable(Scope3_SourceData.Scope3_Livestock_Data(), Table_SourceData_Scope3_Animals173[[#Headers],[Category]], 0, 2)</f>
        <v>at market</v>
      </c>
      <c r="M445" s="8"/>
    </row>
    <row r="446" spans="4:13" x14ac:dyDescent="0.25">
      <c r="D446" s="10" t="str" cm="1">
        <f t="array" ref="D446">Common_InputFunctions.Utility_DisplayArrayInTable(Scope3_SourceData.Scope3_Livestock_Data(), Table_SourceData_Scope3_Animals173[[#Headers],[Category]], 0, 2)</f>
        <v>Beef cattle</v>
      </c>
      <c r="E446" s="10" t="str" cm="1">
        <f t="array" ref="E446">Common_InputFunctions.Utility_DisplayArrayInTable(Scope3_SourceData.Scope3_Livestock_Data(), Table_SourceData_Scope3_Animals173[[#Headers],[Category]], 0, 2)</f>
        <v>Cattle, for manufacturing beef</v>
      </c>
      <c r="F446" s="10" t="str" cm="1">
        <f t="array" ref="F446">Common_InputFunctions.Utility_DisplayArrayInTable(Scope3_SourceData.Scope3_Livestock_Data(), Table_SourceData_Scope3_Animals173[[#Headers],[Category]], 0, 2)</f>
        <v>QLD</v>
      </c>
      <c r="G446" s="10" t="str" cm="1">
        <f t="array" ref="G446">Common_InputFunctions.Utility_DisplayArrayInTable(Scope3_SourceData.Scope3_Livestock_Data(), Table_SourceData_Scope3_Animals173[[#Headers],[Category]], 0, 2)</f>
        <v>kg liveweight</v>
      </c>
      <c r="H446" s="10" cm="1">
        <f t="array" ref="H446">Common_InputFunctions.Utility_DisplayArrayInTable(Scope3_SourceData.Scope3_Livestock_Data(), Table_SourceData_Scope3_Animals173[[#Headers],[Category]], 0, 2)</f>
        <v>10.9</v>
      </c>
      <c r="I446" s="10" t="str" cm="1">
        <f t="array" ref="I446">Common_InputFunctions.Utility_DisplayArrayInTable(Scope3_SourceData.Scope3_Livestock_Data(), Table_SourceData_Scope3_Animals173[[#Headers],[Category]], 0, 2)</f>
        <v>at market</v>
      </c>
      <c r="M446" s="8"/>
    </row>
    <row r="447" spans="4:13" x14ac:dyDescent="0.25">
      <c r="D447" s="10" t="str" cm="1">
        <f t="array" ref="D447">Common_InputFunctions.Utility_DisplayArrayInTable(Scope3_SourceData.Scope3_Livestock_Data(), Table_SourceData_Scope3_Animals173[[#Headers],[Category]], 0, 2)</f>
        <v>Beef cattle</v>
      </c>
      <c r="E447" s="10" t="str" cm="1">
        <f t="array" ref="E447">Common_InputFunctions.Utility_DisplayArrayInTable(Scope3_SourceData.Scope3_Livestock_Data(), Table_SourceData_Scope3_Animals173[[#Headers],[Category]], 0, 2)</f>
        <v>Cattle, for manufacturing beef</v>
      </c>
      <c r="F447" s="10" t="str" cm="1">
        <f t="array" ref="F447">Common_InputFunctions.Utility_DisplayArrayInTable(Scope3_SourceData.Scope3_Livestock_Data(), Table_SourceData_Scope3_Animals173[[#Headers],[Category]], 0, 2)</f>
        <v>SA</v>
      </c>
      <c r="G447" s="10" t="str" cm="1">
        <f t="array" ref="G447">Common_InputFunctions.Utility_DisplayArrayInTable(Scope3_SourceData.Scope3_Livestock_Data(), Table_SourceData_Scope3_Animals173[[#Headers],[Category]], 0, 2)</f>
        <v>kg liveweight</v>
      </c>
      <c r="H447" s="10" cm="1">
        <f t="array" ref="H447">Common_InputFunctions.Utility_DisplayArrayInTable(Scope3_SourceData.Scope3_Livestock_Data(), Table_SourceData_Scope3_Animals173[[#Headers],[Category]], 0, 2)</f>
        <v>7.63</v>
      </c>
      <c r="I447" s="10" t="str" cm="1">
        <f t="array" ref="I447">Common_InputFunctions.Utility_DisplayArrayInTable(Scope3_SourceData.Scope3_Livestock_Data(), Table_SourceData_Scope3_Animals173[[#Headers],[Category]], 0, 2)</f>
        <v>at market</v>
      </c>
      <c r="M447" s="8"/>
    </row>
    <row r="448" spans="4:13" x14ac:dyDescent="0.25">
      <c r="D448" s="10" t="str" cm="1">
        <f t="array" ref="D448">Common_InputFunctions.Utility_DisplayArrayInTable(Scope3_SourceData.Scope3_Livestock_Data(), Table_SourceData_Scope3_Animals173[[#Headers],[Category]], 0, 2)</f>
        <v>Beef cattle</v>
      </c>
      <c r="E448" s="10" t="str" cm="1">
        <f t="array" ref="E448">Common_InputFunctions.Utility_DisplayArrayInTable(Scope3_SourceData.Scope3_Livestock_Data(), Table_SourceData_Scope3_Animals173[[#Headers],[Category]], 0, 2)</f>
        <v>Cattle, for manufacturing beef</v>
      </c>
      <c r="F448" s="10" t="str" cm="1">
        <f t="array" ref="F448">Common_InputFunctions.Utility_DisplayArrayInTable(Scope3_SourceData.Scope3_Livestock_Data(), Table_SourceData_Scope3_Animals173[[#Headers],[Category]], 0, 2)</f>
        <v>TAS</v>
      </c>
      <c r="G448" s="10" t="str" cm="1">
        <f t="array" ref="G448">Common_InputFunctions.Utility_DisplayArrayInTable(Scope3_SourceData.Scope3_Livestock_Data(), Table_SourceData_Scope3_Animals173[[#Headers],[Category]], 0, 2)</f>
        <v>kg liveweight</v>
      </c>
      <c r="H448" s="10" cm="1">
        <f t="array" ref="H448">Common_InputFunctions.Utility_DisplayArrayInTable(Scope3_SourceData.Scope3_Livestock_Data(), Table_SourceData_Scope3_Animals173[[#Headers],[Category]], 0, 2)</f>
        <v>8.75</v>
      </c>
      <c r="I448" s="10" t="str" cm="1">
        <f t="array" ref="I448">Common_InputFunctions.Utility_DisplayArrayInTable(Scope3_SourceData.Scope3_Livestock_Data(), Table_SourceData_Scope3_Animals173[[#Headers],[Category]], 0, 2)</f>
        <v>at market</v>
      </c>
      <c r="M448" s="8"/>
    </row>
    <row r="449" spans="4:13" x14ac:dyDescent="0.25">
      <c r="D449" s="10" t="str" cm="1">
        <f t="array" ref="D449">Common_InputFunctions.Utility_DisplayArrayInTable(Scope3_SourceData.Scope3_Livestock_Data(), Table_SourceData_Scope3_Animals173[[#Headers],[Category]], 0, 2)</f>
        <v>Beef cattle</v>
      </c>
      <c r="E449" s="10" t="str" cm="1">
        <f t="array" ref="E449">Common_InputFunctions.Utility_DisplayArrayInTable(Scope3_SourceData.Scope3_Livestock_Data(), Table_SourceData_Scope3_Animals173[[#Headers],[Category]], 0, 2)</f>
        <v>Cattle, for manufacturing beef</v>
      </c>
      <c r="F449" s="10" t="str" cm="1">
        <f t="array" ref="F449">Common_InputFunctions.Utility_DisplayArrayInTable(Scope3_SourceData.Scope3_Livestock_Data(), Table_SourceData_Scope3_Animals173[[#Headers],[Category]], 0, 2)</f>
        <v>VIC</v>
      </c>
      <c r="G449" s="10" t="str" cm="1">
        <f t="array" ref="G449">Common_InputFunctions.Utility_DisplayArrayInTable(Scope3_SourceData.Scope3_Livestock_Data(), Table_SourceData_Scope3_Animals173[[#Headers],[Category]], 0, 2)</f>
        <v>kg liveweight</v>
      </c>
      <c r="H449" s="10" cm="1">
        <f t="array" ref="H449">Common_InputFunctions.Utility_DisplayArrayInTable(Scope3_SourceData.Scope3_Livestock_Data(), Table_SourceData_Scope3_Animals173[[#Headers],[Category]], 0, 2)</f>
        <v>8.17</v>
      </c>
      <c r="I449" s="10" t="str" cm="1">
        <f t="array" ref="I449">Common_InputFunctions.Utility_DisplayArrayInTable(Scope3_SourceData.Scope3_Livestock_Data(), Table_SourceData_Scope3_Animals173[[#Headers],[Category]], 0, 2)</f>
        <v>at market</v>
      </c>
      <c r="M449" s="8"/>
    </row>
    <row r="450" spans="4:13" x14ac:dyDescent="0.25">
      <c r="D450" s="10" t="str" cm="1">
        <f t="array" ref="D450">Common_InputFunctions.Utility_DisplayArrayInTable(Scope3_SourceData.Scope3_Livestock_Data(), Table_SourceData_Scope3_Animals173[[#Headers],[Category]], 0, 2)</f>
        <v>Beef cattle</v>
      </c>
      <c r="E450" s="10" t="str" cm="1">
        <f t="array" ref="E450">Common_InputFunctions.Utility_DisplayArrayInTable(Scope3_SourceData.Scope3_Livestock_Data(), Table_SourceData_Scope3_Animals173[[#Headers],[Category]], 0, 2)</f>
        <v>Cattle, for manufacturing beef</v>
      </c>
      <c r="F450" s="10" t="str" cm="1">
        <f t="array" ref="F450">Common_InputFunctions.Utility_DisplayArrayInTable(Scope3_SourceData.Scope3_Livestock_Data(), Table_SourceData_Scope3_Animals173[[#Headers],[Category]], 0, 2)</f>
        <v>WA</v>
      </c>
      <c r="G450" s="10" t="str" cm="1">
        <f t="array" ref="G450">Common_InputFunctions.Utility_DisplayArrayInTable(Scope3_SourceData.Scope3_Livestock_Data(), Table_SourceData_Scope3_Animals173[[#Headers],[Category]], 0, 2)</f>
        <v>kg liveweight</v>
      </c>
      <c r="H450" s="10" cm="1">
        <f t="array" ref="H450">Common_InputFunctions.Utility_DisplayArrayInTable(Scope3_SourceData.Scope3_Livestock_Data(), Table_SourceData_Scope3_Animals173[[#Headers],[Category]], 0, 2)</f>
        <v>13.1</v>
      </c>
      <c r="I450" s="10" t="str" cm="1">
        <f t="array" ref="I450">Common_InputFunctions.Utility_DisplayArrayInTable(Scope3_SourceData.Scope3_Livestock_Data(), Table_SourceData_Scope3_Animals173[[#Headers],[Category]], 0, 2)</f>
        <v>at market</v>
      </c>
      <c r="M450" s="8"/>
    </row>
    <row r="451" spans="4:13" x14ac:dyDescent="0.25">
      <c r="D451" s="10" t="str" cm="1">
        <f t="array" ref="D451">Common_InputFunctions.Utility_DisplayArrayInTable(Scope3_SourceData.Scope3_Livestock_Data(), Table_SourceData_Scope3_Animals173[[#Headers],[Category]], 0, 2)</f>
        <v>Beef cattle</v>
      </c>
      <c r="E451" s="10" t="str" cm="1">
        <f t="array" ref="E451">Common_InputFunctions.Utility_DisplayArrayInTable(Scope3_SourceData.Scope3_Livestock_Data(), Table_SourceData_Scope3_Animals173[[#Headers],[Category]], 0, 2)</f>
        <v>Cattle, for prime beef</v>
      </c>
      <c r="F451" s="10" t="str" cm="1">
        <f t="array" ref="F451">Common_InputFunctions.Utility_DisplayArrayInTable(Scope3_SourceData.Scope3_Livestock_Data(), Table_SourceData_Scope3_Animals173[[#Headers],[Category]], 0, 2)</f>
        <v>Australia</v>
      </c>
      <c r="G451" s="10" t="str" cm="1">
        <f t="array" ref="G451">Common_InputFunctions.Utility_DisplayArrayInTable(Scope3_SourceData.Scope3_Livestock_Data(), Table_SourceData_Scope3_Animals173[[#Headers],[Category]], 0, 2)</f>
        <v>kg liveweight</v>
      </c>
      <c r="H451" s="10" cm="1">
        <f t="array" ref="H451">Common_InputFunctions.Utility_DisplayArrayInTable(Scope3_SourceData.Scope3_Livestock_Data(), Table_SourceData_Scope3_Animals173[[#Headers],[Category]], 0, 2)</f>
        <v>14.5</v>
      </c>
      <c r="I451" s="10" t="str" cm="1">
        <f t="array" ref="I451">Common_InputFunctions.Utility_DisplayArrayInTable(Scope3_SourceData.Scope3_Livestock_Data(), Table_SourceData_Scope3_Animals173[[#Headers],[Category]], 0, 2)</f>
        <v>at market</v>
      </c>
      <c r="M451" s="8"/>
    </row>
    <row r="452" spans="4:13" x14ac:dyDescent="0.25">
      <c r="D452" s="10" t="str" cm="1">
        <f t="array" ref="D452">Common_InputFunctions.Utility_DisplayArrayInTable(Scope3_SourceData.Scope3_Livestock_Data(), Table_SourceData_Scope3_Animals173[[#Headers],[Category]], 0, 2)</f>
        <v>Beef cattle</v>
      </c>
      <c r="E452" s="10" t="str" cm="1">
        <f t="array" ref="E452">Common_InputFunctions.Utility_DisplayArrayInTable(Scope3_SourceData.Scope3_Livestock_Data(), Table_SourceData_Scope3_Animals173[[#Headers],[Category]], 0, 2)</f>
        <v>Cattle, for prime beef</v>
      </c>
      <c r="F452" s="10" t="str" cm="1">
        <f t="array" ref="F452">Common_InputFunctions.Utility_DisplayArrayInTable(Scope3_SourceData.Scope3_Livestock_Data(), Table_SourceData_Scope3_Animals173[[#Headers],[Category]], 0, 2)</f>
        <v>NSW</v>
      </c>
      <c r="G452" s="10" t="str" cm="1">
        <f t="array" ref="G452">Common_InputFunctions.Utility_DisplayArrayInTable(Scope3_SourceData.Scope3_Livestock_Data(), Table_SourceData_Scope3_Animals173[[#Headers],[Category]], 0, 2)</f>
        <v>kg liveweight</v>
      </c>
      <c r="H452" s="10" cm="1">
        <f t="array" ref="H452">Common_InputFunctions.Utility_DisplayArrayInTable(Scope3_SourceData.Scope3_Livestock_Data(), Table_SourceData_Scope3_Animals173[[#Headers],[Category]], 0, 2)</f>
        <v>11.3</v>
      </c>
      <c r="I452" s="10" t="str" cm="1">
        <f t="array" ref="I452">Common_InputFunctions.Utility_DisplayArrayInTable(Scope3_SourceData.Scope3_Livestock_Data(), Table_SourceData_Scope3_Animals173[[#Headers],[Category]], 0, 2)</f>
        <v>at market</v>
      </c>
      <c r="M452" s="8"/>
    </row>
    <row r="453" spans="4:13" x14ac:dyDescent="0.25">
      <c r="D453" s="10" t="str" cm="1">
        <f t="array" ref="D453">Common_InputFunctions.Utility_DisplayArrayInTable(Scope3_SourceData.Scope3_Livestock_Data(), Table_SourceData_Scope3_Animals173[[#Headers],[Category]], 0, 2)</f>
        <v>Beef cattle</v>
      </c>
      <c r="E453" s="10" t="str" cm="1">
        <f t="array" ref="E453">Common_InputFunctions.Utility_DisplayArrayInTable(Scope3_SourceData.Scope3_Livestock_Data(), Table_SourceData_Scope3_Animals173[[#Headers],[Category]], 0, 2)</f>
        <v>Cattle, for prime beef</v>
      </c>
      <c r="F453" s="10" t="str" cm="1">
        <f t="array" ref="F453">Common_InputFunctions.Utility_DisplayArrayInTable(Scope3_SourceData.Scope3_Livestock_Data(), Table_SourceData_Scope3_Animals173[[#Headers],[Category]], 0, 2)</f>
        <v>NT</v>
      </c>
      <c r="G453" s="10" t="str" cm="1">
        <f t="array" ref="G453">Common_InputFunctions.Utility_DisplayArrayInTable(Scope3_SourceData.Scope3_Livestock_Data(), Table_SourceData_Scope3_Animals173[[#Headers],[Category]], 0, 2)</f>
        <v>kg liveweight</v>
      </c>
      <c r="H453" s="10" cm="1">
        <f t="array" ref="H453">Common_InputFunctions.Utility_DisplayArrayInTable(Scope3_SourceData.Scope3_Livestock_Data(), Table_SourceData_Scope3_Animals173[[#Headers],[Category]], 0, 2)</f>
        <v>18.899999999999999</v>
      </c>
      <c r="I453" s="10" t="str" cm="1">
        <f t="array" ref="I453">Common_InputFunctions.Utility_DisplayArrayInTable(Scope3_SourceData.Scope3_Livestock_Data(), Table_SourceData_Scope3_Animals173[[#Headers],[Category]], 0, 2)</f>
        <v>at market</v>
      </c>
      <c r="M453" s="8"/>
    </row>
    <row r="454" spans="4:13" x14ac:dyDescent="0.25">
      <c r="D454" s="10" t="str" cm="1">
        <f t="array" ref="D454">Common_InputFunctions.Utility_DisplayArrayInTable(Scope3_SourceData.Scope3_Livestock_Data(), Table_SourceData_Scope3_Animals173[[#Headers],[Category]], 0, 2)</f>
        <v>Beef cattle</v>
      </c>
      <c r="E454" s="10" t="str" cm="1">
        <f t="array" ref="E454">Common_InputFunctions.Utility_DisplayArrayInTable(Scope3_SourceData.Scope3_Livestock_Data(), Table_SourceData_Scope3_Animals173[[#Headers],[Category]], 0, 2)</f>
        <v>Cattle, for prime beef</v>
      </c>
      <c r="F454" s="10" t="str" cm="1">
        <f t="array" ref="F454">Common_InputFunctions.Utility_DisplayArrayInTable(Scope3_SourceData.Scope3_Livestock_Data(), Table_SourceData_Scope3_Animals173[[#Headers],[Category]], 0, 2)</f>
        <v>QLD</v>
      </c>
      <c r="G454" s="10" t="str" cm="1">
        <f t="array" ref="G454">Common_InputFunctions.Utility_DisplayArrayInTable(Scope3_SourceData.Scope3_Livestock_Data(), Table_SourceData_Scope3_Animals173[[#Headers],[Category]], 0, 2)</f>
        <v>kg liveweight</v>
      </c>
      <c r="H454" s="10" cm="1">
        <f t="array" ref="H454">Common_InputFunctions.Utility_DisplayArrayInTable(Scope3_SourceData.Scope3_Livestock_Data(), Table_SourceData_Scope3_Animals173[[#Headers],[Category]], 0, 2)</f>
        <v>13.9</v>
      </c>
      <c r="I454" s="10" t="str" cm="1">
        <f t="array" ref="I454">Common_InputFunctions.Utility_DisplayArrayInTable(Scope3_SourceData.Scope3_Livestock_Data(), Table_SourceData_Scope3_Animals173[[#Headers],[Category]], 0, 2)</f>
        <v>at market</v>
      </c>
      <c r="M454" s="8"/>
    </row>
    <row r="455" spans="4:13" x14ac:dyDescent="0.25">
      <c r="D455" s="10" t="str" cm="1">
        <f t="array" ref="D455">Common_InputFunctions.Utility_DisplayArrayInTable(Scope3_SourceData.Scope3_Livestock_Data(), Table_SourceData_Scope3_Animals173[[#Headers],[Category]], 0, 2)</f>
        <v>Beef cattle</v>
      </c>
      <c r="E455" s="10" t="str" cm="1">
        <f t="array" ref="E455">Common_InputFunctions.Utility_DisplayArrayInTable(Scope3_SourceData.Scope3_Livestock_Data(), Table_SourceData_Scope3_Animals173[[#Headers],[Category]], 0, 2)</f>
        <v>Cattle, for prime beef</v>
      </c>
      <c r="F455" s="10" t="str" cm="1">
        <f t="array" ref="F455">Common_InputFunctions.Utility_DisplayArrayInTable(Scope3_SourceData.Scope3_Livestock_Data(), Table_SourceData_Scope3_Animals173[[#Headers],[Category]], 0, 2)</f>
        <v>SA</v>
      </c>
      <c r="G455" s="10" t="str" cm="1">
        <f t="array" ref="G455">Common_InputFunctions.Utility_DisplayArrayInTable(Scope3_SourceData.Scope3_Livestock_Data(), Table_SourceData_Scope3_Animals173[[#Headers],[Category]], 0, 2)</f>
        <v>kg liveweight</v>
      </c>
      <c r="H455" s="10" cm="1">
        <f t="array" ref="H455">Common_InputFunctions.Utility_DisplayArrayInTable(Scope3_SourceData.Scope3_Livestock_Data(), Table_SourceData_Scope3_Animals173[[#Headers],[Category]], 0, 2)</f>
        <v>12.3</v>
      </c>
      <c r="I455" s="10" t="str" cm="1">
        <f t="array" ref="I455">Common_InputFunctions.Utility_DisplayArrayInTable(Scope3_SourceData.Scope3_Livestock_Data(), Table_SourceData_Scope3_Animals173[[#Headers],[Category]], 0, 2)</f>
        <v>at market</v>
      </c>
    </row>
    <row r="456" spans="4:13" x14ac:dyDescent="0.25">
      <c r="D456" s="10" t="str" cm="1">
        <f t="array" ref="D456">Common_InputFunctions.Utility_DisplayArrayInTable(Scope3_SourceData.Scope3_Livestock_Data(), Table_SourceData_Scope3_Animals173[[#Headers],[Category]], 0, 2)</f>
        <v>Beef cattle</v>
      </c>
      <c r="E456" s="10" t="str" cm="1">
        <f t="array" ref="E456">Common_InputFunctions.Utility_DisplayArrayInTable(Scope3_SourceData.Scope3_Livestock_Data(), Table_SourceData_Scope3_Animals173[[#Headers],[Category]], 0, 2)</f>
        <v>Cattle, for prime beef</v>
      </c>
      <c r="F456" s="10" t="str" cm="1">
        <f t="array" ref="F456">Common_InputFunctions.Utility_DisplayArrayInTable(Scope3_SourceData.Scope3_Livestock_Data(), Table_SourceData_Scope3_Animals173[[#Headers],[Category]], 0, 2)</f>
        <v>TAS</v>
      </c>
      <c r="G456" s="10" t="str" cm="1">
        <f t="array" ref="G456">Common_InputFunctions.Utility_DisplayArrayInTable(Scope3_SourceData.Scope3_Livestock_Data(), Table_SourceData_Scope3_Animals173[[#Headers],[Category]], 0, 2)</f>
        <v>kg liveweight</v>
      </c>
      <c r="H456" s="10" cm="1">
        <f t="array" ref="H456">Common_InputFunctions.Utility_DisplayArrayInTable(Scope3_SourceData.Scope3_Livestock_Data(), Table_SourceData_Scope3_Animals173[[#Headers],[Category]], 0, 2)</f>
        <v>11.5</v>
      </c>
      <c r="I456" s="10" t="str" cm="1">
        <f t="array" ref="I456">Common_InputFunctions.Utility_DisplayArrayInTable(Scope3_SourceData.Scope3_Livestock_Data(), Table_SourceData_Scope3_Animals173[[#Headers],[Category]], 0, 2)</f>
        <v>at market</v>
      </c>
    </row>
    <row r="457" spans="4:13" x14ac:dyDescent="0.25">
      <c r="D457" s="10" t="str" cm="1">
        <f t="array" ref="D457">Common_InputFunctions.Utility_DisplayArrayInTable(Scope3_SourceData.Scope3_Livestock_Data(), Table_SourceData_Scope3_Animals173[[#Headers],[Category]], 0, 2)</f>
        <v>Beef cattle</v>
      </c>
      <c r="E457" s="10" t="str" cm="1">
        <f t="array" ref="E457">Common_InputFunctions.Utility_DisplayArrayInTable(Scope3_SourceData.Scope3_Livestock_Data(), Table_SourceData_Scope3_Animals173[[#Headers],[Category]], 0, 2)</f>
        <v>Cattle, for prime beef</v>
      </c>
      <c r="F457" s="10" t="str" cm="1">
        <f t="array" ref="F457">Common_InputFunctions.Utility_DisplayArrayInTable(Scope3_SourceData.Scope3_Livestock_Data(), Table_SourceData_Scope3_Animals173[[#Headers],[Category]], 0, 2)</f>
        <v>VIC</v>
      </c>
      <c r="G457" s="10" t="str" cm="1">
        <f t="array" ref="G457">Common_InputFunctions.Utility_DisplayArrayInTable(Scope3_SourceData.Scope3_Livestock_Data(), Table_SourceData_Scope3_Animals173[[#Headers],[Category]], 0, 2)</f>
        <v>kg liveweight</v>
      </c>
      <c r="H457" s="10" cm="1">
        <f t="array" ref="H457">Common_InputFunctions.Utility_DisplayArrayInTable(Scope3_SourceData.Scope3_Livestock_Data(), Table_SourceData_Scope3_Animals173[[#Headers],[Category]], 0, 2)</f>
        <v>11.5</v>
      </c>
      <c r="I457" s="10" t="str" cm="1">
        <f t="array" ref="I457">Common_InputFunctions.Utility_DisplayArrayInTable(Scope3_SourceData.Scope3_Livestock_Data(), Table_SourceData_Scope3_Animals173[[#Headers],[Category]], 0, 2)</f>
        <v>at market</v>
      </c>
    </row>
    <row r="458" spans="4:13" x14ac:dyDescent="0.25">
      <c r="D458" s="10" t="str" cm="1">
        <f t="array" ref="D458">Common_InputFunctions.Utility_DisplayArrayInTable(Scope3_SourceData.Scope3_Livestock_Data(), Table_SourceData_Scope3_Animals173[[#Headers],[Category]], 0, 2)</f>
        <v>Beef cattle</v>
      </c>
      <c r="E458" s="10" t="str" cm="1">
        <f t="array" ref="E458">Common_InputFunctions.Utility_DisplayArrayInTable(Scope3_SourceData.Scope3_Livestock_Data(), Table_SourceData_Scope3_Animals173[[#Headers],[Category]], 0, 2)</f>
        <v>Cattle, for prime beef</v>
      </c>
      <c r="F458" s="10" t="str" cm="1">
        <f t="array" ref="F458">Common_InputFunctions.Utility_DisplayArrayInTable(Scope3_SourceData.Scope3_Livestock_Data(), Table_SourceData_Scope3_Animals173[[#Headers],[Category]], 0, 2)</f>
        <v>WA</v>
      </c>
      <c r="G458" s="10" t="str" cm="1">
        <f t="array" ref="G458">Common_InputFunctions.Utility_DisplayArrayInTable(Scope3_SourceData.Scope3_Livestock_Data(), Table_SourceData_Scope3_Animals173[[#Headers],[Category]], 0, 2)</f>
        <v>kg liveweight</v>
      </c>
      <c r="H458" s="10" cm="1">
        <f t="array" ref="H458">Common_InputFunctions.Utility_DisplayArrayInTable(Scope3_SourceData.Scope3_Livestock_Data(), Table_SourceData_Scope3_Animals173[[#Headers],[Category]], 0, 2)</f>
        <v>20.8</v>
      </c>
      <c r="I458" s="10" t="str" cm="1">
        <f t="array" ref="I458">Common_InputFunctions.Utility_DisplayArrayInTable(Scope3_SourceData.Scope3_Livestock_Data(), Table_SourceData_Scope3_Animals173[[#Headers],[Category]], 0, 2)</f>
        <v>at market</v>
      </c>
    </row>
    <row r="459" spans="4:13" x14ac:dyDescent="0.25">
      <c r="D459" s="10" t="str" cm="1">
        <f t="array" ref="D459">Common_InputFunctions.Utility_DisplayArrayInTable(Scope3_SourceData.Scope3_Livestock_Data(), Table_SourceData_Scope3_Animals173[[#Headers],[Category]], 0, 2)</f>
        <v>Beef cattle</v>
      </c>
      <c r="E459" s="10" t="str" cm="1">
        <f t="array" ref="E459">Common_InputFunctions.Utility_DisplayArrayInTable(Scope3_SourceData.Scope3_Livestock_Data(), Table_SourceData_Scope3_Animals173[[#Headers],[Category]], 0, 2)</f>
        <v>Cattle, weaners</v>
      </c>
      <c r="F459" s="10" t="str" cm="1">
        <f t="array" ref="F459">Common_InputFunctions.Utility_DisplayArrayInTable(Scope3_SourceData.Scope3_Livestock_Data(), Table_SourceData_Scope3_Animals173[[#Headers],[Category]], 0, 2)</f>
        <v>Australia</v>
      </c>
      <c r="G459" s="10" t="str" cm="1">
        <f t="array" ref="G459">Common_InputFunctions.Utility_DisplayArrayInTable(Scope3_SourceData.Scope3_Livestock_Data(), Table_SourceData_Scope3_Animals173[[#Headers],[Category]], 0, 2)</f>
        <v>kg liveweight</v>
      </c>
      <c r="H459" s="10" cm="1">
        <f t="array" ref="H459">Common_InputFunctions.Utility_DisplayArrayInTable(Scope3_SourceData.Scope3_Livestock_Data(), Table_SourceData_Scope3_Animals173[[#Headers],[Category]], 0, 2)</f>
        <v>15.5</v>
      </c>
      <c r="I459" s="10" t="str" cm="1">
        <f t="array" ref="I459">Common_InputFunctions.Utility_DisplayArrayInTable(Scope3_SourceData.Scope3_Livestock_Data(), Table_SourceData_Scope3_Animals173[[#Headers],[Category]], 0, 2)</f>
        <v>at market</v>
      </c>
    </row>
    <row r="460" spans="4:13" x14ac:dyDescent="0.25">
      <c r="D460" s="10" t="str" cm="1">
        <f t="array" ref="D460">Common_InputFunctions.Utility_DisplayArrayInTable(Scope3_SourceData.Scope3_Livestock_Data(), Table_SourceData_Scope3_Animals173[[#Headers],[Category]], 0, 2)</f>
        <v>Beef cattle</v>
      </c>
      <c r="E460" s="10" t="str" cm="1">
        <f t="array" ref="E460">Common_InputFunctions.Utility_DisplayArrayInTable(Scope3_SourceData.Scope3_Livestock_Data(), Table_SourceData_Scope3_Animals173[[#Headers],[Category]], 0, 2)</f>
        <v>Cattle, weaners</v>
      </c>
      <c r="F460" s="10" t="str" cm="1">
        <f t="array" ref="F460">Common_InputFunctions.Utility_DisplayArrayInTable(Scope3_SourceData.Scope3_Livestock_Data(), Table_SourceData_Scope3_Animals173[[#Headers],[Category]], 0, 2)</f>
        <v>NSW</v>
      </c>
      <c r="G460" s="10" t="str" cm="1">
        <f t="array" ref="G460">Common_InputFunctions.Utility_DisplayArrayInTable(Scope3_SourceData.Scope3_Livestock_Data(), Table_SourceData_Scope3_Animals173[[#Headers],[Category]], 0, 2)</f>
        <v>kg liveweight</v>
      </c>
      <c r="H460" s="10" cm="1">
        <f t="array" ref="H460">Common_InputFunctions.Utility_DisplayArrayInTable(Scope3_SourceData.Scope3_Livestock_Data(), Table_SourceData_Scope3_Animals173[[#Headers],[Category]], 0, 2)</f>
        <v>12.7</v>
      </c>
      <c r="I460" s="10" t="str" cm="1">
        <f t="array" ref="I460">Common_InputFunctions.Utility_DisplayArrayInTable(Scope3_SourceData.Scope3_Livestock_Data(), Table_SourceData_Scope3_Animals173[[#Headers],[Category]], 0, 2)</f>
        <v>at market</v>
      </c>
    </row>
    <row r="461" spans="4:13" x14ac:dyDescent="0.25">
      <c r="D461" s="10" t="str" cm="1">
        <f t="array" ref="D461">Common_InputFunctions.Utility_DisplayArrayInTable(Scope3_SourceData.Scope3_Livestock_Data(), Table_SourceData_Scope3_Animals173[[#Headers],[Category]], 0, 2)</f>
        <v>Beef cattle</v>
      </c>
      <c r="E461" s="10" t="str" cm="1">
        <f t="array" ref="E461">Common_InputFunctions.Utility_DisplayArrayInTable(Scope3_SourceData.Scope3_Livestock_Data(), Table_SourceData_Scope3_Animals173[[#Headers],[Category]], 0, 2)</f>
        <v>Cattle, weaners</v>
      </c>
      <c r="F461" s="10" t="str" cm="1">
        <f t="array" ref="F461">Common_InputFunctions.Utility_DisplayArrayInTable(Scope3_SourceData.Scope3_Livestock_Data(), Table_SourceData_Scope3_Animals173[[#Headers],[Category]], 0, 2)</f>
        <v>NT</v>
      </c>
      <c r="G461" s="10" t="str" cm="1">
        <f t="array" ref="G461">Common_InputFunctions.Utility_DisplayArrayInTable(Scope3_SourceData.Scope3_Livestock_Data(), Table_SourceData_Scope3_Animals173[[#Headers],[Category]], 0, 2)</f>
        <v>kg liveweight</v>
      </c>
      <c r="H461" s="10" cm="1">
        <f t="array" ref="H461">Common_InputFunctions.Utility_DisplayArrayInTable(Scope3_SourceData.Scope3_Livestock_Data(), Table_SourceData_Scope3_Animals173[[#Headers],[Category]], 0, 2)</f>
        <v>19.100000000000001</v>
      </c>
      <c r="I461" s="10" t="str" cm="1">
        <f t="array" ref="I461">Common_InputFunctions.Utility_DisplayArrayInTable(Scope3_SourceData.Scope3_Livestock_Data(), Table_SourceData_Scope3_Animals173[[#Headers],[Category]], 0, 2)</f>
        <v>at market</v>
      </c>
    </row>
    <row r="462" spans="4:13" x14ac:dyDescent="0.25">
      <c r="D462" s="10" t="str" cm="1">
        <f t="array" ref="D462">Common_InputFunctions.Utility_DisplayArrayInTable(Scope3_SourceData.Scope3_Livestock_Data(), Table_SourceData_Scope3_Animals173[[#Headers],[Category]], 0, 2)</f>
        <v>Beef cattle</v>
      </c>
      <c r="E462" s="10" t="str" cm="1">
        <f t="array" ref="E462">Common_InputFunctions.Utility_DisplayArrayInTable(Scope3_SourceData.Scope3_Livestock_Data(), Table_SourceData_Scope3_Animals173[[#Headers],[Category]], 0, 2)</f>
        <v>Cattle, weaners</v>
      </c>
      <c r="F462" s="10" t="str" cm="1">
        <f t="array" ref="F462">Common_InputFunctions.Utility_DisplayArrayInTable(Scope3_SourceData.Scope3_Livestock_Data(), Table_SourceData_Scope3_Animals173[[#Headers],[Category]], 0, 2)</f>
        <v>QLD</v>
      </c>
      <c r="G462" s="10" t="str" cm="1">
        <f t="array" ref="G462">Common_InputFunctions.Utility_DisplayArrayInTable(Scope3_SourceData.Scope3_Livestock_Data(), Table_SourceData_Scope3_Animals173[[#Headers],[Category]], 0, 2)</f>
        <v>kg liveweight</v>
      </c>
      <c r="H462" s="10" cm="1">
        <f t="array" ref="H462">Common_InputFunctions.Utility_DisplayArrayInTable(Scope3_SourceData.Scope3_Livestock_Data(), Table_SourceData_Scope3_Animals173[[#Headers],[Category]], 0, 2)</f>
        <v>20.5</v>
      </c>
      <c r="I462" s="10" t="str" cm="1">
        <f t="array" ref="I462">Common_InputFunctions.Utility_DisplayArrayInTable(Scope3_SourceData.Scope3_Livestock_Data(), Table_SourceData_Scope3_Animals173[[#Headers],[Category]], 0, 2)</f>
        <v>at market</v>
      </c>
    </row>
    <row r="463" spans="4:13" x14ac:dyDescent="0.25">
      <c r="D463" s="10" t="str" cm="1">
        <f t="array" ref="D463">Common_InputFunctions.Utility_DisplayArrayInTable(Scope3_SourceData.Scope3_Livestock_Data(), Table_SourceData_Scope3_Animals173[[#Headers],[Category]], 0, 2)</f>
        <v>Beef cattle</v>
      </c>
      <c r="E463" s="10" t="str" cm="1">
        <f t="array" ref="E463">Common_InputFunctions.Utility_DisplayArrayInTable(Scope3_SourceData.Scope3_Livestock_Data(), Table_SourceData_Scope3_Animals173[[#Headers],[Category]], 0, 2)</f>
        <v>Cattle, weaners</v>
      </c>
      <c r="F463" s="10" t="str" cm="1">
        <f t="array" ref="F463">Common_InputFunctions.Utility_DisplayArrayInTable(Scope3_SourceData.Scope3_Livestock_Data(), Table_SourceData_Scope3_Animals173[[#Headers],[Category]], 0, 2)</f>
        <v>SA</v>
      </c>
      <c r="G463" s="10" t="str" cm="1">
        <f t="array" ref="G463">Common_InputFunctions.Utility_DisplayArrayInTable(Scope3_SourceData.Scope3_Livestock_Data(), Table_SourceData_Scope3_Animals173[[#Headers],[Category]], 0, 2)</f>
        <v>kg liveweight</v>
      </c>
      <c r="H463" s="10" cm="1">
        <f t="array" ref="H463">Common_InputFunctions.Utility_DisplayArrayInTable(Scope3_SourceData.Scope3_Livestock_Data(), Table_SourceData_Scope3_Animals173[[#Headers],[Category]], 0, 2)</f>
        <v>10.8</v>
      </c>
      <c r="I463" s="10" t="str" cm="1">
        <f t="array" ref="I463">Common_InputFunctions.Utility_DisplayArrayInTable(Scope3_SourceData.Scope3_Livestock_Data(), Table_SourceData_Scope3_Animals173[[#Headers],[Category]], 0, 2)</f>
        <v>at market</v>
      </c>
    </row>
    <row r="464" spans="4:13" x14ac:dyDescent="0.25">
      <c r="D464" s="10" t="str" cm="1">
        <f t="array" ref="D464">Common_InputFunctions.Utility_DisplayArrayInTable(Scope3_SourceData.Scope3_Livestock_Data(), Table_SourceData_Scope3_Animals173[[#Headers],[Category]], 0, 2)</f>
        <v>Beef cattle</v>
      </c>
      <c r="E464" s="10" t="str" cm="1">
        <f t="array" ref="E464">Common_InputFunctions.Utility_DisplayArrayInTable(Scope3_SourceData.Scope3_Livestock_Data(), Table_SourceData_Scope3_Animals173[[#Headers],[Category]], 0, 2)</f>
        <v>Cattle, weaners</v>
      </c>
      <c r="F464" s="10" t="str" cm="1">
        <f t="array" ref="F464">Common_InputFunctions.Utility_DisplayArrayInTable(Scope3_SourceData.Scope3_Livestock_Data(), Table_SourceData_Scope3_Animals173[[#Headers],[Category]], 0, 2)</f>
        <v>TAS</v>
      </c>
      <c r="G464" s="10" t="str" cm="1">
        <f t="array" ref="G464">Common_InputFunctions.Utility_DisplayArrayInTable(Scope3_SourceData.Scope3_Livestock_Data(), Table_SourceData_Scope3_Animals173[[#Headers],[Category]], 0, 2)</f>
        <v>kg liveweight</v>
      </c>
      <c r="H464" s="10" cm="1">
        <f t="array" ref="H464">Common_InputFunctions.Utility_DisplayArrayInTable(Scope3_SourceData.Scope3_Livestock_Data(), Table_SourceData_Scope3_Animals173[[#Headers],[Category]], 0, 2)</f>
        <v>13.4</v>
      </c>
      <c r="I464" s="10" t="str" cm="1">
        <f t="array" ref="I464">Common_InputFunctions.Utility_DisplayArrayInTable(Scope3_SourceData.Scope3_Livestock_Data(), Table_SourceData_Scope3_Animals173[[#Headers],[Category]], 0, 2)</f>
        <v>at market</v>
      </c>
    </row>
    <row r="465" spans="4:9" x14ac:dyDescent="0.25">
      <c r="D465" s="10" t="str" cm="1">
        <f t="array" ref="D465">Common_InputFunctions.Utility_DisplayArrayInTable(Scope3_SourceData.Scope3_Livestock_Data(), Table_SourceData_Scope3_Animals173[[#Headers],[Category]], 0, 2)</f>
        <v>Beef cattle</v>
      </c>
      <c r="E465" s="10" t="str" cm="1">
        <f t="array" ref="E465">Common_InputFunctions.Utility_DisplayArrayInTable(Scope3_SourceData.Scope3_Livestock_Data(), Table_SourceData_Scope3_Animals173[[#Headers],[Category]], 0, 2)</f>
        <v>Cattle, weaners</v>
      </c>
      <c r="F465" s="10" t="str" cm="1">
        <f t="array" ref="F465">Common_InputFunctions.Utility_DisplayArrayInTable(Scope3_SourceData.Scope3_Livestock_Data(), Table_SourceData_Scope3_Animals173[[#Headers],[Category]], 0, 2)</f>
        <v>VIC</v>
      </c>
      <c r="G465" s="10" t="str" cm="1">
        <f t="array" ref="G465">Common_InputFunctions.Utility_DisplayArrayInTable(Scope3_SourceData.Scope3_Livestock_Data(), Table_SourceData_Scope3_Animals173[[#Headers],[Category]], 0, 2)</f>
        <v>kg liveweight</v>
      </c>
      <c r="H465" s="10" cm="1">
        <f t="array" ref="H465">Common_InputFunctions.Utility_DisplayArrayInTable(Scope3_SourceData.Scope3_Livestock_Data(), Table_SourceData_Scope3_Animals173[[#Headers],[Category]], 0, 2)</f>
        <v>12</v>
      </c>
      <c r="I465" s="10" t="str" cm="1">
        <f t="array" ref="I465">Common_InputFunctions.Utility_DisplayArrayInTable(Scope3_SourceData.Scope3_Livestock_Data(), Table_SourceData_Scope3_Animals173[[#Headers],[Category]], 0, 2)</f>
        <v>at market</v>
      </c>
    </row>
    <row r="466" spans="4:9" x14ac:dyDescent="0.25">
      <c r="D466" s="10" t="str" cm="1">
        <f t="array" ref="D466">Common_InputFunctions.Utility_DisplayArrayInTable(Scope3_SourceData.Scope3_Livestock_Data(), Table_SourceData_Scope3_Animals173[[#Headers],[Category]], 0, 2)</f>
        <v>Beef cattle</v>
      </c>
      <c r="E466" s="10" t="str" cm="1">
        <f t="array" ref="E466">Common_InputFunctions.Utility_DisplayArrayInTable(Scope3_SourceData.Scope3_Livestock_Data(), Table_SourceData_Scope3_Animals173[[#Headers],[Category]], 0, 2)</f>
        <v>Cattle, weaners</v>
      </c>
      <c r="F466" s="10" t="str" cm="1">
        <f t="array" ref="F466">Common_InputFunctions.Utility_DisplayArrayInTable(Scope3_SourceData.Scope3_Livestock_Data(), Table_SourceData_Scope3_Animals173[[#Headers],[Category]], 0, 2)</f>
        <v>WA</v>
      </c>
      <c r="G466" s="10" t="str" cm="1">
        <f t="array" ref="G466">Common_InputFunctions.Utility_DisplayArrayInTable(Scope3_SourceData.Scope3_Livestock_Data(), Table_SourceData_Scope3_Animals173[[#Headers],[Category]], 0, 2)</f>
        <v>kg liveweight</v>
      </c>
      <c r="H466" s="10" cm="1">
        <f t="array" ref="H466">Common_InputFunctions.Utility_DisplayArrayInTable(Scope3_SourceData.Scope3_Livestock_Data(), Table_SourceData_Scope3_Animals173[[#Headers],[Category]], 0, 2)</f>
        <v>12.4</v>
      </c>
      <c r="I466" s="10" t="str" cm="1">
        <f t="array" ref="I466">Common_InputFunctions.Utility_DisplayArrayInTable(Scope3_SourceData.Scope3_Livestock_Data(), Table_SourceData_Scope3_Animals173[[#Headers],[Category]], 0, 2)</f>
        <v>at market</v>
      </c>
    </row>
    <row r="467" spans="4:9" x14ac:dyDescent="0.25">
      <c r="D467" s="10" t="str" cm="1">
        <f t="array" ref="D467">Common_InputFunctions.Utility_DisplayArrayInTable(Scope3_SourceData.Scope3_Livestock_Data(), Table_SourceData_Scope3_Animals173[[#Headers],[Category]], 0, 2)</f>
        <v>Chickens</v>
      </c>
      <c r="E467" s="10" t="str" cm="1">
        <f t="array" ref="E467">Common_InputFunctions.Utility_DisplayArrayInTable(Scope3_SourceData.Scope3_Livestock_Data(), Table_SourceData_Scope3_Animals173[[#Headers],[Category]], 0, 2)</f>
        <v>Chickens</v>
      </c>
      <c r="F467" s="10" t="str" cm="1">
        <f t="array" ref="F467">Common_InputFunctions.Utility_DisplayArrayInTable(Scope3_SourceData.Scope3_Livestock_Data(), Table_SourceData_Scope3_Animals173[[#Headers],[Category]], 0, 2)</f>
        <v>Australia</v>
      </c>
      <c r="G467" s="10" t="str" cm="1">
        <f t="array" ref="G467">Common_InputFunctions.Utility_DisplayArrayInTable(Scope3_SourceData.Scope3_Livestock_Data(), Table_SourceData_Scope3_Animals173[[#Headers],[Category]], 0, 2)</f>
        <v>kg liveweight</v>
      </c>
      <c r="H467" s="10" cm="1">
        <f t="array" ref="H467">Common_InputFunctions.Utility_DisplayArrayInTable(Scope3_SourceData.Scope3_Livestock_Data(), Table_SourceData_Scope3_Animals173[[#Headers],[Category]], 0, 2)</f>
        <v>1.36</v>
      </c>
      <c r="I467" s="10" t="str" cm="1">
        <f t="array" ref="I467">Common_InputFunctions.Utility_DisplayArrayInTable(Scope3_SourceData.Scope3_Livestock_Data(), Table_SourceData_Scope3_Animals173[[#Headers],[Category]], 0, 2)</f>
        <v>at market</v>
      </c>
    </row>
    <row r="468" spans="4:9" x14ac:dyDescent="0.25">
      <c r="D468" s="10" t="str" cm="1">
        <f t="array" ref="D468">Common_InputFunctions.Utility_DisplayArrayInTable(Scope3_SourceData.Scope3_Livestock_Data(), Table_SourceData_Scope3_Animals173[[#Headers],[Category]], 0, 2)</f>
        <v>Dairy cattle</v>
      </c>
      <c r="E468" s="10" t="str" cm="1">
        <f t="array" ref="E468">Common_InputFunctions.Utility_DisplayArrayInTable(Scope3_SourceData.Scope3_Livestock_Data(), Table_SourceData_Scope3_Animals173[[#Headers],[Category]], 0, 2)</f>
        <v>Dairy cows</v>
      </c>
      <c r="F468" s="10" t="str" cm="1">
        <f t="array" ref="F468">Common_InputFunctions.Utility_DisplayArrayInTable(Scope3_SourceData.Scope3_Livestock_Data(), Table_SourceData_Scope3_Animals173[[#Headers],[Category]], 0, 2)</f>
        <v>VIC</v>
      </c>
      <c r="G468" s="10" t="str" cm="1">
        <f t="array" ref="G468">Common_InputFunctions.Utility_DisplayArrayInTable(Scope3_SourceData.Scope3_Livestock_Data(), Table_SourceData_Scope3_Animals173[[#Headers],[Category]], 0, 2)</f>
        <v>kg liveweight</v>
      </c>
      <c r="H468" s="10" cm="1">
        <f t="array" ref="H468">Common_InputFunctions.Utility_DisplayArrayInTable(Scope3_SourceData.Scope3_Livestock_Data(), Table_SourceData_Scope3_Animals173[[#Headers],[Category]], 0, 2)</f>
        <v>4.41</v>
      </c>
      <c r="I468" s="10" t="str" cm="1">
        <f t="array" ref="I468">Common_InputFunctions.Utility_DisplayArrayInTable(Scope3_SourceData.Scope3_Livestock_Data(), Table_SourceData_Scope3_Animals173[[#Headers],[Category]], 0, 2)</f>
        <v>at market</v>
      </c>
    </row>
    <row r="469" spans="4:9" x14ac:dyDescent="0.25">
      <c r="D469" s="10" t="str" cm="1">
        <f t="array" ref="D469">Common_InputFunctions.Utility_DisplayArrayInTable(Scope3_SourceData.Scope3_Livestock_Data(), Table_SourceData_Scope3_Animals173[[#Headers],[Category]], 0, 2)</f>
        <v>Pigs</v>
      </c>
      <c r="E469" s="10" t="str" cm="1">
        <f t="array" ref="E469">Common_InputFunctions.Utility_DisplayArrayInTable(Scope3_SourceData.Scope3_Livestock_Data(), Table_SourceData_Scope3_Animals173[[#Headers],[Category]], 0, 2)</f>
        <v>Pigs</v>
      </c>
      <c r="F469" s="10" t="str" cm="1">
        <f t="array" ref="F469">Common_InputFunctions.Utility_DisplayArrayInTable(Scope3_SourceData.Scope3_Livestock_Data(), Table_SourceData_Scope3_Animals173[[#Headers],[Category]], 0, 2)</f>
        <v>Australia</v>
      </c>
      <c r="G469" s="10" t="str" cm="1">
        <f t="array" ref="G469">Common_InputFunctions.Utility_DisplayArrayInTable(Scope3_SourceData.Scope3_Livestock_Data(), Table_SourceData_Scope3_Animals173[[#Headers],[Category]], 0, 2)</f>
        <v>kg liveweight</v>
      </c>
      <c r="H469" s="10" cm="1">
        <f t="array" ref="H469">Common_InputFunctions.Utility_DisplayArrayInTable(Scope3_SourceData.Scope3_Livestock_Data(), Table_SourceData_Scope3_Animals173[[#Headers],[Category]], 0, 2)</f>
        <v>3.38</v>
      </c>
      <c r="I469" s="10" t="str" cm="1">
        <f t="array" ref="I469">Common_InputFunctions.Utility_DisplayArrayInTable(Scope3_SourceData.Scope3_Livestock_Data(), Table_SourceData_Scope3_Animals173[[#Headers],[Category]], 0, 2)</f>
        <v>at market</v>
      </c>
    </row>
    <row r="470" spans="4:9" x14ac:dyDescent="0.25">
      <c r="D470" s="10" t="str" cm="1">
        <f t="array" ref="D470">Common_InputFunctions.Utility_DisplayArrayInTable(Scope3_SourceData.Scope3_Livestock_Data(), Table_SourceData_Scope3_Animals173[[#Headers],[Category]], 0, 2)</f>
        <v>Sheep</v>
      </c>
      <c r="E470" s="10" t="str" cm="1">
        <f t="array" ref="E470">Common_InputFunctions.Utility_DisplayArrayInTable(Scope3_SourceData.Scope3_Livestock_Data(), Table_SourceData_Scope3_Animals173[[#Headers],[Category]], 0, 2)</f>
        <v>Sheep, for mutton</v>
      </c>
      <c r="F470" s="10" t="str" cm="1">
        <f t="array" ref="F470">Common_InputFunctions.Utility_DisplayArrayInTable(Scope3_SourceData.Scope3_Livestock_Data(), Table_SourceData_Scope3_Animals173[[#Headers],[Category]], 0, 2)</f>
        <v>Australia</v>
      </c>
      <c r="G470" s="10" t="str" cm="1">
        <f t="array" ref="G470">Common_InputFunctions.Utility_DisplayArrayInTable(Scope3_SourceData.Scope3_Livestock_Data(), Table_SourceData_Scope3_Animals173[[#Headers],[Category]], 0, 2)</f>
        <v>kg liveweight</v>
      </c>
      <c r="H470" s="10" cm="1">
        <f t="array" ref="H470">Common_InputFunctions.Utility_DisplayArrayInTable(Scope3_SourceData.Scope3_Livestock_Data(), Table_SourceData_Scope3_Animals173[[#Headers],[Category]], 0, 2)</f>
        <v>6.81</v>
      </c>
      <c r="I470" s="10" t="str" cm="1">
        <f t="array" ref="I470">Common_InputFunctions.Utility_DisplayArrayInTable(Scope3_SourceData.Scope3_Livestock_Data(), Table_SourceData_Scope3_Animals173[[#Headers],[Category]], 0, 2)</f>
        <v>at market</v>
      </c>
    </row>
    <row r="471" spans="4:9" x14ac:dyDescent="0.25">
      <c r="D471" s="10" t="str" cm="1">
        <f t="array" ref="D471">Common_InputFunctions.Utility_DisplayArrayInTable(Scope3_SourceData.Scope3_Livestock_Data(), Table_SourceData_Scope3_Animals173[[#Headers],[Category]], 0, 2)</f>
        <v>Sheep</v>
      </c>
      <c r="E471" s="10" t="str" cm="1">
        <f t="array" ref="E471">Common_InputFunctions.Utility_DisplayArrayInTable(Scope3_SourceData.Scope3_Livestock_Data(), Table_SourceData_Scope3_Animals173[[#Headers],[Category]], 0, 2)</f>
        <v>Sheep, for mutton</v>
      </c>
      <c r="F471" s="10" t="str" cm="1">
        <f t="array" ref="F471">Common_InputFunctions.Utility_DisplayArrayInTable(Scope3_SourceData.Scope3_Livestock_Data(), Table_SourceData_Scope3_Animals173[[#Headers],[Category]], 0, 2)</f>
        <v>NSW</v>
      </c>
      <c r="G471" s="10" t="str" cm="1">
        <f t="array" ref="G471">Common_InputFunctions.Utility_DisplayArrayInTable(Scope3_SourceData.Scope3_Livestock_Data(), Table_SourceData_Scope3_Animals173[[#Headers],[Category]], 0, 2)</f>
        <v>kg liveweight</v>
      </c>
      <c r="H471" s="10" cm="1">
        <f t="array" ref="H471">Common_InputFunctions.Utility_DisplayArrayInTable(Scope3_SourceData.Scope3_Livestock_Data(), Table_SourceData_Scope3_Animals173[[#Headers],[Category]], 0, 2)</f>
        <v>2.2599999999999998</v>
      </c>
      <c r="I471" s="10" t="str" cm="1">
        <f t="array" ref="I471">Common_InputFunctions.Utility_DisplayArrayInTable(Scope3_SourceData.Scope3_Livestock_Data(), Table_SourceData_Scope3_Animals173[[#Headers],[Category]], 0, 2)</f>
        <v>at market</v>
      </c>
    </row>
    <row r="472" spans="4:9" x14ac:dyDescent="0.25">
      <c r="D472" s="10" t="str" cm="1">
        <f t="array" ref="D472">Common_InputFunctions.Utility_DisplayArrayInTable(Scope3_SourceData.Scope3_Livestock_Data(), Table_SourceData_Scope3_Animals173[[#Headers],[Category]], 0, 2)</f>
        <v>Sheep</v>
      </c>
      <c r="E472" s="10" t="str" cm="1">
        <f t="array" ref="E472">Common_InputFunctions.Utility_DisplayArrayInTable(Scope3_SourceData.Scope3_Livestock_Data(), Table_SourceData_Scope3_Animals173[[#Headers],[Category]], 0, 2)</f>
        <v>Sheep, for mutton</v>
      </c>
      <c r="F472" s="10" t="str" cm="1">
        <f t="array" ref="F472">Common_InputFunctions.Utility_DisplayArrayInTable(Scope3_SourceData.Scope3_Livestock_Data(), Table_SourceData_Scope3_Animals173[[#Headers],[Category]], 0, 2)</f>
        <v>QLD</v>
      </c>
      <c r="G472" s="10" t="str" cm="1">
        <f t="array" ref="G472">Common_InputFunctions.Utility_DisplayArrayInTable(Scope3_SourceData.Scope3_Livestock_Data(), Table_SourceData_Scope3_Animals173[[#Headers],[Category]], 0, 2)</f>
        <v>kg liveweight</v>
      </c>
      <c r="H472" s="10" cm="1">
        <f t="array" ref="H472">Common_InputFunctions.Utility_DisplayArrayInTable(Scope3_SourceData.Scope3_Livestock_Data(), Table_SourceData_Scope3_Animals173[[#Headers],[Category]], 0, 2)</f>
        <v>6.33</v>
      </c>
      <c r="I472" s="10" t="str" cm="1">
        <f t="array" ref="I472">Common_InputFunctions.Utility_DisplayArrayInTable(Scope3_SourceData.Scope3_Livestock_Data(), Table_SourceData_Scope3_Animals173[[#Headers],[Category]], 0, 2)</f>
        <v>at market</v>
      </c>
    </row>
    <row r="473" spans="4:9" x14ac:dyDescent="0.25">
      <c r="D473" s="10" t="str" cm="1">
        <f t="array" ref="D473">Common_InputFunctions.Utility_DisplayArrayInTable(Scope3_SourceData.Scope3_Livestock_Data(), Table_SourceData_Scope3_Animals173[[#Headers],[Category]], 0, 2)</f>
        <v>Sheep</v>
      </c>
      <c r="E473" s="10" t="str" cm="1">
        <f t="array" ref="E473">Common_InputFunctions.Utility_DisplayArrayInTable(Scope3_SourceData.Scope3_Livestock_Data(), Table_SourceData_Scope3_Animals173[[#Headers],[Category]], 0, 2)</f>
        <v>Sheep, for mutton</v>
      </c>
      <c r="F473" s="10" t="str" cm="1">
        <f t="array" ref="F473">Common_InputFunctions.Utility_DisplayArrayInTable(Scope3_SourceData.Scope3_Livestock_Data(), Table_SourceData_Scope3_Animals173[[#Headers],[Category]], 0, 2)</f>
        <v>SA</v>
      </c>
      <c r="G473" s="10" t="str" cm="1">
        <f t="array" ref="G473">Common_InputFunctions.Utility_DisplayArrayInTable(Scope3_SourceData.Scope3_Livestock_Data(), Table_SourceData_Scope3_Animals173[[#Headers],[Category]], 0, 2)</f>
        <v>kg liveweight</v>
      </c>
      <c r="H473" s="10" cm="1">
        <f t="array" ref="H473">Common_InputFunctions.Utility_DisplayArrayInTable(Scope3_SourceData.Scope3_Livestock_Data(), Table_SourceData_Scope3_Animals173[[#Headers],[Category]], 0, 2)</f>
        <v>6.18</v>
      </c>
      <c r="I473" s="10" t="str" cm="1">
        <f t="array" ref="I473">Common_InputFunctions.Utility_DisplayArrayInTable(Scope3_SourceData.Scope3_Livestock_Data(), Table_SourceData_Scope3_Animals173[[#Headers],[Category]], 0, 2)</f>
        <v>at market</v>
      </c>
    </row>
    <row r="474" spans="4:9" x14ac:dyDescent="0.25">
      <c r="D474" s="10" t="str" cm="1">
        <f t="array" ref="D474">Common_InputFunctions.Utility_DisplayArrayInTable(Scope3_SourceData.Scope3_Livestock_Data(), Table_SourceData_Scope3_Animals173[[#Headers],[Category]], 0, 2)</f>
        <v>Sheep</v>
      </c>
      <c r="E474" s="10" t="str" cm="1">
        <f t="array" ref="E474">Common_InputFunctions.Utility_DisplayArrayInTable(Scope3_SourceData.Scope3_Livestock_Data(), Table_SourceData_Scope3_Animals173[[#Headers],[Category]], 0, 2)</f>
        <v>Sheep, for mutton</v>
      </c>
      <c r="F474" s="10" t="str" cm="1">
        <f t="array" ref="F474">Common_InputFunctions.Utility_DisplayArrayInTable(Scope3_SourceData.Scope3_Livestock_Data(), Table_SourceData_Scope3_Animals173[[#Headers],[Category]], 0, 2)</f>
        <v>TAS</v>
      </c>
      <c r="G474" s="10" t="str" cm="1">
        <f t="array" ref="G474">Common_InputFunctions.Utility_DisplayArrayInTable(Scope3_SourceData.Scope3_Livestock_Data(), Table_SourceData_Scope3_Animals173[[#Headers],[Category]], 0, 2)</f>
        <v>kg liveweight</v>
      </c>
      <c r="H474" s="10" cm="1">
        <f t="array" ref="H474">Common_InputFunctions.Utility_DisplayArrayInTable(Scope3_SourceData.Scope3_Livestock_Data(), Table_SourceData_Scope3_Animals173[[#Headers],[Category]], 0, 2)</f>
        <v>7.5</v>
      </c>
      <c r="I474" s="10" t="str" cm="1">
        <f t="array" ref="I474">Common_InputFunctions.Utility_DisplayArrayInTable(Scope3_SourceData.Scope3_Livestock_Data(), Table_SourceData_Scope3_Animals173[[#Headers],[Category]], 0, 2)</f>
        <v>at market</v>
      </c>
    </row>
    <row r="475" spans="4:9" x14ac:dyDescent="0.25">
      <c r="D475" s="10" t="str" cm="1">
        <f t="array" ref="D475">Common_InputFunctions.Utility_DisplayArrayInTable(Scope3_SourceData.Scope3_Livestock_Data(), Table_SourceData_Scope3_Animals173[[#Headers],[Category]], 0, 2)</f>
        <v>Sheep</v>
      </c>
      <c r="E475" s="10" t="str" cm="1">
        <f t="array" ref="E475">Common_InputFunctions.Utility_DisplayArrayInTable(Scope3_SourceData.Scope3_Livestock_Data(), Table_SourceData_Scope3_Animals173[[#Headers],[Category]], 0, 2)</f>
        <v>Sheep, for mutton</v>
      </c>
      <c r="F475" s="10" t="str" cm="1">
        <f t="array" ref="F475">Common_InputFunctions.Utility_DisplayArrayInTable(Scope3_SourceData.Scope3_Livestock_Data(), Table_SourceData_Scope3_Animals173[[#Headers],[Category]], 0, 2)</f>
        <v>VIC</v>
      </c>
      <c r="G475" s="10" t="str" cm="1">
        <f t="array" ref="G475">Common_InputFunctions.Utility_DisplayArrayInTable(Scope3_SourceData.Scope3_Livestock_Data(), Table_SourceData_Scope3_Animals173[[#Headers],[Category]], 0, 2)</f>
        <v>kg liveweight</v>
      </c>
      <c r="H475" s="10" cm="1">
        <f t="array" ref="H475">Common_InputFunctions.Utility_DisplayArrayInTable(Scope3_SourceData.Scope3_Livestock_Data(), Table_SourceData_Scope3_Animals173[[#Headers],[Category]], 0, 2)</f>
        <v>8.08</v>
      </c>
      <c r="I475" s="10" t="str" cm="1">
        <f t="array" ref="I475">Common_InputFunctions.Utility_DisplayArrayInTable(Scope3_SourceData.Scope3_Livestock_Data(), Table_SourceData_Scope3_Animals173[[#Headers],[Category]], 0, 2)</f>
        <v>at market</v>
      </c>
    </row>
    <row r="476" spans="4:9" x14ac:dyDescent="0.25">
      <c r="D476" s="10" t="str" cm="1">
        <f t="array" ref="D476">Common_InputFunctions.Utility_DisplayArrayInTable(Scope3_SourceData.Scope3_Livestock_Data(), Table_SourceData_Scope3_Animals173[[#Headers],[Category]], 0, 2)</f>
        <v>Sheep</v>
      </c>
      <c r="E476" s="10" t="str" cm="1">
        <f t="array" ref="E476">Common_InputFunctions.Utility_DisplayArrayInTable(Scope3_SourceData.Scope3_Livestock_Data(), Table_SourceData_Scope3_Animals173[[#Headers],[Category]], 0, 2)</f>
        <v>Sheep, for mutton</v>
      </c>
      <c r="F476" s="10" t="str" cm="1">
        <f t="array" ref="F476">Common_InputFunctions.Utility_DisplayArrayInTable(Scope3_SourceData.Scope3_Livestock_Data(), Table_SourceData_Scope3_Animals173[[#Headers],[Category]], 0, 2)</f>
        <v>WA</v>
      </c>
      <c r="G476" s="10" t="str" cm="1">
        <f t="array" ref="G476">Common_InputFunctions.Utility_DisplayArrayInTable(Scope3_SourceData.Scope3_Livestock_Data(), Table_SourceData_Scope3_Animals173[[#Headers],[Category]], 0, 2)</f>
        <v>kg liveweight</v>
      </c>
      <c r="H476" s="10" cm="1">
        <f t="array" ref="H476">Common_InputFunctions.Utility_DisplayArrayInTable(Scope3_SourceData.Scope3_Livestock_Data(), Table_SourceData_Scope3_Animals173[[#Headers],[Category]], 0, 2)</f>
        <v>5.45</v>
      </c>
      <c r="I476" s="10" t="str" cm="1">
        <f t="array" ref="I476">Common_InputFunctions.Utility_DisplayArrayInTable(Scope3_SourceData.Scope3_Livestock_Data(), Table_SourceData_Scope3_Animals173[[#Headers],[Category]], 0, 2)</f>
        <v>at market</v>
      </c>
    </row>
    <row r="477" spans="4:9" x14ac:dyDescent="0.25">
      <c r="D477" s="10" t="str" cm="1">
        <f t="array" ref="D477">Common_InputFunctions.Utility_DisplayArrayInTable(Scope3_SourceData.Scope3_Livestock_Data(), Table_SourceData_Scope3_Animals173[[#Headers],[Category]], 0, 2)</f>
        <v>Sheep</v>
      </c>
      <c r="E477" s="10" t="str" cm="1">
        <f t="array" ref="E477">Common_InputFunctions.Utility_DisplayArrayInTable(Scope3_SourceData.Scope3_Livestock_Data(), Table_SourceData_Scope3_Animals173[[#Headers],[Category]], 0, 2)</f>
        <v>Sheep, for prime lamb</v>
      </c>
      <c r="F477" s="10" t="str" cm="1">
        <f t="array" ref="F477">Common_InputFunctions.Utility_DisplayArrayInTable(Scope3_SourceData.Scope3_Livestock_Data(), Table_SourceData_Scope3_Animals173[[#Headers],[Category]], 0, 2)</f>
        <v>Australia</v>
      </c>
      <c r="G477" s="10" t="str" cm="1">
        <f t="array" ref="G477">Common_InputFunctions.Utility_DisplayArrayInTable(Scope3_SourceData.Scope3_Livestock_Data(), Table_SourceData_Scope3_Animals173[[#Headers],[Category]], 0, 2)</f>
        <v>kg liveweight</v>
      </c>
      <c r="H477" s="10" cm="1">
        <f t="array" ref="H477">Common_InputFunctions.Utility_DisplayArrayInTable(Scope3_SourceData.Scope3_Livestock_Data(), Table_SourceData_Scope3_Animals173[[#Headers],[Category]], 0, 2)</f>
        <v>7.15</v>
      </c>
      <c r="I477" s="10" t="str" cm="1">
        <f t="array" ref="I477">Common_InputFunctions.Utility_DisplayArrayInTable(Scope3_SourceData.Scope3_Livestock_Data(), Table_SourceData_Scope3_Animals173[[#Headers],[Category]], 0, 2)</f>
        <v>at market</v>
      </c>
    </row>
    <row r="478" spans="4:9" x14ac:dyDescent="0.25">
      <c r="D478" s="10" t="str" cm="1">
        <f t="array" ref="D478">Common_InputFunctions.Utility_DisplayArrayInTable(Scope3_SourceData.Scope3_Livestock_Data(), Table_SourceData_Scope3_Animals173[[#Headers],[Category]], 0, 2)</f>
        <v>Sheep</v>
      </c>
      <c r="E478" s="10" t="str" cm="1">
        <f t="array" ref="E478">Common_InputFunctions.Utility_DisplayArrayInTable(Scope3_SourceData.Scope3_Livestock_Data(), Table_SourceData_Scope3_Animals173[[#Headers],[Category]], 0, 2)</f>
        <v>Sheep, for prime lamb</v>
      </c>
      <c r="F478" s="10" t="str" cm="1">
        <f t="array" ref="F478">Common_InputFunctions.Utility_DisplayArrayInTable(Scope3_SourceData.Scope3_Livestock_Data(), Table_SourceData_Scope3_Animals173[[#Headers],[Category]], 0, 2)</f>
        <v>NSW</v>
      </c>
      <c r="G478" s="10" t="str" cm="1">
        <f t="array" ref="G478">Common_InputFunctions.Utility_DisplayArrayInTable(Scope3_SourceData.Scope3_Livestock_Data(), Table_SourceData_Scope3_Animals173[[#Headers],[Category]], 0, 2)</f>
        <v>kg liveweight</v>
      </c>
      <c r="H478" s="10" cm="1">
        <f t="array" ref="H478">Common_InputFunctions.Utility_DisplayArrayInTable(Scope3_SourceData.Scope3_Livestock_Data(), Table_SourceData_Scope3_Animals173[[#Headers],[Category]], 0, 2)</f>
        <v>8.2899999999999991</v>
      </c>
      <c r="I478" s="10" t="str" cm="1">
        <f t="array" ref="I478">Common_InputFunctions.Utility_DisplayArrayInTable(Scope3_SourceData.Scope3_Livestock_Data(), Table_SourceData_Scope3_Animals173[[#Headers],[Category]], 0, 2)</f>
        <v>at market</v>
      </c>
    </row>
    <row r="479" spans="4:9" x14ac:dyDescent="0.25">
      <c r="D479" s="10" t="str" cm="1">
        <f t="array" ref="D479">Common_InputFunctions.Utility_DisplayArrayInTable(Scope3_SourceData.Scope3_Livestock_Data(), Table_SourceData_Scope3_Animals173[[#Headers],[Category]], 0, 2)</f>
        <v>Sheep</v>
      </c>
      <c r="E479" s="10" t="str" cm="1">
        <f t="array" ref="E479">Common_InputFunctions.Utility_DisplayArrayInTable(Scope3_SourceData.Scope3_Livestock_Data(), Table_SourceData_Scope3_Animals173[[#Headers],[Category]], 0, 2)</f>
        <v>Sheep, for prime lamb</v>
      </c>
      <c r="F479" s="10" t="str" cm="1">
        <f t="array" ref="F479">Common_InputFunctions.Utility_DisplayArrayInTable(Scope3_SourceData.Scope3_Livestock_Data(), Table_SourceData_Scope3_Animals173[[#Headers],[Category]], 0, 2)</f>
        <v>QLD</v>
      </c>
      <c r="G479" s="10" t="str" cm="1">
        <f t="array" ref="G479">Common_InputFunctions.Utility_DisplayArrayInTable(Scope3_SourceData.Scope3_Livestock_Data(), Table_SourceData_Scope3_Animals173[[#Headers],[Category]], 0, 2)</f>
        <v>kg liveweight</v>
      </c>
      <c r="H479" s="10" cm="1">
        <f t="array" ref="H479">Common_InputFunctions.Utility_DisplayArrayInTable(Scope3_SourceData.Scope3_Livestock_Data(), Table_SourceData_Scope3_Animals173[[#Headers],[Category]], 0, 2)</f>
        <v>6.39</v>
      </c>
      <c r="I479" s="10" t="str" cm="1">
        <f t="array" ref="I479">Common_InputFunctions.Utility_DisplayArrayInTable(Scope3_SourceData.Scope3_Livestock_Data(), Table_SourceData_Scope3_Animals173[[#Headers],[Category]], 0, 2)</f>
        <v>at market</v>
      </c>
    </row>
    <row r="480" spans="4:9" x14ac:dyDescent="0.25">
      <c r="D480" s="10" t="str" cm="1">
        <f t="array" ref="D480">Common_InputFunctions.Utility_DisplayArrayInTable(Scope3_SourceData.Scope3_Livestock_Data(), Table_SourceData_Scope3_Animals173[[#Headers],[Category]], 0, 2)</f>
        <v>Sheep</v>
      </c>
      <c r="E480" s="10" t="str" cm="1">
        <f t="array" ref="E480">Common_InputFunctions.Utility_DisplayArrayInTable(Scope3_SourceData.Scope3_Livestock_Data(), Table_SourceData_Scope3_Animals173[[#Headers],[Category]], 0, 2)</f>
        <v>Sheep, for prime lamb</v>
      </c>
      <c r="F480" s="10" t="str" cm="1">
        <f t="array" ref="F480">Common_InputFunctions.Utility_DisplayArrayInTable(Scope3_SourceData.Scope3_Livestock_Data(), Table_SourceData_Scope3_Animals173[[#Headers],[Category]], 0, 2)</f>
        <v>SA</v>
      </c>
      <c r="G480" s="10" t="str" cm="1">
        <f t="array" ref="G480">Common_InputFunctions.Utility_DisplayArrayInTable(Scope3_SourceData.Scope3_Livestock_Data(), Table_SourceData_Scope3_Animals173[[#Headers],[Category]], 0, 2)</f>
        <v>kg liveweight</v>
      </c>
      <c r="H480" s="10" cm="1">
        <f t="array" ref="H480">Common_InputFunctions.Utility_DisplayArrayInTable(Scope3_SourceData.Scope3_Livestock_Data(), Table_SourceData_Scope3_Animals173[[#Headers],[Category]], 0, 2)</f>
        <v>6.87</v>
      </c>
      <c r="I480" s="10" t="str" cm="1">
        <f t="array" ref="I480">Common_InputFunctions.Utility_DisplayArrayInTable(Scope3_SourceData.Scope3_Livestock_Data(), Table_SourceData_Scope3_Animals173[[#Headers],[Category]], 0, 2)</f>
        <v>at market</v>
      </c>
    </row>
    <row r="481" spans="4:9" x14ac:dyDescent="0.25">
      <c r="D481" s="10" t="str" cm="1">
        <f t="array" ref="D481">Common_InputFunctions.Utility_DisplayArrayInTable(Scope3_SourceData.Scope3_Livestock_Data(), Table_SourceData_Scope3_Animals173[[#Headers],[Category]], 0, 2)</f>
        <v>Sheep</v>
      </c>
      <c r="E481" s="10" t="str" cm="1">
        <f t="array" ref="E481">Common_InputFunctions.Utility_DisplayArrayInTable(Scope3_SourceData.Scope3_Livestock_Data(), Table_SourceData_Scope3_Animals173[[#Headers],[Category]], 0, 2)</f>
        <v>Sheep, for prime lamb</v>
      </c>
      <c r="F481" s="10" t="str" cm="1">
        <f t="array" ref="F481">Common_InputFunctions.Utility_DisplayArrayInTable(Scope3_SourceData.Scope3_Livestock_Data(), Table_SourceData_Scope3_Animals173[[#Headers],[Category]], 0, 2)</f>
        <v>TAS</v>
      </c>
      <c r="G481" s="10" t="str" cm="1">
        <f t="array" ref="G481">Common_InputFunctions.Utility_DisplayArrayInTable(Scope3_SourceData.Scope3_Livestock_Data(), Table_SourceData_Scope3_Animals173[[#Headers],[Category]], 0, 2)</f>
        <v>kg liveweight</v>
      </c>
      <c r="H481" s="10" cm="1">
        <f t="array" ref="H481">Common_InputFunctions.Utility_DisplayArrayInTable(Scope3_SourceData.Scope3_Livestock_Data(), Table_SourceData_Scope3_Animals173[[#Headers],[Category]], 0, 2)</f>
        <v>8.66</v>
      </c>
      <c r="I481" s="10" t="str" cm="1">
        <f t="array" ref="I481">Common_InputFunctions.Utility_DisplayArrayInTable(Scope3_SourceData.Scope3_Livestock_Data(), Table_SourceData_Scope3_Animals173[[#Headers],[Category]], 0, 2)</f>
        <v>at market</v>
      </c>
    </row>
    <row r="482" spans="4:9" x14ac:dyDescent="0.25">
      <c r="D482" s="10" t="str" cm="1">
        <f t="array" ref="D482">Common_InputFunctions.Utility_DisplayArrayInTable(Scope3_SourceData.Scope3_Livestock_Data(), Table_SourceData_Scope3_Animals173[[#Headers],[Category]], 0, 2)</f>
        <v>Sheep</v>
      </c>
      <c r="E482" s="10" t="str" cm="1">
        <f t="array" ref="E482">Common_InputFunctions.Utility_DisplayArrayInTable(Scope3_SourceData.Scope3_Livestock_Data(), Table_SourceData_Scope3_Animals173[[#Headers],[Category]], 0, 2)</f>
        <v>Sheep, for prime lamb</v>
      </c>
      <c r="F482" s="10" t="str" cm="1">
        <f t="array" ref="F482">Common_InputFunctions.Utility_DisplayArrayInTable(Scope3_SourceData.Scope3_Livestock_Data(), Table_SourceData_Scope3_Animals173[[#Headers],[Category]], 0, 2)</f>
        <v>VIC</v>
      </c>
      <c r="G482" s="10" t="str" cm="1">
        <f t="array" ref="G482">Common_InputFunctions.Utility_DisplayArrayInTable(Scope3_SourceData.Scope3_Livestock_Data(), Table_SourceData_Scope3_Animals173[[#Headers],[Category]], 0, 2)</f>
        <v>kg liveweight</v>
      </c>
      <c r="H482" s="10" cm="1">
        <f t="array" ref="H482">Common_InputFunctions.Utility_DisplayArrayInTable(Scope3_SourceData.Scope3_Livestock_Data(), Table_SourceData_Scope3_Animals173[[#Headers],[Category]], 0, 2)</f>
        <v>10</v>
      </c>
      <c r="I482" s="10" t="str" cm="1">
        <f t="array" ref="I482">Common_InputFunctions.Utility_DisplayArrayInTable(Scope3_SourceData.Scope3_Livestock_Data(), Table_SourceData_Scope3_Animals173[[#Headers],[Category]], 0, 2)</f>
        <v>at market</v>
      </c>
    </row>
    <row r="483" spans="4:9" x14ac:dyDescent="0.25">
      <c r="D483" s="10" t="str" cm="1">
        <f t="array" ref="D483">Common_InputFunctions.Utility_DisplayArrayInTable(Scope3_SourceData.Scope3_Livestock_Data(), Table_SourceData_Scope3_Animals173[[#Headers],[Category]], 0, 2)</f>
        <v>Sheep</v>
      </c>
      <c r="E483" s="10" t="str" cm="1">
        <f t="array" ref="E483">Common_InputFunctions.Utility_DisplayArrayInTable(Scope3_SourceData.Scope3_Livestock_Data(), Table_SourceData_Scope3_Animals173[[#Headers],[Category]], 0, 2)</f>
        <v>Sheep, for prime lamb</v>
      </c>
      <c r="F483" s="10" t="str" cm="1">
        <f t="array" ref="F483">Common_InputFunctions.Utility_DisplayArrayInTable(Scope3_SourceData.Scope3_Livestock_Data(), Table_SourceData_Scope3_Animals173[[#Headers],[Category]], 0, 2)</f>
        <v>WA</v>
      </c>
      <c r="G483" s="10" t="str" cm="1">
        <f t="array" ref="G483">Common_InputFunctions.Utility_DisplayArrayInTable(Scope3_SourceData.Scope3_Livestock_Data(), Table_SourceData_Scope3_Animals173[[#Headers],[Category]], 0, 2)</f>
        <v>kg liveweight</v>
      </c>
      <c r="H483" s="10" cm="1">
        <f t="array" ref="H483">Common_InputFunctions.Utility_DisplayArrayInTable(Scope3_SourceData.Scope3_Livestock_Data(), Table_SourceData_Scope3_Animals173[[#Headers],[Category]], 0, 2)</f>
        <v>5.67</v>
      </c>
      <c r="I483" s="10" t="str" cm="1">
        <f t="array" ref="I483">Common_InputFunctions.Utility_DisplayArrayInTable(Scope3_SourceData.Scope3_Livestock_Data(), Table_SourceData_Scope3_Animals173[[#Headers],[Category]],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79F22-D17D-4619-BAB0-19E269F4843E}">
  <dimension ref="A1:M160"/>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8" width="26.875" style="8" customWidth="1"/>
    <col min="9" max="9" width="27" style="8" customWidth="1"/>
    <col min="10" max="13" width="26.875" style="8" customWidth="1"/>
    <col min="14" max="16" width="26.875" style="3" customWidth="1"/>
    <col min="17" max="16384" width="9" style="3"/>
  </cols>
  <sheetData>
    <row r="1" spans="1:13" ht="30" customHeight="1" x14ac:dyDescent="0.35">
      <c r="A1" s="37" t="e" vm="1">
        <v>#VALUE!</v>
      </c>
      <c r="C1" s="1" t="s">
        <v>912</v>
      </c>
      <c r="D1" s="1"/>
      <c r="E1" s="1"/>
      <c r="F1" s="1"/>
      <c r="G1" s="1"/>
      <c r="H1" s="1"/>
      <c r="I1" s="1"/>
      <c r="J1" s="1"/>
      <c r="K1" s="1"/>
      <c r="L1" s="1"/>
      <c r="M1" s="1"/>
    </row>
    <row r="2" spans="1:13" ht="20.100000000000001" customHeight="1" x14ac:dyDescent="0.25">
      <c r="A2"/>
      <c r="C2" s="2"/>
      <c r="D2" s="2"/>
      <c r="E2" s="2"/>
      <c r="F2" s="2"/>
      <c r="G2" s="2"/>
      <c r="H2" s="2"/>
      <c r="I2" s="2"/>
      <c r="J2" s="2"/>
      <c r="K2" s="2"/>
      <c r="L2" s="2"/>
      <c r="M2" s="2"/>
    </row>
    <row r="3" spans="1:13" ht="20.100000000000001" customHeight="1" x14ac:dyDescent="0.25">
      <c r="A3" s="16" t="str">
        <f>HYPERLINK("#'Overview'!A1", "Overview")</f>
        <v>Overview</v>
      </c>
      <c r="C3" s="5"/>
      <c r="D3" s="5"/>
      <c r="E3" s="5"/>
      <c r="F3" s="5"/>
      <c r="G3" s="5"/>
      <c r="H3" s="5"/>
      <c r="I3" s="5"/>
      <c r="J3" s="5"/>
      <c r="K3" s="5"/>
      <c r="L3" s="5"/>
      <c r="M3" s="5"/>
    </row>
    <row r="4" spans="1:13" ht="20.100000000000001" customHeight="1" x14ac:dyDescent="0.25">
      <c r="A4" s="16" t="str">
        <f>HYPERLINK("#'Results'!A1", "Results")</f>
        <v>Results</v>
      </c>
    </row>
    <row r="5" spans="1:13" ht="20.100000000000001" customHeight="1" x14ac:dyDescent="0.25">
      <c r="A5"/>
    </row>
    <row r="6" spans="1:13" ht="20.100000000000001" customHeight="1" x14ac:dyDescent="0.25">
      <c r="A6"/>
      <c r="D6" s="9" t="str" cm="1">
        <f t="array" ref="D6">CommonLivestock_SourceData.SourceData_Livestock_Common_SymbolsMMS_Title()</f>
        <v>Table 5.12 Additional symbols used in algorithms for manure related emissions</v>
      </c>
      <c r="E6" s="7"/>
      <c r="F6" s="7"/>
      <c r="G6" s="7"/>
      <c r="H6" s="7"/>
    </row>
    <row r="7" spans="1:13" ht="20.100000000000001" customHeight="1" x14ac:dyDescent="0.25">
      <c r="A7" s="19" t="s">
        <v>67</v>
      </c>
      <c r="D7" s="7" t="str" cm="1">
        <f t="array" ref="D7">CommonLivestock_SourceData.SourceData_Livestock_Common_SymbolsMMS_Vairable()</f>
        <v>MMS</v>
      </c>
      <c r="E7" s="7"/>
      <c r="F7" s="7"/>
      <c r="G7" s="7"/>
      <c r="H7" s="7"/>
    </row>
    <row r="8" spans="1:13" ht="20.100000000000001" customHeight="1" x14ac:dyDescent="0.25">
      <c r="A8" s="16" t="str">
        <f>HYPERLINK("#'Input - Site'!A1", "Site")</f>
        <v>Site</v>
      </c>
      <c r="D8" s="11" t="str" cm="1">
        <f t="array" ref="D8">CommonLivestock_SourceData.SourceData_Livestock_Common_SymbolsMMS_Source()</f>
        <v>National Inventory Report 2023 Volume 1: Table 5.12</v>
      </c>
      <c r="E8" s="7"/>
      <c r="F8" s="7"/>
      <c r="G8" s="7"/>
      <c r="H8" s="7"/>
    </row>
    <row r="9" spans="1:13" ht="20.100000000000001" customHeight="1" x14ac:dyDescent="0.25">
      <c r="A9" s="16" t="str">
        <f>HYPERLINK("#'Input - Fuel'!A1", "Fuel")</f>
        <v>Fuel</v>
      </c>
      <c r="D9" s="15" t="s">
        <v>323</v>
      </c>
      <c r="E9" s="10" t="s">
        <v>324</v>
      </c>
      <c r="F9" s="10" t="s">
        <v>325</v>
      </c>
      <c r="G9" s="7"/>
    </row>
    <row r="10" spans="1:13" ht="20.100000000000001" customHeight="1" x14ac:dyDescent="0.25">
      <c r="A10" s="16" t="str">
        <f>HYPERLINK("#'Input - Fertiliser'!A1", "Fertiliser")</f>
        <v>Fertiliser</v>
      </c>
      <c r="D10" s="15" t="str" cm="1">
        <f t="array" ref="D10">Common_InputFunctions.Utility_DisplayArrayInTable(CommonLivestock_SourceData.SourceData_Livestock_Common_SymbolsMMS_Data(), Table_Data_MMSSymbols[[#Headers],[Symbol]], 0)</f>
        <v>1</v>
      </c>
      <c r="E10" s="15" t="str" cm="1">
        <f t="array" ref="E10">Common_InputFunctions.Utility_DisplayArrayInTable(CommonLivestock_SourceData.SourceData_Livestock_Common_SymbolsMMS_Data(), Table_Data_MMSSymbols[[#Headers],[Symbol]], 0)</f>
        <v>Anaerobic lagoon</v>
      </c>
      <c r="F10" s="15" t="str" cm="1">
        <f t="array" ref="F10">Common_InputFunctions.Utility_DisplayArrayInTable(CommonLivestock_SourceData.SourceData_Livestock_Common_SymbolsMMS_Data(), Table_Data_MMSSymbols[[#Headers],[Symbol]], 0)</f>
        <v>Anaerobic lagoon (m=1)</v>
      </c>
      <c r="G10" s="7"/>
    </row>
    <row r="11" spans="1:13" ht="20.100000000000001" customHeight="1" x14ac:dyDescent="0.25">
      <c r="A11" s="16" t="str">
        <f>HYPERLINK("#'Input - Farm Inputs'!A1", "Farm Inputs")</f>
        <v>Farm Inputs</v>
      </c>
      <c r="D11" s="15" t="str" cm="1">
        <f t="array" ref="D11">Common_InputFunctions.Utility_DisplayArrayInTable(CommonLivestock_SourceData.SourceData_Livestock_Common_SymbolsMMS_Data(), Table_Data_MMSSymbols[[#Headers],[Symbol]], 0)</f>
        <v>2</v>
      </c>
      <c r="E11" s="15" t="str" cm="1">
        <f t="array" ref="E11">Common_InputFunctions.Utility_DisplayArrayInTable(CommonLivestock_SourceData.SourceData_Livestock_Common_SymbolsMMS_Data(), Table_Data_MMSSymbols[[#Headers],[Symbol]], 0)</f>
        <v>Liquid systems</v>
      </c>
      <c r="F11" s="15" t="str" cm="1">
        <f t="array" ref="F11">Common_InputFunctions.Utility_DisplayArrayInTable(CommonLivestock_SourceData.SourceData_Livestock_Common_SymbolsMMS_Data(), Table_Data_MMSSymbols[[#Headers],[Symbol]], 0)</f>
        <v>Liquid systems (m=2)</v>
      </c>
      <c r="G11" s="7"/>
    </row>
    <row r="12" spans="1:13" ht="20.100000000000001" customHeight="1" x14ac:dyDescent="0.25">
      <c r="A12" s="16" t="str">
        <f>HYPERLINK("#'Input - Livestock purchases'!A1", "Livestock purchases")</f>
        <v>Livestock purchases</v>
      </c>
      <c r="D12" s="10" t="str" cm="1">
        <f t="array" ref="D12">Common_InputFunctions.Utility_DisplayArrayInTable(CommonLivestock_SourceData.SourceData_Livestock_Common_SymbolsMMS_Data(), Table_Data_MMSSymbols[[#Headers],[Symbol]], 0)</f>
        <v>3</v>
      </c>
      <c r="E12" s="10" t="str" cm="1">
        <f t="array" ref="E12">Common_InputFunctions.Utility_DisplayArrayInTable(CommonLivestock_SourceData.SourceData_Livestock_Common_SymbolsMMS_Data(), Table_Data_MMSSymbols[[#Headers],[Symbol]], 0)</f>
        <v>Daily spread</v>
      </c>
      <c r="F12" s="10" t="str" cm="1">
        <f t="array" ref="F12">Common_InputFunctions.Utility_DisplayArrayInTable(CommonLivestock_SourceData.SourceData_Livestock_Common_SymbolsMMS_Data(), Table_Data_MMSSymbols[[#Headers],[Symbol]], 0)</f>
        <v>Daily spread (m=3)</v>
      </c>
      <c r="G12" s="7"/>
    </row>
    <row r="13" spans="1:13" ht="20.100000000000001" customHeight="1" x14ac:dyDescent="0.25">
      <c r="A13" s="16" t="str">
        <f>HYPERLINK("#'Input - Freight'!A1", "Freight")</f>
        <v>Freight</v>
      </c>
      <c r="D13" s="10" t="str" cm="1">
        <f t="array" ref="D13">Common_InputFunctions.Utility_DisplayArrayInTable(CommonLivestock_SourceData.SourceData_Livestock_Common_SymbolsMMS_Data(), Table_Data_MMSSymbols[[#Headers],[Symbol]], 0)</f>
        <v>3a</v>
      </c>
      <c r="E13" s="10" t="str" cm="1">
        <f t="array" ref="E13">Common_InputFunctions.Utility_DisplayArrayInTable(CommonLivestock_SourceData.SourceData_Livestock_Common_SymbolsMMS_Data(), Table_Data_MMSSymbols[[#Headers],[Symbol]], 0)</f>
        <v>Sump and dispersal system</v>
      </c>
      <c r="F13" s="10" t="str" cm="1">
        <f t="array" ref="F13">Common_InputFunctions.Utility_DisplayArrayInTable(CommonLivestock_SourceData.SourceData_Livestock_Common_SymbolsMMS_Data(), Table_Data_MMSSymbols[[#Headers],[Symbol]], 0)</f>
        <v>Sump and dispersal system (m=3a)</v>
      </c>
      <c r="G13" s="7"/>
    </row>
    <row r="14" spans="1:13" ht="20.100000000000001" customHeight="1" x14ac:dyDescent="0.25">
      <c r="A14" s="16" t="str">
        <f>HYPERLINK("#'Input - Solid waste'!A1", "Solid waste")</f>
        <v>Solid waste</v>
      </c>
      <c r="D14" s="10" t="str" cm="1">
        <f t="array" ref="D14">Common_InputFunctions.Utility_DisplayArrayInTable(CommonLivestock_SourceData.SourceData_Livestock_Common_SymbolsMMS_Data(), Table_Data_MMSSymbols[[#Headers],[Symbol]], 0)</f>
        <v>3b</v>
      </c>
      <c r="E14" s="10" t="str" cm="1">
        <f t="array" ref="E14">Common_InputFunctions.Utility_DisplayArrayInTable(CommonLivestock_SourceData.SourceData_Livestock_Common_SymbolsMMS_Data(), Table_Data_MMSSymbols[[#Headers],[Symbol]], 0)</f>
        <v>Drains to paddock</v>
      </c>
      <c r="F14" s="10" t="str" cm="1">
        <f t="array" ref="F14">Common_InputFunctions.Utility_DisplayArrayInTable(CommonLivestock_SourceData.SourceData_Livestock_Common_SymbolsMMS_Data(), Table_Data_MMSSymbols[[#Headers],[Symbol]], 0)</f>
        <v>Drains to paddock (m=3b)</v>
      </c>
      <c r="G14" s="7"/>
    </row>
    <row r="15" spans="1:13" ht="20.100000000000001" customHeight="1" x14ac:dyDescent="0.25">
      <c r="A15" s="16" t="str">
        <f>HYPERLINK("#'Input - Manure sent off-site'!A1", "Manure sent off-site")</f>
        <v>Manure sent off-site</v>
      </c>
      <c r="D15" s="10" t="str" cm="1">
        <f t="array" ref="D15">Common_InputFunctions.Utility_DisplayArrayInTable(CommonLivestock_SourceData.SourceData_Livestock_Common_SymbolsMMS_Data(), Table_Data_MMSSymbols[[#Headers],[Symbol]], 0)</f>
        <v>4</v>
      </c>
      <c r="E15" s="10" t="str" cm="1">
        <f t="array" ref="E15">Common_InputFunctions.Utility_DisplayArrayInTable(CommonLivestock_SourceData.SourceData_Livestock_Common_SymbolsMMS_Data(), Table_Data_MMSSymbols[[#Headers],[Symbol]], 0)</f>
        <v>Solid storage</v>
      </c>
      <c r="F15" s="10" t="str" cm="1">
        <f t="array" ref="F15">Common_InputFunctions.Utility_DisplayArrayInTable(CommonLivestock_SourceData.SourceData_Livestock_Common_SymbolsMMS_Data(), Table_Data_MMSSymbols[[#Headers],[Symbol]], 0)</f>
        <v>Solid storage (m=4)</v>
      </c>
      <c r="G15" s="7"/>
    </row>
    <row r="16" spans="1:13" ht="20.100000000000001" customHeight="1" x14ac:dyDescent="0.25">
      <c r="A16" s="16" t="str">
        <f>HYPERLINK("#'Input - Electricity'!A1", "Electricity")</f>
        <v>Electricity</v>
      </c>
      <c r="D16" s="10" t="str" cm="1">
        <f t="array" ref="D16">Common_InputFunctions.Utility_DisplayArrayInTable(CommonLivestock_SourceData.SourceData_Livestock_Common_SymbolsMMS_Data(), Table_Data_MMSSymbols[[#Headers],[Symbol]], 0)</f>
        <v>5</v>
      </c>
      <c r="E16" s="10" t="str" cm="1">
        <f t="array" ref="E16">Common_InputFunctions.Utility_DisplayArrayInTable(CommonLivestock_SourceData.SourceData_Livestock_Common_SymbolsMMS_Data(), Table_Data_MMSSymbols[[#Headers],[Symbol]], 0)</f>
        <v>Drylot (feed pad)</v>
      </c>
      <c r="F16" s="10" t="str" cm="1">
        <f t="array" ref="F16">Common_InputFunctions.Utility_DisplayArrayInTable(CommonLivestock_SourceData.SourceData_Livestock_Common_SymbolsMMS_Data(), Table_Data_MMSSymbols[[#Headers],[Symbol]], 0)</f>
        <v>Drylot (feed pad) (m=5)</v>
      </c>
      <c r="G16" s="7"/>
    </row>
    <row r="17" spans="1:8" ht="20.100000000000001" customHeight="1" x14ac:dyDescent="0.25">
      <c r="A17"/>
      <c r="D17" s="10" t="str" cm="1">
        <f t="array" ref="D17">Common_InputFunctions.Utility_DisplayArrayInTable(CommonLivestock_SourceData.SourceData_Livestock_Common_SymbolsMMS_Data(), Table_Data_MMSSymbols[[#Headers],[Symbol]], 0)</f>
        <v>6</v>
      </c>
      <c r="E17" s="10" t="str" cm="1">
        <f t="array" ref="E17">Common_InputFunctions.Utility_DisplayArrayInTable(CommonLivestock_SourceData.SourceData_Livestock_Common_SymbolsMMS_Data(), Table_Data_MMSSymbols[[#Headers],[Symbol]], 0)</f>
        <v>Composting (passive windrow)</v>
      </c>
      <c r="F17" s="10" t="str" cm="1">
        <f t="array" ref="F17">Common_InputFunctions.Utility_DisplayArrayInTable(CommonLivestock_SourceData.SourceData_Livestock_Common_SymbolsMMS_Data(), Table_Data_MMSSymbols[[#Headers],[Symbol]], 0)</f>
        <v>Composting (passive windrow) (m=6)</v>
      </c>
      <c r="G17" s="7"/>
    </row>
    <row r="18" spans="1:8" ht="20.100000000000001" customHeight="1" x14ac:dyDescent="0.25">
      <c r="A18"/>
      <c r="D18" s="10" t="str" cm="1">
        <f t="array" ref="D18">Common_InputFunctions.Utility_DisplayArrayInTable(CommonLivestock_SourceData.SourceData_Livestock_Common_SymbolsMMS_Data(), Table_Data_MMSSymbols[[#Headers],[Symbol]], 0)</f>
        <v>7</v>
      </c>
      <c r="E18" s="10" t="str" cm="1">
        <f t="array" ref="E18">Common_InputFunctions.Utility_DisplayArrayInTable(CommonLivestock_SourceData.SourceData_Livestock_Common_SymbolsMMS_Data(), Table_Data_MMSSymbols[[#Headers],[Symbol]], 0)</f>
        <v>Digester / covered lagoons</v>
      </c>
      <c r="F18" s="10" t="str" cm="1">
        <f t="array" ref="F18">Common_InputFunctions.Utility_DisplayArrayInTable(CommonLivestock_SourceData.SourceData_Livestock_Common_SymbolsMMS_Data(), Table_Data_MMSSymbols[[#Headers],[Symbol]], 0)</f>
        <v>Digester / covered lagoons (m=7)</v>
      </c>
      <c r="G18" s="7"/>
    </row>
    <row r="19" spans="1:8" ht="20.100000000000001" customHeight="1" x14ac:dyDescent="0.25">
      <c r="A19" s="21" t="s">
        <v>77</v>
      </c>
      <c r="D19" s="10" t="str" cm="1">
        <f t="array" ref="D19">Common_InputFunctions.Utility_DisplayArrayInTable(CommonLivestock_SourceData.SourceData_Livestock_Common_SymbolsMMS_Data(), Table_Data_MMSSymbols[[#Headers],[Symbol]], 0)</f>
        <v>8</v>
      </c>
      <c r="E19" s="10" t="str" cm="1">
        <f t="array" ref="E19">Common_InputFunctions.Utility_DisplayArrayInTable(CommonLivestock_SourceData.SourceData_Livestock_Common_SymbolsMMS_Data(), Table_Data_MMSSymbols[[#Headers],[Symbol]], 0)</f>
        <v>Deep litter</v>
      </c>
      <c r="F19" s="10" t="str" cm="1">
        <f t="array" ref="F19">Common_InputFunctions.Utility_DisplayArrayInTable(CommonLivestock_SourceData.SourceData_Livestock_Common_SymbolsMMS_Data(), Table_Data_MMSSymbols[[#Headers],[Symbol]], 0)</f>
        <v>Deep litter (m=8)</v>
      </c>
      <c r="G19" s="7"/>
    </row>
    <row r="20" spans="1:8" ht="20.100000000000001" customHeight="1" x14ac:dyDescent="0.25">
      <c r="A20" s="16" t="str">
        <f>HYPERLINK("#'15 Scope 3'!A1", "15 Scope 3")</f>
        <v>15 Scope 3</v>
      </c>
      <c r="D20" s="10" t="str" cm="1">
        <f t="array" ref="D20">Common_InputFunctions.Utility_DisplayArrayInTable(CommonLivestock_SourceData.SourceData_Livestock_Common_SymbolsMMS_Data(), Table_Data_MMSSymbols[[#Headers],[Symbol]], 0)</f>
        <v>9</v>
      </c>
      <c r="E20" s="10" t="str" cm="1">
        <f t="array" ref="E20">Common_InputFunctions.Utility_DisplayArrayInTable(CommonLivestock_SourceData.SourceData_Livestock_Common_SymbolsMMS_Data(), Table_Data_MMSSymbols[[#Headers],[Symbol]], 0)</f>
        <v>Pit storage</v>
      </c>
      <c r="F20" s="10" t="str" cm="1">
        <f t="array" ref="F20">Common_InputFunctions.Utility_DisplayArrayInTable(CommonLivestock_SourceData.SourceData_Livestock_Common_SymbolsMMS_Data(), Table_Data_MMSSymbols[[#Headers],[Symbol]], 0)</f>
        <v>Pit storage (m=9)</v>
      </c>
      <c r="G20" s="7"/>
    </row>
    <row r="21" spans="1:8" ht="20.100000000000001" customHeight="1" x14ac:dyDescent="0.25">
      <c r="A21" s="16" t="str">
        <f>HYPERLINK("#'10.1.1-2 Solid waste treatment'!A1", "10.1.1-2 Solid waste treatment")</f>
        <v>10.1.1-2 Solid waste treatment</v>
      </c>
      <c r="D21" s="10" t="str" cm="1">
        <f t="array" ref="D21">Common_InputFunctions.Utility_DisplayArrayInTable(CommonLivestock_SourceData.SourceData_Livestock_Common_SymbolsMMS_Data(), Table_Data_MMSSymbols[[#Headers],[Symbol]], 0)</f>
        <v>10</v>
      </c>
      <c r="E21" s="10" t="str" cm="1">
        <f t="array" ref="E21">Common_InputFunctions.Utility_DisplayArrayInTable(CommonLivestock_SourceData.SourceData_Livestock_Common_SymbolsMMS_Data(), Table_Data_MMSSymbols[[#Headers],[Symbol]], 0)</f>
        <v>Poultry manure with bedding</v>
      </c>
      <c r="F21" s="10" t="str" cm="1">
        <f t="array" ref="F21">Common_InputFunctions.Utility_DisplayArrayInTable(CommonLivestock_SourceData.SourceData_Livestock_Common_SymbolsMMS_Data(), Table_Data_MMSSymbols[[#Headers],[Symbol]], 0)</f>
        <v>Poultry manure with bedding (m=10)</v>
      </c>
      <c r="G21" s="7"/>
    </row>
    <row r="22" spans="1:8" ht="20.100000000000001" customHeight="1" x14ac:dyDescent="0.25">
      <c r="A22" s="16" t="str">
        <f>HYPERLINK("#'Calcs - Manure sent off-site'!A1", "Calcs - Manure sent off-site")</f>
        <v>Calcs - Manure sent off-site</v>
      </c>
      <c r="D22" s="10" t="str" cm="1">
        <f t="array" ref="D22">Common_InputFunctions.Utility_DisplayArrayInTable(CommonLivestock_SourceData.SourceData_Livestock_Common_SymbolsMMS_Data(), Table_Data_MMSSymbols[[#Headers],[Symbol]], 0)</f>
        <v>11</v>
      </c>
      <c r="E22" s="10" t="str" cm="1">
        <f t="array" ref="E22">Common_InputFunctions.Utility_DisplayArrayInTable(CommonLivestock_SourceData.SourceData_Livestock_Common_SymbolsMMS_Data(), Table_Data_MMSSymbols[[#Headers],[Symbol]], 0)</f>
        <v>Poultry manure without bedding</v>
      </c>
      <c r="F22" s="10" t="str" cm="1">
        <f t="array" ref="F22">Common_InputFunctions.Utility_DisplayArrayInTable(CommonLivestock_SourceData.SourceData_Livestock_Common_SymbolsMMS_Data(), Table_Data_MMSSymbols[[#Headers],[Symbol]], 0)</f>
        <v>Poultry manure without bedding (m=11)</v>
      </c>
      <c r="G22" s="7"/>
    </row>
    <row r="23" spans="1:8" ht="20.100000000000001" customHeight="1" x14ac:dyDescent="0.25">
      <c r="A23" s="16" t="str">
        <f>HYPERLINK("#'8.1.1.1-2 Transport fuel'!A1", "8.1.1.1-2 Transport fuel")</f>
        <v>8.1.1.1-2 Transport fuel</v>
      </c>
      <c r="D23" s="10" t="str" cm="1">
        <f t="array" ref="D23">Common_InputFunctions.Utility_DisplayArrayInTable(CommonLivestock_SourceData.SourceData_Livestock_Common_SymbolsMMS_Data(), Table_Data_MMSSymbols[[#Headers],[Symbol]], 0)</f>
        <v>11a</v>
      </c>
      <c r="E23" s="10" t="str" cm="1">
        <f t="array" ref="E23">Common_InputFunctions.Utility_DisplayArrayInTable(CommonLivestock_SourceData.SourceData_Livestock_Common_SymbolsMMS_Data(), Table_Data_MMSSymbols[[#Headers],[Symbol]], 0)</f>
        <v>Belt manure removal</v>
      </c>
      <c r="F23" s="10" t="str" cm="1">
        <f t="array" ref="F23">Common_InputFunctions.Utility_DisplayArrayInTable(CommonLivestock_SourceData.SourceData_Livestock_Common_SymbolsMMS_Data(), Table_Data_MMSSymbols[[#Headers],[Symbol]], 0)</f>
        <v>Belt manure removal (m=11a)</v>
      </c>
      <c r="G23" s="7"/>
    </row>
    <row r="24" spans="1:8" ht="20.100000000000001" customHeight="1" x14ac:dyDescent="0.25">
      <c r="A24" s="16" t="str">
        <f>HYPERLINK("#'8.2.1.1-2 Stationary fuel'!A1", "8.2.1.1-2 Stationary fuel")</f>
        <v>8.2.1.1-2 Stationary fuel</v>
      </c>
      <c r="D24" s="10" t="str" cm="1">
        <f t="array" ref="D24">Common_InputFunctions.Utility_DisplayArrayInTable(CommonLivestock_SourceData.SourceData_Livestock_Common_SymbolsMMS_Data(), Table_Data_MMSSymbols[[#Headers],[Symbol]], 0)</f>
        <v>11b</v>
      </c>
      <c r="E24" s="10" t="str" cm="1">
        <f t="array" ref="E24">Common_InputFunctions.Utility_DisplayArrayInTable(CommonLivestock_SourceData.SourceData_Livestock_Common_SymbolsMMS_Data(), Table_Data_MMSSymbols[[#Headers],[Symbol]], 0)</f>
        <v>Manure stored in house</v>
      </c>
      <c r="F24" s="10" t="str" cm="1">
        <f t="array" ref="F24">Common_InputFunctions.Utility_DisplayArrayInTable(CommonLivestock_SourceData.SourceData_Livestock_Common_SymbolsMMS_Data(), Table_Data_MMSSymbols[[#Headers],[Symbol]], 0)</f>
        <v>Manure stored in house (m=11b)</v>
      </c>
      <c r="G24" s="7"/>
    </row>
    <row r="25" spans="1:8" ht="20.100000000000001" customHeight="1" x14ac:dyDescent="0.25">
      <c r="A25"/>
      <c r="D25" s="10" t="str" cm="1">
        <f t="array" ref="D25">Common_InputFunctions.Utility_DisplayArrayInTable(CommonLivestock_SourceData.SourceData_Livestock_Common_SymbolsMMS_Data(), Table_Data_MMSSymbols[[#Headers],[Symbol]], 0)</f>
        <v>12</v>
      </c>
      <c r="E25" s="10" t="str" cm="1">
        <f t="array" ref="E25">Common_InputFunctions.Utility_DisplayArrayInTable(CommonLivestock_SourceData.SourceData_Livestock_Common_SymbolsMMS_Data(), Table_Data_MMSSymbols[[#Headers],[Symbol]], 0)</f>
        <v>Direct processing</v>
      </c>
      <c r="F25" s="10" t="str" cm="1">
        <f t="array" ref="F25">Common_InputFunctions.Utility_DisplayArrayInTable(CommonLivestock_SourceData.SourceData_Livestock_Common_SymbolsMMS_Data(), Table_Data_MMSSymbols[[#Headers],[Symbol]], 0)</f>
        <v>Direct processing (m=12)</v>
      </c>
      <c r="G25" s="7"/>
    </row>
    <row r="26" spans="1:8" ht="20.100000000000001" customHeight="1" x14ac:dyDescent="0.25">
      <c r="A26"/>
      <c r="D26" s="10" t="str" cm="1">
        <f t="array" ref="D26">Common_InputFunctions.Utility_DisplayArrayInTable(CommonLivestock_SourceData.SourceData_Livestock_Common_SymbolsMMS_Data(), Table_Data_MMSSymbols[[#Headers],[Symbol]], 0)</f>
        <v>13</v>
      </c>
      <c r="E26" s="10" t="str" cm="1">
        <f t="array" ref="E26">Common_InputFunctions.Utility_DisplayArrayInTable(CommonLivestock_SourceData.SourceData_Livestock_Common_SymbolsMMS_Data(), Table_Data_MMSSymbols[[#Headers],[Symbol]], 0)</f>
        <v>Direct application</v>
      </c>
      <c r="F26" s="10" t="str" cm="1">
        <f t="array" ref="F26">Common_InputFunctions.Utility_DisplayArrayInTable(CommonLivestock_SourceData.SourceData_Livestock_Common_SymbolsMMS_Data(), Table_Data_MMSSymbols[[#Headers],[Symbol]], 0)</f>
        <v>Direct application (m=13)</v>
      </c>
      <c r="G26" s="7"/>
    </row>
    <row r="27" spans="1:8" ht="20.100000000000001" customHeight="1" x14ac:dyDescent="0.25">
      <c r="A27" s="229" t="s">
        <v>78</v>
      </c>
      <c r="D27" s="10" t="str" cm="1">
        <f t="array" ref="D27">Common_InputFunctions.Utility_DisplayArrayInTable(CommonLivestock_SourceData.SourceData_Livestock_Common_SymbolsMMS_Data(), Table_Data_MMSSymbols[[#Headers],[Symbol]], 0)</f>
        <v>14</v>
      </c>
      <c r="E27" s="10" t="str" cm="1">
        <f t="array" ref="E27">Common_InputFunctions.Utility_DisplayArrayInTable(CommonLivestock_SourceData.SourceData_Livestock_Common_SymbolsMMS_Data(), Table_Data_MMSSymbols[[#Headers],[Symbol]], 0)</f>
        <v>Pasture range and paddock</v>
      </c>
      <c r="F27" s="10" t="str" cm="1">
        <f t="array" ref="F27">Common_InputFunctions.Utility_DisplayArrayInTable(CommonLivestock_SourceData.SourceData_Livestock_Common_SymbolsMMS_Data(), Table_Data_MMSSymbols[[#Headers],[Symbol]], 0)</f>
        <v>Pasture range and paddock (m=14)</v>
      </c>
      <c r="G27" s="7"/>
    </row>
    <row r="28" spans="1:8" ht="20.100000000000001" customHeight="1" x14ac:dyDescent="0.25">
      <c r="A28" s="16" t="str">
        <f>HYPERLINK("#'Constants - Scope 3'!A1", "Constants - Scope 3")</f>
        <v>Constants - Scope 3</v>
      </c>
      <c r="G28" s="7"/>
      <c r="H28" s="7"/>
    </row>
    <row r="29" spans="1:8" ht="20.100000000000001" customHeight="1" x14ac:dyDescent="0.25">
      <c r="A29" s="16" t="str">
        <f>HYPERLINK("#'Constants - Solid Waste'!A1", "Constants - Solid Waste")</f>
        <v>Constants - Solid Waste</v>
      </c>
      <c r="D29" s="9" t="str" cm="1">
        <f t="array" ref="D29">CommonLivestock_SourceData.SourceData_Livestock_Product_BeefCattle_Title()</f>
        <v>Beef cattle products for scope 3</v>
      </c>
    </row>
    <row r="30" spans="1:8" ht="20.100000000000001" customHeight="1" x14ac:dyDescent="0.25">
      <c r="A30" s="16" t="str">
        <f>HYPERLINK("#'Constants - Fuel'!A1", "Constants - Fuel")</f>
        <v>Constants - Fuel</v>
      </c>
      <c r="D30" s="11"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16" t="str">
        <f>HYPERLINK("#'Constants - Poultry'!A1", "Constants - Poultry")</f>
        <v>Constants - Poultry</v>
      </c>
      <c r="D31" s="10" t="s">
        <v>215</v>
      </c>
      <c r="E31" s="10" t="s">
        <v>326</v>
      </c>
      <c r="F31" s="8" t="s">
        <v>327</v>
      </c>
    </row>
    <row r="32" spans="1:8" ht="20.100000000000001" customHeight="1" x14ac:dyDescent="0.25">
      <c r="A32" s="16" t="str">
        <f>HYPERLINK("#'Constants - Swine'!A1", "Constants - Swine")</f>
        <v>Constants - Swine</v>
      </c>
      <c r="D32" s="10" t="str" cm="1">
        <f t="array" ref="D32">Common_InputFunctions.Utility_DisplayArrayInTable(CommonLivestock_SourceData.SourceData_Livestock_Product_BeefCattle_Data(),Table_SourceData_LivestockProduct_Beefcattle[[#Headers],[Product]],0)</f>
        <v>Cattle, for manufacturing beef</v>
      </c>
      <c r="E32" s="1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16" t="str">
        <f>HYPERLINK("#'Constants - Dairy'!A1", "Constants - Dairy")</f>
        <v>Constants - Dairy</v>
      </c>
      <c r="D33" s="8" t="str" cm="1">
        <f t="array" ref="D33">Common_InputFunctions.Utility_DisplayArrayInTable(CommonLivestock_SourceData.SourceData_Livestock_Product_BeefCattle_Data(),Table_SourceData_LivestockProduct_Beefcattle[[#Headers],[Product]],0)</f>
        <v>Cattle, for prime beef</v>
      </c>
      <c r="E33" s="1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16" t="str">
        <f>HYPERLINK("#'Constants - Pasture Beef'!A1", "Constants - Pasture Beef")</f>
        <v>Constants - Pasture Beef</v>
      </c>
      <c r="D34" s="8" t="str" cm="1">
        <f t="array" ref="D34">Common_InputFunctions.Utility_DisplayArrayInTable(CommonLivestock_SourceData.SourceData_Livestock_Product_BeefCattle_Data(),Table_SourceData_LivestockProduct_Beefcattle[[#Headers],[Product]],0)</f>
        <v>Cattle, weaners</v>
      </c>
      <c r="E34" s="1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23" t="str">
        <f>HYPERLINK("#'Constants - Common Livestock'!A1", "Constants - Common Livestock")</f>
        <v>Constants - Common Livestock</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16" t="str">
        <f>HYPERLINK("#'Constants - Fertiliser'!A1", "Constants - Fertiliser")</f>
        <v>Constants - Fertiliser</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16" t="str">
        <f>HYPERLINK("#'Constants - Electricity'!A1", "Constants - Electricity")</f>
        <v>Constants - Electricity</v>
      </c>
      <c r="D37" s="8" t="str" cm="1">
        <f t="array" ref="D37">Common_InputFunctions.Utility_DisplayArrayInTable(CommonLivestock_SourceData.SourceData_Livestock_Product_BeefCattle_Data(),Table_SourceData_LivestockProduct_Beefcattle[[#Headers],[Product]],0)</f>
        <v/>
      </c>
      <c r="E37" s="1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16" t="str">
        <f>HYPERLINK("#'Constants - Common'!A1", "Constants - Common")</f>
        <v>Constants - Common</v>
      </c>
      <c r="D38" s="8" t="str" cm="1">
        <f t="array" ref="D38">Common_InputFunctions.Utility_DisplayArrayInTable(CommonLivestock_SourceData.SourceData_Livestock_Product_BeefCattle_Data(),Table_SourceData_LivestockProduct_Beefcattle[[#Headers],[Product]],0)</f>
        <v/>
      </c>
      <c r="E38" s="1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c r="D39" s="8" t="str" cm="1">
        <f t="array" ref="D39">Common_InputFunctions.Utility_DisplayArrayInTable(CommonLivestock_SourceData.SourceData_Livestock_Product_BeefCattle_Data(),Table_SourceData_LivestockProduct_Beefcattle[[#Headers],[Product]],0)</f>
        <v/>
      </c>
      <c r="E39" s="1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row>
    <row r="41" spans="1:6" ht="20.100000000000001" customHeight="1" x14ac:dyDescent="0.25">
      <c r="A41"/>
      <c r="D41" s="9" t="str" cm="1">
        <f t="array" ref="D41">CommonLivestock_SourceData.SourceData_Livestock_Product_Sheep_Title()</f>
        <v>Sheep products for scope 3</v>
      </c>
    </row>
    <row r="42" spans="1:6" ht="20.100000000000001" customHeight="1" x14ac:dyDescent="0.25">
      <c r="A42"/>
      <c r="D42" s="11"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c r="D43" s="10" t="s">
        <v>215</v>
      </c>
      <c r="E43" s="10" t="s">
        <v>326</v>
      </c>
      <c r="F43" s="8" t="s">
        <v>328</v>
      </c>
    </row>
    <row r="44" spans="1:6" ht="20.100000000000001" customHeight="1" x14ac:dyDescent="0.25">
      <c r="A44"/>
      <c r="D44" s="10" t="str" cm="1">
        <f t="array" ref="D44">Common_InputFunctions.Utility_DisplayArrayInTable(CommonLivestock_SourceData.SourceData_Livestock_Product_Sheep_Data(),Table_SourceData_LivestockProduct_Sheep[[#Headers],[Product]],0)</f>
        <v>Sheep, for mutton</v>
      </c>
      <c r="E44" s="1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c r="D45" s="10" t="str" cm="1">
        <f t="array" ref="D45">Common_InputFunctions.Utility_DisplayArrayInTable(CommonLivestock_SourceData.SourceData_Livestock_Product_Sheep_Data(),Table_SourceData_LivestockProduct_Sheep[[#Headers],[Product]],0)</f>
        <v>Sheep, for prime lamb</v>
      </c>
      <c r="E45" s="1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c r="D48" s="10" t="str" cm="1">
        <f t="array" ref="D48">Common_InputFunctions.Utility_DisplayArrayInTable(CommonLivestock_SourceData.SourceData_Livestock_Product_Sheep_Data(),Table_SourceData_LivestockProduct_Sheep[[#Headers],[Product]],0)</f>
        <v/>
      </c>
      <c r="E48" s="1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10" t="str" cm="1">
        <f t="array" ref="D49">Common_InputFunctions.Utility_DisplayArrayInTable(CommonLivestock_SourceData.SourceData_Livestock_Product_Sheep_Data(),Table_SourceData_LivestockProduct_Sheep[[#Headers],[Product]],0)</f>
        <v/>
      </c>
      <c r="E49" s="1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10" t="str" cm="1">
        <f t="array" ref="D50">Common_InputFunctions.Utility_DisplayArrayInTable(CommonLivestock_SourceData.SourceData_Livestock_Product_Sheep_Data(),Table_SourceData_LivestockProduct_Sheep[[#Headers],[Product]],0)</f>
        <v/>
      </c>
      <c r="E50" s="1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9" t="str" cm="1">
        <f t="array" ref="D52">CommonLivestock_SourceData.SourceData_Livestock_Product_Chickens_Title()</f>
        <v>Chickens products for scope 3</v>
      </c>
    </row>
    <row r="53" spans="1:6" ht="20.100000000000001" customHeight="1" x14ac:dyDescent="0.25">
      <c r="A53"/>
      <c r="D53" s="11"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10" t="s">
        <v>215</v>
      </c>
      <c r="E54" s="10" t="s">
        <v>326</v>
      </c>
      <c r="F54" s="8" t="s">
        <v>334</v>
      </c>
    </row>
    <row r="55" spans="1:6" ht="20.100000000000001" customHeight="1" x14ac:dyDescent="0.25">
      <c r="A55"/>
      <c r="D55" s="10" t="str" cm="1">
        <f t="array" ref="D55">Common_InputFunctions.Utility_DisplayArrayInTable(CommonLivestock_SourceData.SourceData_Livestock_Product_Chickens_Data(),Table_SourceData_LivestockProduct_Chickens[[#Headers],[Product]],0)</f>
        <v>Chickens</v>
      </c>
      <c r="E55" s="1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9" t="str" cm="1">
        <f t="array" ref="D57">CommonLivestock_SourceData.SourceData_Livestock_Product_Dairycattle_Title()</f>
        <v>Dairy cattle products for scope 3</v>
      </c>
    </row>
    <row r="58" spans="1:6" ht="20.100000000000001" customHeight="1" x14ac:dyDescent="0.25">
      <c r="A58"/>
      <c r="D58" s="11"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10" t="s">
        <v>215</v>
      </c>
      <c r="E59" s="10" t="s">
        <v>326</v>
      </c>
      <c r="F59" s="8" t="s">
        <v>335</v>
      </c>
    </row>
    <row r="60" spans="1:6" ht="20.100000000000001" customHeight="1" x14ac:dyDescent="0.25">
      <c r="A60"/>
      <c r="D60" s="10" t="str" cm="1">
        <f t="array" ref="D60">Common_InputFunctions.Utility_DisplayArrayInTable(CommonLivestock_SourceData.SourceData_Livestock_Product_Dairycattle_Data(),Table_SourceData_LivestockProduct_Dairycattle[[#Headers],[Product]],0)</f>
        <v>Dairy cows</v>
      </c>
      <c r="E60" s="1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9" t="str" cm="1">
        <f t="array" ref="D62">CommonLivestock_SourceData.SourceData_Livestock_Product_Pigs_Title()</f>
        <v>Pigs products for scope 3</v>
      </c>
    </row>
    <row r="63" spans="1:6" ht="20.100000000000001" customHeight="1" x14ac:dyDescent="0.25">
      <c r="A63"/>
      <c r="D63" s="11"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10" t="s">
        <v>215</v>
      </c>
      <c r="E64" s="10" t="s">
        <v>326</v>
      </c>
      <c r="F64" s="8" t="s">
        <v>336</v>
      </c>
    </row>
    <row r="65" spans="1:5" x14ac:dyDescent="0.25">
      <c r="A65"/>
      <c r="D65" s="10" t="str" cm="1">
        <f t="array" ref="D65">Common_InputFunctions.Utility_DisplayArrayInTable(CommonLivestock_SourceData.SourceData_Livestock_Product_Pigs_Data(),Table_SourceData_LivestockProduct_Pigs[[#Headers],[Product]],0)</f>
        <v>Pigs</v>
      </c>
      <c r="E65" s="1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775CD-85C8-4635-9719-33600EAD7FA9}">
  <dimension ref="A1:AI165"/>
  <sheetViews>
    <sheetView showGridLines="0" topLeftCell="E1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37" t="e" vm="1">
        <v>#VALUE!</v>
      </c>
      <c r="C1" s="1" t="s">
        <v>133</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Fertiliser_SourceData.Fertiliser_ChemicalCompoundElements_Title()</f>
        <v>Common inorganic fertilisers</v>
      </c>
      <c r="E5" s="17"/>
      <c r="F5" s="17"/>
      <c r="G5" s="17"/>
      <c r="H5" s="17"/>
      <c r="I5" s="17"/>
      <c r="J5" s="17"/>
    </row>
    <row r="6" spans="1:35"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Fuel'!A1", "Fuel")</f>
        <v>Fuel</v>
      </c>
      <c r="D9" s="12" t="str">
        <v>Added extra fertiliser types and generic chemical compounds to allow for custom NPKS blends</v>
      </c>
    </row>
    <row r="10" spans="1:35" ht="20.100000000000001" customHeight="1" x14ac:dyDescent="0.25">
      <c r="A10" s="16" t="str">
        <f>HYPERLINK("#'Input - Fertiliser'!A1", "Fertiliser")</f>
        <v>Fertiliser</v>
      </c>
      <c r="D10" s="12" t="str">
        <v>Added extra 'Scope 3 definition' column to allow mapping with scope 3 data</v>
      </c>
    </row>
    <row r="11" spans="1:35" ht="20.100000000000001" customHeight="1" x14ac:dyDescent="0.25">
      <c r="A11" s="16" t="str">
        <f>HYPERLINK("#'Input - Farm Inputs'!A1", "Farm Inputs")</f>
        <v>Farm Inputs</v>
      </c>
      <c r="D11" s="12" t="str">
        <v>Added 'Source' column</v>
      </c>
    </row>
    <row r="12" spans="1:35" ht="20.100000000000001" customHeight="1" x14ac:dyDescent="0.25">
      <c r="A12" s="16" t="str">
        <f>HYPERLINK("#'Input - Livestock purchases'!A1", "Livestock purchases")</f>
        <v>Livestock purchases</v>
      </c>
      <c r="D12" s="12" t="str">
        <v>Combined data from Table A.2.2.3 and Table A.2.2.4 into one table to aid lookup.</v>
      </c>
    </row>
    <row r="13" spans="1:35" ht="20.100000000000001" customHeight="1" x14ac:dyDescent="0.25">
      <c r="A13" s="16" t="str">
        <f>HYPERLINK("#'Input - Freight'!A1", "Freight")</f>
        <v>Freight</v>
      </c>
      <c r="D13" s="12" t="str">
        <v>Excluded 'References' column</v>
      </c>
    </row>
    <row r="14" spans="1:35" ht="20.100000000000001" customHeight="1" x14ac:dyDescent="0.25">
      <c r="A14" s="16" t="str">
        <f>HYPERLINK("#'Input - Solid waste'!A1", "Solid waste")</f>
        <v>Solid waste</v>
      </c>
      <c r="D14" s="12" t="str">
        <v>Excluded 'Ammonium sulfate' as it is a duplicate of 'Sulphate of ammonia (SOA)'</v>
      </c>
    </row>
    <row r="15" spans="1:35" ht="20.100000000000001" customHeight="1" x14ac:dyDescent="0.25">
      <c r="A15" s="16" t="str">
        <f>HYPERLINK("#'Input - Manure sent off-site'!A1", "Manure sent off-site")</f>
        <v>Manure sent off-site</v>
      </c>
      <c r="D15" s="12" t="str">
        <v>Excluded 'Calcium nitrate' as no scope 3 value available.</v>
      </c>
    </row>
    <row r="16" spans="1:35" ht="20.100000000000001" customHeight="1" x14ac:dyDescent="0.25">
      <c r="A16" s="16" t="str">
        <f>HYPERLINK("#'Input - Electricity'!A1", "Electricity")</f>
        <v>Electricity</v>
      </c>
      <c r="D16" s="12" t="str">
        <v>Set 'Nitrogen - Generic' basis as 'Urea-based fertilisers, as urea is the most commonly used form of nitrogen in Australian fertilisers</v>
      </c>
    </row>
    <row r="17" spans="1:22" ht="20.100000000000001" customHeight="1" x14ac:dyDescent="0.25">
      <c r="A17"/>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1" t="s">
        <v>77</v>
      </c>
      <c r="D19" s="3" t="s">
        <v>134</v>
      </c>
      <c r="E19" s="3" t="s">
        <v>135</v>
      </c>
      <c r="F19" s="3" t="s">
        <v>136</v>
      </c>
      <c r="G19" s="3" t="s">
        <v>137</v>
      </c>
      <c r="H19" s="3" t="s">
        <v>138</v>
      </c>
      <c r="I19" s="3" t="s">
        <v>139</v>
      </c>
      <c r="K19" s="10" t="s">
        <v>134</v>
      </c>
      <c r="L19" s="10" t="s">
        <v>135</v>
      </c>
      <c r="Q19" s="10" t="s">
        <v>134</v>
      </c>
      <c r="R19" s="10" t="s">
        <v>135</v>
      </c>
      <c r="V19" s="10" t="s">
        <v>139</v>
      </c>
    </row>
    <row r="20" spans="1:22" ht="20.100000000000001" customHeight="1" x14ac:dyDescent="0.25">
      <c r="A20" s="16" t="str">
        <f>HYPERLINK("#'15 Scope 3'!A1", "15 Scope 3")</f>
        <v>15 Scope 3</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HYPERLINK("#'10.1.1-2 Solid waste treatment'!A1", "10.1.1-2 Solid waste treatment")</f>
        <v>10.1.1-2 Solid waste treatment</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6" t="str">
        <f>HYPERLINK("#'Calcs - Manure sent off-site'!A1", "Calcs - Manure sent off-site")</f>
        <v>Calcs - Manure sent off-site</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HYPERLINK("#'8.1.1.1-2 Transport fuel'!A1", "8.1.1.1-2 Transport fuel")</f>
        <v>8.1.1.1-2 Transport fuel</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HYPERLINK("#'8.2.1.1-2 Stationary fuel'!A1", "8.2.1.1-2 Stationary fuel")</f>
        <v>8.2.1.1-2 Stationary fuel</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229" t="s">
        <v>78</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s="16" t="str">
        <f>HYPERLINK("#'Constants - Scope 3'!A1", "Constants - Scope 3")</f>
        <v>Constants - Scope 3</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s="16" t="str">
        <f>HYPERLINK("#'Constants - Solid Waste'!A1", "Constants - Solid Waste")</f>
        <v>Constants - Solid Waste</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16" t="str">
        <f>HYPERLINK("#'Constants - Fuel'!A1", "Constants - Fuel")</f>
        <v>Constants - Fuel</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HYPERLINK("#'Constants - Poultry'!A1", "Constants - Poultry")</f>
        <v>Constants - Poultry</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HYPERLINK("#'Constants - Swine'!A1", "Constants - Swine")</f>
        <v>Constants - Swine</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HYPERLINK("#'Constants - Dairy'!A1", "Constants - Dairy")</f>
        <v>Constants - Dairy</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16" t="str">
        <f>HYPERLINK("#'Constants - Pasture Beef'!A1", "Constants - Pasture Beef")</f>
        <v>Constants - Pasture Beef</v>
      </c>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16" t="str">
        <f>HYPERLINK("#'Constants - Common Livestock'!A1", "Constants - Common Livestock")</f>
        <v>Constants - Common Livestock</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23" t="str">
        <f>HYPERLINK("#'Constants - Fertiliser'!A1", "Constants - Fertiliser")</f>
        <v>Constants - Fertiliser</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Electricity'!A1", "Constants - Electricity")</f>
        <v>Constants - Electricity</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Common'!A1", "Constants - Common")</f>
        <v>Constants - Common</v>
      </c>
      <c r="D38" s="10" t="str" cm="1">
        <f t="array" ref="D38">Common_InputFunctions.Utility_DisplayArrayInTable(Fertiliser_SourceData.Fertiliser_ChemicalCompoundElements_Data(),Table_Fertiliser_ChemicalCompounds[[#Headers],[Fertiliser type f]], 0)</f>
        <v>Calcium nitrate</v>
      </c>
      <c r="E38" s="10" cm="1">
        <f t="array" ref="E38">Common_InputFunctions.Utility_DisplayArrayInTable(Fertiliser_SourceData.Fertiliser_ChemicalCompoundElements_Data(),Table_Fertiliser_ChemicalCompounds[[#Headers],[Fertiliser type f]], 0)</f>
        <v>0.155</v>
      </c>
      <c r="F38" s="10" cm="1">
        <f t="array" ref="F38">Common_InputFunctions.Utility_DisplayArrayInTable(Fertiliser_SourceData.Fertiliser_ChemicalCompoundElements_Data(),Table_Fertiliser_ChemicalCompounds[[#Headers],[Fertiliser type f]], 0)</f>
        <v>0</v>
      </c>
      <c r="G38" s="10" t="str" cm="1">
        <f t="array" ref="G38">Common_InputFunctions.Utility_DisplayArrayInTable(Fertiliser_SourceData.Fertiliser_ChemicalCompoundElements_Data(),Table_Fertiliser_ChemicalCompounds[[#Headers],[Fertiliser type f]], 0)</f>
        <v>Nitrate-based fertilisers</v>
      </c>
      <c r="H38" s="10" t="str" cm="1">
        <f t="array" ref="H38">Common_InputFunctions.Utility_DisplayArrayInTable(Fertiliser_SourceData.Fertiliser_ChemicalCompoundElements_Data(),Table_Fertiliser_ChemicalCompounds[[#Headers],[Fertiliser type f]], 0)</f>
        <v>Calcium nitrate</v>
      </c>
      <c r="I38" s="1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9" t="s">
        <v>140</v>
      </c>
      <c r="F40" s="9" t="s">
        <v>141</v>
      </c>
      <c r="H40" s="9" t="s">
        <v>142</v>
      </c>
      <c r="J40" s="9" t="s">
        <v>143</v>
      </c>
    </row>
    <row r="41" spans="1:10" ht="20.100000000000001" customHeight="1" x14ac:dyDescent="0.25">
      <c r="A41"/>
      <c r="D41" s="10" t="s">
        <v>144</v>
      </c>
      <c r="F41" s="10" t="s">
        <v>144</v>
      </c>
      <c r="H41" s="10" t="s">
        <v>43</v>
      </c>
      <c r="J41" s="10" t="s">
        <v>145</v>
      </c>
    </row>
    <row r="42" spans="1:10" ht="20.100000000000001" customHeight="1" x14ac:dyDescent="0.25">
      <c r="A42"/>
      <c r="D42" s="10" t="s">
        <v>146</v>
      </c>
      <c r="F42" s="10" t="s">
        <v>146</v>
      </c>
      <c r="H42" s="10" t="s">
        <v>147</v>
      </c>
      <c r="J42" s="10" t="s">
        <v>148</v>
      </c>
    </row>
    <row r="43" spans="1:10" ht="20.100000000000001" customHeight="1" x14ac:dyDescent="0.25">
      <c r="A43"/>
      <c r="D43" s="8" t="s">
        <v>149</v>
      </c>
      <c r="F43" s="8" t="s">
        <v>150</v>
      </c>
      <c r="H43" s="10" t="s">
        <v>151</v>
      </c>
      <c r="J43" s="8" t="s">
        <v>152</v>
      </c>
    </row>
    <row r="44" spans="1:10" ht="20.100000000000001" customHeight="1" x14ac:dyDescent="0.25">
      <c r="A44"/>
      <c r="F44" s="8" t="s">
        <v>153</v>
      </c>
      <c r="H44" s="8" t="s">
        <v>154</v>
      </c>
      <c r="J44" s="8" t="s">
        <v>155</v>
      </c>
    </row>
    <row r="45" spans="1:10" ht="20.100000000000001" customHeight="1" x14ac:dyDescent="0.25">
      <c r="A45"/>
      <c r="F45" s="8" t="s">
        <v>156</v>
      </c>
      <c r="H45" s="8" t="s">
        <v>157</v>
      </c>
      <c r="J45" s="8" t="s">
        <v>158</v>
      </c>
    </row>
    <row r="46" spans="1:10" ht="20.100000000000001" customHeight="1" x14ac:dyDescent="0.25">
      <c r="A46"/>
      <c r="H46" s="8" t="s">
        <v>159</v>
      </c>
      <c r="J46" s="8" t="s">
        <v>160</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134</v>
      </c>
      <c r="E50" s="10" t="s">
        <v>161</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162</v>
      </c>
      <c r="E65" s="10" t="s">
        <v>163</v>
      </c>
      <c r="F65" s="10" t="s">
        <v>164</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9" t="str" cm="1">
        <f t="array" ref="D81">Fertiliser_SourceData.Fertiliser_EFLeach_Title()</f>
        <v>Emission factor for nitrogen leaching and runoff</v>
      </c>
    </row>
    <row r="82" spans="1:31" ht="20.100000000000001" customHeight="1" x14ac:dyDescent="0.25">
      <c r="A82"/>
      <c r="D82" s="11" t="str" cm="1">
        <f t="array" ref="D82">Fertiliser_SourceData.Fertiliser_EFLeach_Source()</f>
        <v>VEERG 2026: 5.5.2.3 Constant Parameters</v>
      </c>
    </row>
    <row r="83" spans="1:31"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c r="N86" s="8" t="s">
        <v>910</v>
      </c>
    </row>
    <row r="87" spans="1:31" ht="20.100000000000001" customHeight="1" x14ac:dyDescent="0.25">
      <c r="A87"/>
      <c r="D87" s="9" t="s">
        <v>165</v>
      </c>
      <c r="E87" s="17"/>
      <c r="F87" s="17"/>
      <c r="G87" s="17"/>
      <c r="H87" s="17"/>
      <c r="I87" s="17"/>
      <c r="J87" s="17"/>
      <c r="K87" s="17"/>
      <c r="L87" s="17"/>
      <c r="N87" s="17" t="s">
        <v>910</v>
      </c>
      <c r="O87" s="17"/>
      <c r="P87" s="17"/>
      <c r="Q87" s="17"/>
      <c r="R87" s="17"/>
      <c r="S87" s="17"/>
      <c r="T87" s="17"/>
      <c r="U87" s="17"/>
    </row>
    <row r="88" spans="1:31" ht="20.100000000000001" customHeight="1" x14ac:dyDescent="0.25">
      <c r="A88"/>
      <c r="D88" s="17"/>
    </row>
    <row r="89" spans="1:31" ht="20.100000000000001" customHeight="1" x14ac:dyDescent="0.25">
      <c r="A89"/>
      <c r="D89" s="63" t="s">
        <v>166</v>
      </c>
      <c r="E89" s="10" t="s">
        <v>167</v>
      </c>
      <c r="F89" s="10" t="s">
        <v>168</v>
      </c>
      <c r="G89" s="64" t="s">
        <v>169</v>
      </c>
      <c r="H89" s="64" t="s">
        <v>96</v>
      </c>
      <c r="I89" s="64" t="s">
        <v>170</v>
      </c>
      <c r="J89" s="64" t="s">
        <v>171</v>
      </c>
      <c r="K89" s="64" t="s">
        <v>172</v>
      </c>
      <c r="L89" s="64" t="s">
        <v>173</v>
      </c>
      <c r="M89" s="64" t="s">
        <v>174</v>
      </c>
      <c r="N89" s="64" t="s">
        <v>175</v>
      </c>
      <c r="O89" s="10" t="s">
        <v>176</v>
      </c>
      <c r="P89" s="10" t="s">
        <v>177</v>
      </c>
      <c r="Q89" s="10" t="s">
        <v>178</v>
      </c>
      <c r="R89" s="64" t="s">
        <v>179</v>
      </c>
      <c r="S89" s="64" t="s">
        <v>180</v>
      </c>
      <c r="T89" s="10" t="s">
        <v>181</v>
      </c>
      <c r="U89" s="64" t="s">
        <v>182</v>
      </c>
      <c r="V89" s="64" t="s">
        <v>183</v>
      </c>
      <c r="W89" s="64" t="s">
        <v>184</v>
      </c>
      <c r="X89" s="64" t="s">
        <v>185</v>
      </c>
      <c r="Y89" s="64" t="s">
        <v>186</v>
      </c>
      <c r="Z89" s="10" t="s">
        <v>187</v>
      </c>
      <c r="AA89" s="10" t="s">
        <v>188</v>
      </c>
      <c r="AB89" s="10" t="s">
        <v>189</v>
      </c>
      <c r="AC89" s="10" t="s">
        <v>190</v>
      </c>
      <c r="AD89" s="10" t="s">
        <v>191</v>
      </c>
      <c r="AE89" s="10" t="s">
        <v>192</v>
      </c>
    </row>
    <row r="90" spans="1:31" ht="20.100000000000001" customHeight="1" x14ac:dyDescent="0.25">
      <c r="A90"/>
      <c r="D90" s="62" t="str" cm="1">
        <f t="array" ref="D90">Common_InputFunctions.Utility_DisplayArrayInTable(Fertiliser_SourceData.Fertiliser_Products_Data1(),FertiliserProducts[[#Headers],[Include or Exclude]], -1)</f>
        <v>Include</v>
      </c>
      <c r="E90" s="62" t="str" cm="1">
        <f t="array" ref="E90">Common_InputFunctions.Utility_DisplayArrayInTable(Fertiliser_SourceData.Fertiliser_Products_Data1(),FertiliserProducts[[#Headers],[Include or Exclude]], 0)</f>
        <v/>
      </c>
      <c r="F90" s="62" t="str" cm="1">
        <f t="array" ref="F90">Common_InputFunctions.Utility_DisplayArrayInTable(Fertiliser_SourceData.Fertiliser_Products_Data1(),FertiliserProducts[[#Headers],[Include or Exclude]], 0)</f>
        <v>Campbells fertilisers Australia</v>
      </c>
      <c r="G90" s="62" t="str" cm="1">
        <f t="array" ref="G90">Common_InputFunctions.Utility_DisplayArrayInTable(Fertiliser_SourceData.Fertiliser_Products_Data1(),FertiliserProducts[[#Headers],[Include or Exclude]], 0)</f>
        <v>Aqua Finish</v>
      </c>
      <c r="H90" s="62" t="str" cm="1">
        <f t="array" ref="H90">Common_InputFunctions.Utility_DisplayArrayInTable(Fertiliser_SourceData.Fertiliser_Products_Data1(),FertiliserProducts[[#Headers],[Include or Exclude]], 0,4)</f>
        <v>L</v>
      </c>
      <c r="I90" s="62" cm="1">
        <f t="array" ref="I90">Common_InputFunctions.Utility_DisplayArrayInTable(Fertiliser_SourceData.Fertiliser_Products_Data1(),FertiliserProducts[[#Headers],[Include or Exclude]], 0,4)</f>
        <v>1.26</v>
      </c>
      <c r="J90" s="62" t="str" cm="1">
        <f t="array" ref="J90">Common_InputFunctions.Utility_DisplayArrayInTable(Fertiliser_SourceData.Fertiliser_Products_Data1(),FertiliserProducts[[#Headers],[Include or Exclude]], 0,4)</f>
        <v/>
      </c>
      <c r="K90" s="62" t="str" cm="1">
        <f t="array" ref="K90">Common_InputFunctions.Utility_DisplayArrayInTable(Fertiliser_SourceData.Fertiliser_Products_Data1(),FertiliserProducts[[#Headers],[Include or Exclude]], 0,4)</f>
        <v/>
      </c>
      <c r="L90" s="62" t="str" cm="1">
        <f t="array" ref="L90">Common_InputFunctions.Utility_DisplayArrayInTable(Fertiliser_SourceData.Fertiliser_Products_Data1(),FertiliserProducts[[#Headers],[Include or Exclude]], 0,4)</f>
        <v>Potassium - Generic</v>
      </c>
      <c r="M90" s="62" cm="1">
        <f t="array" ref="M90">Common_InputFunctions.Utility_DisplayArrayInTable(Fertiliser_SourceData.Fertiliser_Products_Data1(),FertiliserProducts[[#Headers],[Include or Exclude]], 0,4)</f>
        <v>0.22500000000000001</v>
      </c>
      <c r="N90" s="62" t="str" cm="1">
        <f t="array" ref="N90">Common_InputFunctions.Utility_DisplayArrayInTable(Fertiliser_SourceData.Fertiliser_Products_Data1(),FertiliserProducts[[#Headers],[Include or Exclude]], 0,4)</f>
        <v>Phosphorus - Generic</v>
      </c>
      <c r="O90" s="62" cm="1">
        <f t="array" ref="O90">Common_InputFunctions.Utility_DisplayArrayInTable(Fertiliser_SourceData.Fertiliser_Products_Data1(),FertiliserProducts[[#Headers],[Include or Exclude]], 0,4)</f>
        <v>0.04</v>
      </c>
      <c r="P90" s="62" t="str" cm="1">
        <f t="array" ref="P90">Common_InputFunctions.Utility_DisplayArrayInTable(Fertiliser_SourceData.Fertiliser_Products_Data1(),FertiliserProducts[[#Headers],[Include or Exclude]], 0,4)</f>
        <v>Nitrogen - Generic</v>
      </c>
      <c r="Q90" s="62" cm="1">
        <f t="array" ref="Q90">Common_InputFunctions.Utility_DisplayArrayInTable(Fertiliser_SourceData.Fertiliser_Products_Data1(),FertiliserProducts[[#Headers],[Include or Exclude]], 0,4)</f>
        <v>2.5999999999999999E-2</v>
      </c>
      <c r="R90" s="62" t="str" cm="1">
        <f t="array" ref="R90">Common_InputFunctions.Utility_DisplayArrayInTable(Fertiliser_SourceData.Fertiliser_Products_Data1(),FertiliserProducts[[#Headers],[Include or Exclude]], 0,4)</f>
        <v/>
      </c>
      <c r="S90" s="62" t="str" cm="1">
        <f t="array" ref="S90">Common_InputFunctions.Utility_DisplayArrayInTable(Fertiliser_SourceData.Fertiliser_Products_Data1(),FertiliserProducts[[#Headers],[Include or Exclude]], 0,4)</f>
        <v/>
      </c>
      <c r="T90" s="62" t="str" cm="1">
        <f t="array" ref="T90">Common_InputFunctions.Utility_DisplayArrayInTable(Fertiliser_SourceData.Fertiliser_Products_Data1(),FertiliserProducts[[#Headers],[Include or Exclude]], 0,4)</f>
        <v/>
      </c>
      <c r="U90" s="62" t="str" cm="1">
        <f t="array" ref="U90">Common_InputFunctions.Utility_DisplayArrayInTable(Fertiliser_SourceData.Fertiliser_Products_Data1(),FertiliserProducts[[#Headers],[Include or Exclude]], 0,4)</f>
        <v/>
      </c>
      <c r="V90" s="62" t="str" cm="1">
        <f t="array" ref="V90">Common_InputFunctions.Utility_DisplayArrayInTable(Fertiliser_SourceData.Fertiliser_Products_Data1(),FertiliserProducts[[#Headers],[Include or Exclude]], 0,4)</f>
        <v/>
      </c>
      <c r="W90" s="62" t="str" cm="1">
        <f t="array" ref="W90">Common_InputFunctions.Utility_DisplayArrayInTable(Fertiliser_SourceData.Fertiliser_Products_Data1(),FertiliserProducts[[#Headers],[Include or Exclude]], 0,4)</f>
        <v/>
      </c>
      <c r="X90" s="62" t="str" cm="1">
        <f t="array" ref="X90">Common_InputFunctions.Utility_DisplayArrayInTable(Fertiliser_SourceData.Fertiliser_Products_Data1(),FertiliserProducts[[#Headers],[Include or Exclude]], 0,4)</f>
        <v/>
      </c>
      <c r="Y90" s="62" t="str" cm="1">
        <f t="array" ref="Y90">Common_InputFunctions.Utility_DisplayArrayInTable(Fertiliser_SourceData.Fertiliser_Products_Data1(),FertiliserProducts[[#Headers],[Include or Exclude]], 0,4)</f>
        <v/>
      </c>
      <c r="Z90" s="62" t="str" cm="1">
        <f t="array" ref="Z90">Common_InputFunctions.Utility_DisplayArrayInTable(Fertiliser_SourceData.Fertiliser_Products_Data1(),FertiliserProducts[[#Headers],[Include or Exclude]], 0,4)</f>
        <v/>
      </c>
      <c r="AA90" s="62" t="str" cm="1">
        <f t="array" ref="AA90">Common_InputFunctions.Utility_DisplayArrayInTable(Fertiliser_SourceData.Fertiliser_Products_Data1(),FertiliserProducts[[#Headers],[Include or Exclude]], 0,4)</f>
        <v/>
      </c>
      <c r="AB90" s="62" t="str" cm="1">
        <f t="array" ref="AB90">Common_InputFunctions.Utility_DisplayArrayInTable(Fertiliser_SourceData.Fertiliser_Products_Data1(),FertiliserProducts[[#Headers],[Include or Exclude]], 0,4)</f>
        <v/>
      </c>
      <c r="AC90" s="62" t="str" cm="1">
        <f t="array" ref="AC90">Common_InputFunctions.Utility_DisplayArrayInTable(Fertiliser_SourceData.Fertiliser_Products_Data1(),FertiliserProducts[[#Headers],[Include or Exclude]], 0,4)</f>
        <v/>
      </c>
      <c r="AD90" s="62" t="str" cm="1">
        <f t="array" ref="AD90">Common_InputFunctions.Utility_DisplayArrayInTable(Fertiliser_SourceData.Fertiliser_Products_Data1(),FertiliserProducts[[#Headers],[Include or Exclude]], 0,4)</f>
        <v/>
      </c>
      <c r="AE90" s="62" t="str" cm="1">
        <f t="array" ref="AE90">Common_InputFunctions.Utility_DisplayArrayInTable(Fertiliser_SourceData.Fertiliser_Products_Data1(),FertiliserProducts[[#Headers],[Include or Exclude]], 0,4)</f>
        <v/>
      </c>
    </row>
    <row r="91" spans="1:31" ht="20.100000000000001" customHeight="1" x14ac:dyDescent="0.25">
      <c r="A91"/>
      <c r="D91" s="62" t="str" cm="1">
        <f t="array" ref="D91">Common_InputFunctions.Utility_DisplayArrayInTable(Fertiliser_SourceData.Fertiliser_Products_Data1(),FertiliserProducts[[#Headers],[Include or Exclude]], -1)</f>
        <v>Include</v>
      </c>
      <c r="E91" s="62" t="str" cm="1">
        <f t="array" ref="E91">Common_InputFunctions.Utility_DisplayArrayInTable(Fertiliser_SourceData.Fertiliser_Products_Data1(),FertiliserProducts[[#Headers],[Include or Exclude]], 0)</f>
        <v/>
      </c>
      <c r="F91" s="62" t="str" cm="1">
        <f t="array" ref="F91">Common_InputFunctions.Utility_DisplayArrayInTable(Fertiliser_SourceData.Fertiliser_Products_Data1(),FertiliserProducts[[#Headers],[Include or Exclude]], 0)</f>
        <v>Campbells fertilisers Australia</v>
      </c>
      <c r="G91" s="62" t="str" cm="1">
        <f t="array" ref="G91">Common_InputFunctions.Utility_DisplayArrayInTable(Fertiliser_SourceData.Fertiliser_Products_Data1(),FertiliserProducts[[#Headers],[Include or Exclude]], 0)</f>
        <v>Aqua Grow</v>
      </c>
      <c r="H91" s="62" t="str" cm="1">
        <f t="array" ref="H91">Common_InputFunctions.Utility_DisplayArrayInTable(Fertiliser_SourceData.Fertiliser_Products_Data1(),FertiliserProducts[[#Headers],[Include or Exclude]], 0,4)</f>
        <v>L</v>
      </c>
      <c r="I91" s="62" cm="1">
        <f t="array" ref="I91">Common_InputFunctions.Utility_DisplayArrayInTable(Fertiliser_SourceData.Fertiliser_Products_Data1(),FertiliserProducts[[#Headers],[Include or Exclude]], 0,4)</f>
        <v>1.26</v>
      </c>
      <c r="J91" s="62" t="str" cm="1">
        <f t="array" ref="J91">Common_InputFunctions.Utility_DisplayArrayInTable(Fertiliser_SourceData.Fertiliser_Products_Data1(),FertiliserProducts[[#Headers],[Include or Exclude]], 0,4)</f>
        <v/>
      </c>
      <c r="K91" s="62" t="str" cm="1">
        <f t="array" ref="K91">Common_InputFunctions.Utility_DisplayArrayInTable(Fertiliser_SourceData.Fertiliser_Products_Data1(),FertiliserProducts[[#Headers],[Include or Exclude]], 0,4)</f>
        <v/>
      </c>
      <c r="L91" s="62" t="str" cm="1">
        <f t="array" ref="L91">Common_InputFunctions.Utility_DisplayArrayInTable(Fertiliser_SourceData.Fertiliser_Products_Data1(),FertiliserProducts[[#Headers],[Include or Exclude]], 0,4)</f>
        <v>Potassium - Generic</v>
      </c>
      <c r="M91" s="62" cm="1">
        <f t="array" ref="M91">Common_InputFunctions.Utility_DisplayArrayInTable(Fertiliser_SourceData.Fertiliser_Products_Data1(),FertiliserProducts[[#Headers],[Include or Exclude]], 0,4)</f>
        <v>0.105</v>
      </c>
      <c r="N91" s="62" t="str" cm="1">
        <f t="array" ref="N91">Common_InputFunctions.Utility_DisplayArrayInTable(Fertiliser_SourceData.Fertiliser_Products_Data1(),FertiliserProducts[[#Headers],[Include or Exclude]], 0,4)</f>
        <v>Nitrogen - Generic</v>
      </c>
      <c r="O91" s="62" cm="1">
        <f t="array" ref="O91">Common_InputFunctions.Utility_DisplayArrayInTable(Fertiliser_SourceData.Fertiliser_Products_Data1(),FertiliserProducts[[#Headers],[Include or Exclude]], 0,4)</f>
        <v>9.6000000000000002E-2</v>
      </c>
      <c r="P91" s="62" t="str" cm="1">
        <f t="array" ref="P91">Common_InputFunctions.Utility_DisplayArrayInTable(Fertiliser_SourceData.Fertiliser_Products_Data1(),FertiliserProducts[[#Headers],[Include or Exclude]], 0,4)</f>
        <v>Phosphorus - Generic</v>
      </c>
      <c r="Q91" s="62" cm="1">
        <f t="array" ref="Q91">Common_InputFunctions.Utility_DisplayArrayInTable(Fertiliser_SourceData.Fertiliser_Products_Data1(),FertiliserProducts[[#Headers],[Include or Exclude]], 0,4)</f>
        <v>0.05</v>
      </c>
      <c r="R91" s="62" t="str" cm="1">
        <f t="array" ref="R91">Common_InputFunctions.Utility_DisplayArrayInTable(Fertiliser_SourceData.Fertiliser_Products_Data1(),FertiliserProducts[[#Headers],[Include or Exclude]], 0,4)</f>
        <v/>
      </c>
      <c r="S91" s="62" t="str" cm="1">
        <f t="array" ref="S91">Common_InputFunctions.Utility_DisplayArrayInTable(Fertiliser_SourceData.Fertiliser_Products_Data1(),FertiliserProducts[[#Headers],[Include or Exclude]], 0,4)</f>
        <v/>
      </c>
      <c r="T91" s="62" t="str" cm="1">
        <f t="array" ref="T91">Common_InputFunctions.Utility_DisplayArrayInTable(Fertiliser_SourceData.Fertiliser_Products_Data1(),FertiliserProducts[[#Headers],[Include or Exclude]], 0,4)</f>
        <v/>
      </c>
      <c r="U91" s="62" t="str" cm="1">
        <f t="array" ref="U91">Common_InputFunctions.Utility_DisplayArrayInTable(Fertiliser_SourceData.Fertiliser_Products_Data1(),FertiliserProducts[[#Headers],[Include or Exclude]], 0,4)</f>
        <v/>
      </c>
      <c r="V91" s="62" t="str" cm="1">
        <f t="array" ref="V91">Common_InputFunctions.Utility_DisplayArrayInTable(Fertiliser_SourceData.Fertiliser_Products_Data1(),FertiliserProducts[[#Headers],[Include or Exclude]], 0,4)</f>
        <v/>
      </c>
      <c r="W91" s="62" t="str" cm="1">
        <f t="array" ref="W91">Common_InputFunctions.Utility_DisplayArrayInTable(Fertiliser_SourceData.Fertiliser_Products_Data1(),FertiliserProducts[[#Headers],[Include or Exclude]], 0,4)</f>
        <v/>
      </c>
      <c r="X91" s="62" t="str" cm="1">
        <f t="array" ref="X91">Common_InputFunctions.Utility_DisplayArrayInTable(Fertiliser_SourceData.Fertiliser_Products_Data1(),FertiliserProducts[[#Headers],[Include or Exclude]], 0,4)</f>
        <v/>
      </c>
      <c r="Y91" s="62" t="str" cm="1">
        <f t="array" ref="Y91">Common_InputFunctions.Utility_DisplayArrayInTable(Fertiliser_SourceData.Fertiliser_Products_Data1(),FertiliserProducts[[#Headers],[Include or Exclude]], 0,4)</f>
        <v/>
      </c>
      <c r="Z91" s="62" t="str" cm="1">
        <f t="array" ref="Z91">Common_InputFunctions.Utility_DisplayArrayInTable(Fertiliser_SourceData.Fertiliser_Products_Data1(),FertiliserProducts[[#Headers],[Include or Exclude]], 0,4)</f>
        <v/>
      </c>
      <c r="AA91" s="62" t="str" cm="1">
        <f t="array" ref="AA91">Common_InputFunctions.Utility_DisplayArrayInTable(Fertiliser_SourceData.Fertiliser_Products_Data1(),FertiliserProducts[[#Headers],[Include or Exclude]], 0,4)</f>
        <v/>
      </c>
      <c r="AB91" s="62" t="str" cm="1">
        <f t="array" ref="AB91">Common_InputFunctions.Utility_DisplayArrayInTable(Fertiliser_SourceData.Fertiliser_Products_Data1(),FertiliserProducts[[#Headers],[Include or Exclude]], 0,4)</f>
        <v/>
      </c>
      <c r="AC91" s="62" t="str" cm="1">
        <f t="array" ref="AC91">Common_InputFunctions.Utility_DisplayArrayInTable(Fertiliser_SourceData.Fertiliser_Products_Data1(),FertiliserProducts[[#Headers],[Include or Exclude]], 0,4)</f>
        <v/>
      </c>
      <c r="AD91" s="62" t="str" cm="1">
        <f t="array" ref="AD91">Common_InputFunctions.Utility_DisplayArrayInTable(Fertiliser_SourceData.Fertiliser_Products_Data1(),FertiliserProducts[[#Headers],[Include or Exclude]], 0,4)</f>
        <v/>
      </c>
      <c r="AE91" s="62" t="str" cm="1">
        <f t="array" ref="AE91">Common_InputFunctions.Utility_DisplayArrayInTable(Fertiliser_SourceData.Fertiliser_Products_Data1(),FertiliserProducts[[#Headers],[Include or Exclude]], 0,4)</f>
        <v/>
      </c>
    </row>
    <row r="92" spans="1:31" ht="20.100000000000001" customHeight="1" x14ac:dyDescent="0.25">
      <c r="A92"/>
      <c r="D92" s="62" t="str" cm="1">
        <f t="array" ref="D92">Common_InputFunctions.Utility_DisplayArrayInTable(Fertiliser_SourceData.Fertiliser_Products_Data1(),FertiliserProducts[[#Headers],[Include or Exclude]], -1)</f>
        <v>Include</v>
      </c>
      <c r="E92" s="62" t="str" cm="1">
        <f t="array" ref="E92">Common_InputFunctions.Utility_DisplayArrayInTable(Fertiliser_SourceData.Fertiliser_Products_Data1(),FertiliserProducts[[#Headers],[Include or Exclude]], 0)</f>
        <v/>
      </c>
      <c r="F92" s="62" t="str" cm="1">
        <f t="array" ref="F92">Common_InputFunctions.Utility_DisplayArrayInTable(Fertiliser_SourceData.Fertiliser_Products_Data1(),FertiliserProducts[[#Headers],[Include or Exclude]], 0)</f>
        <v>Campbells fertilisers Australia</v>
      </c>
      <c r="G92" s="62" t="str" cm="1">
        <f t="array" ref="G92">Common_InputFunctions.Utility_DisplayArrayInTable(Fertiliser_SourceData.Fertiliser_Products_Data1(),FertiliserProducts[[#Headers],[Include or Exclude]], 0)</f>
        <v>Aqua Nitro AN</v>
      </c>
      <c r="H92" s="62" t="str" cm="1">
        <f t="array" ref="H92">Common_InputFunctions.Utility_DisplayArrayInTable(Fertiliser_SourceData.Fertiliser_Products_Data1(),FertiliserProducts[[#Headers],[Include or Exclude]], 0,4)</f>
        <v>L</v>
      </c>
      <c r="I92" s="62" cm="1">
        <f t="array" ref="I92">Common_InputFunctions.Utility_DisplayArrayInTable(Fertiliser_SourceData.Fertiliser_Products_Data1(),FertiliserProducts[[#Headers],[Include or Exclude]], 0,4)</f>
        <v>1.24</v>
      </c>
      <c r="J92" s="62" t="str" cm="1">
        <f t="array" ref="J92">Common_InputFunctions.Utility_DisplayArrayInTable(Fertiliser_SourceData.Fertiliser_Products_Data1(),FertiliserProducts[[#Headers],[Include or Exclude]], 0,4)</f>
        <v/>
      </c>
      <c r="K92" s="62" t="str" cm="1">
        <f t="array" ref="K92">Common_InputFunctions.Utility_DisplayArrayInTable(Fertiliser_SourceData.Fertiliser_Products_Data1(),FertiliserProducts[[#Headers],[Include or Exclude]], 0,4)</f>
        <v/>
      </c>
      <c r="L92" s="62" t="str" cm="1">
        <f t="array" ref="L92">Common_InputFunctions.Utility_DisplayArrayInTable(Fertiliser_SourceData.Fertiliser_Products_Data1(),FertiliserProducts[[#Headers],[Include or Exclude]], 0,4)</f>
        <v>Nitrogen - Ammoniacal</v>
      </c>
      <c r="M92" s="62" cm="1">
        <f t="array" ref="M92">Common_InputFunctions.Utility_DisplayArrayInTable(Fertiliser_SourceData.Fertiliser_Products_Data1(),FertiliserProducts[[#Headers],[Include or Exclude]], 0,4)</f>
        <v>0.223</v>
      </c>
      <c r="N92" s="62" t="str" cm="1">
        <f t="array" ref="N92">Common_InputFunctions.Utility_DisplayArrayInTable(Fertiliser_SourceData.Fertiliser_Products_Data1(),FertiliserProducts[[#Headers],[Include or Exclude]], 0,4)</f>
        <v/>
      </c>
      <c r="O92" s="62" t="str" cm="1">
        <f t="array" ref="O92">Common_InputFunctions.Utility_DisplayArrayInTable(Fertiliser_SourceData.Fertiliser_Products_Data1(),FertiliserProducts[[#Headers],[Include or Exclude]], 0,4)</f>
        <v/>
      </c>
      <c r="P92" s="62" t="str" cm="1">
        <f t="array" ref="P92">Common_InputFunctions.Utility_DisplayArrayInTable(Fertiliser_SourceData.Fertiliser_Products_Data1(),FertiliserProducts[[#Headers],[Include or Exclude]], 0,4)</f>
        <v/>
      </c>
      <c r="Q92" s="62" t="str" cm="1">
        <f t="array" ref="Q92">Common_InputFunctions.Utility_DisplayArrayInTable(Fertiliser_SourceData.Fertiliser_Products_Data1(),FertiliserProducts[[#Headers],[Include or Exclude]], 0,4)</f>
        <v/>
      </c>
      <c r="R92" s="62" t="str" cm="1">
        <f t="array" ref="R92">Common_InputFunctions.Utility_DisplayArrayInTable(Fertiliser_SourceData.Fertiliser_Products_Data1(),FertiliserProducts[[#Headers],[Include or Exclude]], 0,4)</f>
        <v/>
      </c>
      <c r="S92" s="62" t="str" cm="1">
        <f t="array" ref="S92">Common_InputFunctions.Utility_DisplayArrayInTable(Fertiliser_SourceData.Fertiliser_Products_Data1(),FertiliserProducts[[#Headers],[Include or Exclude]], 0,4)</f>
        <v/>
      </c>
      <c r="T92" s="62" t="str" cm="1">
        <f t="array" ref="T92">Common_InputFunctions.Utility_DisplayArrayInTable(Fertiliser_SourceData.Fertiliser_Products_Data1(),FertiliserProducts[[#Headers],[Include or Exclude]], 0,4)</f>
        <v/>
      </c>
      <c r="U92" s="62" t="str" cm="1">
        <f t="array" ref="U92">Common_InputFunctions.Utility_DisplayArrayInTable(Fertiliser_SourceData.Fertiliser_Products_Data1(),FertiliserProducts[[#Headers],[Include or Exclude]], 0,4)</f>
        <v/>
      </c>
      <c r="V92" s="62" t="str" cm="1">
        <f t="array" ref="V92">Common_InputFunctions.Utility_DisplayArrayInTable(Fertiliser_SourceData.Fertiliser_Products_Data1(),FertiliserProducts[[#Headers],[Include or Exclude]], 0,4)</f>
        <v/>
      </c>
      <c r="W92" s="62" t="str" cm="1">
        <f t="array" ref="W92">Common_InputFunctions.Utility_DisplayArrayInTable(Fertiliser_SourceData.Fertiliser_Products_Data1(),FertiliserProducts[[#Headers],[Include or Exclude]], 0,4)</f>
        <v/>
      </c>
      <c r="X92" s="62" t="str" cm="1">
        <f t="array" ref="X92">Common_InputFunctions.Utility_DisplayArrayInTable(Fertiliser_SourceData.Fertiliser_Products_Data1(),FertiliserProducts[[#Headers],[Include or Exclude]], 0,4)</f>
        <v/>
      </c>
      <c r="Y92" s="62" t="str" cm="1">
        <f t="array" ref="Y92">Common_InputFunctions.Utility_DisplayArrayInTable(Fertiliser_SourceData.Fertiliser_Products_Data1(),FertiliserProducts[[#Headers],[Include or Exclude]], 0,4)</f>
        <v/>
      </c>
      <c r="Z92" s="62" t="str" cm="1">
        <f t="array" ref="Z92">Common_InputFunctions.Utility_DisplayArrayInTable(Fertiliser_SourceData.Fertiliser_Products_Data1(),FertiliserProducts[[#Headers],[Include or Exclude]], 0,4)</f>
        <v/>
      </c>
      <c r="AA92" s="62" t="str" cm="1">
        <f t="array" ref="AA92">Common_InputFunctions.Utility_DisplayArrayInTable(Fertiliser_SourceData.Fertiliser_Products_Data1(),FertiliserProducts[[#Headers],[Include or Exclude]], 0,4)</f>
        <v/>
      </c>
      <c r="AB92" s="62" t="str" cm="1">
        <f t="array" ref="AB92">Common_InputFunctions.Utility_DisplayArrayInTable(Fertiliser_SourceData.Fertiliser_Products_Data1(),FertiliserProducts[[#Headers],[Include or Exclude]], 0,4)</f>
        <v/>
      </c>
      <c r="AC92" s="62" t="str" cm="1">
        <f t="array" ref="AC92">Common_InputFunctions.Utility_DisplayArrayInTable(Fertiliser_SourceData.Fertiliser_Products_Data1(),FertiliserProducts[[#Headers],[Include or Exclude]], 0,4)</f>
        <v/>
      </c>
      <c r="AD92" s="62" t="str" cm="1">
        <f t="array" ref="AD92">Common_InputFunctions.Utility_DisplayArrayInTable(Fertiliser_SourceData.Fertiliser_Products_Data1(),FertiliserProducts[[#Headers],[Include or Exclude]], 0,4)</f>
        <v/>
      </c>
      <c r="AE92" s="62" t="str" cm="1">
        <f t="array" ref="AE92">Common_InputFunctions.Utility_DisplayArrayInTable(Fertiliser_SourceData.Fertiliser_Products_Data1(),FertiliserProducts[[#Headers],[Include or Exclude]], 0,4)</f>
        <v/>
      </c>
    </row>
    <row r="93" spans="1:31" ht="20.100000000000001" customHeight="1" x14ac:dyDescent="0.25">
      <c r="A93"/>
      <c r="D93" s="62" t="str" cm="1">
        <f t="array" ref="D93">Common_InputFunctions.Utility_DisplayArrayInTable(Fertiliser_SourceData.Fertiliser_Products_Data1(),FertiliserProducts[[#Headers],[Include or Exclude]], -1)</f>
        <v>Include</v>
      </c>
      <c r="E93" s="62" t="str" cm="1">
        <f t="array" ref="E93">Common_InputFunctions.Utility_DisplayArrayInTable(Fertiliser_SourceData.Fertiliser_Products_Data1(),FertiliserProducts[[#Headers],[Include or Exclude]], 0)</f>
        <v>Use Lime EF for calcium</v>
      </c>
      <c r="F93" s="62" t="str" cm="1">
        <f t="array" ref="F93">Common_InputFunctions.Utility_DisplayArrayInTable(Fertiliser_SourceData.Fertiliser_Products_Data1(),FertiliserProducts[[#Headers],[Include or Exclude]], 0)</f>
        <v>Campbells fertilisers Australia</v>
      </c>
      <c r="G93" s="62" t="str" cm="1">
        <f t="array" ref="G93">Common_InputFunctions.Utility_DisplayArrayInTable(Fertiliser_SourceData.Fertiliser_Products_Data1(),FertiliserProducts[[#Headers],[Include or Exclude]], 0)</f>
        <v>Aqua NitroCal</v>
      </c>
      <c r="H93" s="62" t="str" cm="1">
        <f t="array" ref="H93">Common_InputFunctions.Utility_DisplayArrayInTable(Fertiliser_SourceData.Fertiliser_Products_Data1(),FertiliserProducts[[#Headers],[Include or Exclude]], 0,4)</f>
        <v>L</v>
      </c>
      <c r="I93" s="62" cm="1">
        <f t="array" ref="I93">Common_InputFunctions.Utility_DisplayArrayInTable(Fertiliser_SourceData.Fertiliser_Products_Data1(),FertiliserProducts[[#Headers],[Include or Exclude]], 0,4)</f>
        <v>1.5</v>
      </c>
      <c r="J93" s="62" t="str" cm="1">
        <f t="array" ref="J93">Common_InputFunctions.Utility_DisplayArrayInTable(Fertiliser_SourceData.Fertiliser_Products_Data1(),FertiliserProducts[[#Headers],[Include or Exclude]], 0,4)</f>
        <v/>
      </c>
      <c r="K93" s="62" t="str" cm="1">
        <f t="array" ref="K93">Common_InputFunctions.Utility_DisplayArrayInTable(Fertiliser_SourceData.Fertiliser_Products_Data1(),FertiliserProducts[[#Headers],[Include or Exclude]], 0,4)</f>
        <v/>
      </c>
      <c r="L93" s="62" t="str" cm="1">
        <f t="array" ref="L93">Common_InputFunctions.Utility_DisplayArrayInTable(Fertiliser_SourceData.Fertiliser_Products_Data1(),FertiliserProducts[[#Headers],[Include or Exclude]], 0,4)</f>
        <v>Calcium - Generic</v>
      </c>
      <c r="M93" s="62" cm="1">
        <f t="array" ref="M93">Common_InputFunctions.Utility_DisplayArrayInTable(Fertiliser_SourceData.Fertiliser_Products_Data1(),FertiliserProducts[[#Headers],[Include or Exclude]], 0,4)</f>
        <v>0.16200000000000001</v>
      </c>
      <c r="N93" s="62" t="str" cm="1">
        <f t="array" ref="N93">Common_InputFunctions.Utility_DisplayArrayInTable(Fertiliser_SourceData.Fertiliser_Products_Data1(),FertiliserProducts[[#Headers],[Include or Exclude]], 0,4)</f>
        <v>Nitrogen - Nitrate</v>
      </c>
      <c r="O93" s="62" cm="1">
        <f t="array" ref="O93">Common_InputFunctions.Utility_DisplayArrayInTable(Fertiliser_SourceData.Fertiliser_Products_Data1(),FertiliserProducts[[#Headers],[Include or Exclude]], 0,4)</f>
        <v>0.13200000000000001</v>
      </c>
      <c r="P93" s="62" t="str" cm="1">
        <f t="array" ref="P93">Common_InputFunctions.Utility_DisplayArrayInTable(Fertiliser_SourceData.Fertiliser_Products_Data1(),FertiliserProducts[[#Headers],[Include or Exclude]], 0,4)</f>
        <v/>
      </c>
      <c r="Q93" s="62" t="str" cm="1">
        <f t="array" ref="Q93">Common_InputFunctions.Utility_DisplayArrayInTable(Fertiliser_SourceData.Fertiliser_Products_Data1(),FertiliserProducts[[#Headers],[Include or Exclude]], 0,4)</f>
        <v/>
      </c>
      <c r="R93" s="62" t="str" cm="1">
        <f t="array" ref="R93">Common_InputFunctions.Utility_DisplayArrayInTable(Fertiliser_SourceData.Fertiliser_Products_Data1(),FertiliserProducts[[#Headers],[Include or Exclude]], 0,4)</f>
        <v/>
      </c>
      <c r="S93" s="62" t="str" cm="1">
        <f t="array" ref="S93">Common_InputFunctions.Utility_DisplayArrayInTable(Fertiliser_SourceData.Fertiliser_Products_Data1(),FertiliserProducts[[#Headers],[Include or Exclude]], 0,4)</f>
        <v/>
      </c>
      <c r="T93" s="62" t="str" cm="1">
        <f t="array" ref="T93">Common_InputFunctions.Utility_DisplayArrayInTable(Fertiliser_SourceData.Fertiliser_Products_Data1(),FertiliserProducts[[#Headers],[Include or Exclude]], 0,4)</f>
        <v/>
      </c>
      <c r="U93" s="62" t="str" cm="1">
        <f t="array" ref="U93">Common_InputFunctions.Utility_DisplayArrayInTable(Fertiliser_SourceData.Fertiliser_Products_Data1(),FertiliserProducts[[#Headers],[Include or Exclude]], 0,4)</f>
        <v/>
      </c>
      <c r="V93" s="62" t="str" cm="1">
        <f t="array" ref="V93">Common_InputFunctions.Utility_DisplayArrayInTable(Fertiliser_SourceData.Fertiliser_Products_Data1(),FertiliserProducts[[#Headers],[Include or Exclude]], 0,4)</f>
        <v/>
      </c>
      <c r="W93" s="62" t="str" cm="1">
        <f t="array" ref="W93">Common_InputFunctions.Utility_DisplayArrayInTable(Fertiliser_SourceData.Fertiliser_Products_Data1(),FertiliserProducts[[#Headers],[Include or Exclude]], 0,4)</f>
        <v/>
      </c>
      <c r="X93" s="62" t="str" cm="1">
        <f t="array" ref="X93">Common_InputFunctions.Utility_DisplayArrayInTable(Fertiliser_SourceData.Fertiliser_Products_Data1(),FertiliserProducts[[#Headers],[Include or Exclude]], 0,4)</f>
        <v/>
      </c>
      <c r="Y93" s="62" t="str" cm="1">
        <f t="array" ref="Y93">Common_InputFunctions.Utility_DisplayArrayInTable(Fertiliser_SourceData.Fertiliser_Products_Data1(),FertiliserProducts[[#Headers],[Include or Exclude]], 0,4)</f>
        <v/>
      </c>
      <c r="Z93" s="62" t="str" cm="1">
        <f t="array" ref="Z93">Common_InputFunctions.Utility_DisplayArrayInTable(Fertiliser_SourceData.Fertiliser_Products_Data1(),FertiliserProducts[[#Headers],[Include or Exclude]], 0,4)</f>
        <v/>
      </c>
      <c r="AA93" s="62" t="str" cm="1">
        <f t="array" ref="AA93">Common_InputFunctions.Utility_DisplayArrayInTable(Fertiliser_SourceData.Fertiliser_Products_Data1(),FertiliserProducts[[#Headers],[Include or Exclude]], 0,4)</f>
        <v/>
      </c>
      <c r="AB93" s="62" t="str" cm="1">
        <f t="array" ref="AB93">Common_InputFunctions.Utility_DisplayArrayInTable(Fertiliser_SourceData.Fertiliser_Products_Data1(),FertiliserProducts[[#Headers],[Include or Exclude]], 0,4)</f>
        <v/>
      </c>
      <c r="AC93" s="62" t="str" cm="1">
        <f t="array" ref="AC93">Common_InputFunctions.Utility_DisplayArrayInTable(Fertiliser_SourceData.Fertiliser_Products_Data1(),FertiliserProducts[[#Headers],[Include or Exclude]], 0,4)</f>
        <v/>
      </c>
      <c r="AD93" s="62" t="str" cm="1">
        <f t="array" ref="AD93">Common_InputFunctions.Utility_DisplayArrayInTable(Fertiliser_SourceData.Fertiliser_Products_Data1(),FertiliserProducts[[#Headers],[Include or Exclude]], 0,4)</f>
        <v/>
      </c>
      <c r="AE93" s="62" t="str" cm="1">
        <f t="array" ref="AE93">Common_InputFunctions.Utility_DisplayArrayInTable(Fertiliser_SourceData.Fertiliser_Products_Data1(),FertiliserProducts[[#Headers],[Include or Exclude]], 0,4)</f>
        <v/>
      </c>
    </row>
    <row r="94" spans="1:31" ht="20.100000000000001" customHeight="1" x14ac:dyDescent="0.25">
      <c r="A94"/>
      <c r="D94" s="62" t="str" cm="1">
        <f t="array" ref="D94">Common_InputFunctions.Utility_DisplayArrayInTable(Fertiliser_SourceData.Fertiliser_Products_Data1(),FertiliserProducts[[#Headers],[Include or Exclude]], -1)</f>
        <v>Include</v>
      </c>
      <c r="E94" s="62" t="str" cm="1">
        <f t="array" ref="E94">Common_InputFunctions.Utility_DisplayArrayInTable(Fertiliser_SourceData.Fertiliser_Products_Data1(),FertiliserProducts[[#Headers],[Include or Exclude]], 0)</f>
        <v>Use Lime EF for calcium</v>
      </c>
      <c r="F94" s="62" t="str" cm="1">
        <f t="array" ref="F94">Common_InputFunctions.Utility_DisplayArrayInTable(Fertiliser_SourceData.Fertiliser_Products_Data1(),FertiliserProducts[[#Headers],[Include or Exclude]], 0)</f>
        <v>Campbells fertilisers Australia</v>
      </c>
      <c r="G94" s="62" t="str" cm="1">
        <f t="array" ref="G94">Common_InputFunctions.Utility_DisplayArrayInTable(Fertiliser_SourceData.Fertiliser_Products_Data1(),FertiliserProducts[[#Headers],[Include or Exclude]], 0)</f>
        <v>Aqua NitroCal (VI)</v>
      </c>
      <c r="H94" s="62" t="str" cm="1">
        <f t="array" ref="H94">Common_InputFunctions.Utility_DisplayArrayInTable(Fertiliser_SourceData.Fertiliser_Products_Data1(),FertiliserProducts[[#Headers],[Include or Exclude]], 0,4)</f>
        <v>L</v>
      </c>
      <c r="I94" s="62" cm="1">
        <f t="array" ref="I94">Common_InputFunctions.Utility_DisplayArrayInTable(Fertiliser_SourceData.Fertiliser_Products_Data1(),FertiliserProducts[[#Headers],[Include or Exclude]], 0,4)</f>
        <v>1.5</v>
      </c>
      <c r="J94" s="62" t="str" cm="1">
        <f t="array" ref="J94">Common_InputFunctions.Utility_DisplayArrayInTable(Fertiliser_SourceData.Fertiliser_Products_Data1(),FertiliserProducts[[#Headers],[Include or Exclude]], 0,4)</f>
        <v/>
      </c>
      <c r="K94" s="62" t="str" cm="1">
        <f t="array" ref="K94">Common_InputFunctions.Utility_DisplayArrayInTable(Fertiliser_SourceData.Fertiliser_Products_Data1(),FertiliserProducts[[#Headers],[Include or Exclude]], 0,4)</f>
        <v/>
      </c>
      <c r="L94" s="62" t="str" cm="1">
        <f t="array" ref="L94">Common_InputFunctions.Utility_DisplayArrayInTable(Fertiliser_SourceData.Fertiliser_Products_Data1(),FertiliserProducts[[#Headers],[Include or Exclude]], 0,4)</f>
        <v>Calcium - Generic</v>
      </c>
      <c r="M94" s="62" cm="1">
        <f t="array" ref="M94">Common_InputFunctions.Utility_DisplayArrayInTable(Fertiliser_SourceData.Fertiliser_Products_Data1(),FertiliserProducts[[#Headers],[Include or Exclude]], 0,4)</f>
        <v>0.187</v>
      </c>
      <c r="N94" s="62" t="str" cm="1">
        <f t="array" ref="N94">Common_InputFunctions.Utility_DisplayArrayInTable(Fertiliser_SourceData.Fertiliser_Products_Data1(),FertiliserProducts[[#Headers],[Include or Exclude]], 0,4)</f>
        <v>Nitrogen - Nitrate</v>
      </c>
      <c r="O94" s="62" cm="1">
        <f t="array" ref="O94">Common_InputFunctions.Utility_DisplayArrayInTable(Fertiliser_SourceData.Fertiliser_Products_Data1(),FertiliserProducts[[#Headers],[Include or Exclude]], 0,4)</f>
        <v>0.13200000000000001</v>
      </c>
      <c r="P94" s="62" t="str" cm="1">
        <f t="array" ref="P94">Common_InputFunctions.Utility_DisplayArrayInTable(Fertiliser_SourceData.Fertiliser_Products_Data1(),FertiliserProducts[[#Headers],[Include or Exclude]], 0,4)</f>
        <v/>
      </c>
      <c r="Q94" s="62" t="str" cm="1">
        <f t="array" ref="Q94">Common_InputFunctions.Utility_DisplayArrayInTable(Fertiliser_SourceData.Fertiliser_Products_Data1(),FertiliserProducts[[#Headers],[Include or Exclude]], 0,4)</f>
        <v/>
      </c>
      <c r="R94" s="62" t="str" cm="1">
        <f t="array" ref="R94">Common_InputFunctions.Utility_DisplayArrayInTable(Fertiliser_SourceData.Fertiliser_Products_Data1(),FertiliserProducts[[#Headers],[Include or Exclude]], 0,4)</f>
        <v/>
      </c>
      <c r="S94" s="62" t="str" cm="1">
        <f t="array" ref="S94">Common_InputFunctions.Utility_DisplayArrayInTable(Fertiliser_SourceData.Fertiliser_Products_Data1(),FertiliserProducts[[#Headers],[Include or Exclude]], 0,4)</f>
        <v/>
      </c>
      <c r="T94" s="62" t="str" cm="1">
        <f t="array" ref="T94">Common_InputFunctions.Utility_DisplayArrayInTable(Fertiliser_SourceData.Fertiliser_Products_Data1(),FertiliserProducts[[#Headers],[Include or Exclude]], 0,4)</f>
        <v/>
      </c>
      <c r="U94" s="62" t="str" cm="1">
        <f t="array" ref="U94">Common_InputFunctions.Utility_DisplayArrayInTable(Fertiliser_SourceData.Fertiliser_Products_Data1(),FertiliserProducts[[#Headers],[Include or Exclude]], 0,4)</f>
        <v/>
      </c>
      <c r="V94" s="62" t="str" cm="1">
        <f t="array" ref="V94">Common_InputFunctions.Utility_DisplayArrayInTable(Fertiliser_SourceData.Fertiliser_Products_Data1(),FertiliserProducts[[#Headers],[Include or Exclude]], 0,4)</f>
        <v/>
      </c>
      <c r="W94" s="62" t="str" cm="1">
        <f t="array" ref="W94">Common_InputFunctions.Utility_DisplayArrayInTable(Fertiliser_SourceData.Fertiliser_Products_Data1(),FertiliserProducts[[#Headers],[Include or Exclude]], 0,4)</f>
        <v/>
      </c>
      <c r="X94" s="62" t="str" cm="1">
        <f t="array" ref="X94">Common_InputFunctions.Utility_DisplayArrayInTable(Fertiliser_SourceData.Fertiliser_Products_Data1(),FertiliserProducts[[#Headers],[Include or Exclude]], 0,4)</f>
        <v/>
      </c>
      <c r="Y94" s="62" t="str" cm="1">
        <f t="array" ref="Y94">Common_InputFunctions.Utility_DisplayArrayInTable(Fertiliser_SourceData.Fertiliser_Products_Data1(),FertiliserProducts[[#Headers],[Include or Exclude]], 0,4)</f>
        <v/>
      </c>
      <c r="Z94" s="62" t="str" cm="1">
        <f t="array" ref="Z94">Common_InputFunctions.Utility_DisplayArrayInTable(Fertiliser_SourceData.Fertiliser_Products_Data1(),FertiliserProducts[[#Headers],[Include or Exclude]], 0,4)</f>
        <v/>
      </c>
      <c r="AA94" s="62" t="str" cm="1">
        <f t="array" ref="AA94">Common_InputFunctions.Utility_DisplayArrayInTable(Fertiliser_SourceData.Fertiliser_Products_Data1(),FertiliserProducts[[#Headers],[Include or Exclude]], 0,4)</f>
        <v/>
      </c>
      <c r="AB94" s="62" t="str" cm="1">
        <f t="array" ref="AB94">Common_InputFunctions.Utility_DisplayArrayInTable(Fertiliser_SourceData.Fertiliser_Products_Data1(),FertiliserProducts[[#Headers],[Include or Exclude]], 0,4)</f>
        <v/>
      </c>
      <c r="AC94" s="62" t="str" cm="1">
        <f t="array" ref="AC94">Common_InputFunctions.Utility_DisplayArrayInTable(Fertiliser_SourceData.Fertiliser_Products_Data1(),FertiliserProducts[[#Headers],[Include or Exclude]], 0,4)</f>
        <v/>
      </c>
      <c r="AD94" s="62" t="str" cm="1">
        <f t="array" ref="AD94">Common_InputFunctions.Utility_DisplayArrayInTable(Fertiliser_SourceData.Fertiliser_Products_Data1(),FertiliserProducts[[#Headers],[Include or Exclude]], 0,4)</f>
        <v/>
      </c>
      <c r="AE94" s="62" t="str" cm="1">
        <f t="array" ref="AE94">Common_InputFunctions.Utility_DisplayArrayInTable(Fertiliser_SourceData.Fertiliser_Products_Data1(),FertiliserProducts[[#Headers],[Include or Exclude]], 0,4)</f>
        <v/>
      </c>
    </row>
    <row r="95" spans="1:31" ht="20.100000000000001" customHeight="1" x14ac:dyDescent="0.25">
      <c r="A95"/>
      <c r="D95" s="62" t="str" cm="1">
        <f t="array" ref="D95">Common_InputFunctions.Utility_DisplayArrayInTable(Fertiliser_SourceData.Fertiliser_Products_Data1(),FertiliserProducts[[#Headers],[Include or Exclude]], -1)</f>
        <v>Include</v>
      </c>
      <c r="E95" s="62" t="str" cm="1">
        <f t="array" ref="E95">Common_InputFunctions.Utility_DisplayArrayInTable(Fertiliser_SourceData.Fertiliser_Products_Data1(),FertiliserProducts[[#Headers],[Include or Exclude]], 0)</f>
        <v>Use Lime EF for calcium</v>
      </c>
      <c r="F95" s="62" t="str" cm="1">
        <f t="array" ref="F95">Common_InputFunctions.Utility_DisplayArrayInTable(Fertiliser_SourceData.Fertiliser_Products_Data1(),FertiliserProducts[[#Headers],[Include or Exclude]], 0)</f>
        <v>Campbells fertilisers Australia</v>
      </c>
      <c r="G95" s="62" t="str" cm="1">
        <f t="array" ref="G95">Common_InputFunctions.Utility_DisplayArrayInTable(Fertiliser_SourceData.Fertiliser_Products_Data1(),FertiliserProducts[[#Headers],[Include or Exclude]], 0)</f>
        <v>Aqua NitroCal Ultimate</v>
      </c>
      <c r="H95" s="62" t="str" cm="1">
        <f t="array" ref="H95">Common_InputFunctions.Utility_DisplayArrayInTable(Fertiliser_SourceData.Fertiliser_Products_Data1(),FertiliserProducts[[#Headers],[Include or Exclude]], 0,4)</f>
        <v>L</v>
      </c>
      <c r="I95" s="62" cm="1">
        <f t="array" ref="I95">Common_InputFunctions.Utility_DisplayArrayInTable(Fertiliser_SourceData.Fertiliser_Products_Data1(),FertiliserProducts[[#Headers],[Include or Exclude]], 0,4)</f>
        <v>1.5</v>
      </c>
      <c r="J95" s="62" t="str" cm="1">
        <f t="array" ref="J95">Common_InputFunctions.Utility_DisplayArrayInTable(Fertiliser_SourceData.Fertiliser_Products_Data1(),FertiliserProducts[[#Headers],[Include or Exclude]], 0,4)</f>
        <v/>
      </c>
      <c r="K95" s="62" t="str" cm="1">
        <f t="array" ref="K95">Common_InputFunctions.Utility_DisplayArrayInTable(Fertiliser_SourceData.Fertiliser_Products_Data1(),FertiliserProducts[[#Headers],[Include or Exclude]], 0,4)</f>
        <v/>
      </c>
      <c r="L95" s="62" t="str" cm="1">
        <f t="array" ref="L95">Common_InputFunctions.Utility_DisplayArrayInTable(Fertiliser_SourceData.Fertiliser_Products_Data1(),FertiliserProducts[[#Headers],[Include or Exclude]], 0,4)</f>
        <v>Calcium - Generic</v>
      </c>
      <c r="M95" s="62" cm="1">
        <f t="array" ref="M95">Common_InputFunctions.Utility_DisplayArrayInTable(Fertiliser_SourceData.Fertiliser_Products_Data1(),FertiliserProducts[[#Headers],[Include or Exclude]], 0,4)</f>
        <v>0.183</v>
      </c>
      <c r="N95" s="62" t="str" cm="1">
        <f t="array" ref="N95">Common_InputFunctions.Utility_DisplayArrayInTable(Fertiliser_SourceData.Fertiliser_Products_Data1(),FertiliserProducts[[#Headers],[Include or Exclude]], 0,4)</f>
        <v>Nitrogen  - Nitrate</v>
      </c>
      <c r="O95" s="62" cm="1">
        <f t="array" ref="O95">Common_InputFunctions.Utility_DisplayArrayInTable(Fertiliser_SourceData.Fertiliser_Products_Data1(),FertiliserProducts[[#Headers],[Include or Exclude]], 0,4)</f>
        <v>0.13200000000000001</v>
      </c>
      <c r="P95" s="62" t="str" cm="1">
        <f t="array" ref="P95">Common_InputFunctions.Utility_DisplayArrayInTable(Fertiliser_SourceData.Fertiliser_Products_Data1(),FertiliserProducts[[#Headers],[Include or Exclude]], 0,4)</f>
        <v/>
      </c>
      <c r="Q95" s="62" t="str" cm="1">
        <f t="array" ref="Q95">Common_InputFunctions.Utility_DisplayArrayInTable(Fertiliser_SourceData.Fertiliser_Products_Data1(),FertiliserProducts[[#Headers],[Include or Exclude]], 0,4)</f>
        <v/>
      </c>
      <c r="R95" s="62" t="str" cm="1">
        <f t="array" ref="R95">Common_InputFunctions.Utility_DisplayArrayInTable(Fertiliser_SourceData.Fertiliser_Products_Data1(),FertiliserProducts[[#Headers],[Include or Exclude]], 0,4)</f>
        <v/>
      </c>
      <c r="S95" s="62" t="str" cm="1">
        <f t="array" ref="S95">Common_InputFunctions.Utility_DisplayArrayInTable(Fertiliser_SourceData.Fertiliser_Products_Data1(),FertiliserProducts[[#Headers],[Include or Exclude]], 0,4)</f>
        <v/>
      </c>
      <c r="T95" s="62" t="str" cm="1">
        <f t="array" ref="T95">Common_InputFunctions.Utility_DisplayArrayInTable(Fertiliser_SourceData.Fertiliser_Products_Data1(),FertiliserProducts[[#Headers],[Include or Exclude]], 0,4)</f>
        <v/>
      </c>
      <c r="U95" s="62" t="str" cm="1">
        <f t="array" ref="U95">Common_InputFunctions.Utility_DisplayArrayInTable(Fertiliser_SourceData.Fertiliser_Products_Data1(),FertiliserProducts[[#Headers],[Include or Exclude]], 0,4)</f>
        <v/>
      </c>
      <c r="V95" s="62" t="str" cm="1">
        <f t="array" ref="V95">Common_InputFunctions.Utility_DisplayArrayInTable(Fertiliser_SourceData.Fertiliser_Products_Data1(),FertiliserProducts[[#Headers],[Include or Exclude]], 0,4)</f>
        <v/>
      </c>
      <c r="W95" s="62" t="str" cm="1">
        <f t="array" ref="W95">Common_InputFunctions.Utility_DisplayArrayInTable(Fertiliser_SourceData.Fertiliser_Products_Data1(),FertiliserProducts[[#Headers],[Include or Exclude]], 0,4)</f>
        <v/>
      </c>
      <c r="X95" s="62" t="str" cm="1">
        <f t="array" ref="X95">Common_InputFunctions.Utility_DisplayArrayInTable(Fertiliser_SourceData.Fertiliser_Products_Data1(),FertiliserProducts[[#Headers],[Include or Exclude]], 0,4)</f>
        <v/>
      </c>
      <c r="Y95" s="62" t="str" cm="1">
        <f t="array" ref="Y95">Common_InputFunctions.Utility_DisplayArrayInTable(Fertiliser_SourceData.Fertiliser_Products_Data1(),FertiliserProducts[[#Headers],[Include or Exclude]], 0,4)</f>
        <v/>
      </c>
      <c r="Z95" s="62" t="str" cm="1">
        <f t="array" ref="Z95">Common_InputFunctions.Utility_DisplayArrayInTable(Fertiliser_SourceData.Fertiliser_Products_Data1(),FertiliserProducts[[#Headers],[Include or Exclude]], 0,4)</f>
        <v/>
      </c>
      <c r="AA95" s="62" t="str" cm="1">
        <f t="array" ref="AA95">Common_InputFunctions.Utility_DisplayArrayInTable(Fertiliser_SourceData.Fertiliser_Products_Data1(),FertiliserProducts[[#Headers],[Include or Exclude]], 0,4)</f>
        <v/>
      </c>
      <c r="AB95" s="62" t="str" cm="1">
        <f t="array" ref="AB95">Common_InputFunctions.Utility_DisplayArrayInTable(Fertiliser_SourceData.Fertiliser_Products_Data1(),FertiliserProducts[[#Headers],[Include or Exclude]], 0,4)</f>
        <v/>
      </c>
      <c r="AC95" s="62" t="str" cm="1">
        <f t="array" ref="AC95">Common_InputFunctions.Utility_DisplayArrayInTable(Fertiliser_SourceData.Fertiliser_Products_Data1(),FertiliserProducts[[#Headers],[Include or Exclude]], 0,4)</f>
        <v/>
      </c>
      <c r="AD95" s="62" t="str" cm="1">
        <f t="array" ref="AD95">Common_InputFunctions.Utility_DisplayArrayInTable(Fertiliser_SourceData.Fertiliser_Products_Data1(),FertiliserProducts[[#Headers],[Include or Exclude]], 0,4)</f>
        <v/>
      </c>
      <c r="AE95" s="62" t="str" cm="1">
        <f t="array" ref="AE95">Common_InputFunctions.Utility_DisplayArrayInTable(Fertiliser_SourceData.Fertiliser_Products_Data1(),FertiliserProducts[[#Headers],[Include or Exclude]], 0,4)</f>
        <v/>
      </c>
    </row>
    <row r="96" spans="1:31" ht="20.100000000000001" customHeight="1" x14ac:dyDescent="0.25">
      <c r="A96"/>
      <c r="D96" s="62" t="str" cm="1">
        <f t="array" ref="D96">Common_InputFunctions.Utility_DisplayArrayInTable(Fertiliser_SourceData.Fertiliser_Products_Data1(),FertiliserProducts[[#Headers],[Include or Exclude]], -1)</f>
        <v>Include</v>
      </c>
      <c r="E96" s="62" t="str" cm="1">
        <f t="array" ref="E96">Common_InputFunctions.Utility_DisplayArrayInTable(Fertiliser_SourceData.Fertiliser_Products_Data1(),FertiliserProducts[[#Headers],[Include or Exclude]], 0)</f>
        <v/>
      </c>
      <c r="F96" s="62" t="str" cm="1">
        <f t="array" ref="F96">Common_InputFunctions.Utility_DisplayArrayInTable(Fertiliser_SourceData.Fertiliser_Products_Data1(),FertiliserProducts[[#Headers],[Include or Exclude]], 0)</f>
        <v>Campbells fertilisers Australia</v>
      </c>
      <c r="G96" s="62" t="str" cm="1">
        <f t="array" ref="G96">Common_InputFunctions.Utility_DisplayArrayInTable(Fertiliser_SourceData.Fertiliser_Products_Data1(),FertiliserProducts[[#Headers],[Include or Exclude]], 0)</f>
        <v>Aqua Start</v>
      </c>
      <c r="H96" s="62" t="str" cm="1">
        <f t="array" ref="H96">Common_InputFunctions.Utility_DisplayArrayInTable(Fertiliser_SourceData.Fertiliser_Products_Data1(),FertiliserProducts[[#Headers],[Include or Exclude]], 0,4)</f>
        <v>L</v>
      </c>
      <c r="I96" s="62" cm="1">
        <f t="array" ref="I96">Common_InputFunctions.Utility_DisplayArrayInTable(Fertiliser_SourceData.Fertiliser_Products_Data1(),FertiliserProducts[[#Headers],[Include or Exclude]], 0,4)</f>
        <v>1.25</v>
      </c>
      <c r="J96" s="62" t="str" cm="1">
        <f t="array" ref="J96">Common_InputFunctions.Utility_DisplayArrayInTable(Fertiliser_SourceData.Fertiliser_Products_Data1(),FertiliserProducts[[#Headers],[Include or Exclude]], 0,4)</f>
        <v/>
      </c>
      <c r="K96" s="62" t="str" cm="1">
        <f t="array" ref="K96">Common_InputFunctions.Utility_DisplayArrayInTable(Fertiliser_SourceData.Fertiliser_Products_Data1(),FertiliserProducts[[#Headers],[Include or Exclude]], 0,4)</f>
        <v/>
      </c>
      <c r="L96" s="62" t="str" cm="1">
        <f t="array" ref="L96">Common_InputFunctions.Utility_DisplayArrayInTable(Fertiliser_SourceData.Fertiliser_Products_Data1(),FertiliserProducts[[#Headers],[Include or Exclude]], 0,4)</f>
        <v>Nitrogen - Generic</v>
      </c>
      <c r="M96" s="62" cm="1">
        <f t="array" ref="M96">Common_InputFunctions.Utility_DisplayArrayInTable(Fertiliser_SourceData.Fertiliser_Products_Data1(),FertiliserProducts[[#Headers],[Include or Exclude]], 0,4)</f>
        <v>0.10299999999999999</v>
      </c>
      <c r="N96" s="62" t="str" cm="1">
        <f t="array" ref="N96">Common_InputFunctions.Utility_DisplayArrayInTable(Fertiliser_SourceData.Fertiliser_Products_Data1(),FertiliserProducts[[#Headers],[Include or Exclude]], 0,4)</f>
        <v>Phosphorus - Generic</v>
      </c>
      <c r="O96" s="62" cm="1">
        <f t="array" ref="O96">Common_InputFunctions.Utility_DisplayArrayInTable(Fertiliser_SourceData.Fertiliser_Products_Data1(),FertiliserProducts[[#Headers],[Include or Exclude]], 0,4)</f>
        <v>0.1</v>
      </c>
      <c r="P96" s="62" t="str" cm="1">
        <f t="array" ref="P96">Common_InputFunctions.Utility_DisplayArrayInTable(Fertiliser_SourceData.Fertiliser_Products_Data1(),FertiliserProducts[[#Headers],[Include or Exclude]], 0,4)</f>
        <v>Potassium - Generic</v>
      </c>
      <c r="Q96" s="62" cm="1">
        <f t="array" ref="Q96">Common_InputFunctions.Utility_DisplayArrayInTable(Fertiliser_SourceData.Fertiliser_Products_Data1(),FertiliserProducts[[#Headers],[Include or Exclude]], 0,4)</f>
        <v>3.4000000000000002E-2</v>
      </c>
      <c r="R96" s="62" t="str" cm="1">
        <f t="array" ref="R96">Common_InputFunctions.Utility_DisplayArrayInTable(Fertiliser_SourceData.Fertiliser_Products_Data1(),FertiliserProducts[[#Headers],[Include or Exclude]], 0,4)</f>
        <v/>
      </c>
      <c r="S96" s="62" t="str" cm="1">
        <f t="array" ref="S96">Common_InputFunctions.Utility_DisplayArrayInTable(Fertiliser_SourceData.Fertiliser_Products_Data1(),FertiliserProducts[[#Headers],[Include or Exclude]], 0,4)</f>
        <v/>
      </c>
      <c r="T96" s="62" t="str" cm="1">
        <f t="array" ref="T96">Common_InputFunctions.Utility_DisplayArrayInTable(Fertiliser_SourceData.Fertiliser_Products_Data1(),FertiliserProducts[[#Headers],[Include or Exclude]], 0,4)</f>
        <v/>
      </c>
      <c r="U96" s="62" t="str" cm="1">
        <f t="array" ref="U96">Common_InputFunctions.Utility_DisplayArrayInTable(Fertiliser_SourceData.Fertiliser_Products_Data1(),FertiliserProducts[[#Headers],[Include or Exclude]], 0,4)</f>
        <v/>
      </c>
      <c r="V96" s="62" t="str" cm="1">
        <f t="array" ref="V96">Common_InputFunctions.Utility_DisplayArrayInTable(Fertiliser_SourceData.Fertiliser_Products_Data1(),FertiliserProducts[[#Headers],[Include or Exclude]], 0,4)</f>
        <v/>
      </c>
      <c r="W96" s="62" t="str" cm="1">
        <f t="array" ref="W96">Common_InputFunctions.Utility_DisplayArrayInTable(Fertiliser_SourceData.Fertiliser_Products_Data1(),FertiliserProducts[[#Headers],[Include or Exclude]], 0,4)</f>
        <v/>
      </c>
      <c r="X96" s="62" t="str" cm="1">
        <f t="array" ref="X96">Common_InputFunctions.Utility_DisplayArrayInTable(Fertiliser_SourceData.Fertiliser_Products_Data1(),FertiliserProducts[[#Headers],[Include or Exclude]], 0,4)</f>
        <v/>
      </c>
      <c r="Y96" s="62" t="str" cm="1">
        <f t="array" ref="Y96">Common_InputFunctions.Utility_DisplayArrayInTable(Fertiliser_SourceData.Fertiliser_Products_Data1(),FertiliserProducts[[#Headers],[Include or Exclude]], 0,4)</f>
        <v/>
      </c>
      <c r="Z96" s="62" t="str" cm="1">
        <f t="array" ref="Z96">Common_InputFunctions.Utility_DisplayArrayInTable(Fertiliser_SourceData.Fertiliser_Products_Data1(),FertiliserProducts[[#Headers],[Include or Exclude]], 0,4)</f>
        <v/>
      </c>
      <c r="AA96" s="62" t="str" cm="1">
        <f t="array" ref="AA96">Common_InputFunctions.Utility_DisplayArrayInTable(Fertiliser_SourceData.Fertiliser_Products_Data1(),FertiliserProducts[[#Headers],[Include or Exclude]], 0,4)</f>
        <v/>
      </c>
      <c r="AB96" s="62" t="str" cm="1">
        <f t="array" ref="AB96">Common_InputFunctions.Utility_DisplayArrayInTable(Fertiliser_SourceData.Fertiliser_Products_Data1(),FertiliserProducts[[#Headers],[Include or Exclude]], 0,4)</f>
        <v/>
      </c>
      <c r="AC96" s="62" t="str" cm="1">
        <f t="array" ref="AC96">Common_InputFunctions.Utility_DisplayArrayInTable(Fertiliser_SourceData.Fertiliser_Products_Data1(),FertiliserProducts[[#Headers],[Include or Exclude]], 0,4)</f>
        <v/>
      </c>
      <c r="AD96" s="62" t="str" cm="1">
        <f t="array" ref="AD96">Common_InputFunctions.Utility_DisplayArrayInTable(Fertiliser_SourceData.Fertiliser_Products_Data1(),FertiliserProducts[[#Headers],[Include or Exclude]], 0,4)</f>
        <v/>
      </c>
      <c r="AE96" s="62" t="str" cm="1">
        <f t="array" ref="AE96">Common_InputFunctions.Utility_DisplayArrayInTable(Fertiliser_SourceData.Fertiliser_Products_Data1(),FertiliserProducts[[#Headers],[Include or Exclude]], 0,4)</f>
        <v/>
      </c>
    </row>
    <row r="97" spans="1:31" ht="20.100000000000001" customHeight="1" x14ac:dyDescent="0.25">
      <c r="A97"/>
      <c r="D97" s="62" t="str" cm="1">
        <f t="array" ref="D97">Common_InputFunctions.Utility_DisplayArrayInTable(Fertiliser_SourceData.Fertiliser_Products_Data1(),FertiliserProducts[[#Headers],[Include or Exclude]], -1)</f>
        <v>Include</v>
      </c>
      <c r="E97" s="62" t="str" cm="1">
        <f t="array" ref="E97">Common_InputFunctions.Utility_DisplayArrayInTable(Fertiliser_SourceData.Fertiliser_Products_Data1(),FertiliserProducts[[#Headers],[Include or Exclude]], 0)</f>
        <v/>
      </c>
      <c r="F97" s="62" t="str" cm="1">
        <f t="array" ref="F97">Common_InputFunctions.Utility_DisplayArrayInTable(Fertiliser_SourceData.Fertiliser_Products_Data1(),FertiliserProducts[[#Headers],[Include or Exclude]], 0)</f>
        <v>Campbells fertilisers Australia</v>
      </c>
      <c r="G97" s="62" t="str" cm="1">
        <f t="array" ref="G97">Common_InputFunctions.Utility_DisplayArrayInTable(Fertiliser_SourceData.Fertiliser_Products_Data1(),FertiliserProducts[[#Headers],[Include or Exclude]], 0)</f>
        <v>Aqua Thio-Complete</v>
      </c>
      <c r="H97" s="62" t="str" cm="1">
        <f t="array" ref="H97">Common_InputFunctions.Utility_DisplayArrayInTable(Fertiliser_SourceData.Fertiliser_Products_Data1(),FertiliserProducts[[#Headers],[Include or Exclude]], 0,4)</f>
        <v>L</v>
      </c>
      <c r="I97" s="62" cm="1">
        <f t="array" ref="I97">Common_InputFunctions.Utility_DisplayArrayInTable(Fertiliser_SourceData.Fertiliser_Products_Data1(),FertiliserProducts[[#Headers],[Include or Exclude]], 0,4)</f>
        <v>1.43</v>
      </c>
      <c r="J97" s="62" t="str" cm="1">
        <f t="array" ref="J97">Common_InputFunctions.Utility_DisplayArrayInTable(Fertiliser_SourceData.Fertiliser_Products_Data1(),FertiliserProducts[[#Headers],[Include or Exclude]], 0,4)</f>
        <v/>
      </c>
      <c r="K97" s="62" t="str" cm="1">
        <f t="array" ref="K97">Common_InputFunctions.Utility_DisplayArrayInTable(Fertiliser_SourceData.Fertiliser_Products_Data1(),FertiliserProducts[[#Headers],[Include or Exclude]], 0,4)</f>
        <v/>
      </c>
      <c r="L97" s="62" t="str" cm="1">
        <f t="array" ref="L97">Common_InputFunctions.Utility_DisplayArrayInTable(Fertiliser_SourceData.Fertiliser_Products_Data1(),FertiliserProducts[[#Headers],[Include or Exclude]], 0,4)</f>
        <v>Potassium - Generic</v>
      </c>
      <c r="M97" s="62" cm="1">
        <f t="array" ref="M97">Common_InputFunctions.Utility_DisplayArrayInTable(Fertiliser_SourceData.Fertiliser_Products_Data1(),FertiliserProducts[[#Headers],[Include or Exclude]], 0,4)</f>
        <v>0.22500000000000001</v>
      </c>
      <c r="N97" s="62" t="str" cm="1">
        <f t="array" ref="N97">Common_InputFunctions.Utility_DisplayArrayInTable(Fertiliser_SourceData.Fertiliser_Products_Data1(),FertiliserProducts[[#Headers],[Include or Exclude]], 0,4)</f>
        <v>Phosphorus - Generic</v>
      </c>
      <c r="O97" s="62" cm="1">
        <f t="array" ref="O97">Common_InputFunctions.Utility_DisplayArrayInTable(Fertiliser_SourceData.Fertiliser_Products_Data1(),FertiliserProducts[[#Headers],[Include or Exclude]], 0,4)</f>
        <v>3.7999999999999999E-2</v>
      </c>
      <c r="P97" s="62" t="str" cm="1">
        <f t="array" ref="P97">Common_InputFunctions.Utility_DisplayArrayInTable(Fertiliser_SourceData.Fertiliser_Products_Data1(),FertiliserProducts[[#Headers],[Include or Exclude]], 0,4)</f>
        <v>Nitrogen - Generic</v>
      </c>
      <c r="Q97" s="62" cm="1">
        <f t="array" ref="Q97">Common_InputFunctions.Utility_DisplayArrayInTable(Fertiliser_SourceData.Fertiliser_Products_Data1(),FertiliserProducts[[#Headers],[Include or Exclude]], 0,4)</f>
        <v>2.5000000000000001E-2</v>
      </c>
      <c r="R97" s="62" t="str" cm="1">
        <f t="array" ref="R97">Common_InputFunctions.Utility_DisplayArrayInTable(Fertiliser_SourceData.Fertiliser_Products_Data1(),FertiliserProducts[[#Headers],[Include or Exclude]], 0,4)</f>
        <v/>
      </c>
      <c r="S97" s="62" t="str" cm="1">
        <f t="array" ref="S97">Common_InputFunctions.Utility_DisplayArrayInTable(Fertiliser_SourceData.Fertiliser_Products_Data1(),FertiliserProducts[[#Headers],[Include or Exclude]], 0,4)</f>
        <v/>
      </c>
      <c r="T97" s="62" t="str" cm="1">
        <f t="array" ref="T97">Common_InputFunctions.Utility_DisplayArrayInTable(Fertiliser_SourceData.Fertiliser_Products_Data1(),FertiliserProducts[[#Headers],[Include or Exclude]], 0,4)</f>
        <v/>
      </c>
      <c r="U97" s="62" t="str" cm="1">
        <f t="array" ref="U97">Common_InputFunctions.Utility_DisplayArrayInTable(Fertiliser_SourceData.Fertiliser_Products_Data1(),FertiliserProducts[[#Headers],[Include or Exclude]], 0,4)</f>
        <v/>
      </c>
      <c r="V97" s="62" t="str" cm="1">
        <f t="array" ref="V97">Common_InputFunctions.Utility_DisplayArrayInTable(Fertiliser_SourceData.Fertiliser_Products_Data1(),FertiliserProducts[[#Headers],[Include or Exclude]], 0,4)</f>
        <v/>
      </c>
      <c r="W97" s="62" t="str" cm="1">
        <f t="array" ref="W97">Common_InputFunctions.Utility_DisplayArrayInTable(Fertiliser_SourceData.Fertiliser_Products_Data1(),FertiliserProducts[[#Headers],[Include or Exclude]], 0,4)</f>
        <v/>
      </c>
      <c r="X97" s="62" t="str" cm="1">
        <f t="array" ref="X97">Common_InputFunctions.Utility_DisplayArrayInTable(Fertiliser_SourceData.Fertiliser_Products_Data1(),FertiliserProducts[[#Headers],[Include or Exclude]], 0,4)</f>
        <v/>
      </c>
      <c r="Y97" s="62" t="str" cm="1">
        <f t="array" ref="Y97">Common_InputFunctions.Utility_DisplayArrayInTable(Fertiliser_SourceData.Fertiliser_Products_Data1(),FertiliserProducts[[#Headers],[Include or Exclude]], 0,4)</f>
        <v/>
      </c>
      <c r="Z97" s="62" t="str" cm="1">
        <f t="array" ref="Z97">Common_InputFunctions.Utility_DisplayArrayInTable(Fertiliser_SourceData.Fertiliser_Products_Data1(),FertiliserProducts[[#Headers],[Include or Exclude]], 0,4)</f>
        <v/>
      </c>
      <c r="AA97" s="62" t="str" cm="1">
        <f t="array" ref="AA97">Common_InputFunctions.Utility_DisplayArrayInTable(Fertiliser_SourceData.Fertiliser_Products_Data1(),FertiliserProducts[[#Headers],[Include or Exclude]], 0,4)</f>
        <v/>
      </c>
      <c r="AB97" s="62" t="str" cm="1">
        <f t="array" ref="AB97">Common_InputFunctions.Utility_DisplayArrayInTable(Fertiliser_SourceData.Fertiliser_Products_Data1(),FertiliserProducts[[#Headers],[Include or Exclude]], 0,4)</f>
        <v/>
      </c>
      <c r="AC97" s="62" t="str" cm="1">
        <f t="array" ref="AC97">Common_InputFunctions.Utility_DisplayArrayInTable(Fertiliser_SourceData.Fertiliser_Products_Data1(),FertiliserProducts[[#Headers],[Include or Exclude]], 0,4)</f>
        <v/>
      </c>
      <c r="AD97" s="62" t="str" cm="1">
        <f t="array" ref="AD97">Common_InputFunctions.Utility_DisplayArrayInTable(Fertiliser_SourceData.Fertiliser_Products_Data1(),FertiliserProducts[[#Headers],[Include or Exclude]], 0,4)</f>
        <v/>
      </c>
      <c r="AE97" s="62" t="str" cm="1">
        <f t="array" ref="AE97">Common_InputFunctions.Utility_DisplayArrayInTable(Fertiliser_SourceData.Fertiliser_Products_Data1(),FertiliserProducts[[#Headers],[Include or Exclude]], 0,4)</f>
        <v/>
      </c>
    </row>
    <row r="98" spans="1:31" ht="20.100000000000001" customHeight="1" x14ac:dyDescent="0.25">
      <c r="A98"/>
      <c r="D98" s="62" t="str" cm="1">
        <f t="array" ref="D98">Common_InputFunctions.Utility_DisplayArrayInTable(Fertiliser_SourceData.Fertiliser_Products_Data1(),FertiliserProducts[[#Headers],[Include or Exclude]], -1)</f>
        <v>Include</v>
      </c>
      <c r="E98" s="62" t="str" cm="1">
        <f t="array" ref="E98">Common_InputFunctions.Utility_DisplayArrayInTable(Fertiliser_SourceData.Fertiliser_Products_Data1(),FertiliserProducts[[#Headers],[Include or Exclude]], 0)</f>
        <v/>
      </c>
      <c r="F98" s="62" t="str" cm="1">
        <f t="array" ref="F98">Common_InputFunctions.Utility_DisplayArrayInTable(Fertiliser_SourceData.Fertiliser_Products_Data1(),FertiliserProducts[[#Headers],[Include or Exclude]], 0)</f>
        <v>Campbells fertilisers Australia</v>
      </c>
      <c r="G98" s="62" t="str" cm="1">
        <f t="array" ref="G98">Common_InputFunctions.Utility_DisplayArrayInTable(Fertiliser_SourceData.Fertiliser_Products_Data1(),FertiliserProducts[[#Headers],[Include or Exclude]], 0)</f>
        <v>Aqua Thio-Emerge</v>
      </c>
      <c r="H98" s="62" t="str" cm="1">
        <f t="array" ref="H98">Common_InputFunctions.Utility_DisplayArrayInTable(Fertiliser_SourceData.Fertiliser_Products_Data1(),FertiliserProducts[[#Headers],[Include or Exclude]], 0,4)</f>
        <v>L</v>
      </c>
      <c r="I98" s="62" cm="1">
        <f t="array" ref="I98">Common_InputFunctions.Utility_DisplayArrayInTable(Fertiliser_SourceData.Fertiliser_Products_Data1(),FertiliserProducts[[#Headers],[Include or Exclude]], 0,4)</f>
        <v>1.29</v>
      </c>
      <c r="J98" s="62" t="str" cm="1">
        <f t="array" ref="J98">Common_InputFunctions.Utility_DisplayArrayInTable(Fertiliser_SourceData.Fertiliser_Products_Data1(),FertiliserProducts[[#Headers],[Include or Exclude]], 0,4)</f>
        <v/>
      </c>
      <c r="K98" s="62" t="str" cm="1">
        <f t="array" ref="K98">Common_InputFunctions.Utility_DisplayArrayInTable(Fertiliser_SourceData.Fertiliser_Products_Data1(),FertiliserProducts[[#Headers],[Include or Exclude]], 0,4)</f>
        <v/>
      </c>
      <c r="L98" s="62" t="str" cm="1">
        <f t="array" ref="L98">Common_InputFunctions.Utility_DisplayArrayInTable(Fertiliser_SourceData.Fertiliser_Products_Data1(),FertiliserProducts[[#Headers],[Include or Exclude]], 0,4)</f>
        <v>Nitrogen - Generic</v>
      </c>
      <c r="M98" s="62" cm="1">
        <f t="array" ref="M98">Common_InputFunctions.Utility_DisplayArrayInTable(Fertiliser_SourceData.Fertiliser_Products_Data1(),FertiliserProducts[[#Headers],[Include or Exclude]], 0,4)</f>
        <v>0.105</v>
      </c>
      <c r="N98" s="62" t="str" cm="1">
        <f t="array" ref="N98">Common_InputFunctions.Utility_DisplayArrayInTable(Fertiliser_SourceData.Fertiliser_Products_Data1(),FertiliserProducts[[#Headers],[Include or Exclude]], 0,4)</f>
        <v>Phosphorus - Generic</v>
      </c>
      <c r="O98" s="62" cm="1">
        <f t="array" ref="O98">Common_InputFunctions.Utility_DisplayArrayInTable(Fertiliser_SourceData.Fertiliser_Products_Data1(),FertiliserProducts[[#Headers],[Include or Exclude]], 0,4)</f>
        <v>9.4E-2</v>
      </c>
      <c r="P98" s="62" t="str" cm="1">
        <f t="array" ref="P98">Common_InputFunctions.Utility_DisplayArrayInTable(Fertiliser_SourceData.Fertiliser_Products_Data1(),FertiliserProducts[[#Headers],[Include or Exclude]], 0,4)</f>
        <v>Potassium - Generic</v>
      </c>
      <c r="Q98" s="62" cm="1">
        <f t="array" ref="Q98">Common_InputFunctions.Utility_DisplayArrayInTable(Fertiliser_SourceData.Fertiliser_Products_Data1(),FertiliserProducts[[#Headers],[Include or Exclude]], 0,4)</f>
        <v>0.04</v>
      </c>
      <c r="R98" s="62" t="str" cm="1">
        <f t="array" ref="R98">Common_InputFunctions.Utility_DisplayArrayInTable(Fertiliser_SourceData.Fertiliser_Products_Data1(),FertiliserProducts[[#Headers],[Include or Exclude]], 0,4)</f>
        <v>Sulfur - Generic</v>
      </c>
      <c r="S98" s="62" cm="1">
        <f t="array" ref="S98">Common_InputFunctions.Utility_DisplayArrayInTable(Fertiliser_SourceData.Fertiliser_Products_Data1(),FertiliserProducts[[#Headers],[Include or Exclude]], 0,4)</f>
        <v>0.03</v>
      </c>
      <c r="T98" s="62" t="str" cm="1">
        <f t="array" ref="T98">Common_InputFunctions.Utility_DisplayArrayInTable(Fertiliser_SourceData.Fertiliser_Products_Data1(),FertiliserProducts[[#Headers],[Include or Exclude]], 0,4)</f>
        <v/>
      </c>
      <c r="U98" s="62" t="str" cm="1">
        <f t="array" ref="U98">Common_InputFunctions.Utility_DisplayArrayInTable(Fertiliser_SourceData.Fertiliser_Products_Data1(),FertiliserProducts[[#Headers],[Include or Exclude]], 0,4)</f>
        <v/>
      </c>
      <c r="V98" s="62" t="str" cm="1">
        <f t="array" ref="V98">Common_InputFunctions.Utility_DisplayArrayInTable(Fertiliser_SourceData.Fertiliser_Products_Data1(),FertiliserProducts[[#Headers],[Include or Exclude]], 0,4)</f>
        <v/>
      </c>
      <c r="W98" s="62" t="str" cm="1">
        <f t="array" ref="W98">Common_InputFunctions.Utility_DisplayArrayInTable(Fertiliser_SourceData.Fertiliser_Products_Data1(),FertiliserProducts[[#Headers],[Include or Exclude]], 0,4)</f>
        <v/>
      </c>
      <c r="X98" s="62" t="str" cm="1">
        <f t="array" ref="X98">Common_InputFunctions.Utility_DisplayArrayInTable(Fertiliser_SourceData.Fertiliser_Products_Data1(),FertiliserProducts[[#Headers],[Include or Exclude]], 0,4)</f>
        <v/>
      </c>
      <c r="Y98" s="62" t="str" cm="1">
        <f t="array" ref="Y98">Common_InputFunctions.Utility_DisplayArrayInTable(Fertiliser_SourceData.Fertiliser_Products_Data1(),FertiliserProducts[[#Headers],[Include or Exclude]], 0,4)</f>
        <v/>
      </c>
      <c r="Z98" s="62" t="str" cm="1">
        <f t="array" ref="Z98">Common_InputFunctions.Utility_DisplayArrayInTable(Fertiliser_SourceData.Fertiliser_Products_Data1(),FertiliserProducts[[#Headers],[Include or Exclude]], 0,4)</f>
        <v/>
      </c>
      <c r="AA98" s="62" t="str" cm="1">
        <f t="array" ref="AA98">Common_InputFunctions.Utility_DisplayArrayInTable(Fertiliser_SourceData.Fertiliser_Products_Data1(),FertiliserProducts[[#Headers],[Include or Exclude]], 0,4)</f>
        <v/>
      </c>
      <c r="AB98" s="62" t="str" cm="1">
        <f t="array" ref="AB98">Common_InputFunctions.Utility_DisplayArrayInTable(Fertiliser_SourceData.Fertiliser_Products_Data1(),FertiliserProducts[[#Headers],[Include or Exclude]], 0,4)</f>
        <v/>
      </c>
      <c r="AC98" s="62" t="str" cm="1">
        <f t="array" ref="AC98">Common_InputFunctions.Utility_DisplayArrayInTable(Fertiliser_SourceData.Fertiliser_Products_Data1(),FertiliserProducts[[#Headers],[Include or Exclude]], 0,4)</f>
        <v/>
      </c>
      <c r="AD98" s="62" t="str" cm="1">
        <f t="array" ref="AD98">Common_InputFunctions.Utility_DisplayArrayInTable(Fertiliser_SourceData.Fertiliser_Products_Data1(),FertiliserProducts[[#Headers],[Include or Exclude]], 0,4)</f>
        <v/>
      </c>
      <c r="AE98" s="62" t="str" cm="1">
        <f t="array" ref="AE98">Common_InputFunctions.Utility_DisplayArrayInTable(Fertiliser_SourceData.Fertiliser_Products_Data1(),FertiliserProducts[[#Headers],[Include or Exclude]], 0,4)</f>
        <v/>
      </c>
    </row>
    <row r="99" spans="1:31" ht="20.100000000000001" customHeight="1" x14ac:dyDescent="0.25">
      <c r="A99"/>
      <c r="D99" s="62" t="str" cm="1">
        <f t="array" ref="D99">Common_InputFunctions.Utility_DisplayArrayInTable(Fertiliser_SourceData.Fertiliser_Products_Data1(),FertiliserProducts[[#Headers],[Include or Exclude]], -1)</f>
        <v>Exclude - Not relevant</v>
      </c>
      <c r="E99" s="62" t="str" cm="1">
        <f t="array" ref="E99">Common_InputFunctions.Utility_DisplayArrayInTable(Fertiliser_SourceData.Fertiliser_Products_Data1(),FertiliserProducts[[#Headers],[Include or Exclude]], 0)</f>
        <v/>
      </c>
      <c r="F99" s="62" t="str" cm="1">
        <f t="array" ref="F99">Common_InputFunctions.Utility_DisplayArrayInTable(Fertiliser_SourceData.Fertiliser_Products_Data1(),FertiliserProducts[[#Headers],[Include or Exclude]], 0)</f>
        <v>Campbells fertilisers Australia</v>
      </c>
      <c r="G99" s="62" t="str" cm="1">
        <f t="array" ref="G99">Common_InputFunctions.Utility_DisplayArrayInTable(Fertiliser_SourceData.Fertiliser_Products_Data1(),FertiliserProducts[[#Headers],[Include or Exclude]], 0)</f>
        <v>Aqua Thio-Flourish</v>
      </c>
      <c r="H99" s="62" t="str" cm="1">
        <f t="array" ref="H99">Common_InputFunctions.Utility_DisplayArrayInTable(Fertiliser_SourceData.Fertiliser_Products_Data1(),FertiliserProducts[[#Headers],[Include or Exclude]], 0,4)</f>
        <v>L</v>
      </c>
      <c r="I99" s="62" cm="1">
        <f t="array" ref="I99">Common_InputFunctions.Utility_DisplayArrayInTable(Fertiliser_SourceData.Fertiliser_Products_Data1(),FertiliserProducts[[#Headers],[Include or Exclude]], 0,4)</f>
        <v>1.32</v>
      </c>
      <c r="J99" s="62" t="str" cm="1">
        <f t="array" ref="J99">Common_InputFunctions.Utility_DisplayArrayInTable(Fertiliser_SourceData.Fertiliser_Products_Data1(),FertiliserProducts[[#Headers],[Include or Exclude]], 0,4)</f>
        <v/>
      </c>
      <c r="K99" s="62" t="str" cm="1">
        <f t="array" ref="K99">Common_InputFunctions.Utility_DisplayArrayInTable(Fertiliser_SourceData.Fertiliser_Products_Data1(),FertiliserProducts[[#Headers],[Include or Exclude]], 0,4)</f>
        <v/>
      </c>
      <c r="L99" s="62" t="str" cm="1">
        <f t="array" ref="L99">Common_InputFunctions.Utility_DisplayArrayInTable(Fertiliser_SourceData.Fertiliser_Products_Data1(),FertiliserProducts[[#Headers],[Include or Exclude]], 0,4)</f>
        <v>Potassium - Generic</v>
      </c>
      <c r="M99" s="62" cm="1">
        <f t="array" ref="M99">Common_InputFunctions.Utility_DisplayArrayInTable(Fertiliser_SourceData.Fertiliser_Products_Data1(),FertiliserProducts[[#Headers],[Include or Exclude]], 0,4)</f>
        <v>0.108</v>
      </c>
      <c r="N99" s="62" t="str" cm="1">
        <f t="array" ref="N99">Common_InputFunctions.Utility_DisplayArrayInTable(Fertiliser_SourceData.Fertiliser_Products_Data1(),FertiliserProducts[[#Headers],[Include or Exclude]], 0,4)</f>
        <v>Nitrogen - Generic</v>
      </c>
      <c r="O99" s="62" cm="1">
        <f t="array" ref="O99">Common_InputFunctions.Utility_DisplayArrayInTable(Fertiliser_SourceData.Fertiliser_Products_Data1(),FertiliserProducts[[#Headers],[Include or Exclude]], 0,4)</f>
        <v>9.5000000000000001E-2</v>
      </c>
      <c r="P99" s="62" t="str" cm="1">
        <f t="array" ref="P99">Common_InputFunctions.Utility_DisplayArrayInTable(Fertiliser_SourceData.Fertiliser_Products_Data1(),FertiliserProducts[[#Headers],[Include or Exclude]], 0,4)</f>
        <v>Sulfur - Generic</v>
      </c>
      <c r="Q99" s="62" cm="1">
        <f t="array" ref="Q99">Common_InputFunctions.Utility_DisplayArrayInTable(Fertiliser_SourceData.Fertiliser_Products_Data1(),FertiliserProducts[[#Headers],[Include or Exclude]], 0,4)</f>
        <v>8.1000000000000003E-2</v>
      </c>
      <c r="R99" s="62" t="str" cm="1">
        <f t="array" ref="R99">Common_InputFunctions.Utility_DisplayArrayInTable(Fertiliser_SourceData.Fertiliser_Products_Data1(),FertiliserProducts[[#Headers],[Include or Exclude]], 0,4)</f>
        <v>Phosphorus - Generic</v>
      </c>
      <c r="S99" s="62" cm="1">
        <f t="array" ref="S99">Common_InputFunctions.Utility_DisplayArrayInTable(Fertiliser_SourceData.Fertiliser_Products_Data1(),FertiliserProducts[[#Headers],[Include or Exclude]], 0,4)</f>
        <v>4.7E-2</v>
      </c>
      <c r="T99" s="62" t="str" cm="1">
        <f t="array" ref="T99">Common_InputFunctions.Utility_DisplayArrayInTable(Fertiliser_SourceData.Fertiliser_Products_Data1(),FertiliserProducts[[#Headers],[Include or Exclude]], 0,4)</f>
        <v/>
      </c>
      <c r="U99" s="62" t="str" cm="1">
        <f t="array" ref="U99">Common_InputFunctions.Utility_DisplayArrayInTable(Fertiliser_SourceData.Fertiliser_Products_Data1(),FertiliserProducts[[#Headers],[Include or Exclude]], 0,4)</f>
        <v/>
      </c>
      <c r="V99" s="62" t="str" cm="1">
        <f t="array" ref="V99">Common_InputFunctions.Utility_DisplayArrayInTable(Fertiliser_SourceData.Fertiliser_Products_Data1(),FertiliserProducts[[#Headers],[Include or Exclude]], 0,4)</f>
        <v/>
      </c>
      <c r="W99" s="62" t="str" cm="1">
        <f t="array" ref="W99">Common_InputFunctions.Utility_DisplayArrayInTable(Fertiliser_SourceData.Fertiliser_Products_Data1(),FertiliserProducts[[#Headers],[Include or Exclude]], 0,4)</f>
        <v/>
      </c>
      <c r="X99" s="62" t="str" cm="1">
        <f t="array" ref="X99">Common_InputFunctions.Utility_DisplayArrayInTable(Fertiliser_SourceData.Fertiliser_Products_Data1(),FertiliserProducts[[#Headers],[Include or Exclude]], 0,4)</f>
        <v/>
      </c>
      <c r="Y99" s="62" t="str" cm="1">
        <f t="array" ref="Y99">Common_InputFunctions.Utility_DisplayArrayInTable(Fertiliser_SourceData.Fertiliser_Products_Data1(),FertiliserProducts[[#Headers],[Include or Exclude]], 0,4)</f>
        <v/>
      </c>
      <c r="Z99" s="62" t="str" cm="1">
        <f t="array" ref="Z99">Common_InputFunctions.Utility_DisplayArrayInTable(Fertiliser_SourceData.Fertiliser_Products_Data1(),FertiliserProducts[[#Headers],[Include or Exclude]], 0,4)</f>
        <v/>
      </c>
      <c r="AA99" s="62" t="str" cm="1">
        <f t="array" ref="AA99">Common_InputFunctions.Utility_DisplayArrayInTable(Fertiliser_SourceData.Fertiliser_Products_Data1(),FertiliserProducts[[#Headers],[Include or Exclude]], 0,4)</f>
        <v/>
      </c>
      <c r="AB99" s="62" t="str" cm="1">
        <f t="array" ref="AB99">Common_InputFunctions.Utility_DisplayArrayInTable(Fertiliser_SourceData.Fertiliser_Products_Data1(),FertiliserProducts[[#Headers],[Include or Exclude]], 0,4)</f>
        <v/>
      </c>
      <c r="AC99" s="62" t="str" cm="1">
        <f t="array" ref="AC99">Common_InputFunctions.Utility_DisplayArrayInTable(Fertiliser_SourceData.Fertiliser_Products_Data1(),FertiliserProducts[[#Headers],[Include or Exclude]], 0,4)</f>
        <v/>
      </c>
      <c r="AD99" s="62" t="str" cm="1">
        <f t="array" ref="AD99">Common_InputFunctions.Utility_DisplayArrayInTable(Fertiliser_SourceData.Fertiliser_Products_Data1(),FertiliserProducts[[#Headers],[Include or Exclude]], 0,4)</f>
        <v/>
      </c>
      <c r="AE99" s="62" t="str" cm="1">
        <f t="array" ref="AE99">Common_InputFunctions.Utility_DisplayArrayInTable(Fertiliser_SourceData.Fertiliser_Products_Data1(),FertiliserProducts[[#Headers],[Include or Exclude]], 0,4)</f>
        <v/>
      </c>
    </row>
    <row r="100" spans="1:31" ht="20.100000000000001" customHeight="1" x14ac:dyDescent="0.25">
      <c r="A100"/>
      <c r="D100" s="62" t="str" cm="1">
        <f t="array" ref="D100">Common_InputFunctions.Utility_DisplayArrayInTable(Fertiliser_SourceData.Fertiliser_Products_Data1(),FertiliserProducts[[#Headers],[Include or Exclude]], -1)</f>
        <v>Exclude - Not relevant</v>
      </c>
      <c r="E100" s="62" t="str" cm="1">
        <f t="array" ref="E100">Common_InputFunctions.Utility_DisplayArrayInTable(Fertiliser_SourceData.Fertiliser_Products_Data1(),FertiliserProducts[[#Headers],[Include or Exclude]], 0)</f>
        <v/>
      </c>
      <c r="F100" s="62" t="str" cm="1">
        <f t="array" ref="F100">Common_InputFunctions.Utility_DisplayArrayInTable(Fertiliser_SourceData.Fertiliser_Products_Data1(),FertiliserProducts[[#Headers],[Include or Exclude]], 0)</f>
        <v>Campbells fertilisers Australia</v>
      </c>
      <c r="G100" s="62" t="str" cm="1">
        <f t="array" ref="G100">Common_InputFunctions.Utility_DisplayArrayInTable(Fertiliser_SourceData.Fertiliser_Products_Data1(),FertiliserProducts[[#Headers],[Include or Exclude]], 0)</f>
        <v>Asco Fol Plus</v>
      </c>
      <c r="H100" s="62" t="str" cm="1">
        <f t="array" ref="H100">Common_InputFunctions.Utility_DisplayArrayInTable(Fertiliser_SourceData.Fertiliser_Products_Data1(),FertiliserProducts[[#Headers],[Include or Exclude]], 0,4)</f>
        <v/>
      </c>
      <c r="I100" s="62" t="str" cm="1">
        <f t="array" ref="I100">Common_InputFunctions.Utility_DisplayArrayInTable(Fertiliser_SourceData.Fertiliser_Products_Data1(),FertiliserProducts[[#Headers],[Include or Exclude]], 0,4)</f>
        <v/>
      </c>
      <c r="J100" s="62" t="str" cm="1">
        <f t="array" ref="J100">Common_InputFunctions.Utility_DisplayArrayInTable(Fertiliser_SourceData.Fertiliser_Products_Data1(),FertiliserProducts[[#Headers],[Include or Exclude]], 0,4)</f>
        <v/>
      </c>
      <c r="K100" s="62" t="str" cm="1">
        <f t="array" ref="K100">Common_InputFunctions.Utility_DisplayArrayInTable(Fertiliser_SourceData.Fertiliser_Products_Data1(),FertiliserProducts[[#Headers],[Include or Exclude]], 0,4)</f>
        <v/>
      </c>
      <c r="L100" s="62" t="str" cm="1">
        <f t="array" ref="L100">Common_InputFunctions.Utility_DisplayArrayInTable(Fertiliser_SourceData.Fertiliser_Products_Data1(),FertiliserProducts[[#Headers],[Include or Exclude]], 0,4)</f>
        <v/>
      </c>
      <c r="M100" s="62" t="str" cm="1">
        <f t="array" ref="M100">Common_InputFunctions.Utility_DisplayArrayInTable(Fertiliser_SourceData.Fertiliser_Products_Data1(),FertiliserProducts[[#Headers],[Include or Exclude]], 0,4)</f>
        <v/>
      </c>
      <c r="N100" s="62" t="str" cm="1">
        <f t="array" ref="N100">Common_InputFunctions.Utility_DisplayArrayInTable(Fertiliser_SourceData.Fertiliser_Products_Data1(),FertiliserProducts[[#Headers],[Include or Exclude]], 0,4)</f>
        <v/>
      </c>
      <c r="O100" s="62" t="str" cm="1">
        <f t="array" ref="O100">Common_InputFunctions.Utility_DisplayArrayInTable(Fertiliser_SourceData.Fertiliser_Products_Data1(),FertiliserProducts[[#Headers],[Include or Exclude]], 0,4)</f>
        <v/>
      </c>
      <c r="P100" s="62" t="str" cm="1">
        <f t="array" ref="P100">Common_InputFunctions.Utility_DisplayArrayInTable(Fertiliser_SourceData.Fertiliser_Products_Data1(),FertiliserProducts[[#Headers],[Include or Exclude]], 0,4)</f>
        <v/>
      </c>
      <c r="Q100" s="62" t="str" cm="1">
        <f t="array" ref="Q100">Common_InputFunctions.Utility_DisplayArrayInTable(Fertiliser_SourceData.Fertiliser_Products_Data1(),FertiliserProducts[[#Headers],[Include or Exclude]], 0,4)</f>
        <v/>
      </c>
      <c r="R100" s="62" t="str" cm="1">
        <f t="array" ref="R100">Common_InputFunctions.Utility_DisplayArrayInTable(Fertiliser_SourceData.Fertiliser_Products_Data1(),FertiliserProducts[[#Headers],[Include or Exclude]], 0,4)</f>
        <v/>
      </c>
      <c r="S100" s="62" t="str" cm="1">
        <f t="array" ref="S100">Common_InputFunctions.Utility_DisplayArrayInTable(Fertiliser_SourceData.Fertiliser_Products_Data1(),FertiliserProducts[[#Headers],[Include or Exclude]], 0,4)</f>
        <v/>
      </c>
      <c r="T100" s="62" t="str" cm="1">
        <f t="array" ref="T100">Common_InputFunctions.Utility_DisplayArrayInTable(Fertiliser_SourceData.Fertiliser_Products_Data1(),FertiliserProducts[[#Headers],[Include or Exclude]], 0,4)</f>
        <v/>
      </c>
      <c r="U100" s="62" t="str" cm="1">
        <f t="array" ref="U100">Common_InputFunctions.Utility_DisplayArrayInTable(Fertiliser_SourceData.Fertiliser_Products_Data1(),FertiliserProducts[[#Headers],[Include or Exclude]], 0,4)</f>
        <v/>
      </c>
      <c r="V100" s="62" t="str" cm="1">
        <f t="array" ref="V100">Common_InputFunctions.Utility_DisplayArrayInTable(Fertiliser_SourceData.Fertiliser_Products_Data1(),FertiliserProducts[[#Headers],[Include or Exclude]], 0,4)</f>
        <v/>
      </c>
      <c r="W100" s="62" t="str" cm="1">
        <f t="array" ref="W100">Common_InputFunctions.Utility_DisplayArrayInTable(Fertiliser_SourceData.Fertiliser_Products_Data1(),FertiliserProducts[[#Headers],[Include or Exclude]], 0,4)</f>
        <v/>
      </c>
      <c r="X100" s="62" t="str" cm="1">
        <f t="array" ref="X100">Common_InputFunctions.Utility_DisplayArrayInTable(Fertiliser_SourceData.Fertiliser_Products_Data1(),FertiliserProducts[[#Headers],[Include or Exclude]], 0,4)</f>
        <v/>
      </c>
      <c r="Y100" s="62" t="str" cm="1">
        <f t="array" ref="Y100">Common_InputFunctions.Utility_DisplayArrayInTable(Fertiliser_SourceData.Fertiliser_Products_Data1(),FertiliserProducts[[#Headers],[Include or Exclude]], 0,4)</f>
        <v/>
      </c>
      <c r="Z100" s="62" t="str" cm="1">
        <f t="array" ref="Z100">Common_InputFunctions.Utility_DisplayArrayInTable(Fertiliser_SourceData.Fertiliser_Products_Data1(),FertiliserProducts[[#Headers],[Include or Exclude]], 0,4)</f>
        <v/>
      </c>
      <c r="AA100" s="62" t="str" cm="1">
        <f t="array" ref="AA100">Common_InputFunctions.Utility_DisplayArrayInTable(Fertiliser_SourceData.Fertiliser_Products_Data1(),FertiliserProducts[[#Headers],[Include or Exclude]], 0,4)</f>
        <v/>
      </c>
      <c r="AB100" s="62" t="str" cm="1">
        <f t="array" ref="AB100">Common_InputFunctions.Utility_DisplayArrayInTable(Fertiliser_SourceData.Fertiliser_Products_Data1(),FertiliserProducts[[#Headers],[Include or Exclude]], 0,4)</f>
        <v/>
      </c>
      <c r="AC100" s="62" t="str" cm="1">
        <f t="array" ref="AC100">Common_InputFunctions.Utility_DisplayArrayInTable(Fertiliser_SourceData.Fertiliser_Products_Data1(),FertiliserProducts[[#Headers],[Include or Exclude]], 0,4)</f>
        <v/>
      </c>
      <c r="AD100" s="62" t="str" cm="1">
        <f t="array" ref="AD100">Common_InputFunctions.Utility_DisplayArrayInTable(Fertiliser_SourceData.Fertiliser_Products_Data1(),FertiliserProducts[[#Headers],[Include or Exclude]], 0,4)</f>
        <v/>
      </c>
      <c r="AE100" s="62" t="str" cm="1">
        <f t="array" ref="AE100">Common_InputFunctions.Utility_DisplayArrayInTable(Fertiliser_SourceData.Fertiliser_Products_Data1(),FertiliserProducts[[#Headers],[Include or Exclude]], 0,4)</f>
        <v/>
      </c>
    </row>
    <row r="101" spans="1:31" ht="20.100000000000001" customHeight="1" x14ac:dyDescent="0.25">
      <c r="A101"/>
      <c r="D101" s="62" t="str" cm="1">
        <f t="array" ref="D101">Common_InputFunctions.Utility_DisplayArrayInTable(Fertiliser_SourceData.Fertiliser_Products_Data1(),FertiliserProducts[[#Headers],[Include or Exclude]], -1)</f>
        <v>Exclude - Not relevant</v>
      </c>
      <c r="E101" s="62" t="str" cm="1">
        <f t="array" ref="E101">Common_InputFunctions.Utility_DisplayArrayInTable(Fertiliser_SourceData.Fertiliser_Products_Data1(),FertiliserProducts[[#Headers],[Include or Exclude]], 0)</f>
        <v/>
      </c>
      <c r="F101" s="62" t="str" cm="1">
        <f t="array" ref="F101">Common_InputFunctions.Utility_DisplayArrayInTable(Fertiliser_SourceData.Fertiliser_Products_Data1(),FertiliserProducts[[#Headers],[Include or Exclude]], 0)</f>
        <v>Campbells fertilisers Australia</v>
      </c>
      <c r="G101" s="62" t="str" cm="1">
        <f t="array" ref="G101">Common_InputFunctions.Utility_DisplayArrayInTable(Fertiliser_SourceData.Fertiliser_Products_Data1(),FertiliserProducts[[#Headers],[Include or Exclude]], 0)</f>
        <v>Asco Plus</v>
      </c>
      <c r="H101" s="62" t="str" cm="1">
        <f t="array" ref="H101">Common_InputFunctions.Utility_DisplayArrayInTable(Fertiliser_SourceData.Fertiliser_Products_Data1(),FertiliserProducts[[#Headers],[Include or Exclude]], 0,4)</f>
        <v/>
      </c>
      <c r="I101" s="62" t="str" cm="1">
        <f t="array" ref="I101">Common_InputFunctions.Utility_DisplayArrayInTable(Fertiliser_SourceData.Fertiliser_Products_Data1(),FertiliserProducts[[#Headers],[Include or Exclude]], 0,4)</f>
        <v/>
      </c>
      <c r="J101" s="62" t="str" cm="1">
        <f t="array" ref="J101">Common_InputFunctions.Utility_DisplayArrayInTable(Fertiliser_SourceData.Fertiliser_Products_Data1(),FertiliserProducts[[#Headers],[Include or Exclude]], 0,4)</f>
        <v/>
      </c>
      <c r="K101" s="62" t="str" cm="1">
        <f t="array" ref="K101">Common_InputFunctions.Utility_DisplayArrayInTable(Fertiliser_SourceData.Fertiliser_Products_Data1(),FertiliserProducts[[#Headers],[Include or Exclude]], 0,4)</f>
        <v/>
      </c>
      <c r="L101" s="62" t="str" cm="1">
        <f t="array" ref="L101">Common_InputFunctions.Utility_DisplayArrayInTable(Fertiliser_SourceData.Fertiliser_Products_Data1(),FertiliserProducts[[#Headers],[Include or Exclude]], 0,4)</f>
        <v/>
      </c>
      <c r="M101" s="62" t="str" cm="1">
        <f t="array" ref="M101">Common_InputFunctions.Utility_DisplayArrayInTable(Fertiliser_SourceData.Fertiliser_Products_Data1(),FertiliserProducts[[#Headers],[Include or Exclude]], 0,4)</f>
        <v/>
      </c>
      <c r="N101" s="62" t="str" cm="1">
        <f t="array" ref="N101">Common_InputFunctions.Utility_DisplayArrayInTable(Fertiliser_SourceData.Fertiliser_Products_Data1(),FertiliserProducts[[#Headers],[Include or Exclude]], 0,4)</f>
        <v/>
      </c>
      <c r="O101" s="62" t="str" cm="1">
        <f t="array" ref="O101">Common_InputFunctions.Utility_DisplayArrayInTable(Fertiliser_SourceData.Fertiliser_Products_Data1(),FertiliserProducts[[#Headers],[Include or Exclude]], 0,4)</f>
        <v/>
      </c>
      <c r="P101" s="62" t="str" cm="1">
        <f t="array" ref="P101">Common_InputFunctions.Utility_DisplayArrayInTable(Fertiliser_SourceData.Fertiliser_Products_Data1(),FertiliserProducts[[#Headers],[Include or Exclude]], 0,4)</f>
        <v/>
      </c>
      <c r="Q101" s="62" t="str" cm="1">
        <f t="array" ref="Q101">Common_InputFunctions.Utility_DisplayArrayInTable(Fertiliser_SourceData.Fertiliser_Products_Data1(),FertiliserProducts[[#Headers],[Include or Exclude]], 0,4)</f>
        <v/>
      </c>
      <c r="R101" s="62" t="str" cm="1">
        <f t="array" ref="R101">Common_InputFunctions.Utility_DisplayArrayInTable(Fertiliser_SourceData.Fertiliser_Products_Data1(),FertiliserProducts[[#Headers],[Include or Exclude]], 0,4)</f>
        <v/>
      </c>
      <c r="S101" s="62" t="str" cm="1">
        <f t="array" ref="S101">Common_InputFunctions.Utility_DisplayArrayInTable(Fertiliser_SourceData.Fertiliser_Products_Data1(),FertiliserProducts[[#Headers],[Include or Exclude]], 0,4)</f>
        <v/>
      </c>
      <c r="T101" s="62" t="str" cm="1">
        <f t="array" ref="T101">Common_InputFunctions.Utility_DisplayArrayInTable(Fertiliser_SourceData.Fertiliser_Products_Data1(),FertiliserProducts[[#Headers],[Include or Exclude]], 0,4)</f>
        <v/>
      </c>
      <c r="U101" s="62" t="str" cm="1">
        <f t="array" ref="U101">Common_InputFunctions.Utility_DisplayArrayInTable(Fertiliser_SourceData.Fertiliser_Products_Data1(),FertiliserProducts[[#Headers],[Include or Exclude]], 0,4)</f>
        <v/>
      </c>
      <c r="V101" s="62" t="str" cm="1">
        <f t="array" ref="V101">Common_InputFunctions.Utility_DisplayArrayInTable(Fertiliser_SourceData.Fertiliser_Products_Data1(),FertiliserProducts[[#Headers],[Include or Exclude]], 0,4)</f>
        <v/>
      </c>
      <c r="W101" s="62" t="str" cm="1">
        <f t="array" ref="W101">Common_InputFunctions.Utility_DisplayArrayInTable(Fertiliser_SourceData.Fertiliser_Products_Data1(),FertiliserProducts[[#Headers],[Include or Exclude]], 0,4)</f>
        <v/>
      </c>
      <c r="X101" s="62" t="str" cm="1">
        <f t="array" ref="X101">Common_InputFunctions.Utility_DisplayArrayInTable(Fertiliser_SourceData.Fertiliser_Products_Data1(),FertiliserProducts[[#Headers],[Include or Exclude]], 0,4)</f>
        <v/>
      </c>
      <c r="Y101" s="62" t="str" cm="1">
        <f t="array" ref="Y101">Common_InputFunctions.Utility_DisplayArrayInTable(Fertiliser_SourceData.Fertiliser_Products_Data1(),FertiliserProducts[[#Headers],[Include or Exclude]], 0,4)</f>
        <v/>
      </c>
      <c r="Z101" s="62" t="str" cm="1">
        <f t="array" ref="Z101">Common_InputFunctions.Utility_DisplayArrayInTable(Fertiliser_SourceData.Fertiliser_Products_Data1(),FertiliserProducts[[#Headers],[Include or Exclude]], 0,4)</f>
        <v/>
      </c>
      <c r="AA101" s="62" t="str" cm="1">
        <f t="array" ref="AA101">Common_InputFunctions.Utility_DisplayArrayInTable(Fertiliser_SourceData.Fertiliser_Products_Data1(),FertiliserProducts[[#Headers],[Include or Exclude]], 0,4)</f>
        <v/>
      </c>
      <c r="AB101" s="62" t="str" cm="1">
        <f t="array" ref="AB101">Common_InputFunctions.Utility_DisplayArrayInTable(Fertiliser_SourceData.Fertiliser_Products_Data1(),FertiliserProducts[[#Headers],[Include or Exclude]], 0,4)</f>
        <v/>
      </c>
      <c r="AC101" s="62" t="str" cm="1">
        <f t="array" ref="AC101">Common_InputFunctions.Utility_DisplayArrayInTable(Fertiliser_SourceData.Fertiliser_Products_Data1(),FertiliserProducts[[#Headers],[Include or Exclude]], 0,4)</f>
        <v/>
      </c>
      <c r="AD101" s="62" t="str" cm="1">
        <f t="array" ref="AD101">Common_InputFunctions.Utility_DisplayArrayInTable(Fertiliser_SourceData.Fertiliser_Products_Data1(),FertiliserProducts[[#Headers],[Include or Exclude]], 0,4)</f>
        <v/>
      </c>
      <c r="AE101" s="62" t="str" cm="1">
        <f t="array" ref="AE101">Common_InputFunctions.Utility_DisplayArrayInTable(Fertiliser_SourceData.Fertiliser_Products_Data1(),FertiliserProducts[[#Headers],[Include or Exclude]], 0,4)</f>
        <v/>
      </c>
    </row>
    <row r="102" spans="1:31" ht="20.100000000000001" customHeight="1" x14ac:dyDescent="0.25">
      <c r="A102"/>
      <c r="D102" s="62" t="str" cm="1">
        <f t="array" ref="D102">Common_InputFunctions.Utility_DisplayArrayInTable(Fertiliser_SourceData.Fertiliser_Products_Data1(),FertiliserProducts[[#Headers],[Include or Exclude]], -1)</f>
        <v>Exclude - Not relevant</v>
      </c>
      <c r="E102" s="62" t="str" cm="1">
        <f t="array" ref="E102">Common_InputFunctions.Utility_DisplayArrayInTable(Fertiliser_SourceData.Fertiliser_Products_Data1(),FertiliserProducts[[#Headers],[Include or Exclude]], 0)</f>
        <v/>
      </c>
      <c r="F102" s="62" t="str" cm="1">
        <f t="array" ref="F102">Common_InputFunctions.Utility_DisplayArrayInTable(Fertiliser_SourceData.Fertiliser_Products_Data1(),FertiliserProducts[[#Headers],[Include or Exclude]], 0)</f>
        <v>Campbells fertilisers Australia</v>
      </c>
      <c r="G102" s="62" t="str" cm="1">
        <f t="array" ref="G102">Common_InputFunctions.Utility_DisplayArrayInTable(Fertiliser_SourceData.Fertiliser_Products_Data1(),FertiliserProducts[[#Headers],[Include or Exclude]], 0)</f>
        <v>Asco Rhizo Plus</v>
      </c>
      <c r="H102" s="62" t="str" cm="1">
        <f t="array" ref="H102">Common_InputFunctions.Utility_DisplayArrayInTable(Fertiliser_SourceData.Fertiliser_Products_Data1(),FertiliserProducts[[#Headers],[Include or Exclude]], 0,4)</f>
        <v/>
      </c>
      <c r="I102" s="62" t="str" cm="1">
        <f t="array" ref="I102">Common_InputFunctions.Utility_DisplayArrayInTable(Fertiliser_SourceData.Fertiliser_Products_Data1(),FertiliserProducts[[#Headers],[Include or Exclude]], 0,4)</f>
        <v/>
      </c>
      <c r="J102" s="62" t="str" cm="1">
        <f t="array" ref="J102">Common_InputFunctions.Utility_DisplayArrayInTable(Fertiliser_SourceData.Fertiliser_Products_Data1(),FertiliserProducts[[#Headers],[Include or Exclude]], 0,4)</f>
        <v/>
      </c>
      <c r="K102" s="62" t="str" cm="1">
        <f t="array" ref="K102">Common_InputFunctions.Utility_DisplayArrayInTable(Fertiliser_SourceData.Fertiliser_Products_Data1(),FertiliserProducts[[#Headers],[Include or Exclude]], 0,4)</f>
        <v/>
      </c>
      <c r="L102" s="62" t="str" cm="1">
        <f t="array" ref="L102">Common_InputFunctions.Utility_DisplayArrayInTable(Fertiliser_SourceData.Fertiliser_Products_Data1(),FertiliserProducts[[#Headers],[Include or Exclude]], 0,4)</f>
        <v/>
      </c>
      <c r="M102" s="62" t="str" cm="1">
        <f t="array" ref="M102">Common_InputFunctions.Utility_DisplayArrayInTable(Fertiliser_SourceData.Fertiliser_Products_Data1(),FertiliserProducts[[#Headers],[Include or Exclude]], 0,4)</f>
        <v/>
      </c>
      <c r="N102" s="62" t="str" cm="1">
        <f t="array" ref="N102">Common_InputFunctions.Utility_DisplayArrayInTable(Fertiliser_SourceData.Fertiliser_Products_Data1(),FertiliserProducts[[#Headers],[Include or Exclude]], 0,4)</f>
        <v/>
      </c>
      <c r="O102" s="62" t="str" cm="1">
        <f t="array" ref="O102">Common_InputFunctions.Utility_DisplayArrayInTable(Fertiliser_SourceData.Fertiliser_Products_Data1(),FertiliserProducts[[#Headers],[Include or Exclude]], 0,4)</f>
        <v/>
      </c>
      <c r="P102" s="62" t="str" cm="1">
        <f t="array" ref="P102">Common_InputFunctions.Utility_DisplayArrayInTable(Fertiliser_SourceData.Fertiliser_Products_Data1(),FertiliserProducts[[#Headers],[Include or Exclude]], 0,4)</f>
        <v/>
      </c>
      <c r="Q102" s="62" t="str" cm="1">
        <f t="array" ref="Q102">Common_InputFunctions.Utility_DisplayArrayInTable(Fertiliser_SourceData.Fertiliser_Products_Data1(),FertiliserProducts[[#Headers],[Include or Exclude]], 0,4)</f>
        <v/>
      </c>
      <c r="R102" s="62" t="str" cm="1">
        <f t="array" ref="R102">Common_InputFunctions.Utility_DisplayArrayInTable(Fertiliser_SourceData.Fertiliser_Products_Data1(),FertiliserProducts[[#Headers],[Include or Exclude]], 0,4)</f>
        <v/>
      </c>
      <c r="S102" s="62" t="str" cm="1">
        <f t="array" ref="S102">Common_InputFunctions.Utility_DisplayArrayInTable(Fertiliser_SourceData.Fertiliser_Products_Data1(),FertiliserProducts[[#Headers],[Include or Exclude]], 0,4)</f>
        <v/>
      </c>
      <c r="T102" s="62" t="str" cm="1">
        <f t="array" ref="T102">Common_InputFunctions.Utility_DisplayArrayInTable(Fertiliser_SourceData.Fertiliser_Products_Data1(),FertiliserProducts[[#Headers],[Include or Exclude]], 0,4)</f>
        <v/>
      </c>
      <c r="U102" s="62" t="str" cm="1">
        <f t="array" ref="U102">Common_InputFunctions.Utility_DisplayArrayInTable(Fertiliser_SourceData.Fertiliser_Products_Data1(),FertiliserProducts[[#Headers],[Include or Exclude]], 0,4)</f>
        <v/>
      </c>
      <c r="V102" s="62" t="str" cm="1">
        <f t="array" ref="V102">Common_InputFunctions.Utility_DisplayArrayInTable(Fertiliser_SourceData.Fertiliser_Products_Data1(),FertiliserProducts[[#Headers],[Include or Exclude]], 0,4)</f>
        <v/>
      </c>
      <c r="W102" s="62" t="str" cm="1">
        <f t="array" ref="W102">Common_InputFunctions.Utility_DisplayArrayInTable(Fertiliser_SourceData.Fertiliser_Products_Data1(),FertiliserProducts[[#Headers],[Include or Exclude]], 0,4)</f>
        <v/>
      </c>
      <c r="X102" s="62" t="str" cm="1">
        <f t="array" ref="X102">Common_InputFunctions.Utility_DisplayArrayInTable(Fertiliser_SourceData.Fertiliser_Products_Data1(),FertiliserProducts[[#Headers],[Include or Exclude]], 0,4)</f>
        <v/>
      </c>
      <c r="Y102" s="62" t="str" cm="1">
        <f t="array" ref="Y102">Common_InputFunctions.Utility_DisplayArrayInTable(Fertiliser_SourceData.Fertiliser_Products_Data1(),FertiliserProducts[[#Headers],[Include or Exclude]], 0,4)</f>
        <v/>
      </c>
      <c r="Z102" s="62" t="str" cm="1">
        <f t="array" ref="Z102">Common_InputFunctions.Utility_DisplayArrayInTable(Fertiliser_SourceData.Fertiliser_Products_Data1(),FertiliserProducts[[#Headers],[Include or Exclude]], 0,4)</f>
        <v/>
      </c>
      <c r="AA102" s="62" t="str" cm="1">
        <f t="array" ref="AA102">Common_InputFunctions.Utility_DisplayArrayInTable(Fertiliser_SourceData.Fertiliser_Products_Data1(),FertiliserProducts[[#Headers],[Include or Exclude]], 0,4)</f>
        <v/>
      </c>
      <c r="AB102" s="62" t="str" cm="1">
        <f t="array" ref="AB102">Common_InputFunctions.Utility_DisplayArrayInTable(Fertiliser_SourceData.Fertiliser_Products_Data1(),FertiliserProducts[[#Headers],[Include or Exclude]], 0,4)</f>
        <v/>
      </c>
      <c r="AC102" s="62" t="str" cm="1">
        <f t="array" ref="AC102">Common_InputFunctions.Utility_DisplayArrayInTable(Fertiliser_SourceData.Fertiliser_Products_Data1(),FertiliserProducts[[#Headers],[Include or Exclude]], 0,4)</f>
        <v/>
      </c>
      <c r="AD102" s="62" t="str" cm="1">
        <f t="array" ref="AD102">Common_InputFunctions.Utility_DisplayArrayInTable(Fertiliser_SourceData.Fertiliser_Products_Data1(),FertiliserProducts[[#Headers],[Include or Exclude]], 0,4)</f>
        <v/>
      </c>
      <c r="AE102" s="62" t="str" cm="1">
        <f t="array" ref="AE102">Common_InputFunctions.Utility_DisplayArrayInTable(Fertiliser_SourceData.Fertiliser_Products_Data1(),FertiliserProducts[[#Headers],[Include or Exclude]], 0,4)</f>
        <v/>
      </c>
    </row>
    <row r="103" spans="1:31" ht="20.100000000000001" customHeight="1" x14ac:dyDescent="0.25">
      <c r="A103"/>
      <c r="D103" s="62" t="str" cm="1">
        <f t="array" ref="D103">Common_InputFunctions.Utility_DisplayArrayInTable(Fertiliser_SourceData.Fertiliser_Products_Data1(),FertiliserProducts[[#Headers],[Include or Exclude]], -1)</f>
        <v>Include - Absent ingredients &lt; 2%</v>
      </c>
      <c r="E103" s="62" t="str" cm="1">
        <f t="array" ref="E103">Common_InputFunctions.Utility_DisplayArrayInTable(Fertiliser_SourceData.Fertiliser_Products_Data1(),FertiliserProducts[[#Headers],[Include or Exclude]], 0)</f>
        <v/>
      </c>
      <c r="F103" s="62" t="str" cm="1">
        <f t="array" ref="F103">Common_InputFunctions.Utility_DisplayArrayInTable(Fertiliser_SourceData.Fertiliser_Products_Data1(),FertiliserProducts[[#Headers],[Include or Exclude]], 0)</f>
        <v>Campbells fertilisers Australia</v>
      </c>
      <c r="G103" s="62" t="str" cm="1">
        <f t="array" ref="G103">Common_InputFunctions.Utility_DisplayArrayInTable(Fertiliser_SourceData.Fertiliser_Products_Data1(),FertiliserProducts[[#Headers],[Include or Exclude]], 0)</f>
        <v>Benefit PZ</v>
      </c>
      <c r="H103" s="62" t="str" cm="1">
        <f t="array" ref="H103">Common_InputFunctions.Utility_DisplayArrayInTable(Fertiliser_SourceData.Fertiliser_Products_Data1(),FertiliserProducts[[#Headers],[Include or Exclude]], 0,4)</f>
        <v/>
      </c>
      <c r="I103" s="62" t="str" cm="1">
        <f t="array" ref="I103">Common_InputFunctions.Utility_DisplayArrayInTable(Fertiliser_SourceData.Fertiliser_Products_Data1(),FertiliserProducts[[#Headers],[Include or Exclude]], 0,4)</f>
        <v/>
      </c>
      <c r="J103" s="62" t="str" cm="1">
        <f t="array" ref="J103">Common_InputFunctions.Utility_DisplayArrayInTable(Fertiliser_SourceData.Fertiliser_Products_Data1(),FertiliserProducts[[#Headers],[Include or Exclude]], 0,4)</f>
        <v/>
      </c>
      <c r="K103" s="62" t="str" cm="1">
        <f t="array" ref="K103">Common_InputFunctions.Utility_DisplayArrayInTable(Fertiliser_SourceData.Fertiliser_Products_Data1(),FertiliserProducts[[#Headers],[Include or Exclude]], 0,4)</f>
        <v/>
      </c>
      <c r="L103" s="62" t="str" cm="1">
        <f t="array" ref="L103">Common_InputFunctions.Utility_DisplayArrayInTable(Fertiliser_SourceData.Fertiliser_Products_Data1(),FertiliserProducts[[#Headers],[Include or Exclude]], 0,4)</f>
        <v/>
      </c>
      <c r="M103" s="62" t="str" cm="1">
        <f t="array" ref="M103">Common_InputFunctions.Utility_DisplayArrayInTable(Fertiliser_SourceData.Fertiliser_Products_Data1(),FertiliserProducts[[#Headers],[Include or Exclude]], 0,4)</f>
        <v/>
      </c>
      <c r="N103" s="62" t="str" cm="1">
        <f t="array" ref="N103">Common_InputFunctions.Utility_DisplayArrayInTable(Fertiliser_SourceData.Fertiliser_Products_Data1(),FertiliserProducts[[#Headers],[Include or Exclude]], 0,4)</f>
        <v/>
      </c>
      <c r="O103" s="62" t="str" cm="1">
        <f t="array" ref="O103">Common_InputFunctions.Utility_DisplayArrayInTable(Fertiliser_SourceData.Fertiliser_Products_Data1(),FertiliserProducts[[#Headers],[Include or Exclude]], 0,4)</f>
        <v/>
      </c>
      <c r="P103" s="62" t="str" cm="1">
        <f t="array" ref="P103">Common_InputFunctions.Utility_DisplayArrayInTable(Fertiliser_SourceData.Fertiliser_Products_Data1(),FertiliserProducts[[#Headers],[Include or Exclude]], 0,4)</f>
        <v/>
      </c>
      <c r="Q103" s="62" t="str" cm="1">
        <f t="array" ref="Q103">Common_InputFunctions.Utility_DisplayArrayInTable(Fertiliser_SourceData.Fertiliser_Products_Data1(),FertiliserProducts[[#Headers],[Include or Exclude]], 0,4)</f>
        <v/>
      </c>
      <c r="R103" s="62" t="str" cm="1">
        <f t="array" ref="R103">Common_InputFunctions.Utility_DisplayArrayInTable(Fertiliser_SourceData.Fertiliser_Products_Data1(),FertiliserProducts[[#Headers],[Include or Exclude]], 0,4)</f>
        <v/>
      </c>
      <c r="S103" s="62" t="str" cm="1">
        <f t="array" ref="S103">Common_InputFunctions.Utility_DisplayArrayInTable(Fertiliser_SourceData.Fertiliser_Products_Data1(),FertiliserProducts[[#Headers],[Include or Exclude]], 0,4)</f>
        <v/>
      </c>
      <c r="T103" s="62" t="str" cm="1">
        <f t="array" ref="T103">Common_InputFunctions.Utility_DisplayArrayInTable(Fertiliser_SourceData.Fertiliser_Products_Data1(),FertiliserProducts[[#Headers],[Include or Exclude]], 0,4)</f>
        <v/>
      </c>
      <c r="U103" s="62" t="str" cm="1">
        <f t="array" ref="U103">Common_InputFunctions.Utility_DisplayArrayInTable(Fertiliser_SourceData.Fertiliser_Products_Data1(),FertiliserProducts[[#Headers],[Include or Exclude]], 0,4)</f>
        <v/>
      </c>
      <c r="V103" s="62" t="str" cm="1">
        <f t="array" ref="V103">Common_InputFunctions.Utility_DisplayArrayInTable(Fertiliser_SourceData.Fertiliser_Products_Data1(),FertiliserProducts[[#Headers],[Include or Exclude]], 0,4)</f>
        <v/>
      </c>
      <c r="W103" s="62" t="str" cm="1">
        <f t="array" ref="W103">Common_InputFunctions.Utility_DisplayArrayInTable(Fertiliser_SourceData.Fertiliser_Products_Data1(),FertiliserProducts[[#Headers],[Include or Exclude]], 0,4)</f>
        <v/>
      </c>
      <c r="X103" s="62" t="str" cm="1">
        <f t="array" ref="X103">Common_InputFunctions.Utility_DisplayArrayInTable(Fertiliser_SourceData.Fertiliser_Products_Data1(),FertiliserProducts[[#Headers],[Include or Exclude]], 0,4)</f>
        <v/>
      </c>
      <c r="Y103" s="62" t="str" cm="1">
        <f t="array" ref="Y103">Common_InputFunctions.Utility_DisplayArrayInTable(Fertiliser_SourceData.Fertiliser_Products_Data1(),FertiliserProducts[[#Headers],[Include or Exclude]], 0,4)</f>
        <v/>
      </c>
      <c r="Z103" s="62" t="str" cm="1">
        <f t="array" ref="Z103">Common_InputFunctions.Utility_DisplayArrayInTable(Fertiliser_SourceData.Fertiliser_Products_Data1(),FertiliserProducts[[#Headers],[Include or Exclude]], 0,4)</f>
        <v/>
      </c>
      <c r="AA103" s="62" t="str" cm="1">
        <f t="array" ref="AA103">Common_InputFunctions.Utility_DisplayArrayInTable(Fertiliser_SourceData.Fertiliser_Products_Data1(),FertiliserProducts[[#Headers],[Include or Exclude]], 0,4)</f>
        <v/>
      </c>
      <c r="AB103" s="62" t="str" cm="1">
        <f t="array" ref="AB103">Common_InputFunctions.Utility_DisplayArrayInTable(Fertiliser_SourceData.Fertiliser_Products_Data1(),FertiliserProducts[[#Headers],[Include or Exclude]], 0,4)</f>
        <v/>
      </c>
      <c r="AC103" s="62" t="str" cm="1">
        <f t="array" ref="AC103">Common_InputFunctions.Utility_DisplayArrayInTable(Fertiliser_SourceData.Fertiliser_Products_Data1(),FertiliserProducts[[#Headers],[Include or Exclude]], 0,4)</f>
        <v/>
      </c>
      <c r="AD103" s="62" t="str" cm="1">
        <f t="array" ref="AD103">Common_InputFunctions.Utility_DisplayArrayInTable(Fertiliser_SourceData.Fertiliser_Products_Data1(),FertiliserProducts[[#Headers],[Include or Exclude]], 0,4)</f>
        <v/>
      </c>
      <c r="AE103" s="62" t="str" cm="1">
        <f t="array" ref="AE103">Common_InputFunctions.Utility_DisplayArrayInTable(Fertiliser_SourceData.Fertiliser_Products_Data1(),FertiliserProducts[[#Headers],[Include or Exclude]], 0,4)</f>
        <v/>
      </c>
    </row>
    <row r="104" spans="1:31" ht="20.100000000000001" customHeight="1" x14ac:dyDescent="0.25">
      <c r="A104"/>
      <c r="D104" s="62" t="str" cm="1">
        <f t="array" ref="D104">Common_InputFunctions.Utility_DisplayArrayInTable(Fertiliser_SourceData.Fertiliser_Products_Data1(),FertiliserProducts[[#Headers],[Include or Exclude]], -1)</f>
        <v>Exclude - Not relevant</v>
      </c>
      <c r="E104" s="62" t="str" cm="1">
        <f t="array" ref="E104">Common_InputFunctions.Utility_DisplayArrayInTable(Fertiliser_SourceData.Fertiliser_Products_Data1(),FertiliserProducts[[#Headers],[Include or Exclude]], 0)</f>
        <v>Amount of urea calculated from urea nitrogen amount</v>
      </c>
      <c r="F104" s="62" t="str" cm="1">
        <f t="array" ref="F104">Common_InputFunctions.Utility_DisplayArrayInTable(Fertiliser_SourceData.Fertiliser_Products_Data1(),FertiliserProducts[[#Headers],[Include or Exclude]], 0)</f>
        <v>Campbells fertilisers Australia</v>
      </c>
      <c r="G104" s="62" t="str" cm="1">
        <f t="array" ref="G104">Common_InputFunctions.Utility_DisplayArrayInTable(Fertiliser_SourceData.Fertiliser_Products_Data1(),FertiliserProducts[[#Headers],[Include or Exclude]], 0)</f>
        <v>Boost-It</v>
      </c>
      <c r="H104" s="62" t="str" cm="1">
        <f t="array" ref="H104">Common_InputFunctions.Utility_DisplayArrayInTable(Fertiliser_SourceData.Fertiliser_Products_Data1(),FertiliserProducts[[#Headers],[Include or Exclude]], 0,4)</f>
        <v>kg</v>
      </c>
      <c r="I104" s="62" cm="1">
        <f t="array" ref="I104">Common_InputFunctions.Utility_DisplayArrayInTable(Fertiliser_SourceData.Fertiliser_Products_Data1(),FertiliserProducts[[#Headers],[Include or Exclude]], 0,4)</f>
        <v>1</v>
      </c>
      <c r="J104" s="62" t="str" cm="1">
        <f t="array" ref="J104">Common_InputFunctions.Utility_DisplayArrayInTable(Fertiliser_SourceData.Fertiliser_Products_Data1(),FertiliserProducts[[#Headers],[Include or Exclude]], 0,4)</f>
        <v/>
      </c>
      <c r="K104" s="62" t="str" cm="1">
        <f t="array" ref="K104">Common_InputFunctions.Utility_DisplayArrayInTable(Fertiliser_SourceData.Fertiliser_Products_Data1(),FertiliserProducts[[#Headers],[Include or Exclude]], 0,4)</f>
        <v/>
      </c>
      <c r="L104" s="62" t="str" cm="1">
        <f t="array" ref="L104">Common_InputFunctions.Utility_DisplayArrayInTable(Fertiliser_SourceData.Fertiliser_Products_Data1(),FertiliserProducts[[#Headers],[Include or Exclude]], 0,4)</f>
        <v>Urea</v>
      </c>
      <c r="M104" s="62" cm="1">
        <f t="array" ref="M104">Common_InputFunctions.Utility_DisplayArrayInTable(Fertiliser_SourceData.Fertiliser_Products_Data1(),FertiliserProducts[[#Headers],[Include or Exclude]], 0,4)</f>
        <v>0.52173913000000005</v>
      </c>
      <c r="N104" s="62" t="str" cm="1">
        <f t="array" ref="N104">Common_InputFunctions.Utility_DisplayArrayInTable(Fertiliser_SourceData.Fertiliser_Products_Data1(),FertiliserProducts[[#Headers],[Include or Exclude]], 0,4)</f>
        <v>Potassium - Generic</v>
      </c>
      <c r="O104" s="62" cm="1">
        <f t="array" ref="O104">Common_InputFunctions.Utility_DisplayArrayInTable(Fertiliser_SourceData.Fertiliser_Products_Data1(),FertiliserProducts[[#Headers],[Include or Exclude]], 0,4)</f>
        <v>0.08</v>
      </c>
      <c r="P104" s="62" t="str" cm="1">
        <f t="array" ref="P104">Common_InputFunctions.Utility_DisplayArrayInTable(Fertiliser_SourceData.Fertiliser_Products_Data1(),FertiliserProducts[[#Headers],[Include or Exclude]], 0,4)</f>
        <v>Sulfur - Generic</v>
      </c>
      <c r="Q104" s="62" cm="1">
        <f t="array" ref="Q104">Common_InputFunctions.Utility_DisplayArrayInTable(Fertiliser_SourceData.Fertiliser_Products_Data1(),FertiliserProducts[[#Headers],[Include or Exclude]], 0,4)</f>
        <v>5.2999999999999999E-2</v>
      </c>
      <c r="R104" s="62" t="str" cm="1">
        <f t="array" ref="R104">Common_InputFunctions.Utility_DisplayArrayInTable(Fertiliser_SourceData.Fertiliser_Products_Data1(),FertiliserProducts[[#Headers],[Include or Exclude]], 0,4)</f>
        <v>Phosphorus - Generic</v>
      </c>
      <c r="S104" s="62" cm="1">
        <f t="array" ref="S104">Common_InputFunctions.Utility_DisplayArrayInTable(Fertiliser_SourceData.Fertiliser_Products_Data1(),FertiliserProducts[[#Headers],[Include or Exclude]], 0,4)</f>
        <v>5.1999999999999998E-2</v>
      </c>
      <c r="T104" s="62" t="str" cm="1">
        <f t="array" ref="T104">Common_InputFunctions.Utility_DisplayArrayInTable(Fertiliser_SourceData.Fertiliser_Products_Data1(),FertiliserProducts[[#Headers],[Include or Exclude]], 0,4)</f>
        <v>Magnesium</v>
      </c>
      <c r="U104" s="62" cm="1">
        <f t="array" ref="U104">Common_InputFunctions.Utility_DisplayArrayInTable(Fertiliser_SourceData.Fertiliser_Products_Data1(),FertiliserProducts[[#Headers],[Include or Exclude]], 0,4)</f>
        <v>1.2999999999999999E-2</v>
      </c>
      <c r="V104" s="62" t="str" cm="1">
        <f t="array" ref="V104">Common_InputFunctions.Utility_DisplayArrayInTable(Fertiliser_SourceData.Fertiliser_Products_Data1(),FertiliserProducts[[#Headers],[Include or Exclude]], 0,4)</f>
        <v>Zinc</v>
      </c>
      <c r="W104" s="62" cm="1">
        <f t="array" ref="W104">Common_InputFunctions.Utility_DisplayArrayInTable(Fertiliser_SourceData.Fertiliser_Products_Data1(),FertiliserProducts[[#Headers],[Include or Exclude]], 0,4)</f>
        <v>2E-3</v>
      </c>
      <c r="X104" s="62" t="str" cm="1">
        <f t="array" ref="X104">Common_InputFunctions.Utility_DisplayArrayInTable(Fertiliser_SourceData.Fertiliser_Products_Data1(),FertiliserProducts[[#Headers],[Include or Exclude]], 0,4)</f>
        <v>Manganese</v>
      </c>
      <c r="Y104" s="62" cm="1">
        <f t="array" ref="Y104">Common_InputFunctions.Utility_DisplayArrayInTable(Fertiliser_SourceData.Fertiliser_Products_Data1(),FertiliserProducts[[#Headers],[Include or Exclude]], 0,4)</f>
        <v>3.5000000000000001E-3</v>
      </c>
      <c r="Z104" s="62" t="str" cm="1">
        <f t="array" ref="Z104">Common_InputFunctions.Utility_DisplayArrayInTable(Fertiliser_SourceData.Fertiliser_Products_Data1(),FertiliserProducts[[#Headers],[Include or Exclude]], 0,4)</f>
        <v>Iron</v>
      </c>
      <c r="AA104" s="62" cm="1">
        <f t="array" ref="AA104">Common_InputFunctions.Utility_DisplayArrayInTable(Fertiliser_SourceData.Fertiliser_Products_Data1(),FertiliserProducts[[#Headers],[Include or Exclude]], 0,4)</f>
        <v>1.2999999999999999E-3</v>
      </c>
      <c r="AB104" s="62" t="str" cm="1">
        <f t="array" ref="AB104">Common_InputFunctions.Utility_DisplayArrayInTable(Fertiliser_SourceData.Fertiliser_Products_Data1(),FertiliserProducts[[#Headers],[Include or Exclude]], 0,4)</f>
        <v>Copper</v>
      </c>
      <c r="AC104" s="62" cm="1">
        <f t="array" ref="AC104">Common_InputFunctions.Utility_DisplayArrayInTable(Fertiliser_SourceData.Fertiliser_Products_Data1(),FertiliserProducts[[#Headers],[Include or Exclude]], 0,4)</f>
        <v>6.9999999999999999E-4</v>
      </c>
      <c r="AD104" s="62" t="str" cm="1">
        <f t="array" ref="AD104">Common_InputFunctions.Utility_DisplayArrayInTable(Fertiliser_SourceData.Fertiliser_Products_Data1(),FertiliserProducts[[#Headers],[Include or Exclude]], 0,4)</f>
        <v>Boron</v>
      </c>
      <c r="AE104" s="62" cm="1">
        <f t="array" ref="AE104">Common_InputFunctions.Utility_DisplayArrayInTable(Fertiliser_SourceData.Fertiliser_Products_Data1(),FertiliserProducts[[#Headers],[Include or Exclude]], 0,4)</f>
        <v>6.9999999999999999E-4</v>
      </c>
    </row>
    <row r="105" spans="1:31" ht="20.100000000000001" customHeight="1" x14ac:dyDescent="0.25">
      <c r="A105"/>
      <c r="D105" s="62" t="str" cm="1">
        <f t="array" ref="D105">Common_InputFunctions.Utility_DisplayArrayInTable(Fertiliser_SourceData.Fertiliser_Products_Data1(),FertiliserProducts[[#Headers],[Include or Exclude]], -1)</f>
        <v>Exclude - Not relevant</v>
      </c>
      <c r="E105" s="62" t="str" cm="1">
        <f t="array" ref="E105">Common_InputFunctions.Utility_DisplayArrayInTable(Fertiliser_SourceData.Fertiliser_Products_Data1(),FertiliserProducts[[#Headers],[Include or Exclude]], 0)</f>
        <v/>
      </c>
      <c r="F105" s="62" t="str" cm="1">
        <f t="array" ref="F105">Common_InputFunctions.Utility_DisplayArrayInTable(Fertiliser_SourceData.Fertiliser_Products_Data1(),FertiliserProducts[[#Headers],[Include or Exclude]], 0)</f>
        <v>Campbells fertilisers Australia</v>
      </c>
      <c r="G105" s="62" t="str" cm="1">
        <f t="array" ref="G105">Common_InputFunctions.Utility_DisplayArrayInTable(Fertiliser_SourceData.Fertiliser_Products_Data1(),FertiliserProducts[[#Headers],[Include or Exclude]], 0)</f>
        <v>Boroplus</v>
      </c>
      <c r="H105" s="62" t="str" cm="1">
        <f t="array" ref="H105">Common_InputFunctions.Utility_DisplayArrayInTable(Fertiliser_SourceData.Fertiliser_Products_Data1(),FertiliserProducts[[#Headers],[Include or Exclude]], 0,4)</f>
        <v/>
      </c>
      <c r="I105" s="62" t="str" cm="1">
        <f t="array" ref="I105">Common_InputFunctions.Utility_DisplayArrayInTable(Fertiliser_SourceData.Fertiliser_Products_Data1(),FertiliserProducts[[#Headers],[Include or Exclude]], 0,4)</f>
        <v/>
      </c>
      <c r="J105" s="62" t="str" cm="1">
        <f t="array" ref="J105">Common_InputFunctions.Utility_DisplayArrayInTable(Fertiliser_SourceData.Fertiliser_Products_Data1(),FertiliserProducts[[#Headers],[Include or Exclude]], 0,4)</f>
        <v/>
      </c>
      <c r="K105" s="62" t="str" cm="1">
        <f t="array" ref="K105">Common_InputFunctions.Utility_DisplayArrayInTable(Fertiliser_SourceData.Fertiliser_Products_Data1(),FertiliserProducts[[#Headers],[Include or Exclude]], 0,4)</f>
        <v/>
      </c>
      <c r="L105" s="62" t="str" cm="1">
        <f t="array" ref="L105">Common_InputFunctions.Utility_DisplayArrayInTable(Fertiliser_SourceData.Fertiliser_Products_Data1(),FertiliserProducts[[#Headers],[Include or Exclude]], 0,4)</f>
        <v/>
      </c>
      <c r="M105" s="62" t="str" cm="1">
        <f t="array" ref="M105">Common_InputFunctions.Utility_DisplayArrayInTable(Fertiliser_SourceData.Fertiliser_Products_Data1(),FertiliserProducts[[#Headers],[Include or Exclude]], 0,4)</f>
        <v/>
      </c>
      <c r="N105" s="62" t="str" cm="1">
        <f t="array" ref="N105">Common_InputFunctions.Utility_DisplayArrayInTable(Fertiliser_SourceData.Fertiliser_Products_Data1(),FertiliserProducts[[#Headers],[Include or Exclude]], 0,4)</f>
        <v/>
      </c>
      <c r="O105" s="62" t="str" cm="1">
        <f t="array" ref="O105">Common_InputFunctions.Utility_DisplayArrayInTable(Fertiliser_SourceData.Fertiliser_Products_Data1(),FertiliserProducts[[#Headers],[Include or Exclude]], 0,4)</f>
        <v/>
      </c>
      <c r="P105" s="62" t="str" cm="1">
        <f t="array" ref="P105">Common_InputFunctions.Utility_DisplayArrayInTable(Fertiliser_SourceData.Fertiliser_Products_Data1(),FertiliserProducts[[#Headers],[Include or Exclude]], 0,4)</f>
        <v/>
      </c>
      <c r="Q105" s="62" t="str" cm="1">
        <f t="array" ref="Q105">Common_InputFunctions.Utility_DisplayArrayInTable(Fertiliser_SourceData.Fertiliser_Products_Data1(),FertiliserProducts[[#Headers],[Include or Exclude]], 0,4)</f>
        <v/>
      </c>
      <c r="R105" s="62" t="str" cm="1">
        <f t="array" ref="R105">Common_InputFunctions.Utility_DisplayArrayInTable(Fertiliser_SourceData.Fertiliser_Products_Data1(),FertiliserProducts[[#Headers],[Include or Exclude]], 0,4)</f>
        <v/>
      </c>
      <c r="S105" s="62" t="str" cm="1">
        <f t="array" ref="S105">Common_InputFunctions.Utility_DisplayArrayInTable(Fertiliser_SourceData.Fertiliser_Products_Data1(),FertiliserProducts[[#Headers],[Include or Exclude]], 0,4)</f>
        <v/>
      </c>
      <c r="T105" s="62" t="str" cm="1">
        <f t="array" ref="T105">Common_InputFunctions.Utility_DisplayArrayInTable(Fertiliser_SourceData.Fertiliser_Products_Data1(),FertiliserProducts[[#Headers],[Include or Exclude]], 0,4)</f>
        <v/>
      </c>
      <c r="U105" s="62" t="str" cm="1">
        <f t="array" ref="U105">Common_InputFunctions.Utility_DisplayArrayInTable(Fertiliser_SourceData.Fertiliser_Products_Data1(),FertiliserProducts[[#Headers],[Include or Exclude]], 0,4)</f>
        <v/>
      </c>
      <c r="V105" s="62" t="str" cm="1">
        <f t="array" ref="V105">Common_InputFunctions.Utility_DisplayArrayInTable(Fertiliser_SourceData.Fertiliser_Products_Data1(),FertiliserProducts[[#Headers],[Include or Exclude]], 0,4)</f>
        <v/>
      </c>
      <c r="W105" s="62" t="str" cm="1">
        <f t="array" ref="W105">Common_InputFunctions.Utility_DisplayArrayInTable(Fertiliser_SourceData.Fertiliser_Products_Data1(),FertiliserProducts[[#Headers],[Include or Exclude]], 0,4)</f>
        <v/>
      </c>
      <c r="X105" s="62" t="str" cm="1">
        <f t="array" ref="X105">Common_InputFunctions.Utility_DisplayArrayInTable(Fertiliser_SourceData.Fertiliser_Products_Data1(),FertiliserProducts[[#Headers],[Include or Exclude]], 0,4)</f>
        <v/>
      </c>
      <c r="Y105" s="62" t="str" cm="1">
        <f t="array" ref="Y105">Common_InputFunctions.Utility_DisplayArrayInTable(Fertiliser_SourceData.Fertiliser_Products_Data1(),FertiliserProducts[[#Headers],[Include or Exclude]], 0,4)</f>
        <v/>
      </c>
      <c r="Z105" s="62" t="str" cm="1">
        <f t="array" ref="Z105">Common_InputFunctions.Utility_DisplayArrayInTable(Fertiliser_SourceData.Fertiliser_Products_Data1(),FertiliserProducts[[#Headers],[Include or Exclude]], 0,4)</f>
        <v/>
      </c>
      <c r="AA105" s="62" t="str" cm="1">
        <f t="array" ref="AA105">Common_InputFunctions.Utility_DisplayArrayInTable(Fertiliser_SourceData.Fertiliser_Products_Data1(),FertiliserProducts[[#Headers],[Include or Exclude]], 0,4)</f>
        <v/>
      </c>
      <c r="AB105" s="62" t="str" cm="1">
        <f t="array" ref="AB105">Common_InputFunctions.Utility_DisplayArrayInTable(Fertiliser_SourceData.Fertiliser_Products_Data1(),FertiliserProducts[[#Headers],[Include or Exclude]], 0,4)</f>
        <v/>
      </c>
      <c r="AC105" s="62" t="str" cm="1">
        <f t="array" ref="AC105">Common_InputFunctions.Utility_DisplayArrayInTable(Fertiliser_SourceData.Fertiliser_Products_Data1(),FertiliserProducts[[#Headers],[Include or Exclude]], 0,4)</f>
        <v/>
      </c>
      <c r="AD105" s="62" t="str" cm="1">
        <f t="array" ref="AD105">Common_InputFunctions.Utility_DisplayArrayInTable(Fertiliser_SourceData.Fertiliser_Products_Data1(),FertiliserProducts[[#Headers],[Include or Exclude]], 0,4)</f>
        <v/>
      </c>
      <c r="AE105" s="62" t="str" cm="1">
        <f t="array" ref="AE105">Common_InputFunctions.Utility_DisplayArrayInTable(Fertiliser_SourceData.Fertiliser_Products_Data1(),FertiliserProducts[[#Headers],[Include or Exclude]], 0,4)</f>
        <v/>
      </c>
    </row>
    <row r="106" spans="1:31" ht="20.100000000000001" customHeight="1" x14ac:dyDescent="0.25">
      <c r="A106"/>
      <c r="D106" s="62" t="str" cm="1">
        <f t="array" ref="D106">Common_InputFunctions.Utility_DisplayArrayInTable(Fertiliser_SourceData.Fertiliser_Products_Data1(),FertiliserProducts[[#Headers],[Include or Exclude]], -1)</f>
        <v>Exclude - Not relevant</v>
      </c>
      <c r="E106" s="62" t="str" cm="1">
        <f t="array" ref="E106">Common_InputFunctions.Utility_DisplayArrayInTable(Fertiliser_SourceData.Fertiliser_Products_Data1(),FertiliserProducts[[#Headers],[Include or Exclude]], 0)</f>
        <v/>
      </c>
      <c r="F106" s="62" t="str" cm="1">
        <f t="array" ref="F106">Common_InputFunctions.Utility_DisplayArrayInTable(Fertiliser_SourceData.Fertiliser_Products_Data1(),FertiliserProducts[[#Headers],[Include or Exclude]], 0)</f>
        <v>Campbells fertilisers Australia</v>
      </c>
      <c r="G106" s="62" t="str" cm="1">
        <f t="array" ref="G106">Common_InputFunctions.Utility_DisplayArrayInTable(Fertiliser_SourceData.Fertiliser_Products_Data1(),FertiliserProducts[[#Headers],[Include or Exclude]], 0)</f>
        <v>Brevisol Range</v>
      </c>
      <c r="H106" s="62" t="str" cm="1">
        <f t="array" ref="H106">Common_InputFunctions.Utility_DisplayArrayInTable(Fertiliser_SourceData.Fertiliser_Products_Data1(),FertiliserProducts[[#Headers],[Include or Exclude]], 0,4)</f>
        <v/>
      </c>
      <c r="I106" s="62" t="str" cm="1">
        <f t="array" ref="I106">Common_InputFunctions.Utility_DisplayArrayInTable(Fertiliser_SourceData.Fertiliser_Products_Data1(),FertiliserProducts[[#Headers],[Include or Exclude]], 0,4)</f>
        <v/>
      </c>
      <c r="J106" s="62" t="str" cm="1">
        <f t="array" ref="J106">Common_InputFunctions.Utility_DisplayArrayInTable(Fertiliser_SourceData.Fertiliser_Products_Data1(),FertiliserProducts[[#Headers],[Include or Exclude]], 0,4)</f>
        <v/>
      </c>
      <c r="K106" s="62" t="str" cm="1">
        <f t="array" ref="K106">Common_InputFunctions.Utility_DisplayArrayInTable(Fertiliser_SourceData.Fertiliser_Products_Data1(),FertiliserProducts[[#Headers],[Include or Exclude]], 0,4)</f>
        <v/>
      </c>
      <c r="L106" s="62" t="str" cm="1">
        <f t="array" ref="L106">Common_InputFunctions.Utility_DisplayArrayInTable(Fertiliser_SourceData.Fertiliser_Products_Data1(),FertiliserProducts[[#Headers],[Include or Exclude]], 0,4)</f>
        <v/>
      </c>
      <c r="M106" s="62" t="str" cm="1">
        <f t="array" ref="M106">Common_InputFunctions.Utility_DisplayArrayInTable(Fertiliser_SourceData.Fertiliser_Products_Data1(),FertiliserProducts[[#Headers],[Include or Exclude]], 0,4)</f>
        <v/>
      </c>
      <c r="N106" s="62" t="str" cm="1">
        <f t="array" ref="N106">Common_InputFunctions.Utility_DisplayArrayInTable(Fertiliser_SourceData.Fertiliser_Products_Data1(),FertiliserProducts[[#Headers],[Include or Exclude]], 0,4)</f>
        <v/>
      </c>
      <c r="O106" s="62" t="str" cm="1">
        <f t="array" ref="O106">Common_InputFunctions.Utility_DisplayArrayInTable(Fertiliser_SourceData.Fertiliser_Products_Data1(),FertiliserProducts[[#Headers],[Include or Exclude]], 0,4)</f>
        <v/>
      </c>
      <c r="P106" s="62" t="str" cm="1">
        <f t="array" ref="P106">Common_InputFunctions.Utility_DisplayArrayInTable(Fertiliser_SourceData.Fertiliser_Products_Data1(),FertiliserProducts[[#Headers],[Include or Exclude]], 0,4)</f>
        <v/>
      </c>
      <c r="Q106" s="62" t="str" cm="1">
        <f t="array" ref="Q106">Common_InputFunctions.Utility_DisplayArrayInTable(Fertiliser_SourceData.Fertiliser_Products_Data1(),FertiliserProducts[[#Headers],[Include or Exclude]], 0,4)</f>
        <v/>
      </c>
      <c r="R106" s="62" t="str" cm="1">
        <f t="array" ref="R106">Common_InputFunctions.Utility_DisplayArrayInTable(Fertiliser_SourceData.Fertiliser_Products_Data1(),FertiliserProducts[[#Headers],[Include or Exclude]], 0,4)</f>
        <v/>
      </c>
      <c r="S106" s="62" t="str" cm="1">
        <f t="array" ref="S106">Common_InputFunctions.Utility_DisplayArrayInTable(Fertiliser_SourceData.Fertiliser_Products_Data1(),FertiliserProducts[[#Headers],[Include or Exclude]], 0,4)</f>
        <v/>
      </c>
      <c r="T106" s="62" t="str" cm="1">
        <f t="array" ref="T106">Common_InputFunctions.Utility_DisplayArrayInTable(Fertiliser_SourceData.Fertiliser_Products_Data1(),FertiliserProducts[[#Headers],[Include or Exclude]], 0,4)</f>
        <v/>
      </c>
      <c r="U106" s="62" t="str" cm="1">
        <f t="array" ref="U106">Common_InputFunctions.Utility_DisplayArrayInTable(Fertiliser_SourceData.Fertiliser_Products_Data1(),FertiliserProducts[[#Headers],[Include or Exclude]], 0,4)</f>
        <v/>
      </c>
      <c r="V106" s="62" t="str" cm="1">
        <f t="array" ref="V106">Common_InputFunctions.Utility_DisplayArrayInTable(Fertiliser_SourceData.Fertiliser_Products_Data1(),FertiliserProducts[[#Headers],[Include or Exclude]], 0,4)</f>
        <v/>
      </c>
      <c r="W106" s="62" t="str" cm="1">
        <f t="array" ref="W106">Common_InputFunctions.Utility_DisplayArrayInTable(Fertiliser_SourceData.Fertiliser_Products_Data1(),FertiliserProducts[[#Headers],[Include or Exclude]], 0,4)</f>
        <v/>
      </c>
      <c r="X106" s="62" t="str" cm="1">
        <f t="array" ref="X106">Common_InputFunctions.Utility_DisplayArrayInTable(Fertiliser_SourceData.Fertiliser_Products_Data1(),FertiliserProducts[[#Headers],[Include or Exclude]], 0,4)</f>
        <v/>
      </c>
      <c r="Y106" s="62" t="str" cm="1">
        <f t="array" ref="Y106">Common_InputFunctions.Utility_DisplayArrayInTable(Fertiliser_SourceData.Fertiliser_Products_Data1(),FertiliserProducts[[#Headers],[Include or Exclude]], 0,4)</f>
        <v/>
      </c>
      <c r="Z106" s="62" t="str" cm="1">
        <f t="array" ref="Z106">Common_InputFunctions.Utility_DisplayArrayInTable(Fertiliser_SourceData.Fertiliser_Products_Data1(),FertiliserProducts[[#Headers],[Include or Exclude]], 0,4)</f>
        <v/>
      </c>
      <c r="AA106" s="62" t="str" cm="1">
        <f t="array" ref="AA106">Common_InputFunctions.Utility_DisplayArrayInTable(Fertiliser_SourceData.Fertiliser_Products_Data1(),FertiliserProducts[[#Headers],[Include or Exclude]], 0,4)</f>
        <v/>
      </c>
      <c r="AB106" s="62" t="str" cm="1">
        <f t="array" ref="AB106">Common_InputFunctions.Utility_DisplayArrayInTable(Fertiliser_SourceData.Fertiliser_Products_Data1(),FertiliserProducts[[#Headers],[Include or Exclude]], 0,4)</f>
        <v/>
      </c>
      <c r="AC106" s="62" t="str" cm="1">
        <f t="array" ref="AC106">Common_InputFunctions.Utility_DisplayArrayInTable(Fertiliser_SourceData.Fertiliser_Products_Data1(),FertiliserProducts[[#Headers],[Include or Exclude]], 0,4)</f>
        <v/>
      </c>
      <c r="AD106" s="62" t="str" cm="1">
        <f t="array" ref="AD106">Common_InputFunctions.Utility_DisplayArrayInTable(Fertiliser_SourceData.Fertiliser_Products_Data1(),FertiliserProducts[[#Headers],[Include or Exclude]], 0,4)</f>
        <v/>
      </c>
      <c r="AE106" s="62" t="str" cm="1">
        <f t="array" ref="AE106">Common_InputFunctions.Utility_DisplayArrayInTable(Fertiliser_SourceData.Fertiliser_Products_Data1(),FertiliserProducts[[#Headers],[Include or Exclude]], 0,4)</f>
        <v/>
      </c>
    </row>
    <row r="107" spans="1:31" ht="20.100000000000001" customHeight="1" x14ac:dyDescent="0.25">
      <c r="A107"/>
      <c r="D107" s="62" t="str" cm="1">
        <f t="array" ref="D107">Common_InputFunctions.Utility_DisplayArrayInTable(Fertiliser_SourceData.Fertiliser_Products_Data1(),FertiliserProducts[[#Headers],[Include or Exclude]], -1)</f>
        <v>Include</v>
      </c>
      <c r="E107" s="62" t="str" cm="1">
        <f t="array" ref="E107">Common_InputFunctions.Utility_DisplayArrayInTable(Fertiliser_SourceData.Fertiliser_Products_Data1(),FertiliserProducts[[#Headers],[Include or Exclude]], 0)</f>
        <v/>
      </c>
      <c r="F107" s="62" t="str" cm="1">
        <f t="array" ref="F107">Common_InputFunctions.Utility_DisplayArrayInTable(Fertiliser_SourceData.Fertiliser_Products_Data1(),FertiliserProducts[[#Headers],[Include or Exclude]], 0)</f>
        <v>Campbells fertilisers Australia</v>
      </c>
      <c r="G107" s="62" t="str" cm="1">
        <f t="array" ref="G107">Common_InputFunctions.Utility_DisplayArrayInTable(Fertiliser_SourceData.Fertiliser_Products_Data1(),FertiliserProducts[[#Headers],[Include or Exclude]], 0)</f>
        <v>Brexil Line</v>
      </c>
      <c r="H107" s="62" t="str" cm="1">
        <f t="array" ref="H107">Common_InputFunctions.Utility_DisplayArrayInTable(Fertiliser_SourceData.Fertiliser_Products_Data1(),FertiliserProducts[[#Headers],[Include or Exclude]], 0,4)</f>
        <v/>
      </c>
      <c r="I107" s="62" t="str" cm="1">
        <f t="array" ref="I107">Common_InputFunctions.Utility_DisplayArrayInTable(Fertiliser_SourceData.Fertiliser_Products_Data1(),FertiliserProducts[[#Headers],[Include or Exclude]], 0,4)</f>
        <v/>
      </c>
      <c r="J107" s="62" t="str" cm="1">
        <f t="array" ref="J107">Common_InputFunctions.Utility_DisplayArrayInTable(Fertiliser_SourceData.Fertiliser_Products_Data1(),FertiliserProducts[[#Headers],[Include or Exclude]], 0,4)</f>
        <v/>
      </c>
      <c r="K107" s="62" t="str" cm="1">
        <f t="array" ref="K107">Common_InputFunctions.Utility_DisplayArrayInTable(Fertiliser_SourceData.Fertiliser_Products_Data1(),FertiliserProducts[[#Headers],[Include or Exclude]], 0,4)</f>
        <v/>
      </c>
      <c r="L107" s="62" t="str" cm="1">
        <f t="array" ref="L107">Common_InputFunctions.Utility_DisplayArrayInTable(Fertiliser_SourceData.Fertiliser_Products_Data1(),FertiliserProducts[[#Headers],[Include or Exclude]], 0,4)</f>
        <v/>
      </c>
      <c r="M107" s="62" t="str" cm="1">
        <f t="array" ref="M107">Common_InputFunctions.Utility_DisplayArrayInTable(Fertiliser_SourceData.Fertiliser_Products_Data1(),FertiliserProducts[[#Headers],[Include or Exclude]], 0,4)</f>
        <v/>
      </c>
      <c r="N107" s="62" t="str" cm="1">
        <f t="array" ref="N107">Common_InputFunctions.Utility_DisplayArrayInTable(Fertiliser_SourceData.Fertiliser_Products_Data1(),FertiliserProducts[[#Headers],[Include or Exclude]], 0,4)</f>
        <v/>
      </c>
      <c r="O107" s="62" t="str" cm="1">
        <f t="array" ref="O107">Common_InputFunctions.Utility_DisplayArrayInTable(Fertiliser_SourceData.Fertiliser_Products_Data1(),FertiliserProducts[[#Headers],[Include or Exclude]], 0,4)</f>
        <v/>
      </c>
      <c r="P107" s="62" t="str" cm="1">
        <f t="array" ref="P107">Common_InputFunctions.Utility_DisplayArrayInTable(Fertiliser_SourceData.Fertiliser_Products_Data1(),FertiliserProducts[[#Headers],[Include or Exclude]], 0,4)</f>
        <v/>
      </c>
      <c r="Q107" s="62" t="str" cm="1">
        <f t="array" ref="Q107">Common_InputFunctions.Utility_DisplayArrayInTable(Fertiliser_SourceData.Fertiliser_Products_Data1(),FertiliserProducts[[#Headers],[Include or Exclude]], 0,4)</f>
        <v/>
      </c>
      <c r="R107" s="62" t="str" cm="1">
        <f t="array" ref="R107">Common_InputFunctions.Utility_DisplayArrayInTable(Fertiliser_SourceData.Fertiliser_Products_Data1(),FertiliserProducts[[#Headers],[Include or Exclude]], 0,4)</f>
        <v/>
      </c>
      <c r="S107" s="62" t="str" cm="1">
        <f t="array" ref="S107">Common_InputFunctions.Utility_DisplayArrayInTable(Fertiliser_SourceData.Fertiliser_Products_Data1(),FertiliserProducts[[#Headers],[Include or Exclude]], 0,4)</f>
        <v/>
      </c>
      <c r="T107" s="62" t="str" cm="1">
        <f t="array" ref="T107">Common_InputFunctions.Utility_DisplayArrayInTable(Fertiliser_SourceData.Fertiliser_Products_Data1(),FertiliserProducts[[#Headers],[Include or Exclude]], 0,4)</f>
        <v/>
      </c>
      <c r="U107" s="62" t="str" cm="1">
        <f t="array" ref="U107">Common_InputFunctions.Utility_DisplayArrayInTable(Fertiliser_SourceData.Fertiliser_Products_Data1(),FertiliserProducts[[#Headers],[Include or Exclude]], 0,4)</f>
        <v/>
      </c>
      <c r="V107" s="62" t="str" cm="1">
        <f t="array" ref="V107">Common_InputFunctions.Utility_DisplayArrayInTable(Fertiliser_SourceData.Fertiliser_Products_Data1(),FertiliserProducts[[#Headers],[Include or Exclude]], 0,4)</f>
        <v/>
      </c>
      <c r="W107" s="62" t="str" cm="1">
        <f t="array" ref="W107">Common_InputFunctions.Utility_DisplayArrayInTable(Fertiliser_SourceData.Fertiliser_Products_Data1(),FertiliserProducts[[#Headers],[Include or Exclude]], 0,4)</f>
        <v/>
      </c>
      <c r="X107" s="62" t="str" cm="1">
        <f t="array" ref="X107">Common_InputFunctions.Utility_DisplayArrayInTable(Fertiliser_SourceData.Fertiliser_Products_Data1(),FertiliserProducts[[#Headers],[Include or Exclude]], 0,4)</f>
        <v/>
      </c>
      <c r="Y107" s="62" t="str" cm="1">
        <f t="array" ref="Y107">Common_InputFunctions.Utility_DisplayArrayInTable(Fertiliser_SourceData.Fertiliser_Products_Data1(),FertiliserProducts[[#Headers],[Include or Exclude]], 0,4)</f>
        <v/>
      </c>
      <c r="Z107" s="62" t="str" cm="1">
        <f t="array" ref="Z107">Common_InputFunctions.Utility_DisplayArrayInTable(Fertiliser_SourceData.Fertiliser_Products_Data1(),FertiliserProducts[[#Headers],[Include or Exclude]], 0,4)</f>
        <v/>
      </c>
      <c r="AA107" s="62" t="str" cm="1">
        <f t="array" ref="AA107">Common_InputFunctions.Utility_DisplayArrayInTable(Fertiliser_SourceData.Fertiliser_Products_Data1(),FertiliserProducts[[#Headers],[Include or Exclude]], 0,4)</f>
        <v/>
      </c>
      <c r="AB107" s="62" t="str" cm="1">
        <f t="array" ref="AB107">Common_InputFunctions.Utility_DisplayArrayInTable(Fertiliser_SourceData.Fertiliser_Products_Data1(),FertiliserProducts[[#Headers],[Include or Exclude]], 0,4)</f>
        <v/>
      </c>
      <c r="AC107" s="62" t="str" cm="1">
        <f t="array" ref="AC107">Common_InputFunctions.Utility_DisplayArrayInTable(Fertiliser_SourceData.Fertiliser_Products_Data1(),FertiliserProducts[[#Headers],[Include or Exclude]], 0,4)</f>
        <v/>
      </c>
      <c r="AD107" s="62" t="str" cm="1">
        <f t="array" ref="AD107">Common_InputFunctions.Utility_DisplayArrayInTable(Fertiliser_SourceData.Fertiliser_Products_Data1(),FertiliserProducts[[#Headers],[Include or Exclude]], 0,4)</f>
        <v/>
      </c>
      <c r="AE107" s="62" t="str" cm="1">
        <f t="array" ref="AE107">Common_InputFunctions.Utility_DisplayArrayInTable(Fertiliser_SourceData.Fertiliser_Products_Data1(),FertiliserProducts[[#Headers],[Include or Exclude]], 0,4)</f>
        <v/>
      </c>
    </row>
    <row r="108" spans="1:31" ht="20.100000000000001" customHeight="1" x14ac:dyDescent="0.25">
      <c r="A108"/>
      <c r="D108" s="62" t="str" cm="1">
        <f t="array" ref="D108">Common_InputFunctions.Utility_DisplayArrayInTable(Fertiliser_SourceData.Fertiliser_Products_Data1(),FertiliserProducts[[#Headers],[Include or Exclude]], -1)</f>
        <v>Exclude - Absent ingredients &gt; 2%</v>
      </c>
      <c r="E108" s="62" t="str" cm="1">
        <f t="array" ref="E108">Common_InputFunctions.Utility_DisplayArrayInTable(Fertiliser_SourceData.Fertiliser_Products_Data1(),FertiliserProducts[[#Headers],[Include or Exclude]], 0)</f>
        <v/>
      </c>
      <c r="F108" s="62" t="str" cm="1">
        <f t="array" ref="F108">Common_InputFunctions.Utility_DisplayArrayInTable(Fertiliser_SourceData.Fertiliser_Products_Data1(),FertiliserProducts[[#Headers],[Include or Exclude]], 0)</f>
        <v>Campbells fertilisers Australia</v>
      </c>
      <c r="G108" s="62" t="str" cm="1">
        <f t="array" ref="G108">Common_InputFunctions.Utility_DisplayArrayInTable(Fertiliser_SourceData.Fertiliser_Products_Data1(),FertiliserProducts[[#Headers],[Include or Exclude]], 0)</f>
        <v>Bronze</v>
      </c>
      <c r="H108" s="62" t="str" cm="1">
        <f t="array" ref="H108">Common_InputFunctions.Utility_DisplayArrayInTable(Fertiliser_SourceData.Fertiliser_Products_Data1(),FertiliserProducts[[#Headers],[Include or Exclude]], 0,4)</f>
        <v>kg</v>
      </c>
      <c r="I108" s="62" t="str" cm="1">
        <f t="array" ref="I108">Common_InputFunctions.Utility_DisplayArrayInTable(Fertiliser_SourceData.Fertiliser_Products_Data1(),FertiliserProducts[[#Headers],[Include or Exclude]], 0,4)</f>
        <v/>
      </c>
      <c r="J108" s="62" t="str" cm="1">
        <f t="array" ref="J108">Common_InputFunctions.Utility_DisplayArrayInTable(Fertiliser_SourceData.Fertiliser_Products_Data1(),FertiliserProducts[[#Headers],[Include or Exclude]], 0,4)</f>
        <v/>
      </c>
      <c r="K108" s="62" t="str" cm="1">
        <f t="array" ref="K108">Common_InputFunctions.Utility_DisplayArrayInTable(Fertiliser_SourceData.Fertiliser_Products_Data1(),FertiliserProducts[[#Headers],[Include or Exclude]], 0,4)</f>
        <v/>
      </c>
      <c r="L108" s="62" t="str" cm="1">
        <f t="array" ref="L108">Common_InputFunctions.Utility_DisplayArrayInTable(Fertiliser_SourceData.Fertiliser_Products_Data1(),FertiliserProducts[[#Headers],[Include or Exclude]], 0,4)</f>
        <v>Muriate of Potash (MOP)</v>
      </c>
      <c r="M108" s="62" cm="1">
        <f t="array" ref="M108">Common_InputFunctions.Utility_DisplayArrayInTable(Fertiliser_SourceData.Fertiliser_Products_Data1(),FertiliserProducts[[#Headers],[Include or Exclude]], 0,4)</f>
        <v>0.23200000000000001</v>
      </c>
      <c r="N108" s="62" t="str" cm="1">
        <f t="array" ref="N108">Common_InputFunctions.Utility_DisplayArrayInTable(Fertiliser_SourceData.Fertiliser_Products_Data1(),FertiliserProducts[[#Headers],[Include or Exclude]], 0,4)</f>
        <v>Nitrogen - Generic</v>
      </c>
      <c r="O108" s="62" cm="1">
        <f t="array" ref="O108">Common_InputFunctions.Utility_DisplayArrayInTable(Fertiliser_SourceData.Fertiliser_Products_Data1(),FertiliserProducts[[#Headers],[Include or Exclude]], 0,4)</f>
        <v>0.17</v>
      </c>
      <c r="P108" s="62" t="str" cm="1">
        <f t="array" ref="P108">Common_InputFunctions.Utility_DisplayArrayInTable(Fertiliser_SourceData.Fertiliser_Products_Data1(),FertiliserProducts[[#Headers],[Include or Exclude]], 0,4)</f>
        <v>Sulfur - Generic</v>
      </c>
      <c r="Q108" s="62" cm="1">
        <f t="array" ref="Q108">Common_InputFunctions.Utility_DisplayArrayInTable(Fertiliser_SourceData.Fertiliser_Products_Data1(),FertiliserProducts[[#Headers],[Include or Exclude]], 0,4)</f>
        <v>5.0000000000000001E-3</v>
      </c>
      <c r="R108" s="62" t="str" cm="1">
        <f t="array" ref="R108">Common_InputFunctions.Utility_DisplayArrayInTable(Fertiliser_SourceData.Fertiliser_Products_Data1(),FertiliserProducts[[#Headers],[Include or Exclude]], 0,4)</f>
        <v>Magnesium</v>
      </c>
      <c r="S108" s="62" cm="1">
        <f t="array" ref="S108">Common_InputFunctions.Utility_DisplayArrayInTable(Fertiliser_SourceData.Fertiliser_Products_Data1(),FertiliserProducts[[#Headers],[Include or Exclude]], 0,4)</f>
        <v>2.3999999999999998E-3</v>
      </c>
      <c r="T108" s="62" t="str" cm="1">
        <f t="array" ref="T108">Common_InputFunctions.Utility_DisplayArrayInTable(Fertiliser_SourceData.Fertiliser_Products_Data1(),FertiliserProducts[[#Headers],[Include or Exclude]], 0,4)</f>
        <v>Phosphorus - Generic</v>
      </c>
      <c r="U108" s="62" cm="1">
        <f t="array" ref="U108">Common_InputFunctions.Utility_DisplayArrayInTable(Fertiliser_SourceData.Fertiliser_Products_Data1(),FertiliserProducts[[#Headers],[Include or Exclude]], 0,4)</f>
        <v>4.0000000000000002E-4</v>
      </c>
      <c r="V108" s="62" t="str" cm="1">
        <f t="array" ref="V108">Common_InputFunctions.Utility_DisplayArrayInTable(Fertiliser_SourceData.Fertiliser_Products_Data1(),FertiliserProducts[[#Headers],[Include or Exclude]], 0,4)</f>
        <v/>
      </c>
      <c r="W108" s="62" t="str" cm="1">
        <f t="array" ref="W108">Common_InputFunctions.Utility_DisplayArrayInTable(Fertiliser_SourceData.Fertiliser_Products_Data1(),FertiliserProducts[[#Headers],[Include or Exclude]], 0,4)</f>
        <v/>
      </c>
      <c r="X108" s="62" t="str" cm="1">
        <f t="array" ref="X108">Common_InputFunctions.Utility_DisplayArrayInTable(Fertiliser_SourceData.Fertiliser_Products_Data1(),FertiliserProducts[[#Headers],[Include or Exclude]], 0,4)</f>
        <v/>
      </c>
      <c r="Y108" s="62" t="str" cm="1">
        <f t="array" ref="Y108">Common_InputFunctions.Utility_DisplayArrayInTable(Fertiliser_SourceData.Fertiliser_Products_Data1(),FertiliserProducts[[#Headers],[Include or Exclude]], 0,4)</f>
        <v/>
      </c>
      <c r="Z108" s="62" t="str" cm="1">
        <f t="array" ref="Z108">Common_InputFunctions.Utility_DisplayArrayInTable(Fertiliser_SourceData.Fertiliser_Products_Data1(),FertiliserProducts[[#Headers],[Include or Exclude]], 0,4)</f>
        <v/>
      </c>
      <c r="AA108" s="62" t="str" cm="1">
        <f t="array" ref="AA108">Common_InputFunctions.Utility_DisplayArrayInTable(Fertiliser_SourceData.Fertiliser_Products_Data1(),FertiliserProducts[[#Headers],[Include or Exclude]], 0,4)</f>
        <v/>
      </c>
      <c r="AB108" s="62" t="str" cm="1">
        <f t="array" ref="AB108">Common_InputFunctions.Utility_DisplayArrayInTable(Fertiliser_SourceData.Fertiliser_Products_Data1(),FertiliserProducts[[#Headers],[Include or Exclude]], 0,4)</f>
        <v/>
      </c>
      <c r="AC108" s="62" t="str" cm="1">
        <f t="array" ref="AC108">Common_InputFunctions.Utility_DisplayArrayInTable(Fertiliser_SourceData.Fertiliser_Products_Data1(),FertiliserProducts[[#Headers],[Include or Exclude]], 0,4)</f>
        <v/>
      </c>
      <c r="AD108" s="62" t="str" cm="1">
        <f t="array" ref="AD108">Common_InputFunctions.Utility_DisplayArrayInTable(Fertiliser_SourceData.Fertiliser_Products_Data1(),FertiliserProducts[[#Headers],[Include or Exclude]], 0,4)</f>
        <v/>
      </c>
      <c r="AE108" s="62" t="str" cm="1">
        <f t="array" ref="AE108">Common_InputFunctions.Utility_DisplayArrayInTable(Fertiliser_SourceData.Fertiliser_Products_Data1(),FertiliserProducts[[#Headers],[Include or Exclude]], 0,4)</f>
        <v/>
      </c>
    </row>
    <row r="109" spans="1:31" ht="20.100000000000001" customHeight="1" x14ac:dyDescent="0.25">
      <c r="A109"/>
      <c r="D109" s="62" t="str" cm="1">
        <f t="array" ref="D109">Common_InputFunctions.Utility_DisplayArrayInTable(Fertiliser_SourceData.Fertiliser_Products_Data1(),FertiliserProducts[[#Headers],[Include or Exclude]], -1)</f>
        <v>Exclude - Not relevant</v>
      </c>
      <c r="E109" s="62" t="str" cm="1">
        <f t="array" ref="E109">Common_InputFunctions.Utility_DisplayArrayInTable(Fertiliser_SourceData.Fertiliser_Products_Data1(),FertiliserProducts[[#Headers],[Include or Exclude]], 0)</f>
        <v/>
      </c>
      <c r="F109" s="62" t="str" cm="1">
        <f t="array" ref="F109">Common_InputFunctions.Utility_DisplayArrayInTable(Fertiliser_SourceData.Fertiliser_Products_Data1(),FertiliserProducts[[#Headers],[Include or Exclude]], 0)</f>
        <v>Campbells fertilisers Australia</v>
      </c>
      <c r="G109" s="62" t="str" cm="1">
        <f t="array" ref="G109">Common_InputFunctions.Utility_DisplayArrayInTable(Fertiliser_SourceData.Fertiliser_Products_Data1(),FertiliserProducts[[#Headers],[Include or Exclude]], 0)</f>
        <v>Bud-Wiser Dry</v>
      </c>
      <c r="H109" s="62" t="str" cm="1">
        <f t="array" ref="H109">Common_InputFunctions.Utility_DisplayArrayInTable(Fertiliser_SourceData.Fertiliser_Products_Data1(),FertiliserProducts[[#Headers],[Include or Exclude]], 0,4)</f>
        <v>kg</v>
      </c>
      <c r="I109" s="62" t="str" cm="1">
        <f t="array" ref="I109">Common_InputFunctions.Utility_DisplayArrayInTable(Fertiliser_SourceData.Fertiliser_Products_Data1(),FertiliserProducts[[#Headers],[Include or Exclude]], 0,4)</f>
        <v/>
      </c>
      <c r="J109" s="62" t="str" cm="1">
        <f t="array" ref="J109">Common_InputFunctions.Utility_DisplayArrayInTable(Fertiliser_SourceData.Fertiliser_Products_Data1(),FertiliserProducts[[#Headers],[Include or Exclude]], 0,4)</f>
        <v/>
      </c>
      <c r="K109" s="62" t="str" cm="1">
        <f t="array" ref="K109">Common_InputFunctions.Utility_DisplayArrayInTable(Fertiliser_SourceData.Fertiliser_Products_Data1(),FertiliserProducts[[#Headers],[Include or Exclude]], 0,4)</f>
        <v/>
      </c>
      <c r="L109" s="62" t="str" cm="1">
        <f t="array" ref="L109">Common_InputFunctions.Utility_DisplayArrayInTable(Fertiliser_SourceData.Fertiliser_Products_Data1(),FertiliserProducts[[#Headers],[Include or Exclude]], 0,4)</f>
        <v>Sulfur - Generic</v>
      </c>
      <c r="M109" s="62" cm="1">
        <f t="array" ref="M109">Common_InputFunctions.Utility_DisplayArrayInTable(Fertiliser_SourceData.Fertiliser_Products_Data1(),FertiliserProducts[[#Headers],[Include or Exclude]], 0,4)</f>
        <v>9.4E-2</v>
      </c>
      <c r="N109" s="62" t="str" cm="1">
        <f t="array" ref="N109">Common_InputFunctions.Utility_DisplayArrayInTable(Fertiliser_SourceData.Fertiliser_Products_Data1(),FertiliserProducts[[#Headers],[Include or Exclude]], 0,4)</f>
        <v>Magnesium</v>
      </c>
      <c r="O109" s="62" cm="1">
        <f t="array" ref="O109">Common_InputFunctions.Utility_DisplayArrayInTable(Fertiliser_SourceData.Fertiliser_Products_Data1(),FertiliserProducts[[#Headers],[Include or Exclude]], 0,4)</f>
        <v>0.06</v>
      </c>
      <c r="P109" s="62" t="str" cm="1">
        <f t="array" ref="P109">Common_InputFunctions.Utility_DisplayArrayInTable(Fertiliser_SourceData.Fertiliser_Products_Data1(),FertiliserProducts[[#Headers],[Include or Exclude]], 0,4)</f>
        <v>Boron</v>
      </c>
      <c r="Q109" s="62" cm="1">
        <f t="array" ref="Q109">Common_InputFunctions.Utility_DisplayArrayInTable(Fertiliser_SourceData.Fertiliser_Products_Data1(),FertiliserProducts[[#Headers],[Include or Exclude]], 0,4)</f>
        <v>4.4999999999999998E-2</v>
      </c>
      <c r="R109" s="62" t="str" cm="1">
        <f t="array" ref="R109">Common_InputFunctions.Utility_DisplayArrayInTable(Fertiliser_SourceData.Fertiliser_Products_Data1(),FertiliserProducts[[#Headers],[Include or Exclude]], 0,4)</f>
        <v>Zinc</v>
      </c>
      <c r="S109" s="62" cm="1">
        <f t="array" ref="S109">Common_InputFunctions.Utility_DisplayArrayInTable(Fertiliser_SourceData.Fertiliser_Products_Data1(),FertiliserProducts[[#Headers],[Include or Exclude]], 0,4)</f>
        <v>2.7E-2</v>
      </c>
      <c r="T109" s="62" t="str" cm="1">
        <f t="array" ref="T109">Common_InputFunctions.Utility_DisplayArrayInTable(Fertiliser_SourceData.Fertiliser_Products_Data1(),FertiliserProducts[[#Headers],[Include or Exclude]], 0,4)</f>
        <v/>
      </c>
      <c r="U109" s="62" t="str" cm="1">
        <f t="array" ref="U109">Common_InputFunctions.Utility_DisplayArrayInTable(Fertiliser_SourceData.Fertiliser_Products_Data1(),FertiliserProducts[[#Headers],[Include or Exclude]], 0,4)</f>
        <v/>
      </c>
      <c r="V109" s="62" t="str" cm="1">
        <f t="array" ref="V109">Common_InputFunctions.Utility_DisplayArrayInTable(Fertiliser_SourceData.Fertiliser_Products_Data1(),FertiliserProducts[[#Headers],[Include or Exclude]], 0,4)</f>
        <v/>
      </c>
      <c r="W109" s="62" t="str" cm="1">
        <f t="array" ref="W109">Common_InputFunctions.Utility_DisplayArrayInTable(Fertiliser_SourceData.Fertiliser_Products_Data1(),FertiliserProducts[[#Headers],[Include or Exclude]], 0,4)</f>
        <v/>
      </c>
      <c r="X109" s="62" t="str" cm="1">
        <f t="array" ref="X109">Common_InputFunctions.Utility_DisplayArrayInTable(Fertiliser_SourceData.Fertiliser_Products_Data1(),FertiliserProducts[[#Headers],[Include or Exclude]], 0,4)</f>
        <v/>
      </c>
      <c r="Y109" s="62" t="str" cm="1">
        <f t="array" ref="Y109">Common_InputFunctions.Utility_DisplayArrayInTable(Fertiliser_SourceData.Fertiliser_Products_Data1(),FertiliserProducts[[#Headers],[Include or Exclude]], 0,4)</f>
        <v/>
      </c>
      <c r="Z109" s="62" t="str" cm="1">
        <f t="array" ref="Z109">Common_InputFunctions.Utility_DisplayArrayInTable(Fertiliser_SourceData.Fertiliser_Products_Data1(),FertiliserProducts[[#Headers],[Include or Exclude]], 0,4)</f>
        <v/>
      </c>
      <c r="AA109" s="62" t="str" cm="1">
        <f t="array" ref="AA109">Common_InputFunctions.Utility_DisplayArrayInTable(Fertiliser_SourceData.Fertiliser_Products_Data1(),FertiliserProducts[[#Headers],[Include or Exclude]], 0,4)</f>
        <v/>
      </c>
      <c r="AB109" s="62" t="str" cm="1">
        <f t="array" ref="AB109">Common_InputFunctions.Utility_DisplayArrayInTable(Fertiliser_SourceData.Fertiliser_Products_Data1(),FertiliserProducts[[#Headers],[Include or Exclude]], 0,4)</f>
        <v/>
      </c>
      <c r="AC109" s="62" t="str" cm="1">
        <f t="array" ref="AC109">Common_InputFunctions.Utility_DisplayArrayInTable(Fertiliser_SourceData.Fertiliser_Products_Data1(),FertiliserProducts[[#Headers],[Include or Exclude]], 0,4)</f>
        <v/>
      </c>
      <c r="AD109" s="62" t="str" cm="1">
        <f t="array" ref="AD109">Common_InputFunctions.Utility_DisplayArrayInTable(Fertiliser_SourceData.Fertiliser_Products_Data1(),FertiliserProducts[[#Headers],[Include or Exclude]], 0,4)</f>
        <v/>
      </c>
      <c r="AE109" s="62" t="str" cm="1">
        <f t="array" ref="AE109">Common_InputFunctions.Utility_DisplayArrayInTable(Fertiliser_SourceData.Fertiliser_Products_Data1(),FertiliserProducts[[#Headers],[Include or Exclude]], 0,4)</f>
        <v/>
      </c>
    </row>
    <row r="110" spans="1:31" ht="20.100000000000001" customHeight="1" x14ac:dyDescent="0.25">
      <c r="A110"/>
      <c r="D110" s="62" t="str" cm="1">
        <f t="array" ref="D110">Common_InputFunctions.Utility_DisplayArrayInTable(Fertiliser_SourceData.Fertiliser_Products_Data1(),FertiliserProducts[[#Headers],[Include or Exclude]], -1)</f>
        <v>Exclude - Not relevant</v>
      </c>
      <c r="E110" s="62" t="str" cm="1">
        <f t="array" ref="E110">Common_InputFunctions.Utility_DisplayArrayInTable(Fertiliser_SourceData.Fertiliser_Products_Data1(),FertiliserProducts[[#Headers],[Include or Exclude]], 0)</f>
        <v/>
      </c>
      <c r="F110" s="62" t="str" cm="1">
        <f t="array" ref="F110">Common_InputFunctions.Utility_DisplayArrayInTable(Fertiliser_SourceData.Fertiliser_Products_Data1(),FertiliserProducts[[#Headers],[Include or Exclude]], 0)</f>
        <v>Campbells fertilisers Australia</v>
      </c>
      <c r="G110" s="62" t="str" cm="1">
        <f t="array" ref="G110">Common_InputFunctions.Utility_DisplayArrayInTable(Fertiliser_SourceData.Fertiliser_Products_Data1(),FertiliserProducts[[#Headers],[Include or Exclude]], 0)</f>
        <v>Calbit C</v>
      </c>
      <c r="H110" s="62" t="str" cm="1">
        <f t="array" ref="H110">Common_InputFunctions.Utility_DisplayArrayInTable(Fertiliser_SourceData.Fertiliser_Products_Data1(),FertiliserProducts[[#Headers],[Include or Exclude]], 0,4)</f>
        <v>L</v>
      </c>
      <c r="I110" s="62" t="str" cm="1">
        <f t="array" ref="I110">Common_InputFunctions.Utility_DisplayArrayInTable(Fertiliser_SourceData.Fertiliser_Products_Data1(),FertiliserProducts[[#Headers],[Include or Exclude]], 0,4)</f>
        <v/>
      </c>
      <c r="J110" s="62" t="str" cm="1">
        <f t="array" ref="J110">Common_InputFunctions.Utility_DisplayArrayInTable(Fertiliser_SourceData.Fertiliser_Products_Data1(),FertiliserProducts[[#Headers],[Include or Exclude]], 0,4)</f>
        <v/>
      </c>
      <c r="K110" s="62" t="str" cm="1">
        <f t="array" ref="K110">Common_InputFunctions.Utility_DisplayArrayInTable(Fertiliser_SourceData.Fertiliser_Products_Data1(),FertiliserProducts[[#Headers],[Include or Exclude]], 0,4)</f>
        <v/>
      </c>
      <c r="L110" s="62" t="str" cm="1">
        <f t="array" ref="L110">Common_InputFunctions.Utility_DisplayArrayInTable(Fertiliser_SourceData.Fertiliser_Products_Data1(),FertiliserProducts[[#Headers],[Include or Exclude]], 0,4)</f>
        <v/>
      </c>
      <c r="M110" s="62" t="str" cm="1">
        <f t="array" ref="M110">Common_InputFunctions.Utility_DisplayArrayInTable(Fertiliser_SourceData.Fertiliser_Products_Data1(),FertiliserProducts[[#Headers],[Include or Exclude]], 0,4)</f>
        <v/>
      </c>
      <c r="N110" s="62" t="str" cm="1">
        <f t="array" ref="N110">Common_InputFunctions.Utility_DisplayArrayInTable(Fertiliser_SourceData.Fertiliser_Products_Data1(),FertiliserProducts[[#Headers],[Include or Exclude]], 0,4)</f>
        <v/>
      </c>
      <c r="O110" s="62" t="str" cm="1">
        <f t="array" ref="O110">Common_InputFunctions.Utility_DisplayArrayInTable(Fertiliser_SourceData.Fertiliser_Products_Data1(),FertiliserProducts[[#Headers],[Include or Exclude]], 0,4)</f>
        <v/>
      </c>
      <c r="P110" s="62" t="str" cm="1">
        <f t="array" ref="P110">Common_InputFunctions.Utility_DisplayArrayInTable(Fertiliser_SourceData.Fertiliser_Products_Data1(),FertiliserProducts[[#Headers],[Include or Exclude]], 0,4)</f>
        <v/>
      </c>
      <c r="Q110" s="62" t="str" cm="1">
        <f t="array" ref="Q110">Common_InputFunctions.Utility_DisplayArrayInTable(Fertiliser_SourceData.Fertiliser_Products_Data1(),FertiliserProducts[[#Headers],[Include or Exclude]], 0,4)</f>
        <v/>
      </c>
      <c r="R110" s="62" t="str" cm="1">
        <f t="array" ref="R110">Common_InputFunctions.Utility_DisplayArrayInTable(Fertiliser_SourceData.Fertiliser_Products_Data1(),FertiliserProducts[[#Headers],[Include or Exclude]], 0,4)</f>
        <v/>
      </c>
      <c r="S110" s="62" t="str" cm="1">
        <f t="array" ref="S110">Common_InputFunctions.Utility_DisplayArrayInTable(Fertiliser_SourceData.Fertiliser_Products_Data1(),FertiliserProducts[[#Headers],[Include or Exclude]], 0,4)</f>
        <v/>
      </c>
      <c r="T110" s="62" t="str" cm="1">
        <f t="array" ref="T110">Common_InputFunctions.Utility_DisplayArrayInTable(Fertiliser_SourceData.Fertiliser_Products_Data1(),FertiliserProducts[[#Headers],[Include or Exclude]], 0,4)</f>
        <v/>
      </c>
      <c r="U110" s="62" t="str" cm="1">
        <f t="array" ref="U110">Common_InputFunctions.Utility_DisplayArrayInTable(Fertiliser_SourceData.Fertiliser_Products_Data1(),FertiliserProducts[[#Headers],[Include or Exclude]], 0,4)</f>
        <v/>
      </c>
      <c r="V110" s="62" t="str" cm="1">
        <f t="array" ref="V110">Common_InputFunctions.Utility_DisplayArrayInTable(Fertiliser_SourceData.Fertiliser_Products_Data1(),FertiliserProducts[[#Headers],[Include or Exclude]], 0,4)</f>
        <v/>
      </c>
      <c r="W110" s="62" t="str" cm="1">
        <f t="array" ref="W110">Common_InputFunctions.Utility_DisplayArrayInTable(Fertiliser_SourceData.Fertiliser_Products_Data1(),FertiliserProducts[[#Headers],[Include or Exclude]], 0,4)</f>
        <v/>
      </c>
      <c r="X110" s="62" t="str" cm="1">
        <f t="array" ref="X110">Common_InputFunctions.Utility_DisplayArrayInTable(Fertiliser_SourceData.Fertiliser_Products_Data1(),FertiliserProducts[[#Headers],[Include or Exclude]], 0,4)</f>
        <v/>
      </c>
      <c r="Y110" s="62" t="str" cm="1">
        <f t="array" ref="Y110">Common_InputFunctions.Utility_DisplayArrayInTable(Fertiliser_SourceData.Fertiliser_Products_Data1(),FertiliserProducts[[#Headers],[Include or Exclude]], 0,4)</f>
        <v/>
      </c>
      <c r="Z110" s="62" t="str" cm="1">
        <f t="array" ref="Z110">Common_InputFunctions.Utility_DisplayArrayInTable(Fertiliser_SourceData.Fertiliser_Products_Data1(),FertiliserProducts[[#Headers],[Include or Exclude]], 0,4)</f>
        <v/>
      </c>
      <c r="AA110" s="62" t="str" cm="1">
        <f t="array" ref="AA110">Common_InputFunctions.Utility_DisplayArrayInTable(Fertiliser_SourceData.Fertiliser_Products_Data1(),FertiliserProducts[[#Headers],[Include or Exclude]], 0,4)</f>
        <v/>
      </c>
      <c r="AB110" s="62" t="str" cm="1">
        <f t="array" ref="AB110">Common_InputFunctions.Utility_DisplayArrayInTable(Fertiliser_SourceData.Fertiliser_Products_Data1(),FertiliserProducts[[#Headers],[Include or Exclude]], 0,4)</f>
        <v/>
      </c>
      <c r="AC110" s="62" t="str" cm="1">
        <f t="array" ref="AC110">Common_InputFunctions.Utility_DisplayArrayInTable(Fertiliser_SourceData.Fertiliser_Products_Data1(),FertiliserProducts[[#Headers],[Include or Exclude]], 0,4)</f>
        <v/>
      </c>
      <c r="AD110" s="62" t="str" cm="1">
        <f t="array" ref="AD110">Common_InputFunctions.Utility_DisplayArrayInTable(Fertiliser_SourceData.Fertiliser_Products_Data1(),FertiliserProducts[[#Headers],[Include or Exclude]], 0,4)</f>
        <v/>
      </c>
      <c r="AE110" s="62" t="str" cm="1">
        <f t="array" ref="AE110">Common_InputFunctions.Utility_DisplayArrayInTable(Fertiliser_SourceData.Fertiliser_Products_Data1(),FertiliserProducts[[#Headers],[Include or Exclude]], 0,4)</f>
        <v/>
      </c>
    </row>
    <row r="111" spans="1:31" ht="20.100000000000001" customHeight="1" x14ac:dyDescent="0.25">
      <c r="A111"/>
      <c r="D111" s="62" t="str" cm="1">
        <f t="array" ref="D111">Common_InputFunctions.Utility_DisplayArrayInTable(Fertiliser_SourceData.Fertiliser_Products_Data1(),FertiliserProducts[[#Headers],[Include or Exclude]], -1)</f>
        <v>Include</v>
      </c>
      <c r="E111" s="62" t="str" cm="1">
        <f t="array" ref="E111">Common_InputFunctions.Utility_DisplayArrayInTable(Fertiliser_SourceData.Fertiliser_Products_Data1(),FertiliserProducts[[#Headers],[Include or Exclude]], 0)</f>
        <v/>
      </c>
      <c r="F111" s="62" t="str" cm="1">
        <f t="array" ref="F111">Common_InputFunctions.Utility_DisplayArrayInTable(Fertiliser_SourceData.Fertiliser_Products_Data1(),FertiliserProducts[[#Headers],[Include or Exclude]], 0)</f>
        <v>Campbells fertilisers Australia</v>
      </c>
      <c r="G111" s="62" t="str" cm="1">
        <f t="array" ref="G111">Common_InputFunctions.Utility_DisplayArrayInTable(Fertiliser_SourceData.Fertiliser_Products_Data1(),FertiliserProducts[[#Headers],[Include or Exclude]], 0)</f>
        <v>Calcium 175</v>
      </c>
      <c r="H111" s="62" t="str" cm="1">
        <f t="array" ref="H111">Common_InputFunctions.Utility_DisplayArrayInTable(Fertiliser_SourceData.Fertiliser_Products_Data1(),FertiliserProducts[[#Headers],[Include or Exclude]], 0,4)</f>
        <v>L</v>
      </c>
      <c r="I111" s="62" t="str" cm="1">
        <f t="array" ref="I111">Common_InputFunctions.Utility_DisplayArrayInTable(Fertiliser_SourceData.Fertiliser_Products_Data1(),FertiliserProducts[[#Headers],[Include or Exclude]], 0,4)</f>
        <v/>
      </c>
      <c r="J111" s="62" t="str" cm="1">
        <f t="array" ref="J111">Common_InputFunctions.Utility_DisplayArrayInTable(Fertiliser_SourceData.Fertiliser_Products_Data1(),FertiliserProducts[[#Headers],[Include or Exclude]], 0,4)</f>
        <v/>
      </c>
      <c r="K111" s="62" t="str" cm="1">
        <f t="array" ref="K111">Common_InputFunctions.Utility_DisplayArrayInTable(Fertiliser_SourceData.Fertiliser_Products_Data1(),FertiliserProducts[[#Headers],[Include or Exclude]], 0,4)</f>
        <v/>
      </c>
      <c r="L111" s="62" t="str" cm="1">
        <f t="array" ref="L111">Common_InputFunctions.Utility_DisplayArrayInTable(Fertiliser_SourceData.Fertiliser_Products_Data1(),FertiliserProducts[[#Headers],[Include or Exclude]], 0,4)</f>
        <v/>
      </c>
      <c r="M111" s="62" t="str" cm="1">
        <f t="array" ref="M111">Common_InputFunctions.Utility_DisplayArrayInTable(Fertiliser_SourceData.Fertiliser_Products_Data1(),FertiliserProducts[[#Headers],[Include or Exclude]], 0,4)</f>
        <v/>
      </c>
      <c r="N111" s="62" t="str" cm="1">
        <f t="array" ref="N111">Common_InputFunctions.Utility_DisplayArrayInTable(Fertiliser_SourceData.Fertiliser_Products_Data1(),FertiliserProducts[[#Headers],[Include or Exclude]], 0,4)</f>
        <v/>
      </c>
      <c r="O111" s="62" t="str" cm="1">
        <f t="array" ref="O111">Common_InputFunctions.Utility_DisplayArrayInTable(Fertiliser_SourceData.Fertiliser_Products_Data1(),FertiliserProducts[[#Headers],[Include or Exclude]], 0,4)</f>
        <v/>
      </c>
      <c r="P111" s="62" t="str" cm="1">
        <f t="array" ref="P111">Common_InputFunctions.Utility_DisplayArrayInTable(Fertiliser_SourceData.Fertiliser_Products_Data1(),FertiliserProducts[[#Headers],[Include or Exclude]], 0,4)</f>
        <v/>
      </c>
      <c r="Q111" s="62" t="str" cm="1">
        <f t="array" ref="Q111">Common_InputFunctions.Utility_DisplayArrayInTable(Fertiliser_SourceData.Fertiliser_Products_Data1(),FertiliserProducts[[#Headers],[Include or Exclude]], 0,4)</f>
        <v/>
      </c>
      <c r="R111" s="62" t="str" cm="1">
        <f t="array" ref="R111">Common_InputFunctions.Utility_DisplayArrayInTable(Fertiliser_SourceData.Fertiliser_Products_Data1(),FertiliserProducts[[#Headers],[Include or Exclude]], 0,4)</f>
        <v/>
      </c>
      <c r="S111" s="62" t="str" cm="1">
        <f t="array" ref="S111">Common_InputFunctions.Utility_DisplayArrayInTable(Fertiliser_SourceData.Fertiliser_Products_Data1(),FertiliserProducts[[#Headers],[Include or Exclude]], 0,4)</f>
        <v/>
      </c>
      <c r="T111" s="62" t="str" cm="1">
        <f t="array" ref="T111">Common_InputFunctions.Utility_DisplayArrayInTable(Fertiliser_SourceData.Fertiliser_Products_Data1(),FertiliserProducts[[#Headers],[Include or Exclude]], 0,4)</f>
        <v/>
      </c>
      <c r="U111" s="62" t="str" cm="1">
        <f t="array" ref="U111">Common_InputFunctions.Utility_DisplayArrayInTable(Fertiliser_SourceData.Fertiliser_Products_Data1(),FertiliserProducts[[#Headers],[Include or Exclude]], 0,4)</f>
        <v/>
      </c>
      <c r="V111" s="62" t="str" cm="1">
        <f t="array" ref="V111">Common_InputFunctions.Utility_DisplayArrayInTable(Fertiliser_SourceData.Fertiliser_Products_Data1(),FertiliserProducts[[#Headers],[Include or Exclude]], 0,4)</f>
        <v/>
      </c>
      <c r="W111" s="62" t="str" cm="1">
        <f t="array" ref="W111">Common_InputFunctions.Utility_DisplayArrayInTable(Fertiliser_SourceData.Fertiliser_Products_Data1(),FertiliserProducts[[#Headers],[Include or Exclude]], 0,4)</f>
        <v/>
      </c>
      <c r="X111" s="62" t="str" cm="1">
        <f t="array" ref="X111">Common_InputFunctions.Utility_DisplayArrayInTable(Fertiliser_SourceData.Fertiliser_Products_Data1(),FertiliserProducts[[#Headers],[Include or Exclude]], 0,4)</f>
        <v/>
      </c>
      <c r="Y111" s="62" t="str" cm="1">
        <f t="array" ref="Y111">Common_InputFunctions.Utility_DisplayArrayInTable(Fertiliser_SourceData.Fertiliser_Products_Data1(),FertiliserProducts[[#Headers],[Include or Exclude]], 0,4)</f>
        <v/>
      </c>
      <c r="Z111" s="62" t="str" cm="1">
        <f t="array" ref="Z111">Common_InputFunctions.Utility_DisplayArrayInTable(Fertiliser_SourceData.Fertiliser_Products_Data1(),FertiliserProducts[[#Headers],[Include or Exclude]], 0,4)</f>
        <v/>
      </c>
      <c r="AA111" s="62" t="str" cm="1">
        <f t="array" ref="AA111">Common_InputFunctions.Utility_DisplayArrayInTable(Fertiliser_SourceData.Fertiliser_Products_Data1(),FertiliserProducts[[#Headers],[Include or Exclude]], 0,4)</f>
        <v/>
      </c>
      <c r="AB111" s="62" t="str" cm="1">
        <f t="array" ref="AB111">Common_InputFunctions.Utility_DisplayArrayInTable(Fertiliser_SourceData.Fertiliser_Products_Data1(),FertiliserProducts[[#Headers],[Include or Exclude]], 0,4)</f>
        <v/>
      </c>
      <c r="AC111" s="62" t="str" cm="1">
        <f t="array" ref="AC111">Common_InputFunctions.Utility_DisplayArrayInTable(Fertiliser_SourceData.Fertiliser_Products_Data1(),FertiliserProducts[[#Headers],[Include or Exclude]], 0,4)</f>
        <v/>
      </c>
      <c r="AD111" s="62" t="str" cm="1">
        <f t="array" ref="AD111">Common_InputFunctions.Utility_DisplayArrayInTable(Fertiliser_SourceData.Fertiliser_Products_Data1(),FertiliserProducts[[#Headers],[Include or Exclude]], 0,4)</f>
        <v/>
      </c>
      <c r="AE111" s="62" t="str" cm="1">
        <f t="array" ref="AE111">Common_InputFunctions.Utility_DisplayArrayInTable(Fertiliser_SourceData.Fertiliser_Products_Data1(),FertiliserProducts[[#Headers],[Include or Exclude]], 0,4)</f>
        <v/>
      </c>
    </row>
    <row r="112" spans="1:31" ht="20.100000000000001" customHeight="1" x14ac:dyDescent="0.25">
      <c r="A112"/>
      <c r="D112" s="62" t="str" cm="1">
        <f t="array" ref="D112">Common_InputFunctions.Utility_DisplayArrayInTable(Fertiliser_SourceData.Fertiliser_Products_Data1(),FertiliserProducts[[#Headers],[Include or Exclude]], -1)</f>
        <v/>
      </c>
      <c r="E112" s="62" t="str" cm="1">
        <f t="array" ref="E112">Common_InputFunctions.Utility_DisplayArrayInTable(Fertiliser_SourceData.Fertiliser_Products_Data1(),FertiliserProducts[[#Headers],[Include or Exclude]], 0)</f>
        <v>Use Lime EF for calcium</v>
      </c>
      <c r="F112" s="62" t="str" cm="1">
        <f t="array" ref="F112">Common_InputFunctions.Utility_DisplayArrayInTable(Fertiliser_SourceData.Fertiliser_Products_Data1(),FertiliserProducts[[#Headers],[Include or Exclude]], 0)</f>
        <v>Campbells fertilisers Australia</v>
      </c>
      <c r="G112" s="62" t="str" cm="1">
        <f t="array" ref="G112">Common_InputFunctions.Utility_DisplayArrayInTable(Fertiliser_SourceData.Fertiliser_Products_Data1(),FertiliserProducts[[#Headers],[Include or Exclude]], 0)</f>
        <v>CalPhos</v>
      </c>
      <c r="H112" s="62" t="str" cm="1">
        <f t="array" ref="H112">Common_InputFunctions.Utility_DisplayArrayInTable(Fertiliser_SourceData.Fertiliser_Products_Data1(),FertiliserProducts[[#Headers],[Include or Exclude]], 0,4)</f>
        <v>L</v>
      </c>
      <c r="I112" s="62" cm="1">
        <f t="array" ref="I112">Common_InputFunctions.Utility_DisplayArrayInTable(Fertiliser_SourceData.Fertiliser_Products_Data1(),FertiliserProducts[[#Headers],[Include or Exclude]], 0,4)</f>
        <v>1.2849999999999999</v>
      </c>
      <c r="J112" s="62" t="str" cm="1">
        <f t="array" ref="J112">Common_InputFunctions.Utility_DisplayArrayInTable(Fertiliser_SourceData.Fertiliser_Products_Data1(),FertiliserProducts[[#Headers],[Include or Exclude]], 0,4)</f>
        <v/>
      </c>
      <c r="K112" s="62" t="str" cm="1">
        <f t="array" ref="K112">Common_InputFunctions.Utility_DisplayArrayInTable(Fertiliser_SourceData.Fertiliser_Products_Data1(),FertiliserProducts[[#Headers],[Include or Exclude]], 0,4)</f>
        <v/>
      </c>
      <c r="L112" s="62" t="str" cm="1">
        <f t="array" ref="L112">Common_InputFunctions.Utility_DisplayArrayInTable(Fertiliser_SourceData.Fertiliser_Products_Data1(),FertiliserProducts[[#Headers],[Include or Exclude]], 0,4)</f>
        <v>Phosphorus - Generic</v>
      </c>
      <c r="M112" s="62" cm="1">
        <f t="array" ref="M112">Common_InputFunctions.Utility_DisplayArrayInTable(Fertiliser_SourceData.Fertiliser_Products_Data1(),FertiliserProducts[[#Headers],[Include or Exclude]], 0,4)</f>
        <v>0.13500000000000001</v>
      </c>
      <c r="N112" s="62" t="str" cm="1">
        <f t="array" ref="N112">Common_InputFunctions.Utility_DisplayArrayInTable(Fertiliser_SourceData.Fertiliser_Products_Data1(),FertiliserProducts[[#Headers],[Include or Exclude]], 0,4)</f>
        <v>Calcium - Generic</v>
      </c>
      <c r="O112" s="62" cm="1">
        <f t="array" ref="O112">Common_InputFunctions.Utility_DisplayArrayInTable(Fertiliser_SourceData.Fertiliser_Products_Data1(),FertiliserProducts[[#Headers],[Include or Exclude]], 0,4)</f>
        <v>0.04</v>
      </c>
      <c r="P112" s="62" t="str" cm="1">
        <f t="array" ref="P112">Common_InputFunctions.Utility_DisplayArrayInTable(Fertiliser_SourceData.Fertiliser_Products_Data1(),FertiliserProducts[[#Headers],[Include or Exclude]], 0,4)</f>
        <v/>
      </c>
      <c r="Q112" s="62" t="str" cm="1">
        <f t="array" ref="Q112">Common_InputFunctions.Utility_DisplayArrayInTable(Fertiliser_SourceData.Fertiliser_Products_Data1(),FertiliserProducts[[#Headers],[Include or Exclude]], 0,4)</f>
        <v/>
      </c>
      <c r="R112" s="62" t="str" cm="1">
        <f t="array" ref="R112">Common_InputFunctions.Utility_DisplayArrayInTable(Fertiliser_SourceData.Fertiliser_Products_Data1(),FertiliserProducts[[#Headers],[Include or Exclude]], 0,4)</f>
        <v/>
      </c>
      <c r="S112" s="62" t="str" cm="1">
        <f t="array" ref="S112">Common_InputFunctions.Utility_DisplayArrayInTable(Fertiliser_SourceData.Fertiliser_Products_Data1(),FertiliserProducts[[#Headers],[Include or Exclude]], 0,4)</f>
        <v/>
      </c>
      <c r="T112" s="62" t="str" cm="1">
        <f t="array" ref="T112">Common_InputFunctions.Utility_DisplayArrayInTable(Fertiliser_SourceData.Fertiliser_Products_Data1(),FertiliserProducts[[#Headers],[Include or Exclude]], 0,4)</f>
        <v/>
      </c>
      <c r="U112" s="62" t="str" cm="1">
        <f t="array" ref="U112">Common_InputFunctions.Utility_DisplayArrayInTable(Fertiliser_SourceData.Fertiliser_Products_Data1(),FertiliserProducts[[#Headers],[Include or Exclude]], 0,4)</f>
        <v/>
      </c>
      <c r="V112" s="62" t="str" cm="1">
        <f t="array" ref="V112">Common_InputFunctions.Utility_DisplayArrayInTable(Fertiliser_SourceData.Fertiliser_Products_Data1(),FertiliserProducts[[#Headers],[Include or Exclude]], 0,4)</f>
        <v/>
      </c>
      <c r="W112" s="62" t="str" cm="1">
        <f t="array" ref="W112">Common_InputFunctions.Utility_DisplayArrayInTable(Fertiliser_SourceData.Fertiliser_Products_Data1(),FertiliserProducts[[#Headers],[Include or Exclude]], 0,4)</f>
        <v/>
      </c>
      <c r="X112" s="62" t="str" cm="1">
        <f t="array" ref="X112">Common_InputFunctions.Utility_DisplayArrayInTable(Fertiliser_SourceData.Fertiliser_Products_Data1(),FertiliserProducts[[#Headers],[Include or Exclude]], 0,4)</f>
        <v/>
      </c>
      <c r="Y112" s="62" t="str" cm="1">
        <f t="array" ref="Y112">Common_InputFunctions.Utility_DisplayArrayInTable(Fertiliser_SourceData.Fertiliser_Products_Data1(),FertiliserProducts[[#Headers],[Include or Exclude]], 0,4)</f>
        <v/>
      </c>
      <c r="Z112" s="62" t="str" cm="1">
        <f t="array" ref="Z112">Common_InputFunctions.Utility_DisplayArrayInTable(Fertiliser_SourceData.Fertiliser_Products_Data1(),FertiliserProducts[[#Headers],[Include or Exclude]], 0,4)</f>
        <v/>
      </c>
      <c r="AA112" s="62" t="str" cm="1">
        <f t="array" ref="AA112">Common_InputFunctions.Utility_DisplayArrayInTable(Fertiliser_SourceData.Fertiliser_Products_Data1(),FertiliserProducts[[#Headers],[Include or Exclude]], 0,4)</f>
        <v/>
      </c>
      <c r="AB112" s="62" t="str" cm="1">
        <f t="array" ref="AB112">Common_InputFunctions.Utility_DisplayArrayInTable(Fertiliser_SourceData.Fertiliser_Products_Data1(),FertiliserProducts[[#Headers],[Include or Exclude]], 0,4)</f>
        <v/>
      </c>
      <c r="AC112" s="62" t="str" cm="1">
        <f t="array" ref="AC112">Common_InputFunctions.Utility_DisplayArrayInTable(Fertiliser_SourceData.Fertiliser_Products_Data1(),FertiliserProducts[[#Headers],[Include or Exclude]], 0,4)</f>
        <v/>
      </c>
      <c r="AD112" s="62" t="str" cm="1">
        <f t="array" ref="AD112">Common_InputFunctions.Utility_DisplayArrayInTable(Fertiliser_SourceData.Fertiliser_Products_Data1(),FertiliserProducts[[#Headers],[Include or Exclude]], 0,4)</f>
        <v/>
      </c>
      <c r="AE112" s="62" t="str" cm="1">
        <f t="array" ref="AE112">Common_InputFunctions.Utility_DisplayArrayInTable(Fertiliser_SourceData.Fertiliser_Products_Data1(),FertiliserProducts[[#Headers],[Include or Exclude]], 0,4)</f>
        <v/>
      </c>
    </row>
    <row r="113" spans="1:31" ht="20.100000000000001" customHeight="1" x14ac:dyDescent="0.25">
      <c r="A113"/>
      <c r="D113" s="62" t="str" cm="1">
        <f t="array" ref="D113">Common_InputFunctions.Utility_DisplayArrayInTable(Fertiliser_SourceData.Fertiliser_Products_Data1(),FertiliserProducts[[#Headers],[Include or Exclude]], -1)</f>
        <v/>
      </c>
      <c r="E113" s="62" t="str" cm="1">
        <f t="array" ref="E113">Common_InputFunctions.Utility_DisplayArrayInTable(Fertiliser_SourceData.Fertiliser_Products_Data1(),FertiliserProducts[[#Headers],[Include or Exclude]], 0)</f>
        <v/>
      </c>
      <c r="F113" s="62" t="str" cm="1">
        <f t="array" ref="F113">Common_InputFunctions.Utility_DisplayArrayInTable(Fertiliser_SourceData.Fertiliser_Products_Data1(),FertiliserProducts[[#Headers],[Include or Exclude]], 0)</f>
        <v/>
      </c>
      <c r="G113" s="62" t="str" cm="1">
        <f t="array" ref="G113">Common_InputFunctions.Utility_DisplayArrayInTable(Fertiliser_SourceData.Fertiliser_Products_Data1(),FertiliserProducts[[#Headers],[Include or Exclude]], 0)</f>
        <v/>
      </c>
      <c r="H113" s="62" t="str" cm="1">
        <f t="array" ref="H113">Common_InputFunctions.Utility_DisplayArrayInTable(Fertiliser_SourceData.Fertiliser_Products_Data1(),FertiliserProducts[[#Headers],[Include or Exclude]], 0,4)</f>
        <v/>
      </c>
      <c r="I113" s="62" t="str" cm="1">
        <f t="array" ref="I113">Common_InputFunctions.Utility_DisplayArrayInTable(Fertiliser_SourceData.Fertiliser_Products_Data1(),FertiliserProducts[[#Headers],[Include or Exclude]], 0,4)</f>
        <v/>
      </c>
      <c r="J113" s="62" t="str" cm="1">
        <f t="array" ref="J113">Common_InputFunctions.Utility_DisplayArrayInTable(Fertiliser_SourceData.Fertiliser_Products_Data1(),FertiliserProducts[[#Headers],[Include or Exclude]], 0,4)</f>
        <v/>
      </c>
      <c r="K113" s="62" t="str" cm="1">
        <f t="array" ref="K113">Common_InputFunctions.Utility_DisplayArrayInTable(Fertiliser_SourceData.Fertiliser_Products_Data1(),FertiliserProducts[[#Headers],[Include or Exclude]], 0,4)</f>
        <v/>
      </c>
      <c r="L113" s="62" t="str" cm="1">
        <f t="array" ref="L113">Common_InputFunctions.Utility_DisplayArrayInTable(Fertiliser_SourceData.Fertiliser_Products_Data1(),FertiliserProducts[[#Headers],[Include or Exclude]], 0,4)</f>
        <v/>
      </c>
      <c r="M113" s="62" t="str" cm="1">
        <f t="array" ref="M113">Common_InputFunctions.Utility_DisplayArrayInTable(Fertiliser_SourceData.Fertiliser_Products_Data1(),FertiliserProducts[[#Headers],[Include or Exclude]], 0,4)</f>
        <v/>
      </c>
      <c r="N113" s="62" t="str" cm="1">
        <f t="array" ref="N113">Common_InputFunctions.Utility_DisplayArrayInTable(Fertiliser_SourceData.Fertiliser_Products_Data1(),FertiliserProducts[[#Headers],[Include or Exclude]], 0,4)</f>
        <v/>
      </c>
      <c r="O113" s="62" t="str" cm="1">
        <f t="array" ref="O113">Common_InputFunctions.Utility_DisplayArrayInTable(Fertiliser_SourceData.Fertiliser_Products_Data1(),FertiliserProducts[[#Headers],[Include or Exclude]], 0,4)</f>
        <v/>
      </c>
      <c r="P113" s="62" t="str" cm="1">
        <f t="array" ref="P113">Common_InputFunctions.Utility_DisplayArrayInTable(Fertiliser_SourceData.Fertiliser_Products_Data1(),FertiliserProducts[[#Headers],[Include or Exclude]], 0,4)</f>
        <v/>
      </c>
      <c r="Q113" s="62" t="str" cm="1">
        <f t="array" ref="Q113">Common_InputFunctions.Utility_DisplayArrayInTable(Fertiliser_SourceData.Fertiliser_Products_Data1(),FertiliserProducts[[#Headers],[Include or Exclude]], 0,4)</f>
        <v/>
      </c>
      <c r="R113" s="62" t="str" cm="1">
        <f t="array" ref="R113">Common_InputFunctions.Utility_DisplayArrayInTable(Fertiliser_SourceData.Fertiliser_Products_Data1(),FertiliserProducts[[#Headers],[Include or Exclude]], 0,4)</f>
        <v/>
      </c>
      <c r="S113" s="62" t="str" cm="1">
        <f t="array" ref="S113">Common_InputFunctions.Utility_DisplayArrayInTable(Fertiliser_SourceData.Fertiliser_Products_Data1(),FertiliserProducts[[#Headers],[Include or Exclude]], 0,4)</f>
        <v/>
      </c>
      <c r="T113" s="62" t="str" cm="1">
        <f t="array" ref="T113">Common_InputFunctions.Utility_DisplayArrayInTable(Fertiliser_SourceData.Fertiliser_Products_Data1(),FertiliserProducts[[#Headers],[Include or Exclude]], 0,4)</f>
        <v/>
      </c>
      <c r="U113" s="62" t="str" cm="1">
        <f t="array" ref="U113">Common_InputFunctions.Utility_DisplayArrayInTable(Fertiliser_SourceData.Fertiliser_Products_Data1(),FertiliserProducts[[#Headers],[Include or Exclude]], 0,4)</f>
        <v/>
      </c>
      <c r="V113" s="62" t="str" cm="1">
        <f t="array" ref="V113">Common_InputFunctions.Utility_DisplayArrayInTable(Fertiliser_SourceData.Fertiliser_Products_Data1(),FertiliserProducts[[#Headers],[Include or Exclude]], 0,4)</f>
        <v/>
      </c>
      <c r="W113" s="62" t="str" cm="1">
        <f t="array" ref="W113">Common_InputFunctions.Utility_DisplayArrayInTable(Fertiliser_SourceData.Fertiliser_Products_Data1(),FertiliserProducts[[#Headers],[Include or Exclude]], 0,4)</f>
        <v/>
      </c>
      <c r="X113" s="62" t="str" cm="1">
        <f t="array" ref="X113">Common_InputFunctions.Utility_DisplayArrayInTable(Fertiliser_SourceData.Fertiliser_Products_Data1(),FertiliserProducts[[#Headers],[Include or Exclude]], 0,4)</f>
        <v/>
      </c>
      <c r="Y113" s="62" t="str" cm="1">
        <f t="array" ref="Y113">Common_InputFunctions.Utility_DisplayArrayInTable(Fertiliser_SourceData.Fertiliser_Products_Data1(),FertiliserProducts[[#Headers],[Include or Exclude]], 0,4)</f>
        <v/>
      </c>
      <c r="Z113" s="62" t="str" cm="1">
        <f t="array" ref="Z113">Common_InputFunctions.Utility_DisplayArrayInTable(Fertiliser_SourceData.Fertiliser_Products_Data1(),FertiliserProducts[[#Headers],[Include or Exclude]], 0,4)</f>
        <v/>
      </c>
      <c r="AA113" s="62" t="str" cm="1">
        <f t="array" ref="AA113">Common_InputFunctions.Utility_DisplayArrayInTable(Fertiliser_SourceData.Fertiliser_Products_Data1(),FertiliserProducts[[#Headers],[Include or Exclude]], 0,4)</f>
        <v/>
      </c>
      <c r="AB113" s="62" t="str" cm="1">
        <f t="array" ref="AB113">Common_InputFunctions.Utility_DisplayArrayInTable(Fertiliser_SourceData.Fertiliser_Products_Data1(),FertiliserProducts[[#Headers],[Include or Exclude]], 0,4)</f>
        <v/>
      </c>
      <c r="AC113" s="62" t="str" cm="1">
        <f t="array" ref="AC113">Common_InputFunctions.Utility_DisplayArrayInTable(Fertiliser_SourceData.Fertiliser_Products_Data1(),FertiliserProducts[[#Headers],[Include or Exclude]], 0,4)</f>
        <v/>
      </c>
      <c r="AD113" s="62" t="str" cm="1">
        <f t="array" ref="AD113">Common_InputFunctions.Utility_DisplayArrayInTable(Fertiliser_SourceData.Fertiliser_Products_Data1(),FertiliserProducts[[#Headers],[Include or Exclude]], 0,4)</f>
        <v/>
      </c>
      <c r="AE113" s="62" t="str" cm="1">
        <f t="array" ref="AE113">Common_InputFunctions.Utility_DisplayArrayInTable(Fertiliser_SourceData.Fertiliser_Products_Data1(),FertiliserProducts[[#Headers],[Include or Exclude]], 0,4)</f>
        <v/>
      </c>
    </row>
    <row r="114" spans="1:31" ht="20.100000000000001" customHeight="1" x14ac:dyDescent="0.25">
      <c r="A114"/>
      <c r="D114" s="62" t="str" cm="1">
        <f t="array" ref="D114">Common_InputFunctions.Utility_DisplayArrayInTable(Fertiliser_SourceData.Fertiliser_Products_Data1(),FertiliserProducts[[#Headers],[Include or Exclude]], -1)</f>
        <v/>
      </c>
      <c r="E114" s="62" t="str" cm="1">
        <f t="array" ref="E114">Common_InputFunctions.Utility_DisplayArrayInTable(Fertiliser_SourceData.Fertiliser_Products_Data1(),FertiliserProducts[[#Headers],[Include or Exclude]], 0)</f>
        <v/>
      </c>
      <c r="F114" s="62" t="str" cm="1">
        <f t="array" ref="F114">Common_InputFunctions.Utility_DisplayArrayInTable(Fertiliser_SourceData.Fertiliser_Products_Data1(),FertiliserProducts[[#Headers],[Include or Exclude]], 0)</f>
        <v/>
      </c>
      <c r="G114" s="62" t="str" cm="1">
        <f t="array" ref="G114">Common_InputFunctions.Utility_DisplayArrayInTable(Fertiliser_SourceData.Fertiliser_Products_Data1(),FertiliserProducts[[#Headers],[Include or Exclude]], 0)</f>
        <v/>
      </c>
      <c r="H114" s="62" t="str" cm="1">
        <f t="array" ref="H114">Common_InputFunctions.Utility_DisplayArrayInTable(Fertiliser_SourceData.Fertiliser_Products_Data1(),FertiliserProducts[[#Headers],[Include or Exclude]], 0,4)</f>
        <v/>
      </c>
      <c r="I114" s="62" t="str" cm="1">
        <f t="array" ref="I114">Common_InputFunctions.Utility_DisplayArrayInTable(Fertiliser_SourceData.Fertiliser_Products_Data1(),FertiliserProducts[[#Headers],[Include or Exclude]], 0,4)</f>
        <v/>
      </c>
      <c r="J114" s="62" t="str" cm="1">
        <f t="array" ref="J114">Common_InputFunctions.Utility_DisplayArrayInTable(Fertiliser_SourceData.Fertiliser_Products_Data1(),FertiliserProducts[[#Headers],[Include or Exclude]], 0,4)</f>
        <v/>
      </c>
      <c r="K114" s="62" t="str" cm="1">
        <f t="array" ref="K114">Common_InputFunctions.Utility_DisplayArrayInTable(Fertiliser_SourceData.Fertiliser_Products_Data1(),FertiliserProducts[[#Headers],[Include or Exclude]], 0,4)</f>
        <v/>
      </c>
      <c r="L114" s="62" t="str" cm="1">
        <f t="array" ref="L114">Common_InputFunctions.Utility_DisplayArrayInTable(Fertiliser_SourceData.Fertiliser_Products_Data1(),FertiliserProducts[[#Headers],[Include or Exclude]], 0,4)</f>
        <v/>
      </c>
      <c r="M114" s="62" t="str" cm="1">
        <f t="array" ref="M114">Common_InputFunctions.Utility_DisplayArrayInTable(Fertiliser_SourceData.Fertiliser_Products_Data1(),FertiliserProducts[[#Headers],[Include or Exclude]], 0,4)</f>
        <v/>
      </c>
      <c r="N114" s="62" t="str" cm="1">
        <f t="array" ref="N114">Common_InputFunctions.Utility_DisplayArrayInTable(Fertiliser_SourceData.Fertiliser_Products_Data1(),FertiliserProducts[[#Headers],[Include or Exclude]], 0,4)</f>
        <v/>
      </c>
      <c r="O114" s="62" t="str" cm="1">
        <f t="array" ref="O114">Common_InputFunctions.Utility_DisplayArrayInTable(Fertiliser_SourceData.Fertiliser_Products_Data1(),FertiliserProducts[[#Headers],[Include or Exclude]], 0,4)</f>
        <v/>
      </c>
      <c r="P114" s="62" t="str" cm="1">
        <f t="array" ref="P114">Common_InputFunctions.Utility_DisplayArrayInTable(Fertiliser_SourceData.Fertiliser_Products_Data1(),FertiliserProducts[[#Headers],[Include or Exclude]], 0,4)</f>
        <v/>
      </c>
      <c r="Q114" s="62" t="str" cm="1">
        <f t="array" ref="Q114">Common_InputFunctions.Utility_DisplayArrayInTable(Fertiliser_SourceData.Fertiliser_Products_Data1(),FertiliserProducts[[#Headers],[Include or Exclude]], 0,4)</f>
        <v/>
      </c>
      <c r="R114" s="62" t="str" cm="1">
        <f t="array" ref="R114">Common_InputFunctions.Utility_DisplayArrayInTable(Fertiliser_SourceData.Fertiliser_Products_Data1(),FertiliserProducts[[#Headers],[Include or Exclude]], 0,4)</f>
        <v/>
      </c>
      <c r="S114" s="62" t="str" cm="1">
        <f t="array" ref="S114">Common_InputFunctions.Utility_DisplayArrayInTable(Fertiliser_SourceData.Fertiliser_Products_Data1(),FertiliserProducts[[#Headers],[Include or Exclude]], 0,4)</f>
        <v/>
      </c>
      <c r="T114" s="62" t="str" cm="1">
        <f t="array" ref="T114">Common_InputFunctions.Utility_DisplayArrayInTable(Fertiliser_SourceData.Fertiliser_Products_Data1(),FertiliserProducts[[#Headers],[Include or Exclude]], 0,4)</f>
        <v/>
      </c>
      <c r="U114" s="62" t="str" cm="1">
        <f t="array" ref="U114">Common_InputFunctions.Utility_DisplayArrayInTable(Fertiliser_SourceData.Fertiliser_Products_Data1(),FertiliserProducts[[#Headers],[Include or Exclude]], 0,4)</f>
        <v/>
      </c>
      <c r="V114" s="62" t="str" cm="1">
        <f t="array" ref="V114">Common_InputFunctions.Utility_DisplayArrayInTable(Fertiliser_SourceData.Fertiliser_Products_Data1(),FertiliserProducts[[#Headers],[Include or Exclude]], 0,4)</f>
        <v/>
      </c>
      <c r="W114" s="62" t="str" cm="1">
        <f t="array" ref="W114">Common_InputFunctions.Utility_DisplayArrayInTable(Fertiliser_SourceData.Fertiliser_Products_Data1(),FertiliserProducts[[#Headers],[Include or Exclude]], 0,4)</f>
        <v/>
      </c>
      <c r="X114" s="62" t="str" cm="1">
        <f t="array" ref="X114">Common_InputFunctions.Utility_DisplayArrayInTable(Fertiliser_SourceData.Fertiliser_Products_Data1(),FertiliserProducts[[#Headers],[Include or Exclude]], 0,4)</f>
        <v/>
      </c>
      <c r="Y114" s="62" t="str" cm="1">
        <f t="array" ref="Y114">Common_InputFunctions.Utility_DisplayArrayInTable(Fertiliser_SourceData.Fertiliser_Products_Data1(),FertiliserProducts[[#Headers],[Include or Exclude]], 0,4)</f>
        <v/>
      </c>
      <c r="Z114" s="62" t="str" cm="1">
        <f t="array" ref="Z114">Common_InputFunctions.Utility_DisplayArrayInTable(Fertiliser_SourceData.Fertiliser_Products_Data1(),FertiliserProducts[[#Headers],[Include or Exclude]], 0,4)</f>
        <v/>
      </c>
      <c r="AA114" s="62" t="str" cm="1">
        <f t="array" ref="AA114">Common_InputFunctions.Utility_DisplayArrayInTable(Fertiliser_SourceData.Fertiliser_Products_Data1(),FertiliserProducts[[#Headers],[Include or Exclude]], 0,4)</f>
        <v/>
      </c>
      <c r="AB114" s="62" t="str" cm="1">
        <f t="array" ref="AB114">Common_InputFunctions.Utility_DisplayArrayInTable(Fertiliser_SourceData.Fertiliser_Products_Data1(),FertiliserProducts[[#Headers],[Include or Exclude]], 0,4)</f>
        <v/>
      </c>
      <c r="AC114" s="62" t="str" cm="1">
        <f t="array" ref="AC114">Common_InputFunctions.Utility_DisplayArrayInTable(Fertiliser_SourceData.Fertiliser_Products_Data1(),FertiliserProducts[[#Headers],[Include or Exclude]], 0,4)</f>
        <v/>
      </c>
      <c r="AD114" s="62" t="str" cm="1">
        <f t="array" ref="AD114">Common_InputFunctions.Utility_DisplayArrayInTable(Fertiliser_SourceData.Fertiliser_Products_Data1(),FertiliserProducts[[#Headers],[Include or Exclude]], 0,4)</f>
        <v/>
      </c>
      <c r="AE114" s="62" t="str" cm="1">
        <f t="array" ref="AE114">Common_InputFunctions.Utility_DisplayArrayInTable(Fertiliser_SourceData.Fertiliser_Products_Data1(),FertiliserProducts[[#Headers],[Include or Exclude]], 0,4)</f>
        <v/>
      </c>
    </row>
    <row r="115" spans="1:31" ht="20.100000000000001" customHeight="1" x14ac:dyDescent="0.25">
      <c r="A115"/>
      <c r="D115" s="62" t="str" cm="1">
        <f t="array" ref="D115">Common_InputFunctions.Utility_DisplayArrayInTable(Fertiliser_SourceData.Fertiliser_Products_Data1(),FertiliserProducts[[#Headers],[Include or Exclude]], -1)</f>
        <v/>
      </c>
      <c r="E115" s="62" t="str" cm="1">
        <f t="array" ref="E115">Common_InputFunctions.Utility_DisplayArrayInTable(Fertiliser_SourceData.Fertiliser_Products_Data1(),FertiliserProducts[[#Headers],[Include or Exclude]], 0)</f>
        <v/>
      </c>
      <c r="F115" s="62" t="str" cm="1">
        <f t="array" ref="F115">Common_InputFunctions.Utility_DisplayArrayInTable(Fertiliser_SourceData.Fertiliser_Products_Data1(),FertiliserProducts[[#Headers],[Include or Exclude]], 0)</f>
        <v/>
      </c>
      <c r="G115" s="62" t="str" cm="1">
        <f t="array" ref="G115">Common_InputFunctions.Utility_DisplayArrayInTable(Fertiliser_SourceData.Fertiliser_Products_Data1(),FertiliserProducts[[#Headers],[Include or Exclude]], 0)</f>
        <v/>
      </c>
      <c r="H115" s="62" t="str" cm="1">
        <f t="array" ref="H115">Common_InputFunctions.Utility_DisplayArrayInTable(Fertiliser_SourceData.Fertiliser_Products_Data1(),FertiliserProducts[[#Headers],[Include or Exclude]], 0,4)</f>
        <v/>
      </c>
      <c r="I115" s="62" t="str" cm="1">
        <f t="array" ref="I115">Common_InputFunctions.Utility_DisplayArrayInTable(Fertiliser_SourceData.Fertiliser_Products_Data1(),FertiliserProducts[[#Headers],[Include or Exclude]], 0,4)</f>
        <v/>
      </c>
      <c r="J115" s="62" t="str" cm="1">
        <f t="array" ref="J115">Common_InputFunctions.Utility_DisplayArrayInTable(Fertiliser_SourceData.Fertiliser_Products_Data1(),FertiliserProducts[[#Headers],[Include or Exclude]], 0,4)</f>
        <v/>
      </c>
      <c r="K115" s="62" t="str" cm="1">
        <f t="array" ref="K115">Common_InputFunctions.Utility_DisplayArrayInTable(Fertiliser_SourceData.Fertiliser_Products_Data1(),FertiliserProducts[[#Headers],[Include or Exclude]], 0,4)</f>
        <v/>
      </c>
      <c r="L115" s="62" t="str" cm="1">
        <f t="array" ref="L115">Common_InputFunctions.Utility_DisplayArrayInTable(Fertiliser_SourceData.Fertiliser_Products_Data1(),FertiliserProducts[[#Headers],[Include or Exclude]], 0,4)</f>
        <v/>
      </c>
      <c r="M115" s="62" t="str" cm="1">
        <f t="array" ref="M115">Common_InputFunctions.Utility_DisplayArrayInTable(Fertiliser_SourceData.Fertiliser_Products_Data1(),FertiliserProducts[[#Headers],[Include or Exclude]], 0,4)</f>
        <v/>
      </c>
      <c r="N115" s="62" t="str" cm="1">
        <f t="array" ref="N115">Common_InputFunctions.Utility_DisplayArrayInTable(Fertiliser_SourceData.Fertiliser_Products_Data1(),FertiliserProducts[[#Headers],[Include or Exclude]], 0,4)</f>
        <v/>
      </c>
      <c r="O115" s="62" t="str" cm="1">
        <f t="array" ref="O115">Common_InputFunctions.Utility_DisplayArrayInTable(Fertiliser_SourceData.Fertiliser_Products_Data1(),FertiliserProducts[[#Headers],[Include or Exclude]], 0,4)</f>
        <v/>
      </c>
      <c r="P115" s="62" t="str" cm="1">
        <f t="array" ref="P115">Common_InputFunctions.Utility_DisplayArrayInTable(Fertiliser_SourceData.Fertiliser_Products_Data1(),FertiliserProducts[[#Headers],[Include or Exclude]], 0,4)</f>
        <v/>
      </c>
      <c r="Q115" s="62" t="str" cm="1">
        <f t="array" ref="Q115">Common_InputFunctions.Utility_DisplayArrayInTable(Fertiliser_SourceData.Fertiliser_Products_Data1(),FertiliserProducts[[#Headers],[Include or Exclude]], 0,4)</f>
        <v/>
      </c>
      <c r="R115" s="62" t="str" cm="1">
        <f t="array" ref="R115">Common_InputFunctions.Utility_DisplayArrayInTable(Fertiliser_SourceData.Fertiliser_Products_Data1(),FertiliserProducts[[#Headers],[Include or Exclude]], 0,4)</f>
        <v/>
      </c>
      <c r="S115" s="62" t="str" cm="1">
        <f t="array" ref="S115">Common_InputFunctions.Utility_DisplayArrayInTable(Fertiliser_SourceData.Fertiliser_Products_Data1(),FertiliserProducts[[#Headers],[Include or Exclude]], 0,4)</f>
        <v/>
      </c>
      <c r="T115" s="62" t="str" cm="1">
        <f t="array" ref="T115">Common_InputFunctions.Utility_DisplayArrayInTable(Fertiliser_SourceData.Fertiliser_Products_Data1(),FertiliserProducts[[#Headers],[Include or Exclude]], 0,4)</f>
        <v/>
      </c>
      <c r="U115" s="62" t="str" cm="1">
        <f t="array" ref="U115">Common_InputFunctions.Utility_DisplayArrayInTable(Fertiliser_SourceData.Fertiliser_Products_Data1(),FertiliserProducts[[#Headers],[Include or Exclude]], 0,4)</f>
        <v/>
      </c>
      <c r="V115" s="62" t="str" cm="1">
        <f t="array" ref="V115">Common_InputFunctions.Utility_DisplayArrayInTable(Fertiliser_SourceData.Fertiliser_Products_Data1(),FertiliserProducts[[#Headers],[Include or Exclude]], 0,4)</f>
        <v/>
      </c>
      <c r="W115" s="62" t="str" cm="1">
        <f t="array" ref="W115">Common_InputFunctions.Utility_DisplayArrayInTable(Fertiliser_SourceData.Fertiliser_Products_Data1(),FertiliserProducts[[#Headers],[Include or Exclude]], 0,4)</f>
        <v/>
      </c>
      <c r="X115" s="62" t="str" cm="1">
        <f t="array" ref="X115">Common_InputFunctions.Utility_DisplayArrayInTable(Fertiliser_SourceData.Fertiliser_Products_Data1(),FertiliserProducts[[#Headers],[Include or Exclude]], 0,4)</f>
        <v/>
      </c>
      <c r="Y115" s="62" t="str" cm="1">
        <f t="array" ref="Y115">Common_InputFunctions.Utility_DisplayArrayInTable(Fertiliser_SourceData.Fertiliser_Products_Data1(),FertiliserProducts[[#Headers],[Include or Exclude]], 0,4)</f>
        <v/>
      </c>
      <c r="Z115" s="62" t="str" cm="1">
        <f t="array" ref="Z115">Common_InputFunctions.Utility_DisplayArrayInTable(Fertiliser_SourceData.Fertiliser_Products_Data1(),FertiliserProducts[[#Headers],[Include or Exclude]], 0,4)</f>
        <v/>
      </c>
      <c r="AA115" s="62" t="str" cm="1">
        <f t="array" ref="AA115">Common_InputFunctions.Utility_DisplayArrayInTable(Fertiliser_SourceData.Fertiliser_Products_Data1(),FertiliserProducts[[#Headers],[Include or Exclude]], 0,4)</f>
        <v/>
      </c>
      <c r="AB115" s="62" t="str" cm="1">
        <f t="array" ref="AB115">Common_InputFunctions.Utility_DisplayArrayInTable(Fertiliser_SourceData.Fertiliser_Products_Data1(),FertiliserProducts[[#Headers],[Include or Exclude]], 0,4)</f>
        <v/>
      </c>
      <c r="AC115" s="62" t="str" cm="1">
        <f t="array" ref="AC115">Common_InputFunctions.Utility_DisplayArrayInTable(Fertiliser_SourceData.Fertiliser_Products_Data1(),FertiliserProducts[[#Headers],[Include or Exclude]], 0,4)</f>
        <v/>
      </c>
      <c r="AD115" s="62" t="str" cm="1">
        <f t="array" ref="AD115">Common_InputFunctions.Utility_DisplayArrayInTable(Fertiliser_SourceData.Fertiliser_Products_Data1(),FertiliserProducts[[#Headers],[Include or Exclude]], 0,4)</f>
        <v/>
      </c>
      <c r="AE115" s="62" t="str" cm="1">
        <f t="array" ref="AE115">Common_InputFunctions.Utility_DisplayArrayInTable(Fertiliser_SourceData.Fertiliser_Products_Data1(),FertiliserProducts[[#Headers],[Include or Exclude]], 0,4)</f>
        <v/>
      </c>
    </row>
    <row r="116" spans="1:31" ht="20.100000000000001" customHeight="1" x14ac:dyDescent="0.25">
      <c r="A116"/>
      <c r="D116" s="62" t="str" cm="1">
        <f t="array" ref="D116">Common_InputFunctions.Utility_DisplayArrayInTable(Fertiliser_SourceData.Fertiliser_Products_Data1(),FertiliserProducts[[#Headers],[Include or Exclude]], -1)</f>
        <v/>
      </c>
      <c r="E116" s="62" t="str" cm="1">
        <f t="array" ref="E116">Common_InputFunctions.Utility_DisplayArrayInTable(Fertiliser_SourceData.Fertiliser_Products_Data1(),FertiliserProducts[[#Headers],[Include or Exclude]], 0)</f>
        <v/>
      </c>
      <c r="F116" s="62" t="str" cm="1">
        <f t="array" ref="F116">Common_InputFunctions.Utility_DisplayArrayInTable(Fertiliser_SourceData.Fertiliser_Products_Data1(),FertiliserProducts[[#Headers],[Include or Exclude]], 0)</f>
        <v/>
      </c>
      <c r="G116" s="62" t="str" cm="1">
        <f t="array" ref="G116">Common_InputFunctions.Utility_DisplayArrayInTable(Fertiliser_SourceData.Fertiliser_Products_Data1(),FertiliserProducts[[#Headers],[Include or Exclude]], 0)</f>
        <v/>
      </c>
      <c r="H116" s="62" t="str" cm="1">
        <f t="array" ref="H116">Common_InputFunctions.Utility_DisplayArrayInTable(Fertiliser_SourceData.Fertiliser_Products_Data1(),FertiliserProducts[[#Headers],[Include or Exclude]], 0,4)</f>
        <v/>
      </c>
      <c r="I116" s="62" t="str" cm="1">
        <f t="array" ref="I116">Common_InputFunctions.Utility_DisplayArrayInTable(Fertiliser_SourceData.Fertiliser_Products_Data1(),FertiliserProducts[[#Headers],[Include or Exclude]], 0,4)</f>
        <v/>
      </c>
      <c r="J116" s="62" t="str" cm="1">
        <f t="array" ref="J116">Common_InputFunctions.Utility_DisplayArrayInTable(Fertiliser_SourceData.Fertiliser_Products_Data1(),FertiliserProducts[[#Headers],[Include or Exclude]], 0,4)</f>
        <v/>
      </c>
      <c r="K116" s="62" t="str" cm="1">
        <f t="array" ref="K116">Common_InputFunctions.Utility_DisplayArrayInTable(Fertiliser_SourceData.Fertiliser_Products_Data1(),FertiliserProducts[[#Headers],[Include or Exclude]], 0,4)</f>
        <v/>
      </c>
      <c r="L116" s="62" t="str" cm="1">
        <f t="array" ref="L116">Common_InputFunctions.Utility_DisplayArrayInTable(Fertiliser_SourceData.Fertiliser_Products_Data1(),FertiliserProducts[[#Headers],[Include or Exclude]], 0,4)</f>
        <v/>
      </c>
      <c r="M116" s="62" t="str" cm="1">
        <f t="array" ref="M116">Common_InputFunctions.Utility_DisplayArrayInTable(Fertiliser_SourceData.Fertiliser_Products_Data1(),FertiliserProducts[[#Headers],[Include or Exclude]], 0,4)</f>
        <v/>
      </c>
      <c r="N116" s="62" t="str" cm="1">
        <f t="array" ref="N116">Common_InputFunctions.Utility_DisplayArrayInTable(Fertiliser_SourceData.Fertiliser_Products_Data1(),FertiliserProducts[[#Headers],[Include or Exclude]], 0,4)</f>
        <v/>
      </c>
      <c r="O116" s="62" t="str" cm="1">
        <f t="array" ref="O116">Common_InputFunctions.Utility_DisplayArrayInTable(Fertiliser_SourceData.Fertiliser_Products_Data1(),FertiliserProducts[[#Headers],[Include or Exclude]], 0,4)</f>
        <v/>
      </c>
      <c r="P116" s="62" t="str" cm="1">
        <f t="array" ref="P116">Common_InputFunctions.Utility_DisplayArrayInTable(Fertiliser_SourceData.Fertiliser_Products_Data1(),FertiliserProducts[[#Headers],[Include or Exclude]], 0,4)</f>
        <v/>
      </c>
      <c r="Q116" s="62" t="str" cm="1">
        <f t="array" ref="Q116">Common_InputFunctions.Utility_DisplayArrayInTable(Fertiliser_SourceData.Fertiliser_Products_Data1(),FertiliserProducts[[#Headers],[Include or Exclude]], 0,4)</f>
        <v/>
      </c>
      <c r="R116" s="62" t="str" cm="1">
        <f t="array" ref="R116">Common_InputFunctions.Utility_DisplayArrayInTable(Fertiliser_SourceData.Fertiliser_Products_Data1(),FertiliserProducts[[#Headers],[Include or Exclude]], 0,4)</f>
        <v/>
      </c>
      <c r="S116" s="62" t="str" cm="1">
        <f t="array" ref="S116">Common_InputFunctions.Utility_DisplayArrayInTable(Fertiliser_SourceData.Fertiliser_Products_Data1(),FertiliserProducts[[#Headers],[Include or Exclude]], 0,4)</f>
        <v/>
      </c>
      <c r="T116" s="62" t="str" cm="1">
        <f t="array" ref="T116">Common_InputFunctions.Utility_DisplayArrayInTable(Fertiliser_SourceData.Fertiliser_Products_Data1(),FertiliserProducts[[#Headers],[Include or Exclude]], 0,4)</f>
        <v/>
      </c>
      <c r="U116" s="62" t="str" cm="1">
        <f t="array" ref="U116">Common_InputFunctions.Utility_DisplayArrayInTable(Fertiliser_SourceData.Fertiliser_Products_Data1(),FertiliserProducts[[#Headers],[Include or Exclude]], 0,4)</f>
        <v/>
      </c>
      <c r="V116" s="62" t="str" cm="1">
        <f t="array" ref="V116">Common_InputFunctions.Utility_DisplayArrayInTable(Fertiliser_SourceData.Fertiliser_Products_Data1(),FertiliserProducts[[#Headers],[Include or Exclude]], 0,4)</f>
        <v/>
      </c>
      <c r="W116" s="62" t="str" cm="1">
        <f t="array" ref="W116">Common_InputFunctions.Utility_DisplayArrayInTable(Fertiliser_SourceData.Fertiliser_Products_Data1(),FertiliserProducts[[#Headers],[Include or Exclude]], 0,4)</f>
        <v/>
      </c>
      <c r="X116" s="62" t="str" cm="1">
        <f t="array" ref="X116">Common_InputFunctions.Utility_DisplayArrayInTable(Fertiliser_SourceData.Fertiliser_Products_Data1(),FertiliserProducts[[#Headers],[Include or Exclude]], 0,4)</f>
        <v/>
      </c>
      <c r="Y116" s="62" t="str" cm="1">
        <f t="array" ref="Y116">Common_InputFunctions.Utility_DisplayArrayInTable(Fertiliser_SourceData.Fertiliser_Products_Data1(),FertiliserProducts[[#Headers],[Include or Exclude]], 0,4)</f>
        <v/>
      </c>
      <c r="Z116" s="62" t="str" cm="1">
        <f t="array" ref="Z116">Common_InputFunctions.Utility_DisplayArrayInTable(Fertiliser_SourceData.Fertiliser_Products_Data1(),FertiliserProducts[[#Headers],[Include or Exclude]], 0,4)</f>
        <v/>
      </c>
      <c r="AA116" s="62" t="str" cm="1">
        <f t="array" ref="AA116">Common_InputFunctions.Utility_DisplayArrayInTable(Fertiliser_SourceData.Fertiliser_Products_Data1(),FertiliserProducts[[#Headers],[Include or Exclude]], 0,4)</f>
        <v/>
      </c>
      <c r="AB116" s="62" t="str" cm="1">
        <f t="array" ref="AB116">Common_InputFunctions.Utility_DisplayArrayInTable(Fertiliser_SourceData.Fertiliser_Products_Data1(),FertiliserProducts[[#Headers],[Include or Exclude]], 0,4)</f>
        <v/>
      </c>
      <c r="AC116" s="62" t="str" cm="1">
        <f t="array" ref="AC116">Common_InputFunctions.Utility_DisplayArrayInTable(Fertiliser_SourceData.Fertiliser_Products_Data1(),FertiliserProducts[[#Headers],[Include or Exclude]], 0,4)</f>
        <v/>
      </c>
      <c r="AD116" s="62" t="str" cm="1">
        <f t="array" ref="AD116">Common_InputFunctions.Utility_DisplayArrayInTable(Fertiliser_SourceData.Fertiliser_Products_Data1(),FertiliserProducts[[#Headers],[Include or Exclude]], 0,4)</f>
        <v/>
      </c>
      <c r="AE116" s="62" t="str" cm="1">
        <f t="array" ref="AE116">Common_InputFunctions.Utility_DisplayArrayInTable(Fertiliser_SourceData.Fertiliser_Products_Data1(),FertiliserProducts[[#Headers],[Include or Exclude]], 0,4)</f>
        <v/>
      </c>
    </row>
    <row r="117" spans="1:31" ht="20.100000000000001" customHeight="1" x14ac:dyDescent="0.25">
      <c r="A117"/>
      <c r="D117" s="62" t="str" cm="1">
        <f t="array" ref="D117">Common_InputFunctions.Utility_DisplayArrayInTable(Fertiliser_SourceData.Fertiliser_Products_Data1(),FertiliserProducts[[#Headers],[Include or Exclude]], -1)</f>
        <v/>
      </c>
      <c r="E117" s="62" t="str" cm="1">
        <f t="array" ref="E117">Common_InputFunctions.Utility_DisplayArrayInTable(Fertiliser_SourceData.Fertiliser_Products_Data1(),FertiliserProducts[[#Headers],[Include or Exclude]], 0)</f>
        <v/>
      </c>
      <c r="F117" s="62" t="str" cm="1">
        <f t="array" ref="F117">Common_InputFunctions.Utility_DisplayArrayInTable(Fertiliser_SourceData.Fertiliser_Products_Data1(),FertiliserProducts[[#Headers],[Include or Exclude]], 0)</f>
        <v/>
      </c>
      <c r="G117" s="62" t="str" cm="1">
        <f t="array" ref="G117">Common_InputFunctions.Utility_DisplayArrayInTable(Fertiliser_SourceData.Fertiliser_Products_Data1(),FertiliserProducts[[#Headers],[Include or Exclude]], 0)</f>
        <v/>
      </c>
      <c r="H117" s="62" t="str" cm="1">
        <f t="array" ref="H117">Common_InputFunctions.Utility_DisplayArrayInTable(Fertiliser_SourceData.Fertiliser_Products_Data1(),FertiliserProducts[[#Headers],[Include or Exclude]], 0,4)</f>
        <v/>
      </c>
      <c r="I117" s="62" t="str" cm="1">
        <f t="array" ref="I117">Common_InputFunctions.Utility_DisplayArrayInTable(Fertiliser_SourceData.Fertiliser_Products_Data1(),FertiliserProducts[[#Headers],[Include or Exclude]], 0,4)</f>
        <v/>
      </c>
      <c r="J117" s="62" t="str" cm="1">
        <f t="array" ref="J117">Common_InputFunctions.Utility_DisplayArrayInTable(Fertiliser_SourceData.Fertiliser_Products_Data1(),FertiliserProducts[[#Headers],[Include or Exclude]], 0,4)</f>
        <v/>
      </c>
      <c r="K117" s="62" t="str" cm="1">
        <f t="array" ref="K117">Common_InputFunctions.Utility_DisplayArrayInTable(Fertiliser_SourceData.Fertiliser_Products_Data1(),FertiliserProducts[[#Headers],[Include or Exclude]], 0,4)</f>
        <v/>
      </c>
      <c r="L117" s="62" t="str" cm="1">
        <f t="array" ref="L117">Common_InputFunctions.Utility_DisplayArrayInTable(Fertiliser_SourceData.Fertiliser_Products_Data1(),FertiliserProducts[[#Headers],[Include or Exclude]], 0,4)</f>
        <v/>
      </c>
      <c r="M117" s="62" t="str" cm="1">
        <f t="array" ref="M117">Common_InputFunctions.Utility_DisplayArrayInTable(Fertiliser_SourceData.Fertiliser_Products_Data1(),FertiliserProducts[[#Headers],[Include or Exclude]], 0,4)</f>
        <v/>
      </c>
      <c r="N117" s="62" t="str" cm="1">
        <f t="array" ref="N117">Common_InputFunctions.Utility_DisplayArrayInTable(Fertiliser_SourceData.Fertiliser_Products_Data1(),FertiliserProducts[[#Headers],[Include or Exclude]], 0,4)</f>
        <v/>
      </c>
      <c r="O117" s="62" t="str" cm="1">
        <f t="array" ref="O117">Common_InputFunctions.Utility_DisplayArrayInTable(Fertiliser_SourceData.Fertiliser_Products_Data1(),FertiliserProducts[[#Headers],[Include or Exclude]], 0,4)</f>
        <v/>
      </c>
      <c r="P117" s="62" t="str" cm="1">
        <f t="array" ref="P117">Common_InputFunctions.Utility_DisplayArrayInTable(Fertiliser_SourceData.Fertiliser_Products_Data1(),FertiliserProducts[[#Headers],[Include or Exclude]], 0,4)</f>
        <v/>
      </c>
      <c r="Q117" s="62" t="str" cm="1">
        <f t="array" ref="Q117">Common_InputFunctions.Utility_DisplayArrayInTable(Fertiliser_SourceData.Fertiliser_Products_Data1(),FertiliserProducts[[#Headers],[Include or Exclude]], 0,4)</f>
        <v/>
      </c>
      <c r="R117" s="62" t="str" cm="1">
        <f t="array" ref="R117">Common_InputFunctions.Utility_DisplayArrayInTable(Fertiliser_SourceData.Fertiliser_Products_Data1(),FertiliserProducts[[#Headers],[Include or Exclude]], 0,4)</f>
        <v/>
      </c>
      <c r="S117" s="62" t="str" cm="1">
        <f t="array" ref="S117">Common_InputFunctions.Utility_DisplayArrayInTable(Fertiliser_SourceData.Fertiliser_Products_Data1(),FertiliserProducts[[#Headers],[Include or Exclude]], 0,4)</f>
        <v/>
      </c>
      <c r="T117" s="62" t="str" cm="1">
        <f t="array" ref="T117">Common_InputFunctions.Utility_DisplayArrayInTable(Fertiliser_SourceData.Fertiliser_Products_Data1(),FertiliserProducts[[#Headers],[Include or Exclude]], 0,4)</f>
        <v/>
      </c>
      <c r="U117" s="62" t="str" cm="1">
        <f t="array" ref="U117">Common_InputFunctions.Utility_DisplayArrayInTable(Fertiliser_SourceData.Fertiliser_Products_Data1(),FertiliserProducts[[#Headers],[Include or Exclude]], 0,4)</f>
        <v/>
      </c>
      <c r="V117" s="62" t="str" cm="1">
        <f t="array" ref="V117">Common_InputFunctions.Utility_DisplayArrayInTable(Fertiliser_SourceData.Fertiliser_Products_Data1(),FertiliserProducts[[#Headers],[Include or Exclude]], 0,4)</f>
        <v/>
      </c>
      <c r="W117" s="62" t="str" cm="1">
        <f t="array" ref="W117">Common_InputFunctions.Utility_DisplayArrayInTable(Fertiliser_SourceData.Fertiliser_Products_Data1(),FertiliserProducts[[#Headers],[Include or Exclude]], 0,4)</f>
        <v/>
      </c>
      <c r="X117" s="62" t="str" cm="1">
        <f t="array" ref="X117">Common_InputFunctions.Utility_DisplayArrayInTable(Fertiliser_SourceData.Fertiliser_Products_Data1(),FertiliserProducts[[#Headers],[Include or Exclude]], 0,4)</f>
        <v/>
      </c>
      <c r="Y117" s="62" t="str" cm="1">
        <f t="array" ref="Y117">Common_InputFunctions.Utility_DisplayArrayInTable(Fertiliser_SourceData.Fertiliser_Products_Data1(),FertiliserProducts[[#Headers],[Include or Exclude]], 0,4)</f>
        <v/>
      </c>
      <c r="Z117" s="62" t="str" cm="1">
        <f t="array" ref="Z117">Common_InputFunctions.Utility_DisplayArrayInTable(Fertiliser_SourceData.Fertiliser_Products_Data1(),FertiliserProducts[[#Headers],[Include or Exclude]], 0,4)</f>
        <v/>
      </c>
      <c r="AA117" s="62" t="str" cm="1">
        <f t="array" ref="AA117">Common_InputFunctions.Utility_DisplayArrayInTable(Fertiliser_SourceData.Fertiliser_Products_Data1(),FertiliserProducts[[#Headers],[Include or Exclude]], 0,4)</f>
        <v/>
      </c>
      <c r="AB117" s="62" t="str" cm="1">
        <f t="array" ref="AB117">Common_InputFunctions.Utility_DisplayArrayInTable(Fertiliser_SourceData.Fertiliser_Products_Data1(),FertiliserProducts[[#Headers],[Include or Exclude]], 0,4)</f>
        <v/>
      </c>
      <c r="AC117" s="62" t="str" cm="1">
        <f t="array" ref="AC117">Common_InputFunctions.Utility_DisplayArrayInTable(Fertiliser_SourceData.Fertiliser_Products_Data1(),FertiliserProducts[[#Headers],[Include or Exclude]], 0,4)</f>
        <v/>
      </c>
      <c r="AD117" s="62" t="str" cm="1">
        <f t="array" ref="AD117">Common_InputFunctions.Utility_DisplayArrayInTable(Fertiliser_SourceData.Fertiliser_Products_Data1(),FertiliserProducts[[#Headers],[Include or Exclude]], 0,4)</f>
        <v/>
      </c>
      <c r="AE117" s="62" t="str" cm="1">
        <f t="array" ref="AE117">Common_InputFunctions.Utility_DisplayArrayInTable(Fertiliser_SourceData.Fertiliser_Products_Data1(),FertiliserProducts[[#Headers],[Include or Exclude]], 0,4)</f>
        <v/>
      </c>
    </row>
    <row r="118" spans="1:31" ht="20.100000000000001" customHeight="1" x14ac:dyDescent="0.25">
      <c r="A118"/>
      <c r="D118" s="62" t="str" cm="1">
        <f t="array" ref="D118">Common_InputFunctions.Utility_DisplayArrayInTable(Fertiliser_SourceData.Fertiliser_Products_Data1(),FertiliserProducts[[#Headers],[Include or Exclude]], -1)</f>
        <v/>
      </c>
      <c r="E118" s="62" t="str" cm="1">
        <f t="array" ref="E118">Common_InputFunctions.Utility_DisplayArrayInTable(Fertiliser_SourceData.Fertiliser_Products_Data1(),FertiliserProducts[[#Headers],[Include or Exclude]], 0)</f>
        <v/>
      </c>
      <c r="F118" s="62" t="str" cm="1">
        <f t="array" ref="F118">Common_InputFunctions.Utility_DisplayArrayInTable(Fertiliser_SourceData.Fertiliser_Products_Data1(),FertiliserProducts[[#Headers],[Include or Exclude]], 0)</f>
        <v/>
      </c>
      <c r="G118" s="62" t="str" cm="1">
        <f t="array" ref="G118">Common_InputFunctions.Utility_DisplayArrayInTable(Fertiliser_SourceData.Fertiliser_Products_Data1(),FertiliserProducts[[#Headers],[Include or Exclude]], 0)</f>
        <v/>
      </c>
      <c r="H118" s="62" t="str" cm="1">
        <f t="array" ref="H118">Common_InputFunctions.Utility_DisplayArrayInTable(Fertiliser_SourceData.Fertiliser_Products_Data1(),FertiliserProducts[[#Headers],[Include or Exclude]], 0,4)</f>
        <v/>
      </c>
      <c r="I118" s="62" t="str" cm="1">
        <f t="array" ref="I118">Common_InputFunctions.Utility_DisplayArrayInTable(Fertiliser_SourceData.Fertiliser_Products_Data1(),FertiliserProducts[[#Headers],[Include or Exclude]], 0,4)</f>
        <v/>
      </c>
      <c r="J118" s="62" t="str" cm="1">
        <f t="array" ref="J118">Common_InputFunctions.Utility_DisplayArrayInTable(Fertiliser_SourceData.Fertiliser_Products_Data1(),FertiliserProducts[[#Headers],[Include or Exclude]], 0,4)</f>
        <v/>
      </c>
      <c r="K118" s="62" t="str" cm="1">
        <f t="array" ref="K118">Common_InputFunctions.Utility_DisplayArrayInTable(Fertiliser_SourceData.Fertiliser_Products_Data1(),FertiliserProducts[[#Headers],[Include or Exclude]], 0,4)</f>
        <v/>
      </c>
      <c r="L118" s="62" t="str" cm="1">
        <f t="array" ref="L118">Common_InputFunctions.Utility_DisplayArrayInTable(Fertiliser_SourceData.Fertiliser_Products_Data1(),FertiliserProducts[[#Headers],[Include or Exclude]], 0,4)</f>
        <v/>
      </c>
      <c r="M118" s="62" t="str" cm="1">
        <f t="array" ref="M118">Common_InputFunctions.Utility_DisplayArrayInTable(Fertiliser_SourceData.Fertiliser_Products_Data1(),FertiliserProducts[[#Headers],[Include or Exclude]], 0,4)</f>
        <v/>
      </c>
      <c r="N118" s="62" t="str" cm="1">
        <f t="array" ref="N118">Common_InputFunctions.Utility_DisplayArrayInTable(Fertiliser_SourceData.Fertiliser_Products_Data1(),FertiliserProducts[[#Headers],[Include or Exclude]], 0,4)</f>
        <v/>
      </c>
      <c r="O118" s="62" t="str" cm="1">
        <f t="array" ref="O118">Common_InputFunctions.Utility_DisplayArrayInTable(Fertiliser_SourceData.Fertiliser_Products_Data1(),FertiliserProducts[[#Headers],[Include or Exclude]], 0,4)</f>
        <v/>
      </c>
      <c r="P118" s="62" t="str" cm="1">
        <f t="array" ref="P118">Common_InputFunctions.Utility_DisplayArrayInTable(Fertiliser_SourceData.Fertiliser_Products_Data1(),FertiliserProducts[[#Headers],[Include or Exclude]], 0,4)</f>
        <v/>
      </c>
      <c r="Q118" s="62" t="str" cm="1">
        <f t="array" ref="Q118">Common_InputFunctions.Utility_DisplayArrayInTable(Fertiliser_SourceData.Fertiliser_Products_Data1(),FertiliserProducts[[#Headers],[Include or Exclude]], 0,4)</f>
        <v/>
      </c>
      <c r="R118" s="62" t="str" cm="1">
        <f t="array" ref="R118">Common_InputFunctions.Utility_DisplayArrayInTable(Fertiliser_SourceData.Fertiliser_Products_Data1(),FertiliserProducts[[#Headers],[Include or Exclude]], 0,4)</f>
        <v/>
      </c>
      <c r="S118" s="62" t="str" cm="1">
        <f t="array" ref="S118">Common_InputFunctions.Utility_DisplayArrayInTable(Fertiliser_SourceData.Fertiliser_Products_Data1(),FertiliserProducts[[#Headers],[Include or Exclude]], 0,4)</f>
        <v/>
      </c>
      <c r="T118" s="62" t="str" cm="1">
        <f t="array" ref="T118">Common_InputFunctions.Utility_DisplayArrayInTable(Fertiliser_SourceData.Fertiliser_Products_Data1(),FertiliserProducts[[#Headers],[Include or Exclude]], 0,4)</f>
        <v/>
      </c>
      <c r="U118" s="62" t="str" cm="1">
        <f t="array" ref="U118">Common_InputFunctions.Utility_DisplayArrayInTable(Fertiliser_SourceData.Fertiliser_Products_Data1(),FertiliserProducts[[#Headers],[Include or Exclude]], 0,4)</f>
        <v/>
      </c>
      <c r="V118" s="62" t="str" cm="1">
        <f t="array" ref="V118">Common_InputFunctions.Utility_DisplayArrayInTable(Fertiliser_SourceData.Fertiliser_Products_Data1(),FertiliserProducts[[#Headers],[Include or Exclude]], 0,4)</f>
        <v/>
      </c>
      <c r="W118" s="62" t="str" cm="1">
        <f t="array" ref="W118">Common_InputFunctions.Utility_DisplayArrayInTable(Fertiliser_SourceData.Fertiliser_Products_Data1(),FertiliserProducts[[#Headers],[Include or Exclude]], 0,4)</f>
        <v/>
      </c>
      <c r="X118" s="62" t="str" cm="1">
        <f t="array" ref="X118">Common_InputFunctions.Utility_DisplayArrayInTable(Fertiliser_SourceData.Fertiliser_Products_Data1(),FertiliserProducts[[#Headers],[Include or Exclude]], 0,4)</f>
        <v/>
      </c>
      <c r="Y118" s="62" t="str" cm="1">
        <f t="array" ref="Y118">Common_InputFunctions.Utility_DisplayArrayInTable(Fertiliser_SourceData.Fertiliser_Products_Data1(),FertiliserProducts[[#Headers],[Include or Exclude]], 0,4)</f>
        <v/>
      </c>
      <c r="Z118" s="62" t="str" cm="1">
        <f t="array" ref="Z118">Common_InputFunctions.Utility_DisplayArrayInTable(Fertiliser_SourceData.Fertiliser_Products_Data1(),FertiliserProducts[[#Headers],[Include or Exclude]], 0,4)</f>
        <v/>
      </c>
      <c r="AA118" s="62" t="str" cm="1">
        <f t="array" ref="AA118">Common_InputFunctions.Utility_DisplayArrayInTable(Fertiliser_SourceData.Fertiliser_Products_Data1(),FertiliserProducts[[#Headers],[Include or Exclude]], 0,4)</f>
        <v/>
      </c>
      <c r="AB118" s="62" t="str" cm="1">
        <f t="array" ref="AB118">Common_InputFunctions.Utility_DisplayArrayInTable(Fertiliser_SourceData.Fertiliser_Products_Data1(),FertiliserProducts[[#Headers],[Include or Exclude]], 0,4)</f>
        <v/>
      </c>
      <c r="AC118" s="62" t="str" cm="1">
        <f t="array" ref="AC118">Common_InputFunctions.Utility_DisplayArrayInTable(Fertiliser_SourceData.Fertiliser_Products_Data1(),FertiliserProducts[[#Headers],[Include or Exclude]], 0,4)</f>
        <v/>
      </c>
      <c r="AD118" s="62" t="str" cm="1">
        <f t="array" ref="AD118">Common_InputFunctions.Utility_DisplayArrayInTable(Fertiliser_SourceData.Fertiliser_Products_Data1(),FertiliserProducts[[#Headers],[Include or Exclude]], 0,4)</f>
        <v/>
      </c>
      <c r="AE118" s="62" t="str" cm="1">
        <f t="array" ref="AE118">Common_InputFunctions.Utility_DisplayArrayInTable(Fertiliser_SourceData.Fertiliser_Products_Data1(),FertiliserProducts[[#Headers],[Include or Exclude]], 0,4)</f>
        <v/>
      </c>
    </row>
    <row r="119" spans="1:31" ht="20.100000000000001" customHeight="1" x14ac:dyDescent="0.25">
      <c r="A119"/>
      <c r="D119" s="62" t="str" cm="1">
        <f t="array" ref="D119">Common_InputFunctions.Utility_DisplayArrayInTable(Fertiliser_SourceData.Fertiliser_Products_Data1(),FertiliserProducts[[#Headers],[Include or Exclude]], -1)</f>
        <v/>
      </c>
      <c r="E119" s="62" t="str" cm="1">
        <f t="array" ref="E119">Common_InputFunctions.Utility_DisplayArrayInTable(Fertiliser_SourceData.Fertiliser_Products_Data1(),FertiliserProducts[[#Headers],[Include or Exclude]], 0)</f>
        <v/>
      </c>
      <c r="F119" s="62" t="str" cm="1">
        <f t="array" ref="F119">Common_InputFunctions.Utility_DisplayArrayInTable(Fertiliser_SourceData.Fertiliser_Products_Data1(),FertiliserProducts[[#Headers],[Include or Exclude]], 0)</f>
        <v/>
      </c>
      <c r="G119" s="62" t="str" cm="1">
        <f t="array" ref="G119">Common_InputFunctions.Utility_DisplayArrayInTable(Fertiliser_SourceData.Fertiliser_Products_Data1(),FertiliserProducts[[#Headers],[Include or Exclude]], 0)</f>
        <v/>
      </c>
      <c r="H119" s="62" t="str" cm="1">
        <f t="array" ref="H119">Common_InputFunctions.Utility_DisplayArrayInTable(Fertiliser_SourceData.Fertiliser_Products_Data1(),FertiliserProducts[[#Headers],[Include or Exclude]], 0,4)</f>
        <v/>
      </c>
      <c r="I119" s="62" t="str" cm="1">
        <f t="array" ref="I119">Common_InputFunctions.Utility_DisplayArrayInTable(Fertiliser_SourceData.Fertiliser_Products_Data1(),FertiliserProducts[[#Headers],[Include or Exclude]], 0,4)</f>
        <v/>
      </c>
      <c r="J119" s="62" t="str" cm="1">
        <f t="array" ref="J119">Common_InputFunctions.Utility_DisplayArrayInTable(Fertiliser_SourceData.Fertiliser_Products_Data1(),FertiliserProducts[[#Headers],[Include or Exclude]], 0,4)</f>
        <v/>
      </c>
      <c r="K119" s="62" t="str" cm="1">
        <f t="array" ref="K119">Common_InputFunctions.Utility_DisplayArrayInTable(Fertiliser_SourceData.Fertiliser_Products_Data1(),FertiliserProducts[[#Headers],[Include or Exclude]], 0,4)</f>
        <v/>
      </c>
      <c r="L119" s="62" t="str" cm="1">
        <f t="array" ref="L119">Common_InputFunctions.Utility_DisplayArrayInTable(Fertiliser_SourceData.Fertiliser_Products_Data1(),FertiliserProducts[[#Headers],[Include or Exclude]], 0,4)</f>
        <v/>
      </c>
      <c r="M119" s="62" t="str" cm="1">
        <f t="array" ref="M119">Common_InputFunctions.Utility_DisplayArrayInTable(Fertiliser_SourceData.Fertiliser_Products_Data1(),FertiliserProducts[[#Headers],[Include or Exclude]], 0,4)</f>
        <v/>
      </c>
      <c r="N119" s="62" t="str" cm="1">
        <f t="array" ref="N119">Common_InputFunctions.Utility_DisplayArrayInTable(Fertiliser_SourceData.Fertiliser_Products_Data1(),FertiliserProducts[[#Headers],[Include or Exclude]], 0,4)</f>
        <v/>
      </c>
      <c r="O119" s="62" t="str" cm="1">
        <f t="array" ref="O119">Common_InputFunctions.Utility_DisplayArrayInTable(Fertiliser_SourceData.Fertiliser_Products_Data1(),FertiliserProducts[[#Headers],[Include or Exclude]], 0,4)</f>
        <v/>
      </c>
      <c r="P119" s="62" t="str" cm="1">
        <f t="array" ref="P119">Common_InputFunctions.Utility_DisplayArrayInTable(Fertiliser_SourceData.Fertiliser_Products_Data1(),FertiliserProducts[[#Headers],[Include or Exclude]], 0,4)</f>
        <v/>
      </c>
      <c r="Q119" s="62" t="str" cm="1">
        <f t="array" ref="Q119">Common_InputFunctions.Utility_DisplayArrayInTable(Fertiliser_SourceData.Fertiliser_Products_Data1(),FertiliserProducts[[#Headers],[Include or Exclude]], 0,4)</f>
        <v/>
      </c>
      <c r="R119" s="62" t="str" cm="1">
        <f t="array" ref="R119">Common_InputFunctions.Utility_DisplayArrayInTable(Fertiliser_SourceData.Fertiliser_Products_Data1(),FertiliserProducts[[#Headers],[Include or Exclude]], 0,4)</f>
        <v/>
      </c>
      <c r="S119" s="62" t="str" cm="1">
        <f t="array" ref="S119">Common_InputFunctions.Utility_DisplayArrayInTable(Fertiliser_SourceData.Fertiliser_Products_Data1(),FertiliserProducts[[#Headers],[Include or Exclude]], 0,4)</f>
        <v/>
      </c>
      <c r="T119" s="62" t="str" cm="1">
        <f t="array" ref="T119">Common_InputFunctions.Utility_DisplayArrayInTable(Fertiliser_SourceData.Fertiliser_Products_Data1(),FertiliserProducts[[#Headers],[Include or Exclude]], 0,4)</f>
        <v/>
      </c>
      <c r="U119" s="62" t="str" cm="1">
        <f t="array" ref="U119">Common_InputFunctions.Utility_DisplayArrayInTable(Fertiliser_SourceData.Fertiliser_Products_Data1(),FertiliserProducts[[#Headers],[Include or Exclude]], 0,4)</f>
        <v/>
      </c>
      <c r="V119" s="62" t="str" cm="1">
        <f t="array" ref="V119">Common_InputFunctions.Utility_DisplayArrayInTable(Fertiliser_SourceData.Fertiliser_Products_Data1(),FertiliserProducts[[#Headers],[Include or Exclude]], 0,4)</f>
        <v/>
      </c>
      <c r="W119" s="62" t="str" cm="1">
        <f t="array" ref="W119">Common_InputFunctions.Utility_DisplayArrayInTable(Fertiliser_SourceData.Fertiliser_Products_Data1(),FertiliserProducts[[#Headers],[Include or Exclude]], 0,4)</f>
        <v/>
      </c>
      <c r="X119" s="62" t="str" cm="1">
        <f t="array" ref="X119">Common_InputFunctions.Utility_DisplayArrayInTable(Fertiliser_SourceData.Fertiliser_Products_Data1(),FertiliserProducts[[#Headers],[Include or Exclude]], 0,4)</f>
        <v/>
      </c>
      <c r="Y119" s="62" t="str" cm="1">
        <f t="array" ref="Y119">Common_InputFunctions.Utility_DisplayArrayInTable(Fertiliser_SourceData.Fertiliser_Products_Data1(),FertiliserProducts[[#Headers],[Include or Exclude]], 0,4)</f>
        <v/>
      </c>
      <c r="Z119" s="62" t="str" cm="1">
        <f t="array" ref="Z119">Common_InputFunctions.Utility_DisplayArrayInTable(Fertiliser_SourceData.Fertiliser_Products_Data1(),FertiliserProducts[[#Headers],[Include or Exclude]], 0,4)</f>
        <v/>
      </c>
      <c r="AA119" s="62" t="str" cm="1">
        <f t="array" ref="AA119">Common_InputFunctions.Utility_DisplayArrayInTable(Fertiliser_SourceData.Fertiliser_Products_Data1(),FertiliserProducts[[#Headers],[Include or Exclude]], 0,4)</f>
        <v/>
      </c>
      <c r="AB119" s="62" t="str" cm="1">
        <f t="array" ref="AB119">Common_InputFunctions.Utility_DisplayArrayInTable(Fertiliser_SourceData.Fertiliser_Products_Data1(),FertiliserProducts[[#Headers],[Include or Exclude]], 0,4)</f>
        <v/>
      </c>
      <c r="AC119" s="62" t="str" cm="1">
        <f t="array" ref="AC119">Common_InputFunctions.Utility_DisplayArrayInTable(Fertiliser_SourceData.Fertiliser_Products_Data1(),FertiliserProducts[[#Headers],[Include or Exclude]], 0,4)</f>
        <v/>
      </c>
      <c r="AD119" s="62" t="str" cm="1">
        <f t="array" ref="AD119">Common_InputFunctions.Utility_DisplayArrayInTable(Fertiliser_SourceData.Fertiliser_Products_Data1(),FertiliserProducts[[#Headers],[Include or Exclude]], 0,4)</f>
        <v/>
      </c>
      <c r="AE119" s="62" t="str" cm="1">
        <f t="array" ref="AE119">Common_InputFunctions.Utility_DisplayArrayInTable(Fertiliser_SourceData.Fertiliser_Products_Data1(),FertiliserProducts[[#Headers],[Include or Exclude]], 0,4)</f>
        <v/>
      </c>
    </row>
    <row r="120" spans="1:31" ht="20.100000000000001" customHeight="1" x14ac:dyDescent="0.25">
      <c r="A120"/>
      <c r="D120" s="62" t="str" cm="1">
        <f t="array" ref="D120">Common_InputFunctions.Utility_DisplayArrayInTable(Fertiliser_SourceData.Fertiliser_Products_Data1(),FertiliserProducts[[#Headers],[Include or Exclude]], -1)</f>
        <v/>
      </c>
      <c r="E120" s="62" t="str" cm="1">
        <f t="array" ref="E120">Common_InputFunctions.Utility_DisplayArrayInTable(Fertiliser_SourceData.Fertiliser_Products_Data1(),FertiliserProducts[[#Headers],[Include or Exclude]], 0)</f>
        <v/>
      </c>
      <c r="F120" s="62" t="str" cm="1">
        <f t="array" ref="F120">Common_InputFunctions.Utility_DisplayArrayInTable(Fertiliser_SourceData.Fertiliser_Products_Data1(),FertiliserProducts[[#Headers],[Include or Exclude]], 0)</f>
        <v/>
      </c>
      <c r="G120" s="62" t="str" cm="1">
        <f t="array" ref="G120">Common_InputFunctions.Utility_DisplayArrayInTable(Fertiliser_SourceData.Fertiliser_Products_Data1(),FertiliserProducts[[#Headers],[Include or Exclude]], 0)</f>
        <v/>
      </c>
      <c r="H120" s="62" t="str" cm="1">
        <f t="array" ref="H120">Common_InputFunctions.Utility_DisplayArrayInTable(Fertiliser_SourceData.Fertiliser_Products_Data1(),FertiliserProducts[[#Headers],[Include or Exclude]], 0,4)</f>
        <v/>
      </c>
      <c r="I120" s="62" t="str" cm="1">
        <f t="array" ref="I120">Common_InputFunctions.Utility_DisplayArrayInTable(Fertiliser_SourceData.Fertiliser_Products_Data1(),FertiliserProducts[[#Headers],[Include or Exclude]], 0,4)</f>
        <v/>
      </c>
      <c r="J120" s="62" t="str" cm="1">
        <f t="array" ref="J120">Common_InputFunctions.Utility_DisplayArrayInTable(Fertiliser_SourceData.Fertiliser_Products_Data1(),FertiliserProducts[[#Headers],[Include or Exclude]], 0,4)</f>
        <v/>
      </c>
      <c r="K120" s="62" t="str" cm="1">
        <f t="array" ref="K120">Common_InputFunctions.Utility_DisplayArrayInTable(Fertiliser_SourceData.Fertiliser_Products_Data1(),FertiliserProducts[[#Headers],[Include or Exclude]], 0,4)</f>
        <v/>
      </c>
      <c r="L120" s="62" t="str" cm="1">
        <f t="array" ref="L120">Common_InputFunctions.Utility_DisplayArrayInTable(Fertiliser_SourceData.Fertiliser_Products_Data1(),FertiliserProducts[[#Headers],[Include or Exclude]], 0,4)</f>
        <v/>
      </c>
      <c r="M120" s="62" t="str" cm="1">
        <f t="array" ref="M120">Common_InputFunctions.Utility_DisplayArrayInTable(Fertiliser_SourceData.Fertiliser_Products_Data1(),FertiliserProducts[[#Headers],[Include or Exclude]], 0,4)</f>
        <v/>
      </c>
      <c r="N120" s="62" t="str" cm="1">
        <f t="array" ref="N120">Common_InputFunctions.Utility_DisplayArrayInTable(Fertiliser_SourceData.Fertiliser_Products_Data1(),FertiliserProducts[[#Headers],[Include or Exclude]], 0,4)</f>
        <v/>
      </c>
      <c r="O120" s="62" t="str" cm="1">
        <f t="array" ref="O120">Common_InputFunctions.Utility_DisplayArrayInTable(Fertiliser_SourceData.Fertiliser_Products_Data1(),FertiliserProducts[[#Headers],[Include or Exclude]], 0,4)</f>
        <v/>
      </c>
      <c r="P120" s="62" t="str" cm="1">
        <f t="array" ref="P120">Common_InputFunctions.Utility_DisplayArrayInTable(Fertiliser_SourceData.Fertiliser_Products_Data1(),FertiliserProducts[[#Headers],[Include or Exclude]], 0,4)</f>
        <v/>
      </c>
      <c r="Q120" s="62" t="str" cm="1">
        <f t="array" ref="Q120">Common_InputFunctions.Utility_DisplayArrayInTable(Fertiliser_SourceData.Fertiliser_Products_Data1(),FertiliserProducts[[#Headers],[Include or Exclude]], 0,4)</f>
        <v/>
      </c>
      <c r="R120" s="62" t="str" cm="1">
        <f t="array" ref="R120">Common_InputFunctions.Utility_DisplayArrayInTable(Fertiliser_SourceData.Fertiliser_Products_Data1(),FertiliserProducts[[#Headers],[Include or Exclude]], 0,4)</f>
        <v/>
      </c>
      <c r="S120" s="62" t="str" cm="1">
        <f t="array" ref="S120">Common_InputFunctions.Utility_DisplayArrayInTable(Fertiliser_SourceData.Fertiliser_Products_Data1(),FertiliserProducts[[#Headers],[Include or Exclude]], 0,4)</f>
        <v/>
      </c>
      <c r="T120" s="62" t="str" cm="1">
        <f t="array" ref="T120">Common_InputFunctions.Utility_DisplayArrayInTable(Fertiliser_SourceData.Fertiliser_Products_Data1(),FertiliserProducts[[#Headers],[Include or Exclude]], 0,4)</f>
        <v/>
      </c>
      <c r="U120" s="62" t="str" cm="1">
        <f t="array" ref="U120">Common_InputFunctions.Utility_DisplayArrayInTable(Fertiliser_SourceData.Fertiliser_Products_Data1(),FertiliserProducts[[#Headers],[Include or Exclude]], 0,4)</f>
        <v/>
      </c>
      <c r="V120" s="62" t="str" cm="1">
        <f t="array" ref="V120">Common_InputFunctions.Utility_DisplayArrayInTable(Fertiliser_SourceData.Fertiliser_Products_Data1(),FertiliserProducts[[#Headers],[Include or Exclude]], 0,4)</f>
        <v/>
      </c>
      <c r="W120" s="62" t="str" cm="1">
        <f t="array" ref="W120">Common_InputFunctions.Utility_DisplayArrayInTable(Fertiliser_SourceData.Fertiliser_Products_Data1(),FertiliserProducts[[#Headers],[Include or Exclude]], 0,4)</f>
        <v/>
      </c>
      <c r="X120" s="62" t="str" cm="1">
        <f t="array" ref="X120">Common_InputFunctions.Utility_DisplayArrayInTable(Fertiliser_SourceData.Fertiliser_Products_Data1(),FertiliserProducts[[#Headers],[Include or Exclude]], 0,4)</f>
        <v/>
      </c>
      <c r="Y120" s="62" t="str" cm="1">
        <f t="array" ref="Y120">Common_InputFunctions.Utility_DisplayArrayInTable(Fertiliser_SourceData.Fertiliser_Products_Data1(),FertiliserProducts[[#Headers],[Include or Exclude]], 0,4)</f>
        <v/>
      </c>
      <c r="Z120" s="62" t="str" cm="1">
        <f t="array" ref="Z120">Common_InputFunctions.Utility_DisplayArrayInTable(Fertiliser_SourceData.Fertiliser_Products_Data1(),FertiliserProducts[[#Headers],[Include or Exclude]], 0,4)</f>
        <v/>
      </c>
      <c r="AA120" s="62" t="str" cm="1">
        <f t="array" ref="AA120">Common_InputFunctions.Utility_DisplayArrayInTable(Fertiliser_SourceData.Fertiliser_Products_Data1(),FertiliserProducts[[#Headers],[Include or Exclude]], 0,4)</f>
        <v/>
      </c>
      <c r="AB120" s="62" t="str" cm="1">
        <f t="array" ref="AB120">Common_InputFunctions.Utility_DisplayArrayInTable(Fertiliser_SourceData.Fertiliser_Products_Data1(),FertiliserProducts[[#Headers],[Include or Exclude]], 0,4)</f>
        <v/>
      </c>
      <c r="AC120" s="62" t="str" cm="1">
        <f t="array" ref="AC120">Common_InputFunctions.Utility_DisplayArrayInTable(Fertiliser_SourceData.Fertiliser_Products_Data1(),FertiliserProducts[[#Headers],[Include or Exclude]], 0,4)</f>
        <v/>
      </c>
      <c r="AD120" s="62" t="str" cm="1">
        <f t="array" ref="AD120">Common_InputFunctions.Utility_DisplayArrayInTable(Fertiliser_SourceData.Fertiliser_Products_Data1(),FertiliserProducts[[#Headers],[Include or Exclude]], 0,4)</f>
        <v/>
      </c>
      <c r="AE120" s="62" t="str" cm="1">
        <f t="array" ref="AE120">Common_InputFunctions.Utility_DisplayArrayInTable(Fertiliser_SourceData.Fertiliser_Products_Data1(),FertiliserProducts[[#Headers],[Include or Exclude]], 0,4)</f>
        <v/>
      </c>
    </row>
    <row r="121" spans="1:31" ht="20.100000000000001" customHeight="1" x14ac:dyDescent="0.25">
      <c r="A121"/>
      <c r="D121" s="62" t="str" cm="1">
        <f t="array" ref="D121">Common_InputFunctions.Utility_DisplayArrayInTable(Fertiliser_SourceData.Fertiliser_Products_Data1(),FertiliserProducts[[#Headers],[Include or Exclude]], -1)</f>
        <v/>
      </c>
      <c r="E121" s="62" t="str" cm="1">
        <f t="array" ref="E121">Common_InputFunctions.Utility_DisplayArrayInTable(Fertiliser_SourceData.Fertiliser_Products_Data1(),FertiliserProducts[[#Headers],[Include or Exclude]], 0)</f>
        <v/>
      </c>
      <c r="F121" s="62" t="str" cm="1">
        <f t="array" ref="F121">Common_InputFunctions.Utility_DisplayArrayInTable(Fertiliser_SourceData.Fertiliser_Products_Data1(),FertiliserProducts[[#Headers],[Include or Exclude]], 0)</f>
        <v/>
      </c>
      <c r="G121" s="62" t="str" cm="1">
        <f t="array" ref="G121">Common_InputFunctions.Utility_DisplayArrayInTable(Fertiliser_SourceData.Fertiliser_Products_Data1(),FertiliserProducts[[#Headers],[Include or Exclude]], 0)</f>
        <v/>
      </c>
      <c r="H121" s="62" t="str" cm="1">
        <f t="array" ref="H121">Common_InputFunctions.Utility_DisplayArrayInTable(Fertiliser_SourceData.Fertiliser_Products_Data1(),FertiliserProducts[[#Headers],[Include or Exclude]], 0,4)</f>
        <v/>
      </c>
      <c r="I121" s="62" t="str" cm="1">
        <f t="array" ref="I121">Common_InputFunctions.Utility_DisplayArrayInTable(Fertiliser_SourceData.Fertiliser_Products_Data1(),FertiliserProducts[[#Headers],[Include or Exclude]], 0,4)</f>
        <v/>
      </c>
      <c r="J121" s="62" t="str" cm="1">
        <f t="array" ref="J121">Common_InputFunctions.Utility_DisplayArrayInTable(Fertiliser_SourceData.Fertiliser_Products_Data1(),FertiliserProducts[[#Headers],[Include or Exclude]], 0,4)</f>
        <v/>
      </c>
      <c r="K121" s="62" t="str" cm="1">
        <f t="array" ref="K121">Common_InputFunctions.Utility_DisplayArrayInTable(Fertiliser_SourceData.Fertiliser_Products_Data1(),FertiliserProducts[[#Headers],[Include or Exclude]], 0,4)</f>
        <v/>
      </c>
      <c r="L121" s="62" t="str" cm="1">
        <f t="array" ref="L121">Common_InputFunctions.Utility_DisplayArrayInTable(Fertiliser_SourceData.Fertiliser_Products_Data1(),FertiliserProducts[[#Headers],[Include or Exclude]], 0,4)</f>
        <v/>
      </c>
      <c r="M121" s="62" t="str" cm="1">
        <f t="array" ref="M121">Common_InputFunctions.Utility_DisplayArrayInTable(Fertiliser_SourceData.Fertiliser_Products_Data1(),FertiliserProducts[[#Headers],[Include or Exclude]], 0,4)</f>
        <v/>
      </c>
      <c r="N121" s="62" t="str" cm="1">
        <f t="array" ref="N121">Common_InputFunctions.Utility_DisplayArrayInTable(Fertiliser_SourceData.Fertiliser_Products_Data1(),FertiliserProducts[[#Headers],[Include or Exclude]], 0,4)</f>
        <v/>
      </c>
      <c r="O121" s="62" t="str" cm="1">
        <f t="array" ref="O121">Common_InputFunctions.Utility_DisplayArrayInTable(Fertiliser_SourceData.Fertiliser_Products_Data1(),FertiliserProducts[[#Headers],[Include or Exclude]], 0,4)</f>
        <v/>
      </c>
      <c r="P121" s="62" t="str" cm="1">
        <f t="array" ref="P121">Common_InputFunctions.Utility_DisplayArrayInTable(Fertiliser_SourceData.Fertiliser_Products_Data1(),FertiliserProducts[[#Headers],[Include or Exclude]], 0,4)</f>
        <v/>
      </c>
      <c r="Q121" s="62" t="str" cm="1">
        <f t="array" ref="Q121">Common_InputFunctions.Utility_DisplayArrayInTable(Fertiliser_SourceData.Fertiliser_Products_Data1(),FertiliserProducts[[#Headers],[Include or Exclude]], 0,4)</f>
        <v/>
      </c>
      <c r="R121" s="62" t="str" cm="1">
        <f t="array" ref="R121">Common_InputFunctions.Utility_DisplayArrayInTable(Fertiliser_SourceData.Fertiliser_Products_Data1(),FertiliserProducts[[#Headers],[Include or Exclude]], 0,4)</f>
        <v/>
      </c>
      <c r="S121" s="62" t="str" cm="1">
        <f t="array" ref="S121">Common_InputFunctions.Utility_DisplayArrayInTable(Fertiliser_SourceData.Fertiliser_Products_Data1(),FertiliserProducts[[#Headers],[Include or Exclude]], 0,4)</f>
        <v/>
      </c>
      <c r="T121" s="62" t="str" cm="1">
        <f t="array" ref="T121">Common_InputFunctions.Utility_DisplayArrayInTable(Fertiliser_SourceData.Fertiliser_Products_Data1(),FertiliserProducts[[#Headers],[Include or Exclude]], 0,4)</f>
        <v/>
      </c>
      <c r="U121" s="62" t="str" cm="1">
        <f t="array" ref="U121">Common_InputFunctions.Utility_DisplayArrayInTable(Fertiliser_SourceData.Fertiliser_Products_Data1(),FertiliserProducts[[#Headers],[Include or Exclude]], 0,4)</f>
        <v/>
      </c>
      <c r="V121" s="62" t="str" cm="1">
        <f t="array" ref="V121">Common_InputFunctions.Utility_DisplayArrayInTable(Fertiliser_SourceData.Fertiliser_Products_Data1(),FertiliserProducts[[#Headers],[Include or Exclude]], 0,4)</f>
        <v/>
      </c>
      <c r="W121" s="62" t="str" cm="1">
        <f t="array" ref="W121">Common_InputFunctions.Utility_DisplayArrayInTable(Fertiliser_SourceData.Fertiliser_Products_Data1(),FertiliserProducts[[#Headers],[Include or Exclude]], 0,4)</f>
        <v/>
      </c>
      <c r="X121" s="62" t="str" cm="1">
        <f t="array" ref="X121">Common_InputFunctions.Utility_DisplayArrayInTable(Fertiliser_SourceData.Fertiliser_Products_Data1(),FertiliserProducts[[#Headers],[Include or Exclude]], 0,4)</f>
        <v/>
      </c>
      <c r="Y121" s="62" t="str" cm="1">
        <f t="array" ref="Y121">Common_InputFunctions.Utility_DisplayArrayInTable(Fertiliser_SourceData.Fertiliser_Products_Data1(),FertiliserProducts[[#Headers],[Include or Exclude]], 0,4)</f>
        <v/>
      </c>
      <c r="Z121" s="62" t="str" cm="1">
        <f t="array" ref="Z121">Common_InputFunctions.Utility_DisplayArrayInTable(Fertiliser_SourceData.Fertiliser_Products_Data1(),FertiliserProducts[[#Headers],[Include or Exclude]], 0,4)</f>
        <v/>
      </c>
      <c r="AA121" s="62" t="str" cm="1">
        <f t="array" ref="AA121">Common_InputFunctions.Utility_DisplayArrayInTable(Fertiliser_SourceData.Fertiliser_Products_Data1(),FertiliserProducts[[#Headers],[Include or Exclude]], 0,4)</f>
        <v/>
      </c>
      <c r="AB121" s="62" t="str" cm="1">
        <f t="array" ref="AB121">Common_InputFunctions.Utility_DisplayArrayInTable(Fertiliser_SourceData.Fertiliser_Products_Data1(),FertiliserProducts[[#Headers],[Include or Exclude]], 0,4)</f>
        <v/>
      </c>
      <c r="AC121" s="62" t="str" cm="1">
        <f t="array" ref="AC121">Common_InputFunctions.Utility_DisplayArrayInTable(Fertiliser_SourceData.Fertiliser_Products_Data1(),FertiliserProducts[[#Headers],[Include or Exclude]], 0,4)</f>
        <v/>
      </c>
      <c r="AD121" s="62" t="str" cm="1">
        <f t="array" ref="AD121">Common_InputFunctions.Utility_DisplayArrayInTable(Fertiliser_SourceData.Fertiliser_Products_Data1(),FertiliserProducts[[#Headers],[Include or Exclude]], 0,4)</f>
        <v/>
      </c>
      <c r="AE121" s="62" t="str" cm="1">
        <f t="array" ref="AE121">Common_InputFunctions.Utility_DisplayArrayInTable(Fertiliser_SourceData.Fertiliser_Products_Data1(),FertiliserProducts[[#Headers],[Include or Exclude]], 0,4)</f>
        <v/>
      </c>
    </row>
    <row r="122" spans="1:31" ht="20.100000000000001" customHeight="1" x14ac:dyDescent="0.25">
      <c r="A122"/>
      <c r="D122" s="62" t="str" cm="1">
        <f t="array" ref="D122">Common_InputFunctions.Utility_DisplayArrayInTable(Fertiliser_SourceData.Fertiliser_Products_Data1(),FertiliserProducts[[#Headers],[Include or Exclude]], -1)</f>
        <v/>
      </c>
      <c r="E122" s="62" t="str" cm="1">
        <f t="array" ref="E122">Common_InputFunctions.Utility_DisplayArrayInTable(Fertiliser_SourceData.Fertiliser_Products_Data1(),FertiliserProducts[[#Headers],[Include or Exclude]], 0)</f>
        <v/>
      </c>
      <c r="F122" s="62" t="str" cm="1">
        <f t="array" ref="F122">Common_InputFunctions.Utility_DisplayArrayInTable(Fertiliser_SourceData.Fertiliser_Products_Data1(),FertiliserProducts[[#Headers],[Include or Exclude]], 0)</f>
        <v/>
      </c>
      <c r="G122" s="62" t="str" cm="1">
        <f t="array" ref="G122">Common_InputFunctions.Utility_DisplayArrayInTable(Fertiliser_SourceData.Fertiliser_Products_Data1(),FertiliserProducts[[#Headers],[Include or Exclude]], 0)</f>
        <v/>
      </c>
      <c r="H122" s="62" t="str" cm="1">
        <f t="array" ref="H122">Common_InputFunctions.Utility_DisplayArrayInTable(Fertiliser_SourceData.Fertiliser_Products_Data1(),FertiliserProducts[[#Headers],[Include or Exclude]], 0,4)</f>
        <v/>
      </c>
      <c r="I122" s="62" t="str" cm="1">
        <f t="array" ref="I122">Common_InputFunctions.Utility_DisplayArrayInTable(Fertiliser_SourceData.Fertiliser_Products_Data1(),FertiliserProducts[[#Headers],[Include or Exclude]], 0,4)</f>
        <v/>
      </c>
      <c r="J122" s="62" t="str" cm="1">
        <f t="array" ref="J122">Common_InputFunctions.Utility_DisplayArrayInTable(Fertiliser_SourceData.Fertiliser_Products_Data1(),FertiliserProducts[[#Headers],[Include or Exclude]], 0,4)</f>
        <v/>
      </c>
      <c r="K122" s="62" t="str" cm="1">
        <f t="array" ref="K122">Common_InputFunctions.Utility_DisplayArrayInTable(Fertiliser_SourceData.Fertiliser_Products_Data1(),FertiliserProducts[[#Headers],[Include or Exclude]], 0,4)</f>
        <v/>
      </c>
      <c r="L122" s="62" t="str" cm="1">
        <f t="array" ref="L122">Common_InputFunctions.Utility_DisplayArrayInTable(Fertiliser_SourceData.Fertiliser_Products_Data1(),FertiliserProducts[[#Headers],[Include or Exclude]], 0,4)</f>
        <v/>
      </c>
      <c r="M122" s="62" t="str" cm="1">
        <f t="array" ref="M122">Common_InputFunctions.Utility_DisplayArrayInTable(Fertiliser_SourceData.Fertiliser_Products_Data1(),FertiliserProducts[[#Headers],[Include or Exclude]], 0,4)</f>
        <v/>
      </c>
      <c r="N122" s="62" t="str" cm="1">
        <f t="array" ref="N122">Common_InputFunctions.Utility_DisplayArrayInTable(Fertiliser_SourceData.Fertiliser_Products_Data1(),FertiliserProducts[[#Headers],[Include or Exclude]], 0,4)</f>
        <v/>
      </c>
      <c r="O122" s="62" t="str" cm="1">
        <f t="array" ref="O122">Common_InputFunctions.Utility_DisplayArrayInTable(Fertiliser_SourceData.Fertiliser_Products_Data1(),FertiliserProducts[[#Headers],[Include or Exclude]], 0,4)</f>
        <v/>
      </c>
      <c r="P122" s="62" t="str" cm="1">
        <f t="array" ref="P122">Common_InputFunctions.Utility_DisplayArrayInTable(Fertiliser_SourceData.Fertiliser_Products_Data1(),FertiliserProducts[[#Headers],[Include or Exclude]], 0,4)</f>
        <v/>
      </c>
      <c r="Q122" s="62" t="str" cm="1">
        <f t="array" ref="Q122">Common_InputFunctions.Utility_DisplayArrayInTable(Fertiliser_SourceData.Fertiliser_Products_Data1(),FertiliserProducts[[#Headers],[Include or Exclude]], 0,4)</f>
        <v/>
      </c>
      <c r="R122" s="62" t="str" cm="1">
        <f t="array" ref="R122">Common_InputFunctions.Utility_DisplayArrayInTable(Fertiliser_SourceData.Fertiliser_Products_Data1(),FertiliserProducts[[#Headers],[Include or Exclude]], 0,4)</f>
        <v/>
      </c>
      <c r="S122" s="62" t="str" cm="1">
        <f t="array" ref="S122">Common_InputFunctions.Utility_DisplayArrayInTable(Fertiliser_SourceData.Fertiliser_Products_Data1(),FertiliserProducts[[#Headers],[Include or Exclude]], 0,4)</f>
        <v/>
      </c>
      <c r="T122" s="62" t="str" cm="1">
        <f t="array" ref="T122">Common_InputFunctions.Utility_DisplayArrayInTable(Fertiliser_SourceData.Fertiliser_Products_Data1(),FertiliserProducts[[#Headers],[Include or Exclude]], 0,4)</f>
        <v/>
      </c>
      <c r="U122" s="62" t="str" cm="1">
        <f t="array" ref="U122">Common_InputFunctions.Utility_DisplayArrayInTable(Fertiliser_SourceData.Fertiliser_Products_Data1(),FertiliserProducts[[#Headers],[Include or Exclude]], 0,4)</f>
        <v/>
      </c>
      <c r="V122" s="62" t="str" cm="1">
        <f t="array" ref="V122">Common_InputFunctions.Utility_DisplayArrayInTable(Fertiliser_SourceData.Fertiliser_Products_Data1(),FertiliserProducts[[#Headers],[Include or Exclude]], 0,4)</f>
        <v/>
      </c>
      <c r="W122" s="62" t="str" cm="1">
        <f t="array" ref="W122">Common_InputFunctions.Utility_DisplayArrayInTable(Fertiliser_SourceData.Fertiliser_Products_Data1(),FertiliserProducts[[#Headers],[Include or Exclude]], 0,4)</f>
        <v/>
      </c>
      <c r="X122" s="62" t="str" cm="1">
        <f t="array" ref="X122">Common_InputFunctions.Utility_DisplayArrayInTable(Fertiliser_SourceData.Fertiliser_Products_Data1(),FertiliserProducts[[#Headers],[Include or Exclude]], 0,4)</f>
        <v/>
      </c>
      <c r="Y122" s="62" t="str" cm="1">
        <f t="array" ref="Y122">Common_InputFunctions.Utility_DisplayArrayInTable(Fertiliser_SourceData.Fertiliser_Products_Data1(),FertiliserProducts[[#Headers],[Include or Exclude]], 0,4)</f>
        <v/>
      </c>
      <c r="Z122" s="62" t="str" cm="1">
        <f t="array" ref="Z122">Common_InputFunctions.Utility_DisplayArrayInTable(Fertiliser_SourceData.Fertiliser_Products_Data1(),FertiliserProducts[[#Headers],[Include or Exclude]], 0,4)</f>
        <v/>
      </c>
      <c r="AA122" s="62" t="str" cm="1">
        <f t="array" ref="AA122">Common_InputFunctions.Utility_DisplayArrayInTable(Fertiliser_SourceData.Fertiliser_Products_Data1(),FertiliserProducts[[#Headers],[Include or Exclude]], 0,4)</f>
        <v/>
      </c>
      <c r="AB122" s="62" t="str" cm="1">
        <f t="array" ref="AB122">Common_InputFunctions.Utility_DisplayArrayInTable(Fertiliser_SourceData.Fertiliser_Products_Data1(),FertiliserProducts[[#Headers],[Include or Exclude]], 0,4)</f>
        <v/>
      </c>
      <c r="AC122" s="62" t="str" cm="1">
        <f t="array" ref="AC122">Common_InputFunctions.Utility_DisplayArrayInTable(Fertiliser_SourceData.Fertiliser_Products_Data1(),FertiliserProducts[[#Headers],[Include or Exclude]], 0,4)</f>
        <v/>
      </c>
      <c r="AD122" s="62" t="str" cm="1">
        <f t="array" ref="AD122">Common_InputFunctions.Utility_DisplayArrayInTable(Fertiliser_SourceData.Fertiliser_Products_Data1(),FertiliserProducts[[#Headers],[Include or Exclude]], 0,4)</f>
        <v/>
      </c>
      <c r="AE122" s="62" t="str" cm="1">
        <f t="array" ref="AE122">Common_InputFunctions.Utility_DisplayArrayInTable(Fertiliser_SourceData.Fertiliser_Products_Data1(),FertiliserProducts[[#Headers],[Include or Exclude]], 0,4)</f>
        <v/>
      </c>
    </row>
    <row r="123" spans="1:31" ht="20.100000000000001" customHeight="1" x14ac:dyDescent="0.25">
      <c r="A123"/>
      <c r="D123" s="62" t="str" cm="1">
        <f t="array" ref="D123">Common_InputFunctions.Utility_DisplayArrayInTable(Fertiliser_SourceData.Fertiliser_Products_Data1(),FertiliserProducts[[#Headers],[Include or Exclude]], -1)</f>
        <v/>
      </c>
      <c r="E123" s="62" t="str" cm="1">
        <f t="array" ref="E123">Common_InputFunctions.Utility_DisplayArrayInTable(Fertiliser_SourceData.Fertiliser_Products_Data1(),FertiliserProducts[[#Headers],[Include or Exclude]], 0)</f>
        <v/>
      </c>
      <c r="F123" s="62" t="str" cm="1">
        <f t="array" ref="F123">Common_InputFunctions.Utility_DisplayArrayInTable(Fertiliser_SourceData.Fertiliser_Products_Data1(),FertiliserProducts[[#Headers],[Include or Exclude]], 0)</f>
        <v/>
      </c>
      <c r="G123" s="62" t="str" cm="1">
        <f t="array" ref="G123">Common_InputFunctions.Utility_DisplayArrayInTable(Fertiliser_SourceData.Fertiliser_Products_Data1(),FertiliserProducts[[#Headers],[Include or Exclude]], 0)</f>
        <v/>
      </c>
      <c r="H123" s="62" t="str" cm="1">
        <f t="array" ref="H123">Common_InputFunctions.Utility_DisplayArrayInTable(Fertiliser_SourceData.Fertiliser_Products_Data1(),FertiliserProducts[[#Headers],[Include or Exclude]], 0,4)</f>
        <v/>
      </c>
      <c r="I123" s="62" t="str" cm="1">
        <f t="array" ref="I123">Common_InputFunctions.Utility_DisplayArrayInTable(Fertiliser_SourceData.Fertiliser_Products_Data1(),FertiliserProducts[[#Headers],[Include or Exclude]], 0,4)</f>
        <v/>
      </c>
      <c r="J123" s="62" t="str" cm="1">
        <f t="array" ref="J123">Common_InputFunctions.Utility_DisplayArrayInTable(Fertiliser_SourceData.Fertiliser_Products_Data1(),FertiliserProducts[[#Headers],[Include or Exclude]], 0,4)</f>
        <v/>
      </c>
      <c r="K123" s="62" t="str" cm="1">
        <f t="array" ref="K123">Common_InputFunctions.Utility_DisplayArrayInTable(Fertiliser_SourceData.Fertiliser_Products_Data1(),FertiliserProducts[[#Headers],[Include or Exclude]], 0,4)</f>
        <v/>
      </c>
      <c r="L123" s="62" t="str" cm="1">
        <f t="array" ref="L123">Common_InputFunctions.Utility_DisplayArrayInTable(Fertiliser_SourceData.Fertiliser_Products_Data1(),FertiliserProducts[[#Headers],[Include or Exclude]], 0,4)</f>
        <v/>
      </c>
      <c r="M123" s="62" t="str" cm="1">
        <f t="array" ref="M123">Common_InputFunctions.Utility_DisplayArrayInTable(Fertiliser_SourceData.Fertiliser_Products_Data1(),FertiliserProducts[[#Headers],[Include or Exclude]], 0,4)</f>
        <v/>
      </c>
      <c r="N123" s="62" t="str" cm="1">
        <f t="array" ref="N123">Common_InputFunctions.Utility_DisplayArrayInTable(Fertiliser_SourceData.Fertiliser_Products_Data1(),FertiliserProducts[[#Headers],[Include or Exclude]], 0,4)</f>
        <v/>
      </c>
      <c r="O123" s="62" t="str" cm="1">
        <f t="array" ref="O123">Common_InputFunctions.Utility_DisplayArrayInTable(Fertiliser_SourceData.Fertiliser_Products_Data1(),FertiliserProducts[[#Headers],[Include or Exclude]], 0,4)</f>
        <v/>
      </c>
      <c r="P123" s="62" t="str" cm="1">
        <f t="array" ref="P123">Common_InputFunctions.Utility_DisplayArrayInTable(Fertiliser_SourceData.Fertiliser_Products_Data1(),FertiliserProducts[[#Headers],[Include or Exclude]], 0,4)</f>
        <v/>
      </c>
      <c r="Q123" s="62" t="str" cm="1">
        <f t="array" ref="Q123">Common_InputFunctions.Utility_DisplayArrayInTable(Fertiliser_SourceData.Fertiliser_Products_Data1(),FertiliserProducts[[#Headers],[Include or Exclude]], 0,4)</f>
        <v/>
      </c>
      <c r="R123" s="62" t="str" cm="1">
        <f t="array" ref="R123">Common_InputFunctions.Utility_DisplayArrayInTable(Fertiliser_SourceData.Fertiliser_Products_Data1(),FertiliserProducts[[#Headers],[Include or Exclude]], 0,4)</f>
        <v/>
      </c>
      <c r="S123" s="62" t="str" cm="1">
        <f t="array" ref="S123">Common_InputFunctions.Utility_DisplayArrayInTable(Fertiliser_SourceData.Fertiliser_Products_Data1(),FertiliserProducts[[#Headers],[Include or Exclude]], 0,4)</f>
        <v/>
      </c>
      <c r="T123" s="62" t="str" cm="1">
        <f t="array" ref="T123">Common_InputFunctions.Utility_DisplayArrayInTable(Fertiliser_SourceData.Fertiliser_Products_Data1(),FertiliserProducts[[#Headers],[Include or Exclude]], 0,4)</f>
        <v/>
      </c>
      <c r="U123" s="62" t="str" cm="1">
        <f t="array" ref="U123">Common_InputFunctions.Utility_DisplayArrayInTable(Fertiliser_SourceData.Fertiliser_Products_Data1(),FertiliserProducts[[#Headers],[Include or Exclude]], 0,4)</f>
        <v/>
      </c>
      <c r="V123" s="62" t="str" cm="1">
        <f t="array" ref="V123">Common_InputFunctions.Utility_DisplayArrayInTable(Fertiliser_SourceData.Fertiliser_Products_Data1(),FertiliserProducts[[#Headers],[Include or Exclude]], 0,4)</f>
        <v/>
      </c>
      <c r="W123" s="62" t="str" cm="1">
        <f t="array" ref="W123">Common_InputFunctions.Utility_DisplayArrayInTable(Fertiliser_SourceData.Fertiliser_Products_Data1(),FertiliserProducts[[#Headers],[Include or Exclude]], 0,4)</f>
        <v/>
      </c>
      <c r="X123" s="62" t="str" cm="1">
        <f t="array" ref="X123">Common_InputFunctions.Utility_DisplayArrayInTable(Fertiliser_SourceData.Fertiliser_Products_Data1(),FertiliserProducts[[#Headers],[Include or Exclude]], 0,4)</f>
        <v/>
      </c>
      <c r="Y123" s="62" t="str" cm="1">
        <f t="array" ref="Y123">Common_InputFunctions.Utility_DisplayArrayInTable(Fertiliser_SourceData.Fertiliser_Products_Data1(),FertiliserProducts[[#Headers],[Include or Exclude]], 0,4)</f>
        <v/>
      </c>
      <c r="Z123" s="62" t="str" cm="1">
        <f t="array" ref="Z123">Common_InputFunctions.Utility_DisplayArrayInTable(Fertiliser_SourceData.Fertiliser_Products_Data1(),FertiliserProducts[[#Headers],[Include or Exclude]], 0,4)</f>
        <v/>
      </c>
      <c r="AA123" s="62" t="str" cm="1">
        <f t="array" ref="AA123">Common_InputFunctions.Utility_DisplayArrayInTable(Fertiliser_SourceData.Fertiliser_Products_Data1(),FertiliserProducts[[#Headers],[Include or Exclude]], 0,4)</f>
        <v/>
      </c>
      <c r="AB123" s="62" t="str" cm="1">
        <f t="array" ref="AB123">Common_InputFunctions.Utility_DisplayArrayInTable(Fertiliser_SourceData.Fertiliser_Products_Data1(),FertiliserProducts[[#Headers],[Include or Exclude]], 0,4)</f>
        <v/>
      </c>
      <c r="AC123" s="62" t="str" cm="1">
        <f t="array" ref="AC123">Common_InputFunctions.Utility_DisplayArrayInTable(Fertiliser_SourceData.Fertiliser_Products_Data1(),FertiliserProducts[[#Headers],[Include or Exclude]], 0,4)</f>
        <v/>
      </c>
      <c r="AD123" s="62" t="str" cm="1">
        <f t="array" ref="AD123">Common_InputFunctions.Utility_DisplayArrayInTable(Fertiliser_SourceData.Fertiliser_Products_Data1(),FertiliserProducts[[#Headers],[Include or Exclude]], 0,4)</f>
        <v/>
      </c>
      <c r="AE123" s="62" t="str" cm="1">
        <f t="array" ref="AE123">Common_InputFunctions.Utility_DisplayArrayInTable(Fertiliser_SourceData.Fertiliser_Products_Data1(),FertiliserProducts[[#Headers],[Include or Exclude]], 0,4)</f>
        <v/>
      </c>
    </row>
    <row r="124" spans="1:31" ht="20.100000000000001" customHeight="1" x14ac:dyDescent="0.25">
      <c r="A124"/>
      <c r="D124" s="62" t="str" cm="1">
        <f t="array" ref="D124">Common_InputFunctions.Utility_DisplayArrayInTable(Fertiliser_SourceData.Fertiliser_Products_Data1(),FertiliserProducts[[#Headers],[Include or Exclude]], -1)</f>
        <v/>
      </c>
      <c r="E124" s="62" t="str" cm="1">
        <f t="array" ref="E124">Common_InputFunctions.Utility_DisplayArrayInTable(Fertiliser_SourceData.Fertiliser_Products_Data1(),FertiliserProducts[[#Headers],[Include or Exclude]], 0)</f>
        <v/>
      </c>
      <c r="F124" s="62" t="str" cm="1">
        <f t="array" ref="F124">Common_InputFunctions.Utility_DisplayArrayInTable(Fertiliser_SourceData.Fertiliser_Products_Data1(),FertiliserProducts[[#Headers],[Include or Exclude]], 0)</f>
        <v/>
      </c>
      <c r="G124" s="62" t="str" cm="1">
        <f t="array" ref="G124">Common_InputFunctions.Utility_DisplayArrayInTable(Fertiliser_SourceData.Fertiliser_Products_Data1(),FertiliserProducts[[#Headers],[Include or Exclude]], 0)</f>
        <v/>
      </c>
      <c r="H124" s="62" t="str" cm="1">
        <f t="array" ref="H124">Common_InputFunctions.Utility_DisplayArrayInTable(Fertiliser_SourceData.Fertiliser_Products_Data1(),FertiliserProducts[[#Headers],[Include or Exclude]], 0,4)</f>
        <v/>
      </c>
      <c r="I124" s="62" t="str" cm="1">
        <f t="array" ref="I124">Common_InputFunctions.Utility_DisplayArrayInTable(Fertiliser_SourceData.Fertiliser_Products_Data1(),FertiliserProducts[[#Headers],[Include or Exclude]], 0,4)</f>
        <v/>
      </c>
      <c r="J124" s="62" t="str" cm="1">
        <f t="array" ref="J124">Common_InputFunctions.Utility_DisplayArrayInTable(Fertiliser_SourceData.Fertiliser_Products_Data1(),FertiliserProducts[[#Headers],[Include or Exclude]], 0,4)</f>
        <v/>
      </c>
      <c r="K124" s="62" t="str" cm="1">
        <f t="array" ref="K124">Common_InputFunctions.Utility_DisplayArrayInTable(Fertiliser_SourceData.Fertiliser_Products_Data1(),FertiliserProducts[[#Headers],[Include or Exclude]], 0,4)</f>
        <v/>
      </c>
      <c r="L124" s="62" t="str" cm="1">
        <f t="array" ref="L124">Common_InputFunctions.Utility_DisplayArrayInTable(Fertiliser_SourceData.Fertiliser_Products_Data1(),FertiliserProducts[[#Headers],[Include or Exclude]], 0,4)</f>
        <v/>
      </c>
      <c r="M124" s="62" t="str" cm="1">
        <f t="array" ref="M124">Common_InputFunctions.Utility_DisplayArrayInTable(Fertiliser_SourceData.Fertiliser_Products_Data1(),FertiliserProducts[[#Headers],[Include or Exclude]], 0,4)</f>
        <v/>
      </c>
      <c r="N124" s="62" t="str" cm="1">
        <f t="array" ref="N124">Common_InputFunctions.Utility_DisplayArrayInTable(Fertiliser_SourceData.Fertiliser_Products_Data1(),FertiliserProducts[[#Headers],[Include or Exclude]], 0,4)</f>
        <v/>
      </c>
      <c r="O124" s="62" t="str" cm="1">
        <f t="array" ref="O124">Common_InputFunctions.Utility_DisplayArrayInTable(Fertiliser_SourceData.Fertiliser_Products_Data1(),FertiliserProducts[[#Headers],[Include or Exclude]], 0,4)</f>
        <v/>
      </c>
      <c r="P124" s="62" t="str" cm="1">
        <f t="array" ref="P124">Common_InputFunctions.Utility_DisplayArrayInTable(Fertiliser_SourceData.Fertiliser_Products_Data1(),FertiliserProducts[[#Headers],[Include or Exclude]], 0,4)</f>
        <v/>
      </c>
      <c r="Q124" s="62" t="str" cm="1">
        <f t="array" ref="Q124">Common_InputFunctions.Utility_DisplayArrayInTable(Fertiliser_SourceData.Fertiliser_Products_Data1(),FertiliserProducts[[#Headers],[Include or Exclude]], 0,4)</f>
        <v/>
      </c>
      <c r="R124" s="62" t="str" cm="1">
        <f t="array" ref="R124">Common_InputFunctions.Utility_DisplayArrayInTable(Fertiliser_SourceData.Fertiliser_Products_Data1(),FertiliserProducts[[#Headers],[Include or Exclude]], 0,4)</f>
        <v/>
      </c>
      <c r="S124" s="62" t="str" cm="1">
        <f t="array" ref="S124">Common_InputFunctions.Utility_DisplayArrayInTable(Fertiliser_SourceData.Fertiliser_Products_Data1(),FertiliserProducts[[#Headers],[Include or Exclude]], 0,4)</f>
        <v/>
      </c>
      <c r="T124" s="62" t="str" cm="1">
        <f t="array" ref="T124">Common_InputFunctions.Utility_DisplayArrayInTable(Fertiliser_SourceData.Fertiliser_Products_Data1(),FertiliserProducts[[#Headers],[Include or Exclude]], 0,4)</f>
        <v/>
      </c>
      <c r="U124" s="62" t="str" cm="1">
        <f t="array" ref="U124">Common_InputFunctions.Utility_DisplayArrayInTable(Fertiliser_SourceData.Fertiliser_Products_Data1(),FertiliserProducts[[#Headers],[Include or Exclude]], 0,4)</f>
        <v/>
      </c>
      <c r="V124" s="62" t="str" cm="1">
        <f t="array" ref="V124">Common_InputFunctions.Utility_DisplayArrayInTable(Fertiliser_SourceData.Fertiliser_Products_Data1(),FertiliserProducts[[#Headers],[Include or Exclude]], 0,4)</f>
        <v/>
      </c>
      <c r="W124" s="62" t="str" cm="1">
        <f t="array" ref="W124">Common_InputFunctions.Utility_DisplayArrayInTable(Fertiliser_SourceData.Fertiliser_Products_Data1(),FertiliserProducts[[#Headers],[Include or Exclude]], 0,4)</f>
        <v/>
      </c>
      <c r="X124" s="62" t="str" cm="1">
        <f t="array" ref="X124">Common_InputFunctions.Utility_DisplayArrayInTable(Fertiliser_SourceData.Fertiliser_Products_Data1(),FertiliserProducts[[#Headers],[Include or Exclude]], 0,4)</f>
        <v/>
      </c>
      <c r="Y124" s="62" t="str" cm="1">
        <f t="array" ref="Y124">Common_InputFunctions.Utility_DisplayArrayInTable(Fertiliser_SourceData.Fertiliser_Products_Data1(),FertiliserProducts[[#Headers],[Include or Exclude]], 0,4)</f>
        <v/>
      </c>
      <c r="Z124" s="62" t="str" cm="1">
        <f t="array" ref="Z124">Common_InputFunctions.Utility_DisplayArrayInTable(Fertiliser_SourceData.Fertiliser_Products_Data1(),FertiliserProducts[[#Headers],[Include or Exclude]], 0,4)</f>
        <v/>
      </c>
      <c r="AA124" s="62" t="str" cm="1">
        <f t="array" ref="AA124">Common_InputFunctions.Utility_DisplayArrayInTable(Fertiliser_SourceData.Fertiliser_Products_Data1(),FertiliserProducts[[#Headers],[Include or Exclude]], 0,4)</f>
        <v/>
      </c>
      <c r="AB124" s="62" t="str" cm="1">
        <f t="array" ref="AB124">Common_InputFunctions.Utility_DisplayArrayInTable(Fertiliser_SourceData.Fertiliser_Products_Data1(),FertiliserProducts[[#Headers],[Include or Exclude]], 0,4)</f>
        <v/>
      </c>
      <c r="AC124" s="62" t="str" cm="1">
        <f t="array" ref="AC124">Common_InputFunctions.Utility_DisplayArrayInTable(Fertiliser_SourceData.Fertiliser_Products_Data1(),FertiliserProducts[[#Headers],[Include or Exclude]], 0,4)</f>
        <v/>
      </c>
      <c r="AD124" s="62" t="str" cm="1">
        <f t="array" ref="AD124">Common_InputFunctions.Utility_DisplayArrayInTable(Fertiliser_SourceData.Fertiliser_Products_Data1(),FertiliserProducts[[#Headers],[Include or Exclude]], 0,4)</f>
        <v/>
      </c>
      <c r="AE124" s="62" t="str" cm="1">
        <f t="array" ref="AE124">Common_InputFunctions.Utility_DisplayArrayInTable(Fertiliser_SourceData.Fertiliser_Products_Data1(),FertiliserProducts[[#Headers],[Include or Exclude]], 0,4)</f>
        <v/>
      </c>
    </row>
    <row r="125" spans="1:31" ht="20.100000000000001" customHeight="1" x14ac:dyDescent="0.25">
      <c r="A125"/>
      <c r="D125" s="62" t="str" cm="1">
        <f t="array" ref="D125">Common_InputFunctions.Utility_DisplayArrayInTable(Fertiliser_SourceData.Fertiliser_Products_Data1(),FertiliserProducts[[#Headers],[Include or Exclude]], -1)</f>
        <v/>
      </c>
      <c r="E125" s="62" t="str" cm="1">
        <f t="array" ref="E125">Common_InputFunctions.Utility_DisplayArrayInTable(Fertiliser_SourceData.Fertiliser_Products_Data1(),FertiliserProducts[[#Headers],[Include or Exclude]], 0)</f>
        <v/>
      </c>
      <c r="F125" s="62" t="str" cm="1">
        <f t="array" ref="F125">Common_InputFunctions.Utility_DisplayArrayInTable(Fertiliser_SourceData.Fertiliser_Products_Data1(),FertiliserProducts[[#Headers],[Include or Exclude]], 0)</f>
        <v/>
      </c>
      <c r="G125" s="62" t="str" cm="1">
        <f t="array" ref="G125">Common_InputFunctions.Utility_DisplayArrayInTable(Fertiliser_SourceData.Fertiliser_Products_Data1(),FertiliserProducts[[#Headers],[Include or Exclude]], 0)</f>
        <v/>
      </c>
      <c r="H125" s="62" t="str" cm="1">
        <f t="array" ref="H125">Common_InputFunctions.Utility_DisplayArrayInTable(Fertiliser_SourceData.Fertiliser_Products_Data1(),FertiliserProducts[[#Headers],[Include or Exclude]], 0,4)</f>
        <v/>
      </c>
      <c r="I125" s="62" t="str" cm="1">
        <f t="array" ref="I125">Common_InputFunctions.Utility_DisplayArrayInTable(Fertiliser_SourceData.Fertiliser_Products_Data1(),FertiliserProducts[[#Headers],[Include or Exclude]], 0,4)</f>
        <v/>
      </c>
      <c r="J125" s="62" t="str" cm="1">
        <f t="array" ref="J125">Common_InputFunctions.Utility_DisplayArrayInTable(Fertiliser_SourceData.Fertiliser_Products_Data1(),FertiliserProducts[[#Headers],[Include or Exclude]], 0,4)</f>
        <v/>
      </c>
      <c r="K125" s="62" t="str" cm="1">
        <f t="array" ref="K125">Common_InputFunctions.Utility_DisplayArrayInTable(Fertiliser_SourceData.Fertiliser_Products_Data1(),FertiliserProducts[[#Headers],[Include or Exclude]], 0,4)</f>
        <v/>
      </c>
      <c r="L125" s="62" t="str" cm="1">
        <f t="array" ref="L125">Common_InputFunctions.Utility_DisplayArrayInTable(Fertiliser_SourceData.Fertiliser_Products_Data1(),FertiliserProducts[[#Headers],[Include or Exclude]], 0,4)</f>
        <v/>
      </c>
      <c r="M125" s="62" t="str" cm="1">
        <f t="array" ref="M125">Common_InputFunctions.Utility_DisplayArrayInTable(Fertiliser_SourceData.Fertiliser_Products_Data1(),FertiliserProducts[[#Headers],[Include or Exclude]], 0,4)</f>
        <v/>
      </c>
      <c r="N125" s="62" t="str" cm="1">
        <f t="array" ref="N125">Common_InputFunctions.Utility_DisplayArrayInTable(Fertiliser_SourceData.Fertiliser_Products_Data1(),FertiliserProducts[[#Headers],[Include or Exclude]], 0,4)</f>
        <v/>
      </c>
      <c r="O125" s="62" t="str" cm="1">
        <f t="array" ref="O125">Common_InputFunctions.Utility_DisplayArrayInTable(Fertiliser_SourceData.Fertiliser_Products_Data1(),FertiliserProducts[[#Headers],[Include or Exclude]], 0,4)</f>
        <v/>
      </c>
      <c r="P125" s="62" t="str" cm="1">
        <f t="array" ref="P125">Common_InputFunctions.Utility_DisplayArrayInTable(Fertiliser_SourceData.Fertiliser_Products_Data1(),FertiliserProducts[[#Headers],[Include or Exclude]], 0,4)</f>
        <v/>
      </c>
      <c r="Q125" s="62" t="str" cm="1">
        <f t="array" ref="Q125">Common_InputFunctions.Utility_DisplayArrayInTable(Fertiliser_SourceData.Fertiliser_Products_Data1(),FertiliserProducts[[#Headers],[Include or Exclude]], 0,4)</f>
        <v/>
      </c>
      <c r="R125" s="62" t="str" cm="1">
        <f t="array" ref="R125">Common_InputFunctions.Utility_DisplayArrayInTable(Fertiliser_SourceData.Fertiliser_Products_Data1(),FertiliserProducts[[#Headers],[Include or Exclude]], 0,4)</f>
        <v/>
      </c>
      <c r="S125" s="62" t="str" cm="1">
        <f t="array" ref="S125">Common_InputFunctions.Utility_DisplayArrayInTable(Fertiliser_SourceData.Fertiliser_Products_Data1(),FertiliserProducts[[#Headers],[Include or Exclude]], 0,4)</f>
        <v/>
      </c>
      <c r="T125" s="62" t="str" cm="1">
        <f t="array" ref="T125">Common_InputFunctions.Utility_DisplayArrayInTable(Fertiliser_SourceData.Fertiliser_Products_Data1(),FertiliserProducts[[#Headers],[Include or Exclude]], 0,4)</f>
        <v/>
      </c>
      <c r="U125" s="62" t="str" cm="1">
        <f t="array" ref="U125">Common_InputFunctions.Utility_DisplayArrayInTable(Fertiliser_SourceData.Fertiliser_Products_Data1(),FertiliserProducts[[#Headers],[Include or Exclude]], 0,4)</f>
        <v/>
      </c>
      <c r="V125" s="62" t="str" cm="1">
        <f t="array" ref="V125">Common_InputFunctions.Utility_DisplayArrayInTable(Fertiliser_SourceData.Fertiliser_Products_Data1(),FertiliserProducts[[#Headers],[Include or Exclude]], 0,4)</f>
        <v/>
      </c>
      <c r="W125" s="62" t="str" cm="1">
        <f t="array" ref="W125">Common_InputFunctions.Utility_DisplayArrayInTable(Fertiliser_SourceData.Fertiliser_Products_Data1(),FertiliserProducts[[#Headers],[Include or Exclude]], 0,4)</f>
        <v/>
      </c>
      <c r="X125" s="62" t="str" cm="1">
        <f t="array" ref="X125">Common_InputFunctions.Utility_DisplayArrayInTable(Fertiliser_SourceData.Fertiliser_Products_Data1(),FertiliserProducts[[#Headers],[Include or Exclude]], 0,4)</f>
        <v/>
      </c>
      <c r="Y125" s="62" t="str" cm="1">
        <f t="array" ref="Y125">Common_InputFunctions.Utility_DisplayArrayInTable(Fertiliser_SourceData.Fertiliser_Products_Data1(),FertiliserProducts[[#Headers],[Include or Exclude]], 0,4)</f>
        <v/>
      </c>
      <c r="Z125" s="62" t="str" cm="1">
        <f t="array" ref="Z125">Common_InputFunctions.Utility_DisplayArrayInTable(Fertiliser_SourceData.Fertiliser_Products_Data1(),FertiliserProducts[[#Headers],[Include or Exclude]], 0,4)</f>
        <v/>
      </c>
      <c r="AA125" s="62" t="str" cm="1">
        <f t="array" ref="AA125">Common_InputFunctions.Utility_DisplayArrayInTable(Fertiliser_SourceData.Fertiliser_Products_Data1(),FertiliserProducts[[#Headers],[Include or Exclude]], 0,4)</f>
        <v/>
      </c>
      <c r="AB125" s="62" t="str" cm="1">
        <f t="array" ref="AB125">Common_InputFunctions.Utility_DisplayArrayInTable(Fertiliser_SourceData.Fertiliser_Products_Data1(),FertiliserProducts[[#Headers],[Include or Exclude]], 0,4)</f>
        <v/>
      </c>
      <c r="AC125" s="62" t="str" cm="1">
        <f t="array" ref="AC125">Common_InputFunctions.Utility_DisplayArrayInTable(Fertiliser_SourceData.Fertiliser_Products_Data1(),FertiliserProducts[[#Headers],[Include or Exclude]], 0,4)</f>
        <v/>
      </c>
      <c r="AD125" s="62" t="str" cm="1">
        <f t="array" ref="AD125">Common_InputFunctions.Utility_DisplayArrayInTable(Fertiliser_SourceData.Fertiliser_Products_Data1(),FertiliserProducts[[#Headers],[Include or Exclude]], 0,4)</f>
        <v/>
      </c>
      <c r="AE125" s="62" t="str" cm="1">
        <f t="array" ref="AE125">Common_InputFunctions.Utility_DisplayArrayInTable(Fertiliser_SourceData.Fertiliser_Products_Data1(),FertiliserProducts[[#Headers],[Include or Exclude]], 0,4)</f>
        <v/>
      </c>
    </row>
    <row r="126" spans="1:31" ht="20.100000000000001" customHeight="1" x14ac:dyDescent="0.25">
      <c r="A126"/>
      <c r="D126" s="62" t="str" cm="1">
        <f t="array" ref="D126">Common_InputFunctions.Utility_DisplayArrayInTable(Fertiliser_SourceData.Fertiliser_Products_Data1(),FertiliserProducts[[#Headers],[Include or Exclude]], -1)</f>
        <v/>
      </c>
      <c r="E126" s="62" t="str" cm="1">
        <f t="array" ref="E126">Common_InputFunctions.Utility_DisplayArrayInTable(Fertiliser_SourceData.Fertiliser_Products_Data1(),FertiliserProducts[[#Headers],[Include or Exclude]], 0)</f>
        <v/>
      </c>
      <c r="F126" s="62" t="str" cm="1">
        <f t="array" ref="F126">Common_InputFunctions.Utility_DisplayArrayInTable(Fertiliser_SourceData.Fertiliser_Products_Data1(),FertiliserProducts[[#Headers],[Include or Exclude]], 0)</f>
        <v/>
      </c>
      <c r="G126" s="62" t="str" cm="1">
        <f t="array" ref="G126">Common_InputFunctions.Utility_DisplayArrayInTable(Fertiliser_SourceData.Fertiliser_Products_Data1(),FertiliserProducts[[#Headers],[Include or Exclude]], 0)</f>
        <v/>
      </c>
      <c r="H126" s="62" t="str" cm="1">
        <f t="array" ref="H126">Common_InputFunctions.Utility_DisplayArrayInTable(Fertiliser_SourceData.Fertiliser_Products_Data1(),FertiliserProducts[[#Headers],[Include or Exclude]], 0,4)</f>
        <v/>
      </c>
      <c r="I126" s="62" t="str" cm="1">
        <f t="array" ref="I126">Common_InputFunctions.Utility_DisplayArrayInTable(Fertiliser_SourceData.Fertiliser_Products_Data1(),FertiliserProducts[[#Headers],[Include or Exclude]], 0,4)</f>
        <v/>
      </c>
      <c r="J126" s="62" t="str" cm="1">
        <f t="array" ref="J126">Common_InputFunctions.Utility_DisplayArrayInTable(Fertiliser_SourceData.Fertiliser_Products_Data1(),FertiliserProducts[[#Headers],[Include or Exclude]], 0,4)</f>
        <v/>
      </c>
      <c r="K126" s="62" t="str" cm="1">
        <f t="array" ref="K126">Common_InputFunctions.Utility_DisplayArrayInTable(Fertiliser_SourceData.Fertiliser_Products_Data1(),FertiliserProducts[[#Headers],[Include or Exclude]], 0,4)</f>
        <v/>
      </c>
      <c r="L126" s="62" t="str" cm="1">
        <f t="array" ref="L126">Common_InputFunctions.Utility_DisplayArrayInTable(Fertiliser_SourceData.Fertiliser_Products_Data1(),FertiliserProducts[[#Headers],[Include or Exclude]], 0,4)</f>
        <v/>
      </c>
      <c r="M126" s="62" t="str" cm="1">
        <f t="array" ref="M126">Common_InputFunctions.Utility_DisplayArrayInTable(Fertiliser_SourceData.Fertiliser_Products_Data1(),FertiliserProducts[[#Headers],[Include or Exclude]], 0,4)</f>
        <v/>
      </c>
      <c r="N126" s="62" t="str" cm="1">
        <f t="array" ref="N126">Common_InputFunctions.Utility_DisplayArrayInTable(Fertiliser_SourceData.Fertiliser_Products_Data1(),FertiliserProducts[[#Headers],[Include or Exclude]], 0,4)</f>
        <v/>
      </c>
      <c r="O126" s="62" t="str" cm="1">
        <f t="array" ref="O126">Common_InputFunctions.Utility_DisplayArrayInTable(Fertiliser_SourceData.Fertiliser_Products_Data1(),FertiliserProducts[[#Headers],[Include or Exclude]], 0,4)</f>
        <v/>
      </c>
      <c r="P126" s="62" t="str" cm="1">
        <f t="array" ref="P126">Common_InputFunctions.Utility_DisplayArrayInTable(Fertiliser_SourceData.Fertiliser_Products_Data1(),FertiliserProducts[[#Headers],[Include or Exclude]], 0,4)</f>
        <v/>
      </c>
      <c r="Q126" s="62" t="str" cm="1">
        <f t="array" ref="Q126">Common_InputFunctions.Utility_DisplayArrayInTable(Fertiliser_SourceData.Fertiliser_Products_Data1(),FertiliserProducts[[#Headers],[Include or Exclude]], 0,4)</f>
        <v/>
      </c>
      <c r="R126" s="62" t="str" cm="1">
        <f t="array" ref="R126">Common_InputFunctions.Utility_DisplayArrayInTable(Fertiliser_SourceData.Fertiliser_Products_Data1(),FertiliserProducts[[#Headers],[Include or Exclude]], 0,4)</f>
        <v/>
      </c>
      <c r="S126" s="62" t="str" cm="1">
        <f t="array" ref="S126">Common_InputFunctions.Utility_DisplayArrayInTable(Fertiliser_SourceData.Fertiliser_Products_Data1(),FertiliserProducts[[#Headers],[Include or Exclude]], 0,4)</f>
        <v/>
      </c>
      <c r="T126" s="62" t="str" cm="1">
        <f t="array" ref="T126">Common_InputFunctions.Utility_DisplayArrayInTable(Fertiliser_SourceData.Fertiliser_Products_Data1(),FertiliserProducts[[#Headers],[Include or Exclude]], 0,4)</f>
        <v/>
      </c>
      <c r="U126" s="62" t="str" cm="1">
        <f t="array" ref="U126">Common_InputFunctions.Utility_DisplayArrayInTable(Fertiliser_SourceData.Fertiliser_Products_Data1(),FertiliserProducts[[#Headers],[Include or Exclude]], 0,4)</f>
        <v/>
      </c>
      <c r="V126" s="62" t="str" cm="1">
        <f t="array" ref="V126">Common_InputFunctions.Utility_DisplayArrayInTable(Fertiliser_SourceData.Fertiliser_Products_Data1(),FertiliserProducts[[#Headers],[Include or Exclude]], 0,4)</f>
        <v/>
      </c>
      <c r="W126" s="62" t="str" cm="1">
        <f t="array" ref="W126">Common_InputFunctions.Utility_DisplayArrayInTable(Fertiliser_SourceData.Fertiliser_Products_Data1(),FertiliserProducts[[#Headers],[Include or Exclude]], 0,4)</f>
        <v/>
      </c>
      <c r="X126" s="62" t="str" cm="1">
        <f t="array" ref="X126">Common_InputFunctions.Utility_DisplayArrayInTable(Fertiliser_SourceData.Fertiliser_Products_Data1(),FertiliserProducts[[#Headers],[Include or Exclude]], 0,4)</f>
        <v/>
      </c>
      <c r="Y126" s="62" t="str" cm="1">
        <f t="array" ref="Y126">Common_InputFunctions.Utility_DisplayArrayInTable(Fertiliser_SourceData.Fertiliser_Products_Data1(),FertiliserProducts[[#Headers],[Include or Exclude]], 0,4)</f>
        <v/>
      </c>
      <c r="Z126" s="62" t="str" cm="1">
        <f t="array" ref="Z126">Common_InputFunctions.Utility_DisplayArrayInTable(Fertiliser_SourceData.Fertiliser_Products_Data1(),FertiliserProducts[[#Headers],[Include or Exclude]], 0,4)</f>
        <v/>
      </c>
      <c r="AA126" s="62" t="str" cm="1">
        <f t="array" ref="AA126">Common_InputFunctions.Utility_DisplayArrayInTable(Fertiliser_SourceData.Fertiliser_Products_Data1(),FertiliserProducts[[#Headers],[Include or Exclude]], 0,4)</f>
        <v/>
      </c>
      <c r="AB126" s="62" t="str" cm="1">
        <f t="array" ref="AB126">Common_InputFunctions.Utility_DisplayArrayInTable(Fertiliser_SourceData.Fertiliser_Products_Data1(),FertiliserProducts[[#Headers],[Include or Exclude]], 0,4)</f>
        <v/>
      </c>
      <c r="AC126" s="62" t="str" cm="1">
        <f t="array" ref="AC126">Common_InputFunctions.Utility_DisplayArrayInTable(Fertiliser_SourceData.Fertiliser_Products_Data1(),FertiliserProducts[[#Headers],[Include or Exclude]], 0,4)</f>
        <v/>
      </c>
      <c r="AD126" s="62" t="str" cm="1">
        <f t="array" ref="AD126">Common_InputFunctions.Utility_DisplayArrayInTable(Fertiliser_SourceData.Fertiliser_Products_Data1(),FertiliserProducts[[#Headers],[Include or Exclude]], 0,4)</f>
        <v/>
      </c>
      <c r="AE126" s="62" t="str" cm="1">
        <f t="array" ref="AE126">Common_InputFunctions.Utility_DisplayArrayInTable(Fertiliser_SourceData.Fertiliser_Products_Data1(),FertiliserProducts[[#Headers],[Include or Exclude]], 0,4)</f>
        <v/>
      </c>
    </row>
    <row r="127" spans="1:31" ht="20.100000000000001" customHeight="1" x14ac:dyDescent="0.25">
      <c r="A127"/>
      <c r="D127" s="62" t="str" cm="1">
        <f t="array" ref="D127">Common_InputFunctions.Utility_DisplayArrayInTable(Fertiliser_SourceData.Fertiliser_Products_Data1(),FertiliserProducts[[#Headers],[Include or Exclude]], -1)</f>
        <v/>
      </c>
      <c r="E127" s="62" t="str" cm="1">
        <f t="array" ref="E127">Common_InputFunctions.Utility_DisplayArrayInTable(Fertiliser_SourceData.Fertiliser_Products_Data1(),FertiliserProducts[[#Headers],[Include or Exclude]], 0)</f>
        <v/>
      </c>
      <c r="F127" s="62" t="str" cm="1">
        <f t="array" ref="F127">Common_InputFunctions.Utility_DisplayArrayInTable(Fertiliser_SourceData.Fertiliser_Products_Data1(),FertiliserProducts[[#Headers],[Include or Exclude]], 0)</f>
        <v/>
      </c>
      <c r="G127" s="62" t="str" cm="1">
        <f t="array" ref="G127">Common_InputFunctions.Utility_DisplayArrayInTable(Fertiliser_SourceData.Fertiliser_Products_Data1(),FertiliserProducts[[#Headers],[Include or Exclude]], 0)</f>
        <v/>
      </c>
      <c r="H127" s="62" t="str" cm="1">
        <f t="array" ref="H127">Common_InputFunctions.Utility_DisplayArrayInTable(Fertiliser_SourceData.Fertiliser_Products_Data1(),FertiliserProducts[[#Headers],[Include or Exclude]], 0,4)</f>
        <v/>
      </c>
      <c r="I127" s="62" t="str" cm="1">
        <f t="array" ref="I127">Common_InputFunctions.Utility_DisplayArrayInTable(Fertiliser_SourceData.Fertiliser_Products_Data1(),FertiliserProducts[[#Headers],[Include or Exclude]], 0,4)</f>
        <v/>
      </c>
      <c r="J127" s="62" t="str" cm="1">
        <f t="array" ref="J127">Common_InputFunctions.Utility_DisplayArrayInTable(Fertiliser_SourceData.Fertiliser_Products_Data1(),FertiliserProducts[[#Headers],[Include or Exclude]], 0,4)</f>
        <v/>
      </c>
      <c r="K127" s="62" t="str" cm="1">
        <f t="array" ref="K127">Common_InputFunctions.Utility_DisplayArrayInTable(Fertiliser_SourceData.Fertiliser_Products_Data1(),FertiliserProducts[[#Headers],[Include or Exclude]], 0,4)</f>
        <v/>
      </c>
      <c r="L127" s="62" t="str" cm="1">
        <f t="array" ref="L127">Common_InputFunctions.Utility_DisplayArrayInTable(Fertiliser_SourceData.Fertiliser_Products_Data1(),FertiliserProducts[[#Headers],[Include or Exclude]], 0,4)</f>
        <v/>
      </c>
      <c r="M127" s="62" t="str" cm="1">
        <f t="array" ref="M127">Common_InputFunctions.Utility_DisplayArrayInTable(Fertiliser_SourceData.Fertiliser_Products_Data1(),FertiliserProducts[[#Headers],[Include or Exclude]], 0,4)</f>
        <v/>
      </c>
      <c r="N127" s="62" t="str" cm="1">
        <f t="array" ref="N127">Common_InputFunctions.Utility_DisplayArrayInTable(Fertiliser_SourceData.Fertiliser_Products_Data1(),FertiliserProducts[[#Headers],[Include or Exclude]], 0,4)</f>
        <v/>
      </c>
      <c r="O127" s="62" t="str" cm="1">
        <f t="array" ref="O127">Common_InputFunctions.Utility_DisplayArrayInTable(Fertiliser_SourceData.Fertiliser_Products_Data1(),FertiliserProducts[[#Headers],[Include or Exclude]], 0,4)</f>
        <v/>
      </c>
      <c r="P127" s="62" t="str" cm="1">
        <f t="array" ref="P127">Common_InputFunctions.Utility_DisplayArrayInTable(Fertiliser_SourceData.Fertiliser_Products_Data1(),FertiliserProducts[[#Headers],[Include or Exclude]], 0,4)</f>
        <v/>
      </c>
      <c r="Q127" s="62" t="str" cm="1">
        <f t="array" ref="Q127">Common_InputFunctions.Utility_DisplayArrayInTable(Fertiliser_SourceData.Fertiliser_Products_Data1(),FertiliserProducts[[#Headers],[Include or Exclude]], 0,4)</f>
        <v/>
      </c>
      <c r="R127" s="62" t="str" cm="1">
        <f t="array" ref="R127">Common_InputFunctions.Utility_DisplayArrayInTable(Fertiliser_SourceData.Fertiliser_Products_Data1(),FertiliserProducts[[#Headers],[Include or Exclude]], 0,4)</f>
        <v/>
      </c>
      <c r="S127" s="62" t="str" cm="1">
        <f t="array" ref="S127">Common_InputFunctions.Utility_DisplayArrayInTable(Fertiliser_SourceData.Fertiliser_Products_Data1(),FertiliserProducts[[#Headers],[Include or Exclude]], 0,4)</f>
        <v/>
      </c>
      <c r="T127" s="62" t="str" cm="1">
        <f t="array" ref="T127">Common_InputFunctions.Utility_DisplayArrayInTable(Fertiliser_SourceData.Fertiliser_Products_Data1(),FertiliserProducts[[#Headers],[Include or Exclude]], 0,4)</f>
        <v/>
      </c>
      <c r="U127" s="62" t="str" cm="1">
        <f t="array" ref="U127">Common_InputFunctions.Utility_DisplayArrayInTable(Fertiliser_SourceData.Fertiliser_Products_Data1(),FertiliserProducts[[#Headers],[Include or Exclude]], 0,4)</f>
        <v/>
      </c>
      <c r="V127" s="62" t="str" cm="1">
        <f t="array" ref="V127">Common_InputFunctions.Utility_DisplayArrayInTable(Fertiliser_SourceData.Fertiliser_Products_Data1(),FertiliserProducts[[#Headers],[Include or Exclude]], 0,4)</f>
        <v/>
      </c>
      <c r="W127" s="62" t="str" cm="1">
        <f t="array" ref="W127">Common_InputFunctions.Utility_DisplayArrayInTable(Fertiliser_SourceData.Fertiliser_Products_Data1(),FertiliserProducts[[#Headers],[Include or Exclude]], 0,4)</f>
        <v/>
      </c>
      <c r="X127" s="62" t="str" cm="1">
        <f t="array" ref="X127">Common_InputFunctions.Utility_DisplayArrayInTable(Fertiliser_SourceData.Fertiliser_Products_Data1(),FertiliserProducts[[#Headers],[Include or Exclude]], 0,4)</f>
        <v/>
      </c>
      <c r="Y127" s="62" t="str" cm="1">
        <f t="array" ref="Y127">Common_InputFunctions.Utility_DisplayArrayInTable(Fertiliser_SourceData.Fertiliser_Products_Data1(),FertiliserProducts[[#Headers],[Include or Exclude]], 0,4)</f>
        <v/>
      </c>
      <c r="Z127" s="62" t="str" cm="1">
        <f t="array" ref="Z127">Common_InputFunctions.Utility_DisplayArrayInTable(Fertiliser_SourceData.Fertiliser_Products_Data1(),FertiliserProducts[[#Headers],[Include or Exclude]], 0,4)</f>
        <v/>
      </c>
      <c r="AA127" s="62" t="str" cm="1">
        <f t="array" ref="AA127">Common_InputFunctions.Utility_DisplayArrayInTable(Fertiliser_SourceData.Fertiliser_Products_Data1(),FertiliserProducts[[#Headers],[Include or Exclude]], 0,4)</f>
        <v/>
      </c>
      <c r="AB127" s="62" t="str" cm="1">
        <f t="array" ref="AB127">Common_InputFunctions.Utility_DisplayArrayInTable(Fertiliser_SourceData.Fertiliser_Products_Data1(),FertiliserProducts[[#Headers],[Include or Exclude]], 0,4)</f>
        <v/>
      </c>
      <c r="AC127" s="62" t="str" cm="1">
        <f t="array" ref="AC127">Common_InputFunctions.Utility_DisplayArrayInTable(Fertiliser_SourceData.Fertiliser_Products_Data1(),FertiliserProducts[[#Headers],[Include or Exclude]], 0,4)</f>
        <v/>
      </c>
      <c r="AD127" s="62" t="str" cm="1">
        <f t="array" ref="AD127">Common_InputFunctions.Utility_DisplayArrayInTable(Fertiliser_SourceData.Fertiliser_Products_Data1(),FertiliserProducts[[#Headers],[Include or Exclude]], 0,4)</f>
        <v/>
      </c>
      <c r="AE127" s="62" t="str" cm="1">
        <f t="array" ref="AE127">Common_InputFunctions.Utility_DisplayArrayInTable(Fertiliser_SourceData.Fertiliser_Products_Data1(),FertiliserProducts[[#Headers],[Include or Exclude]], 0,4)</f>
        <v/>
      </c>
    </row>
    <row r="128" spans="1:31" ht="20.100000000000001" customHeight="1" x14ac:dyDescent="0.25">
      <c r="A128"/>
      <c r="D128" s="62" t="str" cm="1">
        <f t="array" ref="D128">Common_InputFunctions.Utility_DisplayArrayInTable(Fertiliser_SourceData.Fertiliser_Products_Data1(),FertiliserProducts[[#Headers],[Include or Exclude]], -1)</f>
        <v/>
      </c>
      <c r="E128" s="62" t="str" cm="1">
        <f t="array" ref="E128">Common_InputFunctions.Utility_DisplayArrayInTable(Fertiliser_SourceData.Fertiliser_Products_Data1(),FertiliserProducts[[#Headers],[Include or Exclude]], 0)</f>
        <v/>
      </c>
      <c r="F128" s="62" t="str" cm="1">
        <f t="array" ref="F128">Common_InputFunctions.Utility_DisplayArrayInTable(Fertiliser_SourceData.Fertiliser_Products_Data1(),FertiliserProducts[[#Headers],[Include or Exclude]], 0)</f>
        <v/>
      </c>
      <c r="G128" s="62" t="str" cm="1">
        <f t="array" ref="G128">Common_InputFunctions.Utility_DisplayArrayInTable(Fertiliser_SourceData.Fertiliser_Products_Data1(),FertiliserProducts[[#Headers],[Include or Exclude]], 0)</f>
        <v/>
      </c>
      <c r="H128" s="62" t="str" cm="1">
        <f t="array" ref="H128">Common_InputFunctions.Utility_DisplayArrayInTable(Fertiliser_SourceData.Fertiliser_Products_Data1(),FertiliserProducts[[#Headers],[Include or Exclude]], 0,4)</f>
        <v/>
      </c>
      <c r="I128" s="62" t="str" cm="1">
        <f t="array" ref="I128">Common_InputFunctions.Utility_DisplayArrayInTable(Fertiliser_SourceData.Fertiliser_Products_Data1(),FertiliserProducts[[#Headers],[Include or Exclude]], 0,4)</f>
        <v/>
      </c>
      <c r="J128" s="62" t="str" cm="1">
        <f t="array" ref="J128">Common_InputFunctions.Utility_DisplayArrayInTable(Fertiliser_SourceData.Fertiliser_Products_Data1(),FertiliserProducts[[#Headers],[Include or Exclude]], 0,4)</f>
        <v/>
      </c>
      <c r="K128" s="62" t="str" cm="1">
        <f t="array" ref="K128">Common_InputFunctions.Utility_DisplayArrayInTable(Fertiliser_SourceData.Fertiliser_Products_Data1(),FertiliserProducts[[#Headers],[Include or Exclude]], 0,4)</f>
        <v/>
      </c>
      <c r="L128" s="62" t="str" cm="1">
        <f t="array" ref="L128">Common_InputFunctions.Utility_DisplayArrayInTable(Fertiliser_SourceData.Fertiliser_Products_Data1(),FertiliserProducts[[#Headers],[Include or Exclude]], 0,4)</f>
        <v/>
      </c>
      <c r="M128" s="62" t="str" cm="1">
        <f t="array" ref="M128">Common_InputFunctions.Utility_DisplayArrayInTable(Fertiliser_SourceData.Fertiliser_Products_Data1(),FertiliserProducts[[#Headers],[Include or Exclude]], 0,4)</f>
        <v/>
      </c>
      <c r="N128" s="62" t="str" cm="1">
        <f t="array" ref="N128">Common_InputFunctions.Utility_DisplayArrayInTable(Fertiliser_SourceData.Fertiliser_Products_Data1(),FertiliserProducts[[#Headers],[Include or Exclude]], 0,4)</f>
        <v/>
      </c>
      <c r="O128" s="62" t="str" cm="1">
        <f t="array" ref="O128">Common_InputFunctions.Utility_DisplayArrayInTable(Fertiliser_SourceData.Fertiliser_Products_Data1(),FertiliserProducts[[#Headers],[Include or Exclude]], 0,4)</f>
        <v/>
      </c>
      <c r="P128" s="62" t="str" cm="1">
        <f t="array" ref="P128">Common_InputFunctions.Utility_DisplayArrayInTable(Fertiliser_SourceData.Fertiliser_Products_Data1(),FertiliserProducts[[#Headers],[Include or Exclude]], 0,4)</f>
        <v/>
      </c>
      <c r="Q128" s="62" t="str" cm="1">
        <f t="array" ref="Q128">Common_InputFunctions.Utility_DisplayArrayInTable(Fertiliser_SourceData.Fertiliser_Products_Data1(),FertiliserProducts[[#Headers],[Include or Exclude]], 0,4)</f>
        <v/>
      </c>
      <c r="R128" s="62" t="str" cm="1">
        <f t="array" ref="R128">Common_InputFunctions.Utility_DisplayArrayInTable(Fertiliser_SourceData.Fertiliser_Products_Data1(),FertiliserProducts[[#Headers],[Include or Exclude]], 0,4)</f>
        <v/>
      </c>
      <c r="S128" s="62" t="str" cm="1">
        <f t="array" ref="S128">Common_InputFunctions.Utility_DisplayArrayInTable(Fertiliser_SourceData.Fertiliser_Products_Data1(),FertiliserProducts[[#Headers],[Include or Exclude]], 0,4)</f>
        <v/>
      </c>
      <c r="T128" s="62" t="str" cm="1">
        <f t="array" ref="T128">Common_InputFunctions.Utility_DisplayArrayInTable(Fertiliser_SourceData.Fertiliser_Products_Data1(),FertiliserProducts[[#Headers],[Include or Exclude]], 0,4)</f>
        <v/>
      </c>
      <c r="U128" s="62" t="str" cm="1">
        <f t="array" ref="U128">Common_InputFunctions.Utility_DisplayArrayInTable(Fertiliser_SourceData.Fertiliser_Products_Data1(),FertiliserProducts[[#Headers],[Include or Exclude]], 0,4)</f>
        <v/>
      </c>
      <c r="V128" s="62" t="str" cm="1">
        <f t="array" ref="V128">Common_InputFunctions.Utility_DisplayArrayInTable(Fertiliser_SourceData.Fertiliser_Products_Data1(),FertiliserProducts[[#Headers],[Include or Exclude]], 0,4)</f>
        <v/>
      </c>
      <c r="W128" s="62" t="str" cm="1">
        <f t="array" ref="W128">Common_InputFunctions.Utility_DisplayArrayInTable(Fertiliser_SourceData.Fertiliser_Products_Data1(),FertiliserProducts[[#Headers],[Include or Exclude]], 0,4)</f>
        <v/>
      </c>
      <c r="X128" s="62" t="str" cm="1">
        <f t="array" ref="X128">Common_InputFunctions.Utility_DisplayArrayInTable(Fertiliser_SourceData.Fertiliser_Products_Data1(),FertiliserProducts[[#Headers],[Include or Exclude]], 0,4)</f>
        <v/>
      </c>
      <c r="Y128" s="62" t="str" cm="1">
        <f t="array" ref="Y128">Common_InputFunctions.Utility_DisplayArrayInTable(Fertiliser_SourceData.Fertiliser_Products_Data1(),FertiliserProducts[[#Headers],[Include or Exclude]], 0,4)</f>
        <v/>
      </c>
      <c r="Z128" s="62" t="str" cm="1">
        <f t="array" ref="Z128">Common_InputFunctions.Utility_DisplayArrayInTable(Fertiliser_SourceData.Fertiliser_Products_Data1(),FertiliserProducts[[#Headers],[Include or Exclude]], 0,4)</f>
        <v/>
      </c>
      <c r="AA128" s="62" t="str" cm="1">
        <f t="array" ref="AA128">Common_InputFunctions.Utility_DisplayArrayInTable(Fertiliser_SourceData.Fertiliser_Products_Data1(),FertiliserProducts[[#Headers],[Include or Exclude]], 0,4)</f>
        <v/>
      </c>
      <c r="AB128" s="62" t="str" cm="1">
        <f t="array" ref="AB128">Common_InputFunctions.Utility_DisplayArrayInTable(Fertiliser_SourceData.Fertiliser_Products_Data1(),FertiliserProducts[[#Headers],[Include or Exclude]], 0,4)</f>
        <v/>
      </c>
      <c r="AC128" s="62" t="str" cm="1">
        <f t="array" ref="AC128">Common_InputFunctions.Utility_DisplayArrayInTable(Fertiliser_SourceData.Fertiliser_Products_Data1(),FertiliserProducts[[#Headers],[Include or Exclude]], 0,4)</f>
        <v/>
      </c>
      <c r="AD128" s="62" t="str" cm="1">
        <f t="array" ref="AD128">Common_InputFunctions.Utility_DisplayArrayInTable(Fertiliser_SourceData.Fertiliser_Products_Data1(),FertiliserProducts[[#Headers],[Include or Exclude]], 0,4)</f>
        <v/>
      </c>
      <c r="AE128" s="62" t="str" cm="1">
        <f t="array" ref="AE128">Common_InputFunctions.Utility_DisplayArrayInTable(Fertiliser_SourceData.Fertiliser_Products_Data1(),FertiliserProducts[[#Headers],[Include or Exclude]], 0,4)</f>
        <v/>
      </c>
    </row>
    <row r="129" spans="1:31" ht="20.100000000000001" customHeight="1" x14ac:dyDescent="0.25">
      <c r="A129"/>
      <c r="D129" s="62" t="str" cm="1">
        <f t="array" ref="D129">Common_InputFunctions.Utility_DisplayArrayInTable(Fertiliser_SourceData.Fertiliser_Products_Data1(),FertiliserProducts[[#Headers],[Include or Exclude]], -1)</f>
        <v/>
      </c>
      <c r="E129" s="62" t="str" cm="1">
        <f t="array" ref="E129">Common_InputFunctions.Utility_DisplayArrayInTable(Fertiliser_SourceData.Fertiliser_Products_Data1(),FertiliserProducts[[#Headers],[Include or Exclude]], 0)</f>
        <v/>
      </c>
      <c r="F129" s="62" t="str" cm="1">
        <f t="array" ref="F129">Common_InputFunctions.Utility_DisplayArrayInTable(Fertiliser_SourceData.Fertiliser_Products_Data1(),FertiliserProducts[[#Headers],[Include or Exclude]], 0)</f>
        <v/>
      </c>
      <c r="G129" s="62" t="str" cm="1">
        <f t="array" ref="G129">Common_InputFunctions.Utility_DisplayArrayInTable(Fertiliser_SourceData.Fertiliser_Products_Data1(),FertiliserProducts[[#Headers],[Include or Exclude]], 0)</f>
        <v/>
      </c>
      <c r="H129" s="62" t="str" cm="1">
        <f t="array" ref="H129">Common_InputFunctions.Utility_DisplayArrayInTable(Fertiliser_SourceData.Fertiliser_Products_Data1(),FertiliserProducts[[#Headers],[Include or Exclude]], 0,4)</f>
        <v/>
      </c>
      <c r="I129" s="62" t="str" cm="1">
        <f t="array" ref="I129">Common_InputFunctions.Utility_DisplayArrayInTable(Fertiliser_SourceData.Fertiliser_Products_Data1(),FertiliserProducts[[#Headers],[Include or Exclude]], 0,4)</f>
        <v/>
      </c>
      <c r="J129" s="62" t="str" cm="1">
        <f t="array" ref="J129">Common_InputFunctions.Utility_DisplayArrayInTable(Fertiliser_SourceData.Fertiliser_Products_Data1(),FertiliserProducts[[#Headers],[Include or Exclude]], 0,4)</f>
        <v/>
      </c>
      <c r="K129" s="62" t="str" cm="1">
        <f t="array" ref="K129">Common_InputFunctions.Utility_DisplayArrayInTable(Fertiliser_SourceData.Fertiliser_Products_Data1(),FertiliserProducts[[#Headers],[Include or Exclude]], 0,4)</f>
        <v/>
      </c>
      <c r="L129" s="62" t="str" cm="1">
        <f t="array" ref="L129">Common_InputFunctions.Utility_DisplayArrayInTable(Fertiliser_SourceData.Fertiliser_Products_Data1(),FertiliserProducts[[#Headers],[Include or Exclude]], 0,4)</f>
        <v/>
      </c>
      <c r="M129" s="62" t="str" cm="1">
        <f t="array" ref="M129">Common_InputFunctions.Utility_DisplayArrayInTable(Fertiliser_SourceData.Fertiliser_Products_Data1(),FertiliserProducts[[#Headers],[Include or Exclude]], 0,4)</f>
        <v/>
      </c>
      <c r="N129" s="62" t="str" cm="1">
        <f t="array" ref="N129">Common_InputFunctions.Utility_DisplayArrayInTable(Fertiliser_SourceData.Fertiliser_Products_Data1(),FertiliserProducts[[#Headers],[Include or Exclude]], 0,4)</f>
        <v/>
      </c>
      <c r="O129" s="62" t="str" cm="1">
        <f t="array" ref="O129">Common_InputFunctions.Utility_DisplayArrayInTable(Fertiliser_SourceData.Fertiliser_Products_Data1(),FertiliserProducts[[#Headers],[Include or Exclude]], 0,4)</f>
        <v/>
      </c>
      <c r="P129" s="62" t="str" cm="1">
        <f t="array" ref="P129">Common_InputFunctions.Utility_DisplayArrayInTable(Fertiliser_SourceData.Fertiliser_Products_Data1(),FertiliserProducts[[#Headers],[Include or Exclude]], 0,4)</f>
        <v/>
      </c>
      <c r="Q129" s="62" t="str" cm="1">
        <f t="array" ref="Q129">Common_InputFunctions.Utility_DisplayArrayInTable(Fertiliser_SourceData.Fertiliser_Products_Data1(),FertiliserProducts[[#Headers],[Include or Exclude]], 0,4)</f>
        <v/>
      </c>
      <c r="R129" s="62" t="str" cm="1">
        <f t="array" ref="R129">Common_InputFunctions.Utility_DisplayArrayInTable(Fertiliser_SourceData.Fertiliser_Products_Data1(),FertiliserProducts[[#Headers],[Include or Exclude]], 0,4)</f>
        <v/>
      </c>
      <c r="S129" s="62" t="str" cm="1">
        <f t="array" ref="S129">Common_InputFunctions.Utility_DisplayArrayInTable(Fertiliser_SourceData.Fertiliser_Products_Data1(),FertiliserProducts[[#Headers],[Include or Exclude]], 0,4)</f>
        <v/>
      </c>
      <c r="T129" s="62" t="str" cm="1">
        <f t="array" ref="T129">Common_InputFunctions.Utility_DisplayArrayInTable(Fertiliser_SourceData.Fertiliser_Products_Data1(),FertiliserProducts[[#Headers],[Include or Exclude]], 0,4)</f>
        <v/>
      </c>
      <c r="U129" s="62" t="str" cm="1">
        <f t="array" ref="U129">Common_InputFunctions.Utility_DisplayArrayInTable(Fertiliser_SourceData.Fertiliser_Products_Data1(),FertiliserProducts[[#Headers],[Include or Exclude]], 0,4)</f>
        <v/>
      </c>
      <c r="V129" s="62" t="str" cm="1">
        <f t="array" ref="V129">Common_InputFunctions.Utility_DisplayArrayInTable(Fertiliser_SourceData.Fertiliser_Products_Data1(),FertiliserProducts[[#Headers],[Include or Exclude]], 0,4)</f>
        <v/>
      </c>
      <c r="W129" s="62" t="str" cm="1">
        <f t="array" ref="W129">Common_InputFunctions.Utility_DisplayArrayInTable(Fertiliser_SourceData.Fertiliser_Products_Data1(),FertiliserProducts[[#Headers],[Include or Exclude]], 0,4)</f>
        <v/>
      </c>
      <c r="X129" s="62" t="str" cm="1">
        <f t="array" ref="X129">Common_InputFunctions.Utility_DisplayArrayInTable(Fertiliser_SourceData.Fertiliser_Products_Data1(),FertiliserProducts[[#Headers],[Include or Exclude]], 0,4)</f>
        <v/>
      </c>
      <c r="Y129" s="62" t="str" cm="1">
        <f t="array" ref="Y129">Common_InputFunctions.Utility_DisplayArrayInTable(Fertiliser_SourceData.Fertiliser_Products_Data1(),FertiliserProducts[[#Headers],[Include or Exclude]], 0,4)</f>
        <v/>
      </c>
      <c r="Z129" s="62" t="str" cm="1">
        <f t="array" ref="Z129">Common_InputFunctions.Utility_DisplayArrayInTable(Fertiliser_SourceData.Fertiliser_Products_Data1(),FertiliserProducts[[#Headers],[Include or Exclude]], 0,4)</f>
        <v/>
      </c>
      <c r="AA129" s="62" t="str" cm="1">
        <f t="array" ref="AA129">Common_InputFunctions.Utility_DisplayArrayInTable(Fertiliser_SourceData.Fertiliser_Products_Data1(),FertiliserProducts[[#Headers],[Include or Exclude]], 0,4)</f>
        <v/>
      </c>
      <c r="AB129" s="62" t="str" cm="1">
        <f t="array" ref="AB129">Common_InputFunctions.Utility_DisplayArrayInTable(Fertiliser_SourceData.Fertiliser_Products_Data1(),FertiliserProducts[[#Headers],[Include or Exclude]], 0,4)</f>
        <v/>
      </c>
      <c r="AC129" s="62" t="str" cm="1">
        <f t="array" ref="AC129">Common_InputFunctions.Utility_DisplayArrayInTable(Fertiliser_SourceData.Fertiliser_Products_Data1(),FertiliserProducts[[#Headers],[Include or Exclude]], 0,4)</f>
        <v/>
      </c>
      <c r="AD129" s="62" t="str" cm="1">
        <f t="array" ref="AD129">Common_InputFunctions.Utility_DisplayArrayInTable(Fertiliser_SourceData.Fertiliser_Products_Data1(),FertiliserProducts[[#Headers],[Include or Exclude]], 0,4)</f>
        <v/>
      </c>
      <c r="AE129" s="62" t="str" cm="1">
        <f t="array" ref="AE129">Common_InputFunctions.Utility_DisplayArrayInTable(Fertiliser_SourceData.Fertiliser_Products_Data1(),FertiliserProducts[[#Headers],[Include or Exclude]], 0,4)</f>
        <v/>
      </c>
    </row>
    <row r="130" spans="1:31" ht="20.100000000000001" customHeight="1" x14ac:dyDescent="0.25">
      <c r="A130"/>
      <c r="D130" s="62" t="str" cm="1">
        <f t="array" ref="D130">Common_InputFunctions.Utility_DisplayArrayInTable(Fertiliser_SourceData.Fertiliser_Products_Data1(),FertiliserProducts[[#Headers],[Include or Exclude]], -1)</f>
        <v/>
      </c>
      <c r="E130" s="62" t="str" cm="1">
        <f t="array" ref="E130">Common_InputFunctions.Utility_DisplayArrayInTable(Fertiliser_SourceData.Fertiliser_Products_Data1(),FertiliserProducts[[#Headers],[Include or Exclude]], 0)</f>
        <v/>
      </c>
      <c r="F130" s="62" t="str" cm="1">
        <f t="array" ref="F130">Common_InputFunctions.Utility_DisplayArrayInTable(Fertiliser_SourceData.Fertiliser_Products_Data1(),FertiliserProducts[[#Headers],[Include or Exclude]], 0)</f>
        <v/>
      </c>
      <c r="G130" s="62" t="str" cm="1">
        <f t="array" ref="G130">Common_InputFunctions.Utility_DisplayArrayInTable(Fertiliser_SourceData.Fertiliser_Products_Data1(),FertiliserProducts[[#Headers],[Include or Exclude]], 0)</f>
        <v/>
      </c>
      <c r="H130" s="62" t="str" cm="1">
        <f t="array" ref="H130">Common_InputFunctions.Utility_DisplayArrayInTable(Fertiliser_SourceData.Fertiliser_Products_Data1(),FertiliserProducts[[#Headers],[Include or Exclude]], 0,4)</f>
        <v/>
      </c>
      <c r="I130" s="62" t="str" cm="1">
        <f t="array" ref="I130">Common_InputFunctions.Utility_DisplayArrayInTable(Fertiliser_SourceData.Fertiliser_Products_Data1(),FertiliserProducts[[#Headers],[Include or Exclude]], 0,4)</f>
        <v/>
      </c>
      <c r="J130" s="62" t="str" cm="1">
        <f t="array" ref="J130">Common_InputFunctions.Utility_DisplayArrayInTable(Fertiliser_SourceData.Fertiliser_Products_Data1(),FertiliserProducts[[#Headers],[Include or Exclude]], 0,4)</f>
        <v/>
      </c>
      <c r="K130" s="62" t="str" cm="1">
        <f t="array" ref="K130">Common_InputFunctions.Utility_DisplayArrayInTable(Fertiliser_SourceData.Fertiliser_Products_Data1(),FertiliserProducts[[#Headers],[Include or Exclude]], 0,4)</f>
        <v/>
      </c>
      <c r="L130" s="62" t="str" cm="1">
        <f t="array" ref="L130">Common_InputFunctions.Utility_DisplayArrayInTable(Fertiliser_SourceData.Fertiliser_Products_Data1(),FertiliserProducts[[#Headers],[Include or Exclude]], 0,4)</f>
        <v/>
      </c>
      <c r="M130" s="62" t="str" cm="1">
        <f t="array" ref="M130">Common_InputFunctions.Utility_DisplayArrayInTable(Fertiliser_SourceData.Fertiliser_Products_Data1(),FertiliserProducts[[#Headers],[Include or Exclude]], 0,4)</f>
        <v/>
      </c>
      <c r="N130" s="62" t="str" cm="1">
        <f t="array" ref="N130">Common_InputFunctions.Utility_DisplayArrayInTable(Fertiliser_SourceData.Fertiliser_Products_Data1(),FertiliserProducts[[#Headers],[Include or Exclude]], 0,4)</f>
        <v/>
      </c>
      <c r="O130" s="62" t="str" cm="1">
        <f t="array" ref="O130">Common_InputFunctions.Utility_DisplayArrayInTable(Fertiliser_SourceData.Fertiliser_Products_Data1(),FertiliserProducts[[#Headers],[Include or Exclude]], 0,4)</f>
        <v/>
      </c>
      <c r="P130" s="62" t="str" cm="1">
        <f t="array" ref="P130">Common_InputFunctions.Utility_DisplayArrayInTable(Fertiliser_SourceData.Fertiliser_Products_Data1(),FertiliserProducts[[#Headers],[Include or Exclude]], 0,4)</f>
        <v/>
      </c>
      <c r="Q130" s="62" t="str" cm="1">
        <f t="array" ref="Q130">Common_InputFunctions.Utility_DisplayArrayInTable(Fertiliser_SourceData.Fertiliser_Products_Data1(),FertiliserProducts[[#Headers],[Include or Exclude]], 0,4)</f>
        <v/>
      </c>
      <c r="R130" s="62" t="str" cm="1">
        <f t="array" ref="R130">Common_InputFunctions.Utility_DisplayArrayInTable(Fertiliser_SourceData.Fertiliser_Products_Data1(),FertiliserProducts[[#Headers],[Include or Exclude]], 0,4)</f>
        <v/>
      </c>
      <c r="S130" s="62" t="str" cm="1">
        <f t="array" ref="S130">Common_InputFunctions.Utility_DisplayArrayInTable(Fertiliser_SourceData.Fertiliser_Products_Data1(),FertiliserProducts[[#Headers],[Include or Exclude]], 0,4)</f>
        <v/>
      </c>
      <c r="T130" s="62" t="str" cm="1">
        <f t="array" ref="T130">Common_InputFunctions.Utility_DisplayArrayInTable(Fertiliser_SourceData.Fertiliser_Products_Data1(),FertiliserProducts[[#Headers],[Include or Exclude]], 0,4)</f>
        <v/>
      </c>
      <c r="U130" s="62" t="str" cm="1">
        <f t="array" ref="U130">Common_InputFunctions.Utility_DisplayArrayInTable(Fertiliser_SourceData.Fertiliser_Products_Data1(),FertiliserProducts[[#Headers],[Include or Exclude]], 0,4)</f>
        <v/>
      </c>
      <c r="V130" s="62" t="str" cm="1">
        <f t="array" ref="V130">Common_InputFunctions.Utility_DisplayArrayInTable(Fertiliser_SourceData.Fertiliser_Products_Data1(),FertiliserProducts[[#Headers],[Include or Exclude]], 0,4)</f>
        <v/>
      </c>
      <c r="W130" s="62" t="str" cm="1">
        <f t="array" ref="W130">Common_InputFunctions.Utility_DisplayArrayInTable(Fertiliser_SourceData.Fertiliser_Products_Data1(),FertiliserProducts[[#Headers],[Include or Exclude]], 0,4)</f>
        <v/>
      </c>
      <c r="X130" s="62" t="str" cm="1">
        <f t="array" ref="X130">Common_InputFunctions.Utility_DisplayArrayInTable(Fertiliser_SourceData.Fertiliser_Products_Data1(),FertiliserProducts[[#Headers],[Include or Exclude]], 0,4)</f>
        <v/>
      </c>
      <c r="Y130" s="62" t="str" cm="1">
        <f t="array" ref="Y130">Common_InputFunctions.Utility_DisplayArrayInTable(Fertiliser_SourceData.Fertiliser_Products_Data1(),FertiliserProducts[[#Headers],[Include or Exclude]], 0,4)</f>
        <v/>
      </c>
      <c r="Z130" s="62" t="str" cm="1">
        <f t="array" ref="Z130">Common_InputFunctions.Utility_DisplayArrayInTable(Fertiliser_SourceData.Fertiliser_Products_Data1(),FertiliserProducts[[#Headers],[Include or Exclude]], 0,4)</f>
        <v/>
      </c>
      <c r="AA130" s="62" t="str" cm="1">
        <f t="array" ref="AA130">Common_InputFunctions.Utility_DisplayArrayInTable(Fertiliser_SourceData.Fertiliser_Products_Data1(),FertiliserProducts[[#Headers],[Include or Exclude]], 0,4)</f>
        <v/>
      </c>
      <c r="AB130" s="62" t="str" cm="1">
        <f t="array" ref="AB130">Common_InputFunctions.Utility_DisplayArrayInTable(Fertiliser_SourceData.Fertiliser_Products_Data1(),FertiliserProducts[[#Headers],[Include or Exclude]], 0,4)</f>
        <v/>
      </c>
      <c r="AC130" s="62" t="str" cm="1">
        <f t="array" ref="AC130">Common_InputFunctions.Utility_DisplayArrayInTable(Fertiliser_SourceData.Fertiliser_Products_Data1(),FertiliserProducts[[#Headers],[Include or Exclude]], 0,4)</f>
        <v/>
      </c>
      <c r="AD130" s="62" t="str" cm="1">
        <f t="array" ref="AD130">Common_InputFunctions.Utility_DisplayArrayInTable(Fertiliser_SourceData.Fertiliser_Products_Data1(),FertiliserProducts[[#Headers],[Include or Exclude]], 0,4)</f>
        <v/>
      </c>
      <c r="AE130" s="62" t="str" cm="1">
        <f t="array" ref="AE130">Common_InputFunctions.Utility_DisplayArrayInTable(Fertiliser_SourceData.Fertiliser_Products_Data1(),FertiliserProducts[[#Headers],[Include or Exclude]], 0,4)</f>
        <v/>
      </c>
    </row>
    <row r="131" spans="1:31" ht="20.100000000000001" customHeight="1" x14ac:dyDescent="0.25">
      <c r="A131"/>
      <c r="D131" s="62" t="str" cm="1">
        <f t="array" ref="D131">Common_InputFunctions.Utility_DisplayArrayInTable(Fertiliser_SourceData.Fertiliser_Products_Data1(),FertiliserProducts[[#Headers],[Include or Exclude]], -1)</f>
        <v/>
      </c>
      <c r="E131" s="62" t="str" cm="1">
        <f t="array" ref="E131">Common_InputFunctions.Utility_DisplayArrayInTable(Fertiliser_SourceData.Fertiliser_Products_Data1(),FertiliserProducts[[#Headers],[Include or Exclude]], 0)</f>
        <v/>
      </c>
      <c r="F131" s="62" t="str" cm="1">
        <f t="array" ref="F131">Common_InputFunctions.Utility_DisplayArrayInTable(Fertiliser_SourceData.Fertiliser_Products_Data1(),FertiliserProducts[[#Headers],[Include or Exclude]], 0)</f>
        <v/>
      </c>
      <c r="G131" s="62" t="str" cm="1">
        <f t="array" ref="G131">Common_InputFunctions.Utility_DisplayArrayInTable(Fertiliser_SourceData.Fertiliser_Products_Data1(),FertiliserProducts[[#Headers],[Include or Exclude]], 0)</f>
        <v/>
      </c>
      <c r="H131" s="62" t="str" cm="1">
        <f t="array" ref="H131">Common_InputFunctions.Utility_DisplayArrayInTable(Fertiliser_SourceData.Fertiliser_Products_Data1(),FertiliserProducts[[#Headers],[Include or Exclude]], 0,4)</f>
        <v/>
      </c>
      <c r="I131" s="62" t="str" cm="1">
        <f t="array" ref="I131">Common_InputFunctions.Utility_DisplayArrayInTable(Fertiliser_SourceData.Fertiliser_Products_Data1(),FertiliserProducts[[#Headers],[Include or Exclude]], 0,4)</f>
        <v/>
      </c>
      <c r="J131" s="62" t="str" cm="1">
        <f t="array" ref="J131">Common_InputFunctions.Utility_DisplayArrayInTable(Fertiliser_SourceData.Fertiliser_Products_Data1(),FertiliserProducts[[#Headers],[Include or Exclude]], 0,4)</f>
        <v/>
      </c>
      <c r="K131" s="62" t="str" cm="1">
        <f t="array" ref="K131">Common_InputFunctions.Utility_DisplayArrayInTable(Fertiliser_SourceData.Fertiliser_Products_Data1(),FertiliserProducts[[#Headers],[Include or Exclude]], 0,4)</f>
        <v/>
      </c>
      <c r="L131" s="62" t="str" cm="1">
        <f t="array" ref="L131">Common_InputFunctions.Utility_DisplayArrayInTable(Fertiliser_SourceData.Fertiliser_Products_Data1(),FertiliserProducts[[#Headers],[Include or Exclude]], 0,4)</f>
        <v/>
      </c>
      <c r="M131" s="62" t="str" cm="1">
        <f t="array" ref="M131">Common_InputFunctions.Utility_DisplayArrayInTable(Fertiliser_SourceData.Fertiliser_Products_Data1(),FertiliserProducts[[#Headers],[Include or Exclude]], 0,4)</f>
        <v/>
      </c>
      <c r="N131" s="62" t="str" cm="1">
        <f t="array" ref="N131">Common_InputFunctions.Utility_DisplayArrayInTable(Fertiliser_SourceData.Fertiliser_Products_Data1(),FertiliserProducts[[#Headers],[Include or Exclude]], 0,4)</f>
        <v/>
      </c>
      <c r="O131" s="62" t="str" cm="1">
        <f t="array" ref="O131">Common_InputFunctions.Utility_DisplayArrayInTable(Fertiliser_SourceData.Fertiliser_Products_Data1(),FertiliserProducts[[#Headers],[Include or Exclude]], 0,4)</f>
        <v/>
      </c>
      <c r="P131" s="62" t="str" cm="1">
        <f t="array" ref="P131">Common_InputFunctions.Utility_DisplayArrayInTable(Fertiliser_SourceData.Fertiliser_Products_Data1(),FertiliserProducts[[#Headers],[Include or Exclude]], 0,4)</f>
        <v/>
      </c>
      <c r="Q131" s="62" t="str" cm="1">
        <f t="array" ref="Q131">Common_InputFunctions.Utility_DisplayArrayInTable(Fertiliser_SourceData.Fertiliser_Products_Data1(),FertiliserProducts[[#Headers],[Include or Exclude]], 0,4)</f>
        <v/>
      </c>
      <c r="R131" s="62" t="str" cm="1">
        <f t="array" ref="R131">Common_InputFunctions.Utility_DisplayArrayInTable(Fertiliser_SourceData.Fertiliser_Products_Data1(),FertiliserProducts[[#Headers],[Include or Exclude]], 0,4)</f>
        <v/>
      </c>
      <c r="S131" s="62" t="str" cm="1">
        <f t="array" ref="S131">Common_InputFunctions.Utility_DisplayArrayInTable(Fertiliser_SourceData.Fertiliser_Products_Data1(),FertiliserProducts[[#Headers],[Include or Exclude]], 0,4)</f>
        <v/>
      </c>
      <c r="T131" s="62" t="str" cm="1">
        <f t="array" ref="T131">Common_InputFunctions.Utility_DisplayArrayInTable(Fertiliser_SourceData.Fertiliser_Products_Data1(),FertiliserProducts[[#Headers],[Include or Exclude]], 0,4)</f>
        <v/>
      </c>
      <c r="U131" s="62" t="str" cm="1">
        <f t="array" ref="U131">Common_InputFunctions.Utility_DisplayArrayInTable(Fertiliser_SourceData.Fertiliser_Products_Data1(),FertiliserProducts[[#Headers],[Include or Exclude]], 0,4)</f>
        <v/>
      </c>
      <c r="V131" s="62" t="str" cm="1">
        <f t="array" ref="V131">Common_InputFunctions.Utility_DisplayArrayInTable(Fertiliser_SourceData.Fertiliser_Products_Data1(),FertiliserProducts[[#Headers],[Include or Exclude]], 0,4)</f>
        <v/>
      </c>
      <c r="W131" s="62" t="str" cm="1">
        <f t="array" ref="W131">Common_InputFunctions.Utility_DisplayArrayInTable(Fertiliser_SourceData.Fertiliser_Products_Data1(),FertiliserProducts[[#Headers],[Include or Exclude]], 0,4)</f>
        <v/>
      </c>
      <c r="X131" s="62" t="str" cm="1">
        <f t="array" ref="X131">Common_InputFunctions.Utility_DisplayArrayInTable(Fertiliser_SourceData.Fertiliser_Products_Data1(),FertiliserProducts[[#Headers],[Include or Exclude]], 0,4)</f>
        <v/>
      </c>
      <c r="Y131" s="62" t="str" cm="1">
        <f t="array" ref="Y131">Common_InputFunctions.Utility_DisplayArrayInTable(Fertiliser_SourceData.Fertiliser_Products_Data1(),FertiliserProducts[[#Headers],[Include or Exclude]], 0,4)</f>
        <v/>
      </c>
      <c r="Z131" s="62" t="str" cm="1">
        <f t="array" ref="Z131">Common_InputFunctions.Utility_DisplayArrayInTable(Fertiliser_SourceData.Fertiliser_Products_Data1(),FertiliserProducts[[#Headers],[Include or Exclude]], 0,4)</f>
        <v/>
      </c>
      <c r="AA131" s="62" t="str" cm="1">
        <f t="array" ref="AA131">Common_InputFunctions.Utility_DisplayArrayInTable(Fertiliser_SourceData.Fertiliser_Products_Data1(),FertiliserProducts[[#Headers],[Include or Exclude]], 0,4)</f>
        <v/>
      </c>
      <c r="AB131" s="62" t="str" cm="1">
        <f t="array" ref="AB131">Common_InputFunctions.Utility_DisplayArrayInTable(Fertiliser_SourceData.Fertiliser_Products_Data1(),FertiliserProducts[[#Headers],[Include or Exclude]], 0,4)</f>
        <v/>
      </c>
      <c r="AC131" s="62" t="str" cm="1">
        <f t="array" ref="AC131">Common_InputFunctions.Utility_DisplayArrayInTable(Fertiliser_SourceData.Fertiliser_Products_Data1(),FertiliserProducts[[#Headers],[Include or Exclude]], 0,4)</f>
        <v/>
      </c>
      <c r="AD131" s="62" t="str" cm="1">
        <f t="array" ref="AD131">Common_InputFunctions.Utility_DisplayArrayInTable(Fertiliser_SourceData.Fertiliser_Products_Data1(),FertiliserProducts[[#Headers],[Include or Exclude]], 0,4)</f>
        <v/>
      </c>
      <c r="AE131" s="62" t="str" cm="1">
        <f t="array" ref="AE131">Common_InputFunctions.Utility_DisplayArrayInTable(Fertiliser_SourceData.Fertiliser_Products_Data1(),FertiliserProducts[[#Headers],[Include or Exclude]], 0,4)</f>
        <v/>
      </c>
    </row>
    <row r="132" spans="1:31" ht="20.100000000000001" customHeight="1" x14ac:dyDescent="0.25">
      <c r="A132"/>
      <c r="D132" s="62" t="str" cm="1">
        <f t="array" ref="D132">Common_InputFunctions.Utility_DisplayArrayInTable(Fertiliser_SourceData.Fertiliser_Products_Data1(),FertiliserProducts[[#Headers],[Include or Exclude]], -1)</f>
        <v/>
      </c>
      <c r="E132" s="62" t="str" cm="1">
        <f t="array" ref="E132">Common_InputFunctions.Utility_DisplayArrayInTable(Fertiliser_SourceData.Fertiliser_Products_Data1(),FertiliserProducts[[#Headers],[Include or Exclude]], 0)</f>
        <v/>
      </c>
      <c r="F132" s="62" t="str" cm="1">
        <f t="array" ref="F132">Common_InputFunctions.Utility_DisplayArrayInTable(Fertiliser_SourceData.Fertiliser_Products_Data1(),FertiliserProducts[[#Headers],[Include or Exclude]], 0)</f>
        <v/>
      </c>
      <c r="G132" s="62" t="str" cm="1">
        <f t="array" ref="G132">Common_InputFunctions.Utility_DisplayArrayInTable(Fertiliser_SourceData.Fertiliser_Products_Data1(),FertiliserProducts[[#Headers],[Include or Exclude]], 0)</f>
        <v/>
      </c>
      <c r="H132" s="62" t="str" cm="1">
        <f t="array" ref="H132">Common_InputFunctions.Utility_DisplayArrayInTable(Fertiliser_SourceData.Fertiliser_Products_Data1(),FertiliserProducts[[#Headers],[Include or Exclude]], 0,4)</f>
        <v/>
      </c>
      <c r="I132" s="62" t="str" cm="1">
        <f t="array" ref="I132">Common_InputFunctions.Utility_DisplayArrayInTable(Fertiliser_SourceData.Fertiliser_Products_Data1(),FertiliserProducts[[#Headers],[Include or Exclude]], 0,4)</f>
        <v/>
      </c>
      <c r="J132" s="62" t="str" cm="1">
        <f t="array" ref="J132">Common_InputFunctions.Utility_DisplayArrayInTable(Fertiliser_SourceData.Fertiliser_Products_Data1(),FertiliserProducts[[#Headers],[Include or Exclude]], 0,4)</f>
        <v/>
      </c>
      <c r="K132" s="62" t="str" cm="1">
        <f t="array" ref="K132">Common_InputFunctions.Utility_DisplayArrayInTable(Fertiliser_SourceData.Fertiliser_Products_Data1(),FertiliserProducts[[#Headers],[Include or Exclude]], 0,4)</f>
        <v/>
      </c>
      <c r="L132" s="62" t="str" cm="1">
        <f t="array" ref="L132">Common_InputFunctions.Utility_DisplayArrayInTable(Fertiliser_SourceData.Fertiliser_Products_Data1(),FertiliserProducts[[#Headers],[Include or Exclude]], 0,4)</f>
        <v/>
      </c>
      <c r="M132" s="62" t="str" cm="1">
        <f t="array" ref="M132">Common_InputFunctions.Utility_DisplayArrayInTable(Fertiliser_SourceData.Fertiliser_Products_Data1(),FertiliserProducts[[#Headers],[Include or Exclude]], 0,4)</f>
        <v/>
      </c>
      <c r="N132" s="62" t="str" cm="1">
        <f t="array" ref="N132">Common_InputFunctions.Utility_DisplayArrayInTable(Fertiliser_SourceData.Fertiliser_Products_Data1(),FertiliserProducts[[#Headers],[Include or Exclude]], 0,4)</f>
        <v/>
      </c>
      <c r="O132" s="62" t="str" cm="1">
        <f t="array" ref="O132">Common_InputFunctions.Utility_DisplayArrayInTable(Fertiliser_SourceData.Fertiliser_Products_Data1(),FertiliserProducts[[#Headers],[Include or Exclude]], 0,4)</f>
        <v/>
      </c>
      <c r="P132" s="62" t="str" cm="1">
        <f t="array" ref="P132">Common_InputFunctions.Utility_DisplayArrayInTable(Fertiliser_SourceData.Fertiliser_Products_Data1(),FertiliserProducts[[#Headers],[Include or Exclude]], 0,4)</f>
        <v/>
      </c>
      <c r="Q132" s="62" t="str" cm="1">
        <f t="array" ref="Q132">Common_InputFunctions.Utility_DisplayArrayInTable(Fertiliser_SourceData.Fertiliser_Products_Data1(),FertiliserProducts[[#Headers],[Include or Exclude]], 0,4)</f>
        <v/>
      </c>
      <c r="R132" s="62" t="str" cm="1">
        <f t="array" ref="R132">Common_InputFunctions.Utility_DisplayArrayInTable(Fertiliser_SourceData.Fertiliser_Products_Data1(),FertiliserProducts[[#Headers],[Include or Exclude]], 0,4)</f>
        <v/>
      </c>
      <c r="S132" s="62" t="str" cm="1">
        <f t="array" ref="S132">Common_InputFunctions.Utility_DisplayArrayInTable(Fertiliser_SourceData.Fertiliser_Products_Data1(),FertiliserProducts[[#Headers],[Include or Exclude]], 0,4)</f>
        <v/>
      </c>
      <c r="T132" s="62" t="str" cm="1">
        <f t="array" ref="T132">Common_InputFunctions.Utility_DisplayArrayInTable(Fertiliser_SourceData.Fertiliser_Products_Data1(),FertiliserProducts[[#Headers],[Include or Exclude]], 0,4)</f>
        <v/>
      </c>
      <c r="U132" s="62" t="str" cm="1">
        <f t="array" ref="U132">Common_InputFunctions.Utility_DisplayArrayInTable(Fertiliser_SourceData.Fertiliser_Products_Data1(),FertiliserProducts[[#Headers],[Include or Exclude]], 0,4)</f>
        <v/>
      </c>
      <c r="V132" s="62" t="str" cm="1">
        <f t="array" ref="V132">Common_InputFunctions.Utility_DisplayArrayInTable(Fertiliser_SourceData.Fertiliser_Products_Data1(),FertiliserProducts[[#Headers],[Include or Exclude]], 0,4)</f>
        <v/>
      </c>
      <c r="W132" s="62" t="str" cm="1">
        <f t="array" ref="W132">Common_InputFunctions.Utility_DisplayArrayInTable(Fertiliser_SourceData.Fertiliser_Products_Data1(),FertiliserProducts[[#Headers],[Include or Exclude]], 0,4)</f>
        <v/>
      </c>
      <c r="X132" s="62" t="str" cm="1">
        <f t="array" ref="X132">Common_InputFunctions.Utility_DisplayArrayInTable(Fertiliser_SourceData.Fertiliser_Products_Data1(),FertiliserProducts[[#Headers],[Include or Exclude]], 0,4)</f>
        <v/>
      </c>
      <c r="Y132" s="62" t="str" cm="1">
        <f t="array" ref="Y132">Common_InputFunctions.Utility_DisplayArrayInTable(Fertiliser_SourceData.Fertiliser_Products_Data1(),FertiliserProducts[[#Headers],[Include or Exclude]], 0,4)</f>
        <v/>
      </c>
      <c r="Z132" s="62" t="str" cm="1">
        <f t="array" ref="Z132">Common_InputFunctions.Utility_DisplayArrayInTable(Fertiliser_SourceData.Fertiliser_Products_Data1(),FertiliserProducts[[#Headers],[Include or Exclude]], 0,4)</f>
        <v/>
      </c>
      <c r="AA132" s="62" t="str" cm="1">
        <f t="array" ref="AA132">Common_InputFunctions.Utility_DisplayArrayInTable(Fertiliser_SourceData.Fertiliser_Products_Data1(),FertiliserProducts[[#Headers],[Include or Exclude]], 0,4)</f>
        <v/>
      </c>
      <c r="AB132" s="62" t="str" cm="1">
        <f t="array" ref="AB132">Common_InputFunctions.Utility_DisplayArrayInTable(Fertiliser_SourceData.Fertiliser_Products_Data1(),FertiliserProducts[[#Headers],[Include or Exclude]], 0,4)</f>
        <v/>
      </c>
      <c r="AC132" s="62" t="str" cm="1">
        <f t="array" ref="AC132">Common_InputFunctions.Utility_DisplayArrayInTable(Fertiliser_SourceData.Fertiliser_Products_Data1(),FertiliserProducts[[#Headers],[Include or Exclude]], 0,4)</f>
        <v/>
      </c>
      <c r="AD132" s="62" t="str" cm="1">
        <f t="array" ref="AD132">Common_InputFunctions.Utility_DisplayArrayInTable(Fertiliser_SourceData.Fertiliser_Products_Data1(),FertiliserProducts[[#Headers],[Include or Exclude]], 0,4)</f>
        <v/>
      </c>
      <c r="AE132" s="62" t="str" cm="1">
        <f t="array" ref="AE132">Common_InputFunctions.Utility_DisplayArrayInTable(Fertiliser_SourceData.Fertiliser_Products_Data1(),FertiliserProducts[[#Headers],[Include or Exclude]], 0,4)</f>
        <v/>
      </c>
    </row>
    <row r="133" spans="1:31" ht="20.100000000000001" customHeight="1" x14ac:dyDescent="0.25">
      <c r="A133"/>
      <c r="D133" s="62" t="str" cm="1">
        <f t="array" ref="D133">Common_InputFunctions.Utility_DisplayArrayInTable(Fertiliser_SourceData.Fertiliser_Products_Data1(),FertiliserProducts[[#Headers],[Include or Exclude]], -1)</f>
        <v/>
      </c>
      <c r="E133" s="62" t="str" cm="1">
        <f t="array" ref="E133">Common_InputFunctions.Utility_DisplayArrayInTable(Fertiliser_SourceData.Fertiliser_Products_Data1(),FertiliserProducts[[#Headers],[Include or Exclude]], 0)</f>
        <v/>
      </c>
      <c r="F133" s="62" t="str" cm="1">
        <f t="array" ref="F133">Common_InputFunctions.Utility_DisplayArrayInTable(Fertiliser_SourceData.Fertiliser_Products_Data1(),FertiliserProducts[[#Headers],[Include or Exclude]], 0)</f>
        <v/>
      </c>
      <c r="G133" s="62" t="str" cm="1">
        <f t="array" ref="G133">Common_InputFunctions.Utility_DisplayArrayInTable(Fertiliser_SourceData.Fertiliser_Products_Data1(),FertiliserProducts[[#Headers],[Include or Exclude]], 0)</f>
        <v/>
      </c>
      <c r="H133" s="62" t="str" cm="1">
        <f t="array" ref="H133">Common_InputFunctions.Utility_DisplayArrayInTable(Fertiliser_SourceData.Fertiliser_Products_Data1(),FertiliserProducts[[#Headers],[Include or Exclude]], 0,4)</f>
        <v/>
      </c>
      <c r="I133" s="62" t="str" cm="1">
        <f t="array" ref="I133">Common_InputFunctions.Utility_DisplayArrayInTable(Fertiliser_SourceData.Fertiliser_Products_Data1(),FertiliserProducts[[#Headers],[Include or Exclude]], 0,4)</f>
        <v/>
      </c>
      <c r="J133" s="62" t="str" cm="1">
        <f t="array" ref="J133">Common_InputFunctions.Utility_DisplayArrayInTable(Fertiliser_SourceData.Fertiliser_Products_Data1(),FertiliserProducts[[#Headers],[Include or Exclude]], 0,4)</f>
        <v/>
      </c>
      <c r="K133" s="62" t="str" cm="1">
        <f t="array" ref="K133">Common_InputFunctions.Utility_DisplayArrayInTable(Fertiliser_SourceData.Fertiliser_Products_Data1(),FertiliserProducts[[#Headers],[Include or Exclude]], 0,4)</f>
        <v/>
      </c>
      <c r="L133" s="62" t="str" cm="1">
        <f t="array" ref="L133">Common_InputFunctions.Utility_DisplayArrayInTable(Fertiliser_SourceData.Fertiliser_Products_Data1(),FertiliserProducts[[#Headers],[Include or Exclude]], 0,4)</f>
        <v/>
      </c>
      <c r="M133" s="62" t="str" cm="1">
        <f t="array" ref="M133">Common_InputFunctions.Utility_DisplayArrayInTable(Fertiliser_SourceData.Fertiliser_Products_Data1(),FertiliserProducts[[#Headers],[Include or Exclude]], 0,4)</f>
        <v/>
      </c>
      <c r="N133" s="62" t="str" cm="1">
        <f t="array" ref="N133">Common_InputFunctions.Utility_DisplayArrayInTable(Fertiliser_SourceData.Fertiliser_Products_Data1(),FertiliserProducts[[#Headers],[Include or Exclude]], 0,4)</f>
        <v/>
      </c>
      <c r="O133" s="62" t="str" cm="1">
        <f t="array" ref="O133">Common_InputFunctions.Utility_DisplayArrayInTable(Fertiliser_SourceData.Fertiliser_Products_Data1(),FertiliserProducts[[#Headers],[Include or Exclude]], 0,4)</f>
        <v/>
      </c>
      <c r="P133" s="62" t="str" cm="1">
        <f t="array" ref="P133">Common_InputFunctions.Utility_DisplayArrayInTable(Fertiliser_SourceData.Fertiliser_Products_Data1(),FertiliserProducts[[#Headers],[Include or Exclude]], 0,4)</f>
        <v/>
      </c>
      <c r="Q133" s="62" t="str" cm="1">
        <f t="array" ref="Q133">Common_InputFunctions.Utility_DisplayArrayInTable(Fertiliser_SourceData.Fertiliser_Products_Data1(),FertiliserProducts[[#Headers],[Include or Exclude]], 0,4)</f>
        <v/>
      </c>
      <c r="R133" s="62" t="str" cm="1">
        <f t="array" ref="R133">Common_InputFunctions.Utility_DisplayArrayInTable(Fertiliser_SourceData.Fertiliser_Products_Data1(),FertiliserProducts[[#Headers],[Include or Exclude]], 0,4)</f>
        <v/>
      </c>
      <c r="S133" s="62" t="str" cm="1">
        <f t="array" ref="S133">Common_InputFunctions.Utility_DisplayArrayInTable(Fertiliser_SourceData.Fertiliser_Products_Data1(),FertiliserProducts[[#Headers],[Include or Exclude]], 0,4)</f>
        <v/>
      </c>
      <c r="T133" s="62" t="str" cm="1">
        <f t="array" ref="T133">Common_InputFunctions.Utility_DisplayArrayInTable(Fertiliser_SourceData.Fertiliser_Products_Data1(),FertiliserProducts[[#Headers],[Include or Exclude]], 0,4)</f>
        <v/>
      </c>
      <c r="U133" s="62" t="str" cm="1">
        <f t="array" ref="U133">Common_InputFunctions.Utility_DisplayArrayInTable(Fertiliser_SourceData.Fertiliser_Products_Data1(),FertiliserProducts[[#Headers],[Include or Exclude]], 0,4)</f>
        <v/>
      </c>
      <c r="V133" s="62" t="str" cm="1">
        <f t="array" ref="V133">Common_InputFunctions.Utility_DisplayArrayInTable(Fertiliser_SourceData.Fertiliser_Products_Data1(),FertiliserProducts[[#Headers],[Include or Exclude]], 0,4)</f>
        <v/>
      </c>
      <c r="W133" s="62" t="str" cm="1">
        <f t="array" ref="W133">Common_InputFunctions.Utility_DisplayArrayInTable(Fertiliser_SourceData.Fertiliser_Products_Data1(),FertiliserProducts[[#Headers],[Include or Exclude]], 0,4)</f>
        <v/>
      </c>
      <c r="X133" s="62" t="str" cm="1">
        <f t="array" ref="X133">Common_InputFunctions.Utility_DisplayArrayInTable(Fertiliser_SourceData.Fertiliser_Products_Data1(),FertiliserProducts[[#Headers],[Include or Exclude]], 0,4)</f>
        <v/>
      </c>
      <c r="Y133" s="62" t="str" cm="1">
        <f t="array" ref="Y133">Common_InputFunctions.Utility_DisplayArrayInTable(Fertiliser_SourceData.Fertiliser_Products_Data1(),FertiliserProducts[[#Headers],[Include or Exclude]], 0,4)</f>
        <v/>
      </c>
      <c r="Z133" s="62" t="str" cm="1">
        <f t="array" ref="Z133">Common_InputFunctions.Utility_DisplayArrayInTable(Fertiliser_SourceData.Fertiliser_Products_Data1(),FertiliserProducts[[#Headers],[Include or Exclude]], 0,4)</f>
        <v/>
      </c>
      <c r="AA133" s="62" t="str" cm="1">
        <f t="array" ref="AA133">Common_InputFunctions.Utility_DisplayArrayInTable(Fertiliser_SourceData.Fertiliser_Products_Data1(),FertiliserProducts[[#Headers],[Include or Exclude]], 0,4)</f>
        <v/>
      </c>
      <c r="AB133" s="62" t="str" cm="1">
        <f t="array" ref="AB133">Common_InputFunctions.Utility_DisplayArrayInTable(Fertiliser_SourceData.Fertiliser_Products_Data1(),FertiliserProducts[[#Headers],[Include or Exclude]], 0,4)</f>
        <v/>
      </c>
      <c r="AC133" s="62" t="str" cm="1">
        <f t="array" ref="AC133">Common_InputFunctions.Utility_DisplayArrayInTable(Fertiliser_SourceData.Fertiliser_Products_Data1(),FertiliserProducts[[#Headers],[Include or Exclude]], 0,4)</f>
        <v/>
      </c>
      <c r="AD133" s="62" t="str" cm="1">
        <f t="array" ref="AD133">Common_InputFunctions.Utility_DisplayArrayInTable(Fertiliser_SourceData.Fertiliser_Products_Data1(),FertiliserProducts[[#Headers],[Include or Exclude]], 0,4)</f>
        <v/>
      </c>
      <c r="AE133" s="62" t="str" cm="1">
        <f t="array" ref="AE133">Common_InputFunctions.Utility_DisplayArrayInTable(Fertiliser_SourceData.Fertiliser_Products_Data1(),FertiliserProducts[[#Headers],[Include or Exclude]], 0,4)</f>
        <v/>
      </c>
    </row>
    <row r="134" spans="1:31" ht="20.100000000000001" customHeight="1" x14ac:dyDescent="0.25">
      <c r="A134"/>
      <c r="D134" s="62" t="str" cm="1">
        <f t="array" ref="D134">Common_InputFunctions.Utility_DisplayArrayInTable(Fertiliser_SourceData.Fertiliser_Products_Data1(),FertiliserProducts[[#Headers],[Include or Exclude]], -1)</f>
        <v/>
      </c>
      <c r="E134" s="62" t="str" cm="1">
        <f t="array" ref="E134">Common_InputFunctions.Utility_DisplayArrayInTable(Fertiliser_SourceData.Fertiliser_Products_Data1(),FertiliserProducts[[#Headers],[Include or Exclude]], 0)</f>
        <v/>
      </c>
      <c r="F134" s="62" t="str" cm="1">
        <f t="array" ref="F134">Common_InputFunctions.Utility_DisplayArrayInTable(Fertiliser_SourceData.Fertiliser_Products_Data1(),FertiliserProducts[[#Headers],[Include or Exclude]], 0)</f>
        <v/>
      </c>
      <c r="G134" s="62" t="str" cm="1">
        <f t="array" ref="G134">Common_InputFunctions.Utility_DisplayArrayInTable(Fertiliser_SourceData.Fertiliser_Products_Data1(),FertiliserProducts[[#Headers],[Include or Exclude]], 0)</f>
        <v/>
      </c>
      <c r="H134" s="62" t="str" cm="1">
        <f t="array" ref="H134">Common_InputFunctions.Utility_DisplayArrayInTable(Fertiliser_SourceData.Fertiliser_Products_Data1(),FertiliserProducts[[#Headers],[Include or Exclude]], 0,4)</f>
        <v/>
      </c>
      <c r="I134" s="62" t="str" cm="1">
        <f t="array" ref="I134">Common_InputFunctions.Utility_DisplayArrayInTable(Fertiliser_SourceData.Fertiliser_Products_Data1(),FertiliserProducts[[#Headers],[Include or Exclude]], 0,4)</f>
        <v/>
      </c>
      <c r="J134" s="62" t="str" cm="1">
        <f t="array" ref="J134">Common_InputFunctions.Utility_DisplayArrayInTable(Fertiliser_SourceData.Fertiliser_Products_Data1(),FertiliserProducts[[#Headers],[Include or Exclude]], 0,4)</f>
        <v/>
      </c>
      <c r="K134" s="62" t="str" cm="1">
        <f t="array" ref="K134">Common_InputFunctions.Utility_DisplayArrayInTable(Fertiliser_SourceData.Fertiliser_Products_Data1(),FertiliserProducts[[#Headers],[Include or Exclude]], 0,4)</f>
        <v/>
      </c>
      <c r="L134" s="62" t="str" cm="1">
        <f t="array" ref="L134">Common_InputFunctions.Utility_DisplayArrayInTable(Fertiliser_SourceData.Fertiliser_Products_Data1(),FertiliserProducts[[#Headers],[Include or Exclude]], 0,4)</f>
        <v/>
      </c>
      <c r="M134" s="62" t="str" cm="1">
        <f t="array" ref="M134">Common_InputFunctions.Utility_DisplayArrayInTable(Fertiliser_SourceData.Fertiliser_Products_Data1(),FertiliserProducts[[#Headers],[Include or Exclude]], 0,4)</f>
        <v/>
      </c>
      <c r="N134" s="62" t="str" cm="1">
        <f t="array" ref="N134">Common_InputFunctions.Utility_DisplayArrayInTable(Fertiliser_SourceData.Fertiliser_Products_Data1(),FertiliserProducts[[#Headers],[Include or Exclude]], 0,4)</f>
        <v/>
      </c>
      <c r="O134" s="62" t="str" cm="1">
        <f t="array" ref="O134">Common_InputFunctions.Utility_DisplayArrayInTable(Fertiliser_SourceData.Fertiliser_Products_Data1(),FertiliserProducts[[#Headers],[Include or Exclude]], 0,4)</f>
        <v/>
      </c>
      <c r="P134" s="62" t="str" cm="1">
        <f t="array" ref="P134">Common_InputFunctions.Utility_DisplayArrayInTable(Fertiliser_SourceData.Fertiliser_Products_Data1(),FertiliserProducts[[#Headers],[Include or Exclude]], 0,4)</f>
        <v/>
      </c>
      <c r="Q134" s="62" t="str" cm="1">
        <f t="array" ref="Q134">Common_InputFunctions.Utility_DisplayArrayInTable(Fertiliser_SourceData.Fertiliser_Products_Data1(),FertiliserProducts[[#Headers],[Include or Exclude]], 0,4)</f>
        <v/>
      </c>
      <c r="R134" s="62" t="str" cm="1">
        <f t="array" ref="R134">Common_InputFunctions.Utility_DisplayArrayInTable(Fertiliser_SourceData.Fertiliser_Products_Data1(),FertiliserProducts[[#Headers],[Include or Exclude]], 0,4)</f>
        <v/>
      </c>
      <c r="S134" s="62" t="str" cm="1">
        <f t="array" ref="S134">Common_InputFunctions.Utility_DisplayArrayInTable(Fertiliser_SourceData.Fertiliser_Products_Data1(),FertiliserProducts[[#Headers],[Include or Exclude]], 0,4)</f>
        <v/>
      </c>
      <c r="T134" s="62" t="str" cm="1">
        <f t="array" ref="T134">Common_InputFunctions.Utility_DisplayArrayInTable(Fertiliser_SourceData.Fertiliser_Products_Data1(),FertiliserProducts[[#Headers],[Include or Exclude]], 0,4)</f>
        <v/>
      </c>
      <c r="U134" s="62" t="str" cm="1">
        <f t="array" ref="U134">Common_InputFunctions.Utility_DisplayArrayInTable(Fertiliser_SourceData.Fertiliser_Products_Data1(),FertiliserProducts[[#Headers],[Include or Exclude]], 0,4)</f>
        <v/>
      </c>
      <c r="V134" s="62" t="str" cm="1">
        <f t="array" ref="V134">Common_InputFunctions.Utility_DisplayArrayInTable(Fertiliser_SourceData.Fertiliser_Products_Data1(),FertiliserProducts[[#Headers],[Include or Exclude]], 0,4)</f>
        <v/>
      </c>
      <c r="W134" s="62" t="str" cm="1">
        <f t="array" ref="W134">Common_InputFunctions.Utility_DisplayArrayInTable(Fertiliser_SourceData.Fertiliser_Products_Data1(),FertiliserProducts[[#Headers],[Include or Exclude]], 0,4)</f>
        <v/>
      </c>
      <c r="X134" s="62" t="str" cm="1">
        <f t="array" ref="X134">Common_InputFunctions.Utility_DisplayArrayInTable(Fertiliser_SourceData.Fertiliser_Products_Data1(),FertiliserProducts[[#Headers],[Include or Exclude]], 0,4)</f>
        <v/>
      </c>
      <c r="Y134" s="62" t="str" cm="1">
        <f t="array" ref="Y134">Common_InputFunctions.Utility_DisplayArrayInTable(Fertiliser_SourceData.Fertiliser_Products_Data1(),FertiliserProducts[[#Headers],[Include or Exclude]], 0,4)</f>
        <v/>
      </c>
      <c r="Z134" s="62" t="str" cm="1">
        <f t="array" ref="Z134">Common_InputFunctions.Utility_DisplayArrayInTable(Fertiliser_SourceData.Fertiliser_Products_Data1(),FertiliserProducts[[#Headers],[Include or Exclude]], 0,4)</f>
        <v/>
      </c>
      <c r="AA134" s="62" t="str" cm="1">
        <f t="array" ref="AA134">Common_InputFunctions.Utility_DisplayArrayInTable(Fertiliser_SourceData.Fertiliser_Products_Data1(),FertiliserProducts[[#Headers],[Include or Exclude]], 0,4)</f>
        <v/>
      </c>
      <c r="AB134" s="62" t="str" cm="1">
        <f t="array" ref="AB134">Common_InputFunctions.Utility_DisplayArrayInTable(Fertiliser_SourceData.Fertiliser_Products_Data1(),FertiliserProducts[[#Headers],[Include or Exclude]], 0,4)</f>
        <v/>
      </c>
      <c r="AC134" s="62" t="str" cm="1">
        <f t="array" ref="AC134">Common_InputFunctions.Utility_DisplayArrayInTable(Fertiliser_SourceData.Fertiliser_Products_Data1(),FertiliserProducts[[#Headers],[Include or Exclude]], 0,4)</f>
        <v/>
      </c>
      <c r="AD134" s="62" t="str" cm="1">
        <f t="array" ref="AD134">Common_InputFunctions.Utility_DisplayArrayInTable(Fertiliser_SourceData.Fertiliser_Products_Data1(),FertiliserProducts[[#Headers],[Include or Exclude]], 0,4)</f>
        <v/>
      </c>
      <c r="AE134" s="62" t="str" cm="1">
        <f t="array" ref="AE134">Common_InputFunctions.Utility_DisplayArrayInTable(Fertiliser_SourceData.Fertiliser_Products_Data1(),FertiliserProducts[[#Headers],[Include or Exclude]], 0,4)</f>
        <v/>
      </c>
    </row>
    <row r="135" spans="1:31" ht="20.100000000000001" customHeight="1" x14ac:dyDescent="0.25">
      <c r="A135"/>
      <c r="D135" s="62" t="str" cm="1">
        <f t="array" ref="D135">Common_InputFunctions.Utility_DisplayArrayInTable(Fertiliser_SourceData.Fertiliser_Products_Data1(),FertiliserProducts[[#Headers],[Include or Exclude]], -1)</f>
        <v/>
      </c>
      <c r="E135" s="62" t="str" cm="1">
        <f t="array" ref="E135">Common_InputFunctions.Utility_DisplayArrayInTable(Fertiliser_SourceData.Fertiliser_Products_Data1(),FertiliserProducts[[#Headers],[Include or Exclude]], 0)</f>
        <v/>
      </c>
      <c r="F135" s="62" t="str" cm="1">
        <f t="array" ref="F135">Common_InputFunctions.Utility_DisplayArrayInTable(Fertiliser_SourceData.Fertiliser_Products_Data1(),FertiliserProducts[[#Headers],[Include or Exclude]], 0)</f>
        <v/>
      </c>
      <c r="G135" s="62" t="str" cm="1">
        <f t="array" ref="G135">Common_InputFunctions.Utility_DisplayArrayInTable(Fertiliser_SourceData.Fertiliser_Products_Data1(),FertiliserProducts[[#Headers],[Include or Exclude]], 0)</f>
        <v/>
      </c>
      <c r="H135" s="62" t="str" cm="1">
        <f t="array" ref="H135">Common_InputFunctions.Utility_DisplayArrayInTable(Fertiliser_SourceData.Fertiliser_Products_Data1(),FertiliserProducts[[#Headers],[Include or Exclude]], 0,4)</f>
        <v/>
      </c>
      <c r="I135" s="62" t="str" cm="1">
        <f t="array" ref="I135">Common_InputFunctions.Utility_DisplayArrayInTable(Fertiliser_SourceData.Fertiliser_Products_Data1(),FertiliserProducts[[#Headers],[Include or Exclude]], 0,4)</f>
        <v/>
      </c>
      <c r="J135" s="62" t="str" cm="1">
        <f t="array" ref="J135">Common_InputFunctions.Utility_DisplayArrayInTable(Fertiliser_SourceData.Fertiliser_Products_Data1(),FertiliserProducts[[#Headers],[Include or Exclude]], 0,4)</f>
        <v/>
      </c>
      <c r="K135" s="62" t="str" cm="1">
        <f t="array" ref="K135">Common_InputFunctions.Utility_DisplayArrayInTable(Fertiliser_SourceData.Fertiliser_Products_Data1(),FertiliserProducts[[#Headers],[Include or Exclude]], 0,4)</f>
        <v/>
      </c>
      <c r="L135" s="62" t="str" cm="1">
        <f t="array" ref="L135">Common_InputFunctions.Utility_DisplayArrayInTable(Fertiliser_SourceData.Fertiliser_Products_Data1(),FertiliserProducts[[#Headers],[Include or Exclude]], 0,4)</f>
        <v/>
      </c>
      <c r="M135" s="62" t="str" cm="1">
        <f t="array" ref="M135">Common_InputFunctions.Utility_DisplayArrayInTable(Fertiliser_SourceData.Fertiliser_Products_Data1(),FertiliserProducts[[#Headers],[Include or Exclude]], 0,4)</f>
        <v/>
      </c>
      <c r="N135" s="62" t="str" cm="1">
        <f t="array" ref="N135">Common_InputFunctions.Utility_DisplayArrayInTable(Fertiliser_SourceData.Fertiliser_Products_Data1(),FertiliserProducts[[#Headers],[Include or Exclude]], 0,4)</f>
        <v/>
      </c>
      <c r="O135" s="62" t="str" cm="1">
        <f t="array" ref="O135">Common_InputFunctions.Utility_DisplayArrayInTable(Fertiliser_SourceData.Fertiliser_Products_Data1(),FertiliserProducts[[#Headers],[Include or Exclude]], 0,4)</f>
        <v/>
      </c>
      <c r="P135" s="62" t="str" cm="1">
        <f t="array" ref="P135">Common_InputFunctions.Utility_DisplayArrayInTable(Fertiliser_SourceData.Fertiliser_Products_Data1(),FertiliserProducts[[#Headers],[Include or Exclude]], 0,4)</f>
        <v/>
      </c>
      <c r="Q135" s="62" t="str" cm="1">
        <f t="array" ref="Q135">Common_InputFunctions.Utility_DisplayArrayInTable(Fertiliser_SourceData.Fertiliser_Products_Data1(),FertiliserProducts[[#Headers],[Include or Exclude]], 0,4)</f>
        <v/>
      </c>
      <c r="R135" s="62" t="str" cm="1">
        <f t="array" ref="R135">Common_InputFunctions.Utility_DisplayArrayInTable(Fertiliser_SourceData.Fertiliser_Products_Data1(),FertiliserProducts[[#Headers],[Include or Exclude]], 0,4)</f>
        <v/>
      </c>
      <c r="S135" s="62" t="str" cm="1">
        <f t="array" ref="S135">Common_InputFunctions.Utility_DisplayArrayInTable(Fertiliser_SourceData.Fertiliser_Products_Data1(),FertiliserProducts[[#Headers],[Include or Exclude]], 0,4)</f>
        <v/>
      </c>
      <c r="T135" s="62" t="str" cm="1">
        <f t="array" ref="T135">Common_InputFunctions.Utility_DisplayArrayInTable(Fertiliser_SourceData.Fertiliser_Products_Data1(),FertiliserProducts[[#Headers],[Include or Exclude]], 0,4)</f>
        <v/>
      </c>
      <c r="U135" s="62" t="str" cm="1">
        <f t="array" ref="U135">Common_InputFunctions.Utility_DisplayArrayInTable(Fertiliser_SourceData.Fertiliser_Products_Data1(),FertiliserProducts[[#Headers],[Include or Exclude]], 0,4)</f>
        <v/>
      </c>
      <c r="V135" s="62" t="str" cm="1">
        <f t="array" ref="V135">Common_InputFunctions.Utility_DisplayArrayInTable(Fertiliser_SourceData.Fertiliser_Products_Data1(),FertiliserProducts[[#Headers],[Include or Exclude]], 0,4)</f>
        <v/>
      </c>
      <c r="W135" s="62" t="str" cm="1">
        <f t="array" ref="W135">Common_InputFunctions.Utility_DisplayArrayInTable(Fertiliser_SourceData.Fertiliser_Products_Data1(),FertiliserProducts[[#Headers],[Include or Exclude]], 0,4)</f>
        <v/>
      </c>
      <c r="X135" s="62" t="str" cm="1">
        <f t="array" ref="X135">Common_InputFunctions.Utility_DisplayArrayInTable(Fertiliser_SourceData.Fertiliser_Products_Data1(),FertiliserProducts[[#Headers],[Include or Exclude]], 0,4)</f>
        <v/>
      </c>
      <c r="Y135" s="62" t="str" cm="1">
        <f t="array" ref="Y135">Common_InputFunctions.Utility_DisplayArrayInTable(Fertiliser_SourceData.Fertiliser_Products_Data1(),FertiliserProducts[[#Headers],[Include or Exclude]], 0,4)</f>
        <v/>
      </c>
      <c r="Z135" s="62" t="str" cm="1">
        <f t="array" ref="Z135">Common_InputFunctions.Utility_DisplayArrayInTable(Fertiliser_SourceData.Fertiliser_Products_Data1(),FertiliserProducts[[#Headers],[Include or Exclude]], 0,4)</f>
        <v/>
      </c>
      <c r="AA135" s="62" t="str" cm="1">
        <f t="array" ref="AA135">Common_InputFunctions.Utility_DisplayArrayInTable(Fertiliser_SourceData.Fertiliser_Products_Data1(),FertiliserProducts[[#Headers],[Include or Exclude]], 0,4)</f>
        <v/>
      </c>
      <c r="AB135" s="62" t="str" cm="1">
        <f t="array" ref="AB135">Common_InputFunctions.Utility_DisplayArrayInTable(Fertiliser_SourceData.Fertiliser_Products_Data1(),FertiliserProducts[[#Headers],[Include or Exclude]], 0,4)</f>
        <v/>
      </c>
      <c r="AC135" s="62" t="str" cm="1">
        <f t="array" ref="AC135">Common_InputFunctions.Utility_DisplayArrayInTable(Fertiliser_SourceData.Fertiliser_Products_Data1(),FertiliserProducts[[#Headers],[Include or Exclude]], 0,4)</f>
        <v/>
      </c>
      <c r="AD135" s="62" t="str" cm="1">
        <f t="array" ref="AD135">Common_InputFunctions.Utility_DisplayArrayInTable(Fertiliser_SourceData.Fertiliser_Products_Data1(),FertiliserProducts[[#Headers],[Include or Exclude]], 0,4)</f>
        <v/>
      </c>
      <c r="AE135" s="62" t="str" cm="1">
        <f t="array" ref="AE135">Common_InputFunctions.Utility_DisplayArrayInTable(Fertiliser_SourceData.Fertiliser_Products_Data1(),FertiliserProducts[[#Headers],[Include or Exclude]], 0,4)</f>
        <v/>
      </c>
    </row>
    <row r="136" spans="1:31" ht="20.100000000000001" customHeight="1" x14ac:dyDescent="0.25">
      <c r="A136"/>
      <c r="D136" s="62" t="str" cm="1">
        <f t="array" ref="D136">Common_InputFunctions.Utility_DisplayArrayInTable(Fertiliser_SourceData.Fertiliser_Products_Data1(),FertiliserProducts[[#Headers],[Include or Exclude]], -1)</f>
        <v/>
      </c>
      <c r="E136" s="62" t="str" cm="1">
        <f t="array" ref="E136">Common_InputFunctions.Utility_DisplayArrayInTable(Fertiliser_SourceData.Fertiliser_Products_Data1(),FertiliserProducts[[#Headers],[Include or Exclude]], 0)</f>
        <v/>
      </c>
      <c r="F136" s="62" t="str" cm="1">
        <f t="array" ref="F136">Common_InputFunctions.Utility_DisplayArrayInTable(Fertiliser_SourceData.Fertiliser_Products_Data1(),FertiliserProducts[[#Headers],[Include or Exclude]], 0)</f>
        <v/>
      </c>
      <c r="G136" s="62" t="str" cm="1">
        <f t="array" ref="G136">Common_InputFunctions.Utility_DisplayArrayInTable(Fertiliser_SourceData.Fertiliser_Products_Data1(),FertiliserProducts[[#Headers],[Include or Exclude]], 0)</f>
        <v/>
      </c>
      <c r="H136" s="62" t="str" cm="1">
        <f t="array" ref="H136">Common_InputFunctions.Utility_DisplayArrayInTable(Fertiliser_SourceData.Fertiliser_Products_Data1(),FertiliserProducts[[#Headers],[Include or Exclude]], 0,4)</f>
        <v/>
      </c>
      <c r="I136" s="62" t="str" cm="1">
        <f t="array" ref="I136">Common_InputFunctions.Utility_DisplayArrayInTable(Fertiliser_SourceData.Fertiliser_Products_Data1(),FertiliserProducts[[#Headers],[Include or Exclude]], 0,4)</f>
        <v/>
      </c>
      <c r="J136" s="62" t="str" cm="1">
        <f t="array" ref="J136">Common_InputFunctions.Utility_DisplayArrayInTable(Fertiliser_SourceData.Fertiliser_Products_Data1(),FertiliserProducts[[#Headers],[Include or Exclude]], 0,4)</f>
        <v/>
      </c>
      <c r="K136" s="62" t="str" cm="1">
        <f t="array" ref="K136">Common_InputFunctions.Utility_DisplayArrayInTable(Fertiliser_SourceData.Fertiliser_Products_Data1(),FertiliserProducts[[#Headers],[Include or Exclude]], 0,4)</f>
        <v/>
      </c>
      <c r="L136" s="62" t="str" cm="1">
        <f t="array" ref="L136">Common_InputFunctions.Utility_DisplayArrayInTable(Fertiliser_SourceData.Fertiliser_Products_Data1(),FertiliserProducts[[#Headers],[Include or Exclude]], 0,4)</f>
        <v/>
      </c>
      <c r="M136" s="62" t="str" cm="1">
        <f t="array" ref="M136">Common_InputFunctions.Utility_DisplayArrayInTable(Fertiliser_SourceData.Fertiliser_Products_Data1(),FertiliserProducts[[#Headers],[Include or Exclude]], 0,4)</f>
        <v/>
      </c>
      <c r="N136" s="62" t="str" cm="1">
        <f t="array" ref="N136">Common_InputFunctions.Utility_DisplayArrayInTable(Fertiliser_SourceData.Fertiliser_Products_Data1(),FertiliserProducts[[#Headers],[Include or Exclude]], 0,4)</f>
        <v/>
      </c>
      <c r="O136" s="62" t="str" cm="1">
        <f t="array" ref="O136">Common_InputFunctions.Utility_DisplayArrayInTable(Fertiliser_SourceData.Fertiliser_Products_Data1(),FertiliserProducts[[#Headers],[Include or Exclude]], 0,4)</f>
        <v/>
      </c>
      <c r="P136" s="62" t="str" cm="1">
        <f t="array" ref="P136">Common_InputFunctions.Utility_DisplayArrayInTable(Fertiliser_SourceData.Fertiliser_Products_Data1(),FertiliserProducts[[#Headers],[Include or Exclude]], 0,4)</f>
        <v/>
      </c>
      <c r="Q136" s="62" t="str" cm="1">
        <f t="array" ref="Q136">Common_InputFunctions.Utility_DisplayArrayInTable(Fertiliser_SourceData.Fertiliser_Products_Data1(),FertiliserProducts[[#Headers],[Include or Exclude]], 0,4)</f>
        <v/>
      </c>
      <c r="R136" s="62" t="str" cm="1">
        <f t="array" ref="R136">Common_InputFunctions.Utility_DisplayArrayInTable(Fertiliser_SourceData.Fertiliser_Products_Data1(),FertiliserProducts[[#Headers],[Include or Exclude]], 0,4)</f>
        <v/>
      </c>
      <c r="S136" s="62" t="str" cm="1">
        <f t="array" ref="S136">Common_InputFunctions.Utility_DisplayArrayInTable(Fertiliser_SourceData.Fertiliser_Products_Data1(),FertiliserProducts[[#Headers],[Include or Exclude]], 0,4)</f>
        <v/>
      </c>
      <c r="T136" s="62" t="str" cm="1">
        <f t="array" ref="T136">Common_InputFunctions.Utility_DisplayArrayInTable(Fertiliser_SourceData.Fertiliser_Products_Data1(),FertiliserProducts[[#Headers],[Include or Exclude]], 0,4)</f>
        <v/>
      </c>
      <c r="U136" s="62" t="str" cm="1">
        <f t="array" ref="U136">Common_InputFunctions.Utility_DisplayArrayInTable(Fertiliser_SourceData.Fertiliser_Products_Data1(),FertiliserProducts[[#Headers],[Include or Exclude]], 0,4)</f>
        <v/>
      </c>
      <c r="V136" s="62" t="str" cm="1">
        <f t="array" ref="V136">Common_InputFunctions.Utility_DisplayArrayInTable(Fertiliser_SourceData.Fertiliser_Products_Data1(),FertiliserProducts[[#Headers],[Include or Exclude]], 0,4)</f>
        <v/>
      </c>
      <c r="W136" s="62" t="str" cm="1">
        <f t="array" ref="W136">Common_InputFunctions.Utility_DisplayArrayInTable(Fertiliser_SourceData.Fertiliser_Products_Data1(),FertiliserProducts[[#Headers],[Include or Exclude]], 0,4)</f>
        <v/>
      </c>
      <c r="X136" s="62" t="str" cm="1">
        <f t="array" ref="X136">Common_InputFunctions.Utility_DisplayArrayInTable(Fertiliser_SourceData.Fertiliser_Products_Data1(),FertiliserProducts[[#Headers],[Include or Exclude]], 0,4)</f>
        <v/>
      </c>
      <c r="Y136" s="62" t="str" cm="1">
        <f t="array" ref="Y136">Common_InputFunctions.Utility_DisplayArrayInTable(Fertiliser_SourceData.Fertiliser_Products_Data1(),FertiliserProducts[[#Headers],[Include or Exclude]], 0,4)</f>
        <v/>
      </c>
      <c r="Z136" s="62" t="str" cm="1">
        <f t="array" ref="Z136">Common_InputFunctions.Utility_DisplayArrayInTable(Fertiliser_SourceData.Fertiliser_Products_Data1(),FertiliserProducts[[#Headers],[Include or Exclude]], 0,4)</f>
        <v/>
      </c>
      <c r="AA136" s="62" t="str" cm="1">
        <f t="array" ref="AA136">Common_InputFunctions.Utility_DisplayArrayInTable(Fertiliser_SourceData.Fertiliser_Products_Data1(),FertiliserProducts[[#Headers],[Include or Exclude]], 0,4)</f>
        <v/>
      </c>
      <c r="AB136" s="62" t="str" cm="1">
        <f t="array" ref="AB136">Common_InputFunctions.Utility_DisplayArrayInTable(Fertiliser_SourceData.Fertiliser_Products_Data1(),FertiliserProducts[[#Headers],[Include or Exclude]], 0,4)</f>
        <v/>
      </c>
      <c r="AC136" s="62" t="str" cm="1">
        <f t="array" ref="AC136">Common_InputFunctions.Utility_DisplayArrayInTable(Fertiliser_SourceData.Fertiliser_Products_Data1(),FertiliserProducts[[#Headers],[Include or Exclude]], 0,4)</f>
        <v/>
      </c>
      <c r="AD136" s="62" t="str" cm="1">
        <f t="array" ref="AD136">Common_InputFunctions.Utility_DisplayArrayInTable(Fertiliser_SourceData.Fertiliser_Products_Data1(),FertiliserProducts[[#Headers],[Include or Exclude]], 0,4)</f>
        <v/>
      </c>
      <c r="AE136" s="62" t="str" cm="1">
        <f t="array" ref="AE136">Common_InputFunctions.Utility_DisplayArrayInTable(Fertiliser_SourceData.Fertiliser_Products_Data1(),FertiliserProducts[[#Headers],[Include or Exclude]], 0,4)</f>
        <v/>
      </c>
    </row>
    <row r="137" spans="1:31" ht="20.100000000000001" customHeight="1" x14ac:dyDescent="0.25">
      <c r="A137"/>
      <c r="D137" s="62" t="str" cm="1">
        <f t="array" ref="D137">Common_InputFunctions.Utility_DisplayArrayInTable(Fertiliser_SourceData.Fertiliser_Products_Data1(),FertiliserProducts[[#Headers],[Include or Exclude]], -1)</f>
        <v/>
      </c>
      <c r="E137" s="62" t="str" cm="1">
        <f t="array" ref="E137">Common_InputFunctions.Utility_DisplayArrayInTable(Fertiliser_SourceData.Fertiliser_Products_Data1(),FertiliserProducts[[#Headers],[Include or Exclude]], 0)</f>
        <v/>
      </c>
      <c r="F137" s="62" t="str" cm="1">
        <f t="array" ref="F137">Common_InputFunctions.Utility_DisplayArrayInTable(Fertiliser_SourceData.Fertiliser_Products_Data1(),FertiliserProducts[[#Headers],[Include or Exclude]], 0)</f>
        <v/>
      </c>
      <c r="G137" s="62" t="str" cm="1">
        <f t="array" ref="G137">Common_InputFunctions.Utility_DisplayArrayInTable(Fertiliser_SourceData.Fertiliser_Products_Data1(),FertiliserProducts[[#Headers],[Include or Exclude]], 0)</f>
        <v/>
      </c>
      <c r="H137" s="62" t="str" cm="1">
        <f t="array" ref="H137">Common_InputFunctions.Utility_DisplayArrayInTable(Fertiliser_SourceData.Fertiliser_Products_Data1(),FertiliserProducts[[#Headers],[Include or Exclude]], 0,4)</f>
        <v/>
      </c>
      <c r="I137" s="62" t="str" cm="1">
        <f t="array" ref="I137">Common_InputFunctions.Utility_DisplayArrayInTable(Fertiliser_SourceData.Fertiliser_Products_Data1(),FertiliserProducts[[#Headers],[Include or Exclude]], 0,4)</f>
        <v/>
      </c>
      <c r="J137" s="62" t="str" cm="1">
        <f t="array" ref="J137">Common_InputFunctions.Utility_DisplayArrayInTable(Fertiliser_SourceData.Fertiliser_Products_Data1(),FertiliserProducts[[#Headers],[Include or Exclude]], 0,4)</f>
        <v/>
      </c>
      <c r="K137" s="62" t="str" cm="1">
        <f t="array" ref="K137">Common_InputFunctions.Utility_DisplayArrayInTable(Fertiliser_SourceData.Fertiliser_Products_Data1(),FertiliserProducts[[#Headers],[Include or Exclude]], 0,4)</f>
        <v/>
      </c>
      <c r="L137" s="62" t="str" cm="1">
        <f t="array" ref="L137">Common_InputFunctions.Utility_DisplayArrayInTable(Fertiliser_SourceData.Fertiliser_Products_Data1(),FertiliserProducts[[#Headers],[Include or Exclude]], 0,4)</f>
        <v/>
      </c>
      <c r="M137" s="62" t="str" cm="1">
        <f t="array" ref="M137">Common_InputFunctions.Utility_DisplayArrayInTable(Fertiliser_SourceData.Fertiliser_Products_Data1(),FertiliserProducts[[#Headers],[Include or Exclude]], 0,4)</f>
        <v/>
      </c>
      <c r="N137" s="62" t="str" cm="1">
        <f t="array" ref="N137">Common_InputFunctions.Utility_DisplayArrayInTable(Fertiliser_SourceData.Fertiliser_Products_Data1(),FertiliserProducts[[#Headers],[Include or Exclude]], 0,4)</f>
        <v/>
      </c>
      <c r="O137" s="62" t="str" cm="1">
        <f t="array" ref="O137">Common_InputFunctions.Utility_DisplayArrayInTable(Fertiliser_SourceData.Fertiliser_Products_Data1(),FertiliserProducts[[#Headers],[Include or Exclude]], 0,4)</f>
        <v/>
      </c>
      <c r="P137" s="62" t="str" cm="1">
        <f t="array" ref="P137">Common_InputFunctions.Utility_DisplayArrayInTable(Fertiliser_SourceData.Fertiliser_Products_Data1(),FertiliserProducts[[#Headers],[Include or Exclude]], 0,4)</f>
        <v/>
      </c>
      <c r="Q137" s="62" t="str" cm="1">
        <f t="array" ref="Q137">Common_InputFunctions.Utility_DisplayArrayInTable(Fertiliser_SourceData.Fertiliser_Products_Data1(),FertiliserProducts[[#Headers],[Include or Exclude]], 0,4)</f>
        <v/>
      </c>
      <c r="R137" s="62" t="str" cm="1">
        <f t="array" ref="R137">Common_InputFunctions.Utility_DisplayArrayInTable(Fertiliser_SourceData.Fertiliser_Products_Data1(),FertiliserProducts[[#Headers],[Include or Exclude]], 0,4)</f>
        <v/>
      </c>
      <c r="S137" s="62" t="str" cm="1">
        <f t="array" ref="S137">Common_InputFunctions.Utility_DisplayArrayInTable(Fertiliser_SourceData.Fertiliser_Products_Data1(),FertiliserProducts[[#Headers],[Include or Exclude]], 0,4)</f>
        <v/>
      </c>
      <c r="T137" s="62" t="str" cm="1">
        <f t="array" ref="T137">Common_InputFunctions.Utility_DisplayArrayInTable(Fertiliser_SourceData.Fertiliser_Products_Data1(),FertiliserProducts[[#Headers],[Include or Exclude]], 0,4)</f>
        <v/>
      </c>
      <c r="U137" s="62" t="str" cm="1">
        <f t="array" ref="U137">Common_InputFunctions.Utility_DisplayArrayInTable(Fertiliser_SourceData.Fertiliser_Products_Data1(),FertiliserProducts[[#Headers],[Include or Exclude]], 0,4)</f>
        <v/>
      </c>
      <c r="V137" s="62" t="str" cm="1">
        <f t="array" ref="V137">Common_InputFunctions.Utility_DisplayArrayInTable(Fertiliser_SourceData.Fertiliser_Products_Data1(),FertiliserProducts[[#Headers],[Include or Exclude]], 0,4)</f>
        <v/>
      </c>
      <c r="W137" s="62" t="str" cm="1">
        <f t="array" ref="W137">Common_InputFunctions.Utility_DisplayArrayInTable(Fertiliser_SourceData.Fertiliser_Products_Data1(),FertiliserProducts[[#Headers],[Include or Exclude]], 0,4)</f>
        <v/>
      </c>
      <c r="X137" s="62" t="str" cm="1">
        <f t="array" ref="X137">Common_InputFunctions.Utility_DisplayArrayInTable(Fertiliser_SourceData.Fertiliser_Products_Data1(),FertiliserProducts[[#Headers],[Include or Exclude]], 0,4)</f>
        <v/>
      </c>
      <c r="Y137" s="62" t="str" cm="1">
        <f t="array" ref="Y137">Common_InputFunctions.Utility_DisplayArrayInTable(Fertiliser_SourceData.Fertiliser_Products_Data1(),FertiliserProducts[[#Headers],[Include or Exclude]], 0,4)</f>
        <v/>
      </c>
      <c r="Z137" s="62" t="str" cm="1">
        <f t="array" ref="Z137">Common_InputFunctions.Utility_DisplayArrayInTable(Fertiliser_SourceData.Fertiliser_Products_Data1(),FertiliserProducts[[#Headers],[Include or Exclude]], 0,4)</f>
        <v/>
      </c>
      <c r="AA137" s="62" t="str" cm="1">
        <f t="array" ref="AA137">Common_InputFunctions.Utility_DisplayArrayInTable(Fertiliser_SourceData.Fertiliser_Products_Data1(),FertiliserProducts[[#Headers],[Include or Exclude]], 0,4)</f>
        <v/>
      </c>
      <c r="AB137" s="62" t="str" cm="1">
        <f t="array" ref="AB137">Common_InputFunctions.Utility_DisplayArrayInTable(Fertiliser_SourceData.Fertiliser_Products_Data1(),FertiliserProducts[[#Headers],[Include or Exclude]], 0,4)</f>
        <v/>
      </c>
      <c r="AC137" s="62" t="str" cm="1">
        <f t="array" ref="AC137">Common_InputFunctions.Utility_DisplayArrayInTable(Fertiliser_SourceData.Fertiliser_Products_Data1(),FertiliserProducts[[#Headers],[Include or Exclude]], 0,4)</f>
        <v/>
      </c>
      <c r="AD137" s="62" t="str" cm="1">
        <f t="array" ref="AD137">Common_InputFunctions.Utility_DisplayArrayInTable(Fertiliser_SourceData.Fertiliser_Products_Data1(),FertiliserProducts[[#Headers],[Include or Exclude]], 0,4)</f>
        <v/>
      </c>
      <c r="AE137" s="62" t="str" cm="1">
        <f t="array" ref="AE137">Common_InputFunctions.Utility_DisplayArrayInTable(Fertiliser_SourceData.Fertiliser_Products_Data1(),FertiliserProducts[[#Headers],[Include or Exclude]], 0,4)</f>
        <v/>
      </c>
    </row>
    <row r="138" spans="1:31" ht="20.100000000000001" customHeight="1" x14ac:dyDescent="0.25">
      <c r="A138"/>
      <c r="D138" s="62" t="str" cm="1">
        <f t="array" ref="D138">Common_InputFunctions.Utility_DisplayArrayInTable(Fertiliser_SourceData.Fertiliser_Products_Data1(),FertiliserProducts[[#Headers],[Include or Exclude]], -1)</f>
        <v/>
      </c>
      <c r="E138" s="62" t="str" cm="1">
        <f t="array" ref="E138">Common_InputFunctions.Utility_DisplayArrayInTable(Fertiliser_SourceData.Fertiliser_Products_Data1(),FertiliserProducts[[#Headers],[Include or Exclude]], 0)</f>
        <v/>
      </c>
      <c r="F138" s="62" t="str" cm="1">
        <f t="array" ref="F138">Common_InputFunctions.Utility_DisplayArrayInTable(Fertiliser_SourceData.Fertiliser_Products_Data1(),FertiliserProducts[[#Headers],[Include or Exclude]], 0)</f>
        <v/>
      </c>
      <c r="G138" s="62" t="str" cm="1">
        <f t="array" ref="G138">Common_InputFunctions.Utility_DisplayArrayInTable(Fertiliser_SourceData.Fertiliser_Products_Data1(),FertiliserProducts[[#Headers],[Include or Exclude]], 0)</f>
        <v/>
      </c>
      <c r="H138" s="62" t="str" cm="1">
        <f t="array" ref="H138">Common_InputFunctions.Utility_DisplayArrayInTable(Fertiliser_SourceData.Fertiliser_Products_Data1(),FertiliserProducts[[#Headers],[Include or Exclude]], 0,4)</f>
        <v/>
      </c>
      <c r="I138" s="62" t="str" cm="1">
        <f t="array" ref="I138">Common_InputFunctions.Utility_DisplayArrayInTable(Fertiliser_SourceData.Fertiliser_Products_Data1(),FertiliserProducts[[#Headers],[Include or Exclude]], 0,4)</f>
        <v/>
      </c>
      <c r="J138" s="62" t="str" cm="1">
        <f t="array" ref="J138">Common_InputFunctions.Utility_DisplayArrayInTable(Fertiliser_SourceData.Fertiliser_Products_Data1(),FertiliserProducts[[#Headers],[Include or Exclude]], 0,4)</f>
        <v/>
      </c>
      <c r="K138" s="62" t="str" cm="1">
        <f t="array" ref="K138">Common_InputFunctions.Utility_DisplayArrayInTable(Fertiliser_SourceData.Fertiliser_Products_Data1(),FertiliserProducts[[#Headers],[Include or Exclude]], 0,4)</f>
        <v/>
      </c>
      <c r="L138" s="62" t="str" cm="1">
        <f t="array" ref="L138">Common_InputFunctions.Utility_DisplayArrayInTable(Fertiliser_SourceData.Fertiliser_Products_Data1(),FertiliserProducts[[#Headers],[Include or Exclude]], 0,4)</f>
        <v/>
      </c>
      <c r="M138" s="62" t="str" cm="1">
        <f t="array" ref="M138">Common_InputFunctions.Utility_DisplayArrayInTable(Fertiliser_SourceData.Fertiliser_Products_Data1(),FertiliserProducts[[#Headers],[Include or Exclude]], 0,4)</f>
        <v/>
      </c>
      <c r="N138" s="62" t="str" cm="1">
        <f t="array" ref="N138">Common_InputFunctions.Utility_DisplayArrayInTable(Fertiliser_SourceData.Fertiliser_Products_Data1(),FertiliserProducts[[#Headers],[Include or Exclude]], 0,4)</f>
        <v/>
      </c>
      <c r="O138" s="62" t="str" cm="1">
        <f t="array" ref="O138">Common_InputFunctions.Utility_DisplayArrayInTable(Fertiliser_SourceData.Fertiliser_Products_Data1(),FertiliserProducts[[#Headers],[Include or Exclude]], 0,4)</f>
        <v/>
      </c>
      <c r="P138" s="62" t="str" cm="1">
        <f t="array" ref="P138">Common_InputFunctions.Utility_DisplayArrayInTable(Fertiliser_SourceData.Fertiliser_Products_Data1(),FertiliserProducts[[#Headers],[Include or Exclude]], 0,4)</f>
        <v/>
      </c>
      <c r="Q138" s="62" t="str" cm="1">
        <f t="array" ref="Q138">Common_InputFunctions.Utility_DisplayArrayInTable(Fertiliser_SourceData.Fertiliser_Products_Data1(),FertiliserProducts[[#Headers],[Include or Exclude]], 0,4)</f>
        <v/>
      </c>
      <c r="R138" s="62" t="str" cm="1">
        <f t="array" ref="R138">Common_InputFunctions.Utility_DisplayArrayInTable(Fertiliser_SourceData.Fertiliser_Products_Data1(),FertiliserProducts[[#Headers],[Include or Exclude]], 0,4)</f>
        <v/>
      </c>
      <c r="S138" s="62" t="str" cm="1">
        <f t="array" ref="S138">Common_InputFunctions.Utility_DisplayArrayInTable(Fertiliser_SourceData.Fertiliser_Products_Data1(),FertiliserProducts[[#Headers],[Include or Exclude]], 0,4)</f>
        <v/>
      </c>
      <c r="T138" s="62" t="str" cm="1">
        <f t="array" ref="T138">Common_InputFunctions.Utility_DisplayArrayInTable(Fertiliser_SourceData.Fertiliser_Products_Data1(),FertiliserProducts[[#Headers],[Include or Exclude]], 0,4)</f>
        <v/>
      </c>
      <c r="U138" s="62" t="str" cm="1">
        <f t="array" ref="U138">Common_InputFunctions.Utility_DisplayArrayInTable(Fertiliser_SourceData.Fertiliser_Products_Data1(),FertiliserProducts[[#Headers],[Include or Exclude]], 0,4)</f>
        <v/>
      </c>
      <c r="V138" s="62" t="str" cm="1">
        <f t="array" ref="V138">Common_InputFunctions.Utility_DisplayArrayInTable(Fertiliser_SourceData.Fertiliser_Products_Data1(),FertiliserProducts[[#Headers],[Include or Exclude]], 0,4)</f>
        <v/>
      </c>
      <c r="W138" s="62" t="str" cm="1">
        <f t="array" ref="W138">Common_InputFunctions.Utility_DisplayArrayInTable(Fertiliser_SourceData.Fertiliser_Products_Data1(),FertiliserProducts[[#Headers],[Include or Exclude]], 0,4)</f>
        <v/>
      </c>
      <c r="X138" s="62" t="str" cm="1">
        <f t="array" ref="X138">Common_InputFunctions.Utility_DisplayArrayInTable(Fertiliser_SourceData.Fertiliser_Products_Data1(),FertiliserProducts[[#Headers],[Include or Exclude]], 0,4)</f>
        <v/>
      </c>
      <c r="Y138" s="62" t="str" cm="1">
        <f t="array" ref="Y138">Common_InputFunctions.Utility_DisplayArrayInTable(Fertiliser_SourceData.Fertiliser_Products_Data1(),FertiliserProducts[[#Headers],[Include or Exclude]], 0,4)</f>
        <v/>
      </c>
      <c r="Z138" s="62" t="str" cm="1">
        <f t="array" ref="Z138">Common_InputFunctions.Utility_DisplayArrayInTable(Fertiliser_SourceData.Fertiliser_Products_Data1(),FertiliserProducts[[#Headers],[Include or Exclude]], 0,4)</f>
        <v/>
      </c>
      <c r="AA138" s="62" t="str" cm="1">
        <f t="array" ref="AA138">Common_InputFunctions.Utility_DisplayArrayInTable(Fertiliser_SourceData.Fertiliser_Products_Data1(),FertiliserProducts[[#Headers],[Include or Exclude]], 0,4)</f>
        <v/>
      </c>
      <c r="AB138" s="62" t="str" cm="1">
        <f t="array" ref="AB138">Common_InputFunctions.Utility_DisplayArrayInTable(Fertiliser_SourceData.Fertiliser_Products_Data1(),FertiliserProducts[[#Headers],[Include or Exclude]], 0,4)</f>
        <v/>
      </c>
      <c r="AC138" s="62" t="str" cm="1">
        <f t="array" ref="AC138">Common_InputFunctions.Utility_DisplayArrayInTable(Fertiliser_SourceData.Fertiliser_Products_Data1(),FertiliserProducts[[#Headers],[Include or Exclude]], 0,4)</f>
        <v/>
      </c>
      <c r="AD138" s="62" t="str" cm="1">
        <f t="array" ref="AD138">Common_InputFunctions.Utility_DisplayArrayInTable(Fertiliser_SourceData.Fertiliser_Products_Data1(),FertiliserProducts[[#Headers],[Include or Exclude]], 0,4)</f>
        <v/>
      </c>
      <c r="AE138" s="62" t="str" cm="1">
        <f t="array" ref="AE138">Common_InputFunctions.Utility_DisplayArrayInTable(Fertiliser_SourceData.Fertiliser_Products_Data1(),FertiliserProducts[[#Headers],[Include or Exclude]], 0,4)</f>
        <v/>
      </c>
    </row>
    <row r="139" spans="1:31" ht="20.100000000000001" customHeight="1" x14ac:dyDescent="0.25">
      <c r="A139"/>
      <c r="D139" s="62" t="str" cm="1">
        <f t="array" ref="D139">Common_InputFunctions.Utility_DisplayArrayInTable(Fertiliser_SourceData.Fertiliser_Products_Data1(),FertiliserProducts[[#Headers],[Include or Exclude]], -1)</f>
        <v/>
      </c>
      <c r="E139" s="62" t="str" cm="1">
        <f t="array" ref="E139">Common_InputFunctions.Utility_DisplayArrayInTable(Fertiliser_SourceData.Fertiliser_Products_Data1(),FertiliserProducts[[#Headers],[Include or Exclude]], 0)</f>
        <v/>
      </c>
      <c r="F139" s="62" t="str" cm="1">
        <f t="array" ref="F139">Common_InputFunctions.Utility_DisplayArrayInTable(Fertiliser_SourceData.Fertiliser_Products_Data1(),FertiliserProducts[[#Headers],[Include or Exclude]], 0)</f>
        <v/>
      </c>
      <c r="G139" s="62" t="str" cm="1">
        <f t="array" ref="G139">Common_InputFunctions.Utility_DisplayArrayInTable(Fertiliser_SourceData.Fertiliser_Products_Data1(),FertiliserProducts[[#Headers],[Include or Exclude]], 0)</f>
        <v/>
      </c>
      <c r="H139" s="62" t="str" cm="1">
        <f t="array" ref="H139">Common_InputFunctions.Utility_DisplayArrayInTable(Fertiliser_SourceData.Fertiliser_Products_Data1(),FertiliserProducts[[#Headers],[Include or Exclude]], 0,4)</f>
        <v/>
      </c>
      <c r="I139" s="62" t="str" cm="1">
        <f t="array" ref="I139">Common_InputFunctions.Utility_DisplayArrayInTable(Fertiliser_SourceData.Fertiliser_Products_Data1(),FertiliserProducts[[#Headers],[Include or Exclude]], 0,4)</f>
        <v/>
      </c>
      <c r="J139" s="62" t="str" cm="1">
        <f t="array" ref="J139">Common_InputFunctions.Utility_DisplayArrayInTable(Fertiliser_SourceData.Fertiliser_Products_Data1(),FertiliserProducts[[#Headers],[Include or Exclude]], 0,4)</f>
        <v/>
      </c>
      <c r="K139" s="62" t="str" cm="1">
        <f t="array" ref="K139">Common_InputFunctions.Utility_DisplayArrayInTable(Fertiliser_SourceData.Fertiliser_Products_Data1(),FertiliserProducts[[#Headers],[Include or Exclude]], 0,4)</f>
        <v/>
      </c>
      <c r="L139" s="62" t="str" cm="1">
        <f t="array" ref="L139">Common_InputFunctions.Utility_DisplayArrayInTable(Fertiliser_SourceData.Fertiliser_Products_Data1(),FertiliserProducts[[#Headers],[Include or Exclude]], 0,4)</f>
        <v/>
      </c>
      <c r="M139" s="62" t="str" cm="1">
        <f t="array" ref="M139">Common_InputFunctions.Utility_DisplayArrayInTable(Fertiliser_SourceData.Fertiliser_Products_Data1(),FertiliserProducts[[#Headers],[Include or Exclude]], 0,4)</f>
        <v/>
      </c>
      <c r="N139" s="62" t="str" cm="1">
        <f t="array" ref="N139">Common_InputFunctions.Utility_DisplayArrayInTable(Fertiliser_SourceData.Fertiliser_Products_Data1(),FertiliserProducts[[#Headers],[Include or Exclude]], 0,4)</f>
        <v/>
      </c>
      <c r="O139" s="62" t="str" cm="1">
        <f t="array" ref="O139">Common_InputFunctions.Utility_DisplayArrayInTable(Fertiliser_SourceData.Fertiliser_Products_Data1(),FertiliserProducts[[#Headers],[Include or Exclude]], 0,4)</f>
        <v/>
      </c>
      <c r="P139" s="62" t="str" cm="1">
        <f t="array" ref="P139">Common_InputFunctions.Utility_DisplayArrayInTable(Fertiliser_SourceData.Fertiliser_Products_Data1(),FertiliserProducts[[#Headers],[Include or Exclude]], 0,4)</f>
        <v/>
      </c>
      <c r="Q139" s="62" t="str" cm="1">
        <f t="array" ref="Q139">Common_InputFunctions.Utility_DisplayArrayInTable(Fertiliser_SourceData.Fertiliser_Products_Data1(),FertiliserProducts[[#Headers],[Include or Exclude]], 0,4)</f>
        <v/>
      </c>
      <c r="R139" s="62" t="str" cm="1">
        <f t="array" ref="R139">Common_InputFunctions.Utility_DisplayArrayInTable(Fertiliser_SourceData.Fertiliser_Products_Data1(),FertiliserProducts[[#Headers],[Include or Exclude]], 0,4)</f>
        <v/>
      </c>
      <c r="S139" s="62" t="str" cm="1">
        <f t="array" ref="S139">Common_InputFunctions.Utility_DisplayArrayInTable(Fertiliser_SourceData.Fertiliser_Products_Data1(),FertiliserProducts[[#Headers],[Include or Exclude]], 0,4)</f>
        <v/>
      </c>
      <c r="T139" s="62" t="str" cm="1">
        <f t="array" ref="T139">Common_InputFunctions.Utility_DisplayArrayInTable(Fertiliser_SourceData.Fertiliser_Products_Data1(),FertiliserProducts[[#Headers],[Include or Exclude]], 0,4)</f>
        <v/>
      </c>
      <c r="U139" s="62" t="str" cm="1">
        <f t="array" ref="U139">Common_InputFunctions.Utility_DisplayArrayInTable(Fertiliser_SourceData.Fertiliser_Products_Data1(),FertiliserProducts[[#Headers],[Include or Exclude]], 0,4)</f>
        <v/>
      </c>
      <c r="V139" s="62" t="str" cm="1">
        <f t="array" ref="V139">Common_InputFunctions.Utility_DisplayArrayInTable(Fertiliser_SourceData.Fertiliser_Products_Data1(),FertiliserProducts[[#Headers],[Include or Exclude]], 0,4)</f>
        <v/>
      </c>
      <c r="W139" s="62" t="str" cm="1">
        <f t="array" ref="W139">Common_InputFunctions.Utility_DisplayArrayInTable(Fertiliser_SourceData.Fertiliser_Products_Data1(),FertiliserProducts[[#Headers],[Include or Exclude]], 0,4)</f>
        <v/>
      </c>
      <c r="X139" s="62" t="str" cm="1">
        <f t="array" ref="X139">Common_InputFunctions.Utility_DisplayArrayInTable(Fertiliser_SourceData.Fertiliser_Products_Data1(),FertiliserProducts[[#Headers],[Include or Exclude]], 0,4)</f>
        <v/>
      </c>
      <c r="Y139" s="62" t="str" cm="1">
        <f t="array" ref="Y139">Common_InputFunctions.Utility_DisplayArrayInTable(Fertiliser_SourceData.Fertiliser_Products_Data1(),FertiliserProducts[[#Headers],[Include or Exclude]], 0,4)</f>
        <v/>
      </c>
      <c r="Z139" s="62" t="str" cm="1">
        <f t="array" ref="Z139">Common_InputFunctions.Utility_DisplayArrayInTable(Fertiliser_SourceData.Fertiliser_Products_Data1(),FertiliserProducts[[#Headers],[Include or Exclude]], 0,4)</f>
        <v/>
      </c>
      <c r="AA139" s="62" t="str" cm="1">
        <f t="array" ref="AA139">Common_InputFunctions.Utility_DisplayArrayInTable(Fertiliser_SourceData.Fertiliser_Products_Data1(),FertiliserProducts[[#Headers],[Include or Exclude]], 0,4)</f>
        <v/>
      </c>
      <c r="AB139" s="62" t="str" cm="1">
        <f t="array" ref="AB139">Common_InputFunctions.Utility_DisplayArrayInTable(Fertiliser_SourceData.Fertiliser_Products_Data1(),FertiliserProducts[[#Headers],[Include or Exclude]], 0,4)</f>
        <v/>
      </c>
      <c r="AC139" s="62" t="str" cm="1">
        <f t="array" ref="AC139">Common_InputFunctions.Utility_DisplayArrayInTable(Fertiliser_SourceData.Fertiliser_Products_Data1(),FertiliserProducts[[#Headers],[Include or Exclude]], 0,4)</f>
        <v/>
      </c>
      <c r="AD139" s="62" t="str" cm="1">
        <f t="array" ref="AD139">Common_InputFunctions.Utility_DisplayArrayInTable(Fertiliser_SourceData.Fertiliser_Products_Data1(),FertiliserProducts[[#Headers],[Include or Exclude]], 0,4)</f>
        <v/>
      </c>
      <c r="AE139" s="62" t="str" cm="1">
        <f t="array" ref="AE139">Common_InputFunctions.Utility_DisplayArrayInTable(Fertiliser_SourceData.Fertiliser_Products_Data1(),FertiliserProducts[[#Headers],[Include or Exclude]], 0,4)</f>
        <v/>
      </c>
    </row>
    <row r="140" spans="1:31" ht="20.100000000000001" customHeight="1" x14ac:dyDescent="0.25">
      <c r="A140"/>
      <c r="D140" s="62" t="str" cm="1">
        <f t="array" ref="D140">Common_InputFunctions.Utility_DisplayArrayInTable(Fertiliser_SourceData.Fertiliser_Products_Data1(),FertiliserProducts[[#Headers],[Include or Exclude]], -1)</f>
        <v/>
      </c>
      <c r="E140" s="62" t="str" cm="1">
        <f t="array" ref="E140">Common_InputFunctions.Utility_DisplayArrayInTable(Fertiliser_SourceData.Fertiliser_Products_Data1(),FertiliserProducts[[#Headers],[Include or Exclude]], 0)</f>
        <v/>
      </c>
      <c r="F140" s="62" t="str" cm="1">
        <f t="array" ref="F140">Common_InputFunctions.Utility_DisplayArrayInTable(Fertiliser_SourceData.Fertiliser_Products_Data1(),FertiliserProducts[[#Headers],[Include or Exclude]], 0)</f>
        <v/>
      </c>
      <c r="G140" s="62" t="str" cm="1">
        <f t="array" ref="G140">Common_InputFunctions.Utility_DisplayArrayInTable(Fertiliser_SourceData.Fertiliser_Products_Data1(),FertiliserProducts[[#Headers],[Include or Exclude]], 0)</f>
        <v/>
      </c>
      <c r="H140" s="62" t="str" cm="1">
        <f t="array" ref="H140">Common_InputFunctions.Utility_DisplayArrayInTable(Fertiliser_SourceData.Fertiliser_Products_Data1(),FertiliserProducts[[#Headers],[Include or Exclude]], 0,4)</f>
        <v/>
      </c>
      <c r="I140" s="62" t="str" cm="1">
        <f t="array" ref="I140">Common_InputFunctions.Utility_DisplayArrayInTable(Fertiliser_SourceData.Fertiliser_Products_Data1(),FertiliserProducts[[#Headers],[Include or Exclude]], 0,4)</f>
        <v/>
      </c>
      <c r="J140" s="62" t="str" cm="1">
        <f t="array" ref="J140">Common_InputFunctions.Utility_DisplayArrayInTable(Fertiliser_SourceData.Fertiliser_Products_Data1(),FertiliserProducts[[#Headers],[Include or Exclude]], 0,4)</f>
        <v/>
      </c>
      <c r="K140" s="62" t="str" cm="1">
        <f t="array" ref="K140">Common_InputFunctions.Utility_DisplayArrayInTable(Fertiliser_SourceData.Fertiliser_Products_Data1(),FertiliserProducts[[#Headers],[Include or Exclude]], 0,4)</f>
        <v/>
      </c>
      <c r="L140" s="62" t="str" cm="1">
        <f t="array" ref="L140">Common_InputFunctions.Utility_DisplayArrayInTable(Fertiliser_SourceData.Fertiliser_Products_Data1(),FertiliserProducts[[#Headers],[Include or Exclude]], 0,4)</f>
        <v/>
      </c>
      <c r="M140" s="62" t="str" cm="1">
        <f t="array" ref="M140">Common_InputFunctions.Utility_DisplayArrayInTable(Fertiliser_SourceData.Fertiliser_Products_Data1(),FertiliserProducts[[#Headers],[Include or Exclude]], 0,4)</f>
        <v/>
      </c>
      <c r="N140" s="62" t="str" cm="1">
        <f t="array" ref="N140">Common_InputFunctions.Utility_DisplayArrayInTable(Fertiliser_SourceData.Fertiliser_Products_Data1(),FertiliserProducts[[#Headers],[Include or Exclude]], 0,4)</f>
        <v/>
      </c>
      <c r="O140" s="62" t="str" cm="1">
        <f t="array" ref="O140">Common_InputFunctions.Utility_DisplayArrayInTable(Fertiliser_SourceData.Fertiliser_Products_Data1(),FertiliserProducts[[#Headers],[Include or Exclude]], 0,4)</f>
        <v/>
      </c>
      <c r="P140" s="62" t="str" cm="1">
        <f t="array" ref="P140">Common_InputFunctions.Utility_DisplayArrayInTable(Fertiliser_SourceData.Fertiliser_Products_Data1(),FertiliserProducts[[#Headers],[Include or Exclude]], 0,4)</f>
        <v/>
      </c>
      <c r="Q140" s="62" t="str" cm="1">
        <f t="array" ref="Q140">Common_InputFunctions.Utility_DisplayArrayInTable(Fertiliser_SourceData.Fertiliser_Products_Data1(),FertiliserProducts[[#Headers],[Include or Exclude]], 0,4)</f>
        <v/>
      </c>
      <c r="R140" s="62" t="str" cm="1">
        <f t="array" ref="R140">Common_InputFunctions.Utility_DisplayArrayInTable(Fertiliser_SourceData.Fertiliser_Products_Data1(),FertiliserProducts[[#Headers],[Include or Exclude]], 0,4)</f>
        <v/>
      </c>
      <c r="S140" s="62" t="str" cm="1">
        <f t="array" ref="S140">Common_InputFunctions.Utility_DisplayArrayInTable(Fertiliser_SourceData.Fertiliser_Products_Data1(),FertiliserProducts[[#Headers],[Include or Exclude]], 0,4)</f>
        <v/>
      </c>
      <c r="T140" s="62" t="str" cm="1">
        <f t="array" ref="T140">Common_InputFunctions.Utility_DisplayArrayInTable(Fertiliser_SourceData.Fertiliser_Products_Data1(),FertiliserProducts[[#Headers],[Include or Exclude]], 0,4)</f>
        <v/>
      </c>
      <c r="U140" s="62" t="str" cm="1">
        <f t="array" ref="U140">Common_InputFunctions.Utility_DisplayArrayInTable(Fertiliser_SourceData.Fertiliser_Products_Data1(),FertiliserProducts[[#Headers],[Include or Exclude]], 0,4)</f>
        <v/>
      </c>
      <c r="V140" s="62" t="str" cm="1">
        <f t="array" ref="V140">Common_InputFunctions.Utility_DisplayArrayInTable(Fertiliser_SourceData.Fertiliser_Products_Data1(),FertiliserProducts[[#Headers],[Include or Exclude]], 0,4)</f>
        <v/>
      </c>
      <c r="W140" s="62" t="str" cm="1">
        <f t="array" ref="W140">Common_InputFunctions.Utility_DisplayArrayInTable(Fertiliser_SourceData.Fertiliser_Products_Data1(),FertiliserProducts[[#Headers],[Include or Exclude]], 0,4)</f>
        <v/>
      </c>
      <c r="X140" s="62" t="str" cm="1">
        <f t="array" ref="X140">Common_InputFunctions.Utility_DisplayArrayInTable(Fertiliser_SourceData.Fertiliser_Products_Data1(),FertiliserProducts[[#Headers],[Include or Exclude]], 0,4)</f>
        <v/>
      </c>
      <c r="Y140" s="62" t="str" cm="1">
        <f t="array" ref="Y140">Common_InputFunctions.Utility_DisplayArrayInTable(Fertiliser_SourceData.Fertiliser_Products_Data1(),FertiliserProducts[[#Headers],[Include or Exclude]], 0,4)</f>
        <v/>
      </c>
      <c r="Z140" s="62" t="str" cm="1">
        <f t="array" ref="Z140">Common_InputFunctions.Utility_DisplayArrayInTable(Fertiliser_SourceData.Fertiliser_Products_Data1(),FertiliserProducts[[#Headers],[Include or Exclude]], 0,4)</f>
        <v/>
      </c>
      <c r="AA140" s="62" t="str" cm="1">
        <f t="array" ref="AA140">Common_InputFunctions.Utility_DisplayArrayInTable(Fertiliser_SourceData.Fertiliser_Products_Data1(),FertiliserProducts[[#Headers],[Include or Exclude]], 0,4)</f>
        <v/>
      </c>
      <c r="AB140" s="62" t="str" cm="1">
        <f t="array" ref="AB140">Common_InputFunctions.Utility_DisplayArrayInTable(Fertiliser_SourceData.Fertiliser_Products_Data1(),FertiliserProducts[[#Headers],[Include or Exclude]], 0,4)</f>
        <v/>
      </c>
      <c r="AC140" s="62" t="str" cm="1">
        <f t="array" ref="AC140">Common_InputFunctions.Utility_DisplayArrayInTable(Fertiliser_SourceData.Fertiliser_Products_Data1(),FertiliserProducts[[#Headers],[Include or Exclude]], 0,4)</f>
        <v/>
      </c>
      <c r="AD140" s="62" t="str" cm="1">
        <f t="array" ref="AD140">Common_InputFunctions.Utility_DisplayArrayInTable(Fertiliser_SourceData.Fertiliser_Products_Data1(),FertiliserProducts[[#Headers],[Include or Exclude]], 0,4)</f>
        <v/>
      </c>
      <c r="AE140" s="62" t="str" cm="1">
        <f t="array" ref="AE140">Common_InputFunctions.Utility_DisplayArrayInTable(Fertiliser_SourceData.Fertiliser_Products_Data1(),FertiliserProducts[[#Headers],[Include or Exclude]], 0,4)</f>
        <v/>
      </c>
    </row>
    <row r="141" spans="1:31" ht="20.100000000000001" customHeight="1" x14ac:dyDescent="0.25">
      <c r="A141"/>
      <c r="D141" s="62" t="str" cm="1">
        <f t="array" ref="D141">Common_InputFunctions.Utility_DisplayArrayInTable(Fertiliser_SourceData.Fertiliser_Products_Data1(),FertiliserProducts[[#Headers],[Include or Exclude]], -1)</f>
        <v/>
      </c>
      <c r="E141" s="62" t="str" cm="1">
        <f t="array" ref="E141">Common_InputFunctions.Utility_DisplayArrayInTable(Fertiliser_SourceData.Fertiliser_Products_Data1(),FertiliserProducts[[#Headers],[Include or Exclude]], 0)</f>
        <v/>
      </c>
      <c r="F141" s="62" t="str" cm="1">
        <f t="array" ref="F141">Common_InputFunctions.Utility_DisplayArrayInTable(Fertiliser_SourceData.Fertiliser_Products_Data1(),FertiliserProducts[[#Headers],[Include or Exclude]], 0)</f>
        <v/>
      </c>
      <c r="G141" s="62" t="str" cm="1">
        <f t="array" ref="G141">Common_InputFunctions.Utility_DisplayArrayInTable(Fertiliser_SourceData.Fertiliser_Products_Data1(),FertiliserProducts[[#Headers],[Include or Exclude]], 0)</f>
        <v/>
      </c>
      <c r="H141" s="62" t="str" cm="1">
        <f t="array" ref="H141">Common_InputFunctions.Utility_DisplayArrayInTable(Fertiliser_SourceData.Fertiliser_Products_Data1(),FertiliserProducts[[#Headers],[Include or Exclude]], 0,4)</f>
        <v/>
      </c>
      <c r="I141" s="62" t="str" cm="1">
        <f t="array" ref="I141">Common_InputFunctions.Utility_DisplayArrayInTable(Fertiliser_SourceData.Fertiliser_Products_Data1(),FertiliserProducts[[#Headers],[Include or Exclude]], 0,4)</f>
        <v/>
      </c>
      <c r="J141" s="62" t="str" cm="1">
        <f t="array" ref="J141">Common_InputFunctions.Utility_DisplayArrayInTable(Fertiliser_SourceData.Fertiliser_Products_Data1(),FertiliserProducts[[#Headers],[Include or Exclude]], 0,4)</f>
        <v/>
      </c>
      <c r="K141" s="62" t="str" cm="1">
        <f t="array" ref="K141">Common_InputFunctions.Utility_DisplayArrayInTable(Fertiliser_SourceData.Fertiliser_Products_Data1(),FertiliserProducts[[#Headers],[Include or Exclude]], 0,4)</f>
        <v/>
      </c>
      <c r="L141" s="62" t="str" cm="1">
        <f t="array" ref="L141">Common_InputFunctions.Utility_DisplayArrayInTable(Fertiliser_SourceData.Fertiliser_Products_Data1(),FertiliserProducts[[#Headers],[Include or Exclude]], 0,4)</f>
        <v/>
      </c>
      <c r="M141" s="62" t="str" cm="1">
        <f t="array" ref="M141">Common_InputFunctions.Utility_DisplayArrayInTable(Fertiliser_SourceData.Fertiliser_Products_Data1(),FertiliserProducts[[#Headers],[Include or Exclude]], 0,4)</f>
        <v/>
      </c>
      <c r="N141" s="62" t="str" cm="1">
        <f t="array" ref="N141">Common_InputFunctions.Utility_DisplayArrayInTable(Fertiliser_SourceData.Fertiliser_Products_Data1(),FertiliserProducts[[#Headers],[Include or Exclude]], 0,4)</f>
        <v/>
      </c>
      <c r="O141" s="62" t="str" cm="1">
        <f t="array" ref="O141">Common_InputFunctions.Utility_DisplayArrayInTable(Fertiliser_SourceData.Fertiliser_Products_Data1(),FertiliserProducts[[#Headers],[Include or Exclude]], 0,4)</f>
        <v/>
      </c>
      <c r="P141" s="62" t="str" cm="1">
        <f t="array" ref="P141">Common_InputFunctions.Utility_DisplayArrayInTable(Fertiliser_SourceData.Fertiliser_Products_Data1(),FertiliserProducts[[#Headers],[Include or Exclude]], 0,4)</f>
        <v/>
      </c>
      <c r="Q141" s="62" t="str" cm="1">
        <f t="array" ref="Q141">Common_InputFunctions.Utility_DisplayArrayInTable(Fertiliser_SourceData.Fertiliser_Products_Data1(),FertiliserProducts[[#Headers],[Include or Exclude]], 0,4)</f>
        <v/>
      </c>
      <c r="R141" s="62" t="str" cm="1">
        <f t="array" ref="R141">Common_InputFunctions.Utility_DisplayArrayInTable(Fertiliser_SourceData.Fertiliser_Products_Data1(),FertiliserProducts[[#Headers],[Include or Exclude]], 0,4)</f>
        <v/>
      </c>
      <c r="S141" s="62" t="str" cm="1">
        <f t="array" ref="S141">Common_InputFunctions.Utility_DisplayArrayInTable(Fertiliser_SourceData.Fertiliser_Products_Data1(),FertiliserProducts[[#Headers],[Include or Exclude]], 0,4)</f>
        <v/>
      </c>
      <c r="T141" s="62" t="str" cm="1">
        <f t="array" ref="T141">Common_InputFunctions.Utility_DisplayArrayInTable(Fertiliser_SourceData.Fertiliser_Products_Data1(),FertiliserProducts[[#Headers],[Include or Exclude]], 0,4)</f>
        <v/>
      </c>
      <c r="U141" s="62" t="str" cm="1">
        <f t="array" ref="U141">Common_InputFunctions.Utility_DisplayArrayInTable(Fertiliser_SourceData.Fertiliser_Products_Data1(),FertiliserProducts[[#Headers],[Include or Exclude]], 0,4)</f>
        <v/>
      </c>
      <c r="V141" s="62" t="str" cm="1">
        <f t="array" ref="V141">Common_InputFunctions.Utility_DisplayArrayInTable(Fertiliser_SourceData.Fertiliser_Products_Data1(),FertiliserProducts[[#Headers],[Include or Exclude]], 0,4)</f>
        <v/>
      </c>
      <c r="W141" s="62" t="str" cm="1">
        <f t="array" ref="W141">Common_InputFunctions.Utility_DisplayArrayInTable(Fertiliser_SourceData.Fertiliser_Products_Data1(),FertiliserProducts[[#Headers],[Include or Exclude]], 0,4)</f>
        <v/>
      </c>
      <c r="X141" s="62" t="str" cm="1">
        <f t="array" ref="X141">Common_InputFunctions.Utility_DisplayArrayInTable(Fertiliser_SourceData.Fertiliser_Products_Data1(),FertiliserProducts[[#Headers],[Include or Exclude]], 0,4)</f>
        <v/>
      </c>
      <c r="Y141" s="62" t="str" cm="1">
        <f t="array" ref="Y141">Common_InputFunctions.Utility_DisplayArrayInTable(Fertiliser_SourceData.Fertiliser_Products_Data1(),FertiliserProducts[[#Headers],[Include or Exclude]], 0,4)</f>
        <v/>
      </c>
      <c r="Z141" s="62" t="str" cm="1">
        <f t="array" ref="Z141">Common_InputFunctions.Utility_DisplayArrayInTable(Fertiliser_SourceData.Fertiliser_Products_Data1(),FertiliserProducts[[#Headers],[Include or Exclude]], 0,4)</f>
        <v/>
      </c>
      <c r="AA141" s="62" t="str" cm="1">
        <f t="array" ref="AA141">Common_InputFunctions.Utility_DisplayArrayInTable(Fertiliser_SourceData.Fertiliser_Products_Data1(),FertiliserProducts[[#Headers],[Include or Exclude]], 0,4)</f>
        <v/>
      </c>
      <c r="AB141" s="62" t="str" cm="1">
        <f t="array" ref="AB141">Common_InputFunctions.Utility_DisplayArrayInTable(Fertiliser_SourceData.Fertiliser_Products_Data1(),FertiliserProducts[[#Headers],[Include or Exclude]], 0,4)</f>
        <v/>
      </c>
      <c r="AC141" s="62" t="str" cm="1">
        <f t="array" ref="AC141">Common_InputFunctions.Utility_DisplayArrayInTable(Fertiliser_SourceData.Fertiliser_Products_Data1(),FertiliserProducts[[#Headers],[Include or Exclude]], 0,4)</f>
        <v/>
      </c>
      <c r="AD141" s="62" t="str" cm="1">
        <f t="array" ref="AD141">Common_InputFunctions.Utility_DisplayArrayInTable(Fertiliser_SourceData.Fertiliser_Products_Data1(),FertiliserProducts[[#Headers],[Include or Exclude]], 0,4)</f>
        <v/>
      </c>
      <c r="AE141" s="62" t="str" cm="1">
        <f t="array" ref="AE141">Common_InputFunctions.Utility_DisplayArrayInTable(Fertiliser_SourceData.Fertiliser_Products_Data1(),FertiliserProducts[[#Headers],[Include or Exclude]], 0,4)</f>
        <v/>
      </c>
    </row>
    <row r="142" spans="1:31" ht="20.100000000000001" customHeight="1" x14ac:dyDescent="0.25">
      <c r="A142"/>
      <c r="D142" s="62" t="str" cm="1">
        <f t="array" ref="D142">Common_InputFunctions.Utility_DisplayArrayInTable(Fertiliser_SourceData.Fertiliser_Products_Data1(),FertiliserProducts[[#Headers],[Include or Exclude]], -1)</f>
        <v/>
      </c>
      <c r="E142" s="62" t="str" cm="1">
        <f t="array" ref="E142">Common_InputFunctions.Utility_DisplayArrayInTable(Fertiliser_SourceData.Fertiliser_Products_Data1(),FertiliserProducts[[#Headers],[Include or Exclude]], 0)</f>
        <v/>
      </c>
      <c r="F142" s="62" t="str" cm="1">
        <f t="array" ref="F142">Common_InputFunctions.Utility_DisplayArrayInTable(Fertiliser_SourceData.Fertiliser_Products_Data1(),FertiliserProducts[[#Headers],[Include or Exclude]], 0)</f>
        <v/>
      </c>
      <c r="G142" s="62" t="str" cm="1">
        <f t="array" ref="G142">Common_InputFunctions.Utility_DisplayArrayInTable(Fertiliser_SourceData.Fertiliser_Products_Data1(),FertiliserProducts[[#Headers],[Include or Exclude]], 0)</f>
        <v/>
      </c>
      <c r="H142" s="62" t="str" cm="1">
        <f t="array" ref="H142">Common_InputFunctions.Utility_DisplayArrayInTable(Fertiliser_SourceData.Fertiliser_Products_Data1(),FertiliserProducts[[#Headers],[Include or Exclude]], 0,4)</f>
        <v/>
      </c>
      <c r="I142" s="62" t="str" cm="1">
        <f t="array" ref="I142">Common_InputFunctions.Utility_DisplayArrayInTable(Fertiliser_SourceData.Fertiliser_Products_Data1(),FertiliserProducts[[#Headers],[Include or Exclude]], 0,4)</f>
        <v/>
      </c>
      <c r="J142" s="62" t="str" cm="1">
        <f t="array" ref="J142">Common_InputFunctions.Utility_DisplayArrayInTable(Fertiliser_SourceData.Fertiliser_Products_Data1(),FertiliserProducts[[#Headers],[Include or Exclude]], 0,4)</f>
        <v/>
      </c>
      <c r="K142" s="62" t="str" cm="1">
        <f t="array" ref="K142">Common_InputFunctions.Utility_DisplayArrayInTable(Fertiliser_SourceData.Fertiliser_Products_Data1(),FertiliserProducts[[#Headers],[Include or Exclude]], 0,4)</f>
        <v/>
      </c>
      <c r="L142" s="62" t="str" cm="1">
        <f t="array" ref="L142">Common_InputFunctions.Utility_DisplayArrayInTable(Fertiliser_SourceData.Fertiliser_Products_Data1(),FertiliserProducts[[#Headers],[Include or Exclude]], 0,4)</f>
        <v/>
      </c>
      <c r="M142" s="62" t="str" cm="1">
        <f t="array" ref="M142">Common_InputFunctions.Utility_DisplayArrayInTable(Fertiliser_SourceData.Fertiliser_Products_Data1(),FertiliserProducts[[#Headers],[Include or Exclude]], 0,4)</f>
        <v/>
      </c>
      <c r="N142" s="62" t="str" cm="1">
        <f t="array" ref="N142">Common_InputFunctions.Utility_DisplayArrayInTable(Fertiliser_SourceData.Fertiliser_Products_Data1(),FertiliserProducts[[#Headers],[Include or Exclude]], 0,4)</f>
        <v/>
      </c>
      <c r="O142" s="62" t="str" cm="1">
        <f t="array" ref="O142">Common_InputFunctions.Utility_DisplayArrayInTable(Fertiliser_SourceData.Fertiliser_Products_Data1(),FertiliserProducts[[#Headers],[Include or Exclude]], 0,4)</f>
        <v/>
      </c>
      <c r="P142" s="62" t="str" cm="1">
        <f t="array" ref="P142">Common_InputFunctions.Utility_DisplayArrayInTable(Fertiliser_SourceData.Fertiliser_Products_Data1(),FertiliserProducts[[#Headers],[Include or Exclude]], 0,4)</f>
        <v/>
      </c>
      <c r="Q142" s="62" t="str" cm="1">
        <f t="array" ref="Q142">Common_InputFunctions.Utility_DisplayArrayInTable(Fertiliser_SourceData.Fertiliser_Products_Data1(),FertiliserProducts[[#Headers],[Include or Exclude]], 0,4)</f>
        <v/>
      </c>
      <c r="R142" s="62" t="str" cm="1">
        <f t="array" ref="R142">Common_InputFunctions.Utility_DisplayArrayInTable(Fertiliser_SourceData.Fertiliser_Products_Data1(),FertiliserProducts[[#Headers],[Include or Exclude]], 0,4)</f>
        <v/>
      </c>
      <c r="S142" s="62" t="str" cm="1">
        <f t="array" ref="S142">Common_InputFunctions.Utility_DisplayArrayInTable(Fertiliser_SourceData.Fertiliser_Products_Data1(),FertiliserProducts[[#Headers],[Include or Exclude]], 0,4)</f>
        <v/>
      </c>
      <c r="T142" s="62" t="str" cm="1">
        <f t="array" ref="T142">Common_InputFunctions.Utility_DisplayArrayInTable(Fertiliser_SourceData.Fertiliser_Products_Data1(),FertiliserProducts[[#Headers],[Include or Exclude]], 0,4)</f>
        <v/>
      </c>
      <c r="U142" s="62" t="str" cm="1">
        <f t="array" ref="U142">Common_InputFunctions.Utility_DisplayArrayInTable(Fertiliser_SourceData.Fertiliser_Products_Data1(),FertiliserProducts[[#Headers],[Include or Exclude]], 0,4)</f>
        <v/>
      </c>
      <c r="V142" s="62" t="str" cm="1">
        <f t="array" ref="V142">Common_InputFunctions.Utility_DisplayArrayInTable(Fertiliser_SourceData.Fertiliser_Products_Data1(),FertiliserProducts[[#Headers],[Include or Exclude]], 0,4)</f>
        <v/>
      </c>
      <c r="W142" s="62" t="str" cm="1">
        <f t="array" ref="W142">Common_InputFunctions.Utility_DisplayArrayInTable(Fertiliser_SourceData.Fertiliser_Products_Data1(),FertiliserProducts[[#Headers],[Include or Exclude]], 0,4)</f>
        <v/>
      </c>
      <c r="X142" s="62" t="str" cm="1">
        <f t="array" ref="X142">Common_InputFunctions.Utility_DisplayArrayInTable(Fertiliser_SourceData.Fertiliser_Products_Data1(),FertiliserProducts[[#Headers],[Include or Exclude]], 0,4)</f>
        <v/>
      </c>
      <c r="Y142" s="62" t="str" cm="1">
        <f t="array" ref="Y142">Common_InputFunctions.Utility_DisplayArrayInTable(Fertiliser_SourceData.Fertiliser_Products_Data1(),FertiliserProducts[[#Headers],[Include or Exclude]], 0,4)</f>
        <v/>
      </c>
      <c r="Z142" s="62" t="str" cm="1">
        <f t="array" ref="Z142">Common_InputFunctions.Utility_DisplayArrayInTable(Fertiliser_SourceData.Fertiliser_Products_Data1(),FertiliserProducts[[#Headers],[Include or Exclude]], 0,4)</f>
        <v/>
      </c>
      <c r="AA142" s="62" t="str" cm="1">
        <f t="array" ref="AA142">Common_InputFunctions.Utility_DisplayArrayInTable(Fertiliser_SourceData.Fertiliser_Products_Data1(),FertiliserProducts[[#Headers],[Include or Exclude]], 0,4)</f>
        <v/>
      </c>
      <c r="AB142" s="62" t="str" cm="1">
        <f t="array" ref="AB142">Common_InputFunctions.Utility_DisplayArrayInTable(Fertiliser_SourceData.Fertiliser_Products_Data1(),FertiliserProducts[[#Headers],[Include or Exclude]], 0,4)</f>
        <v/>
      </c>
      <c r="AC142" s="62" t="str" cm="1">
        <f t="array" ref="AC142">Common_InputFunctions.Utility_DisplayArrayInTable(Fertiliser_SourceData.Fertiliser_Products_Data1(),FertiliserProducts[[#Headers],[Include or Exclude]], 0,4)</f>
        <v/>
      </c>
      <c r="AD142" s="62" t="str" cm="1">
        <f t="array" ref="AD142">Common_InputFunctions.Utility_DisplayArrayInTable(Fertiliser_SourceData.Fertiliser_Products_Data1(),FertiliserProducts[[#Headers],[Include or Exclude]], 0,4)</f>
        <v/>
      </c>
      <c r="AE142" s="62" t="str" cm="1">
        <f t="array" ref="AE142">Common_InputFunctions.Utility_DisplayArrayInTable(Fertiliser_SourceData.Fertiliser_Products_Data1(),FertiliserProducts[[#Headers],[Include or Exclude]], 0,4)</f>
        <v/>
      </c>
    </row>
    <row r="143" spans="1:31" ht="20.100000000000001" customHeight="1" x14ac:dyDescent="0.25">
      <c r="A143"/>
      <c r="D143" s="62" t="str" cm="1">
        <f t="array" ref="D143">Common_InputFunctions.Utility_DisplayArrayInTable(Fertiliser_SourceData.Fertiliser_Products_Data1(),FertiliserProducts[[#Headers],[Include or Exclude]], -1)</f>
        <v/>
      </c>
      <c r="E143" s="62" t="str" cm="1">
        <f t="array" ref="E143">Common_InputFunctions.Utility_DisplayArrayInTable(Fertiliser_SourceData.Fertiliser_Products_Data1(),FertiliserProducts[[#Headers],[Include or Exclude]], 0)</f>
        <v/>
      </c>
      <c r="F143" s="62" t="str" cm="1">
        <f t="array" ref="F143">Common_InputFunctions.Utility_DisplayArrayInTable(Fertiliser_SourceData.Fertiliser_Products_Data1(),FertiliserProducts[[#Headers],[Include or Exclude]], 0)</f>
        <v/>
      </c>
      <c r="G143" s="62" t="str" cm="1">
        <f t="array" ref="G143">Common_InputFunctions.Utility_DisplayArrayInTable(Fertiliser_SourceData.Fertiliser_Products_Data1(),FertiliserProducts[[#Headers],[Include or Exclude]], 0)</f>
        <v/>
      </c>
      <c r="H143" s="62" t="str" cm="1">
        <f t="array" ref="H143">Common_InputFunctions.Utility_DisplayArrayInTable(Fertiliser_SourceData.Fertiliser_Products_Data1(),FertiliserProducts[[#Headers],[Include or Exclude]], 0,4)</f>
        <v/>
      </c>
      <c r="I143" s="62" t="str" cm="1">
        <f t="array" ref="I143">Common_InputFunctions.Utility_DisplayArrayInTable(Fertiliser_SourceData.Fertiliser_Products_Data1(),FertiliserProducts[[#Headers],[Include or Exclude]], 0,4)</f>
        <v/>
      </c>
      <c r="J143" s="62" t="str" cm="1">
        <f t="array" ref="J143">Common_InputFunctions.Utility_DisplayArrayInTable(Fertiliser_SourceData.Fertiliser_Products_Data1(),FertiliserProducts[[#Headers],[Include or Exclude]], 0,4)</f>
        <v/>
      </c>
      <c r="K143" s="62" t="str" cm="1">
        <f t="array" ref="K143">Common_InputFunctions.Utility_DisplayArrayInTable(Fertiliser_SourceData.Fertiliser_Products_Data1(),FertiliserProducts[[#Headers],[Include or Exclude]], 0,4)</f>
        <v/>
      </c>
      <c r="L143" s="62" t="str" cm="1">
        <f t="array" ref="L143">Common_InputFunctions.Utility_DisplayArrayInTable(Fertiliser_SourceData.Fertiliser_Products_Data1(),FertiliserProducts[[#Headers],[Include or Exclude]], 0,4)</f>
        <v/>
      </c>
      <c r="M143" s="62" t="str" cm="1">
        <f t="array" ref="M143">Common_InputFunctions.Utility_DisplayArrayInTable(Fertiliser_SourceData.Fertiliser_Products_Data1(),FertiliserProducts[[#Headers],[Include or Exclude]], 0,4)</f>
        <v/>
      </c>
      <c r="N143" s="62" t="str" cm="1">
        <f t="array" ref="N143">Common_InputFunctions.Utility_DisplayArrayInTable(Fertiliser_SourceData.Fertiliser_Products_Data1(),FertiliserProducts[[#Headers],[Include or Exclude]], 0,4)</f>
        <v/>
      </c>
      <c r="O143" s="62" t="str" cm="1">
        <f t="array" ref="O143">Common_InputFunctions.Utility_DisplayArrayInTable(Fertiliser_SourceData.Fertiliser_Products_Data1(),FertiliserProducts[[#Headers],[Include or Exclude]], 0,4)</f>
        <v/>
      </c>
      <c r="P143" s="62" t="str" cm="1">
        <f t="array" ref="P143">Common_InputFunctions.Utility_DisplayArrayInTable(Fertiliser_SourceData.Fertiliser_Products_Data1(),FertiliserProducts[[#Headers],[Include or Exclude]], 0,4)</f>
        <v/>
      </c>
      <c r="Q143" s="62" t="str" cm="1">
        <f t="array" ref="Q143">Common_InputFunctions.Utility_DisplayArrayInTable(Fertiliser_SourceData.Fertiliser_Products_Data1(),FertiliserProducts[[#Headers],[Include or Exclude]], 0,4)</f>
        <v/>
      </c>
      <c r="R143" s="62" t="str" cm="1">
        <f t="array" ref="R143">Common_InputFunctions.Utility_DisplayArrayInTable(Fertiliser_SourceData.Fertiliser_Products_Data1(),FertiliserProducts[[#Headers],[Include or Exclude]], 0,4)</f>
        <v/>
      </c>
      <c r="S143" s="62" t="str" cm="1">
        <f t="array" ref="S143">Common_InputFunctions.Utility_DisplayArrayInTable(Fertiliser_SourceData.Fertiliser_Products_Data1(),FertiliserProducts[[#Headers],[Include or Exclude]], 0,4)</f>
        <v/>
      </c>
      <c r="T143" s="62" t="str" cm="1">
        <f t="array" ref="T143">Common_InputFunctions.Utility_DisplayArrayInTable(Fertiliser_SourceData.Fertiliser_Products_Data1(),FertiliserProducts[[#Headers],[Include or Exclude]], 0,4)</f>
        <v/>
      </c>
      <c r="U143" s="62" t="str" cm="1">
        <f t="array" ref="U143">Common_InputFunctions.Utility_DisplayArrayInTable(Fertiliser_SourceData.Fertiliser_Products_Data1(),FertiliserProducts[[#Headers],[Include or Exclude]], 0,4)</f>
        <v/>
      </c>
      <c r="V143" s="62" t="str" cm="1">
        <f t="array" ref="V143">Common_InputFunctions.Utility_DisplayArrayInTable(Fertiliser_SourceData.Fertiliser_Products_Data1(),FertiliserProducts[[#Headers],[Include or Exclude]], 0,4)</f>
        <v/>
      </c>
      <c r="W143" s="62" t="str" cm="1">
        <f t="array" ref="W143">Common_InputFunctions.Utility_DisplayArrayInTable(Fertiliser_SourceData.Fertiliser_Products_Data1(),FertiliserProducts[[#Headers],[Include or Exclude]], 0,4)</f>
        <v/>
      </c>
      <c r="X143" s="62" t="str" cm="1">
        <f t="array" ref="X143">Common_InputFunctions.Utility_DisplayArrayInTable(Fertiliser_SourceData.Fertiliser_Products_Data1(),FertiliserProducts[[#Headers],[Include or Exclude]], 0,4)</f>
        <v/>
      </c>
      <c r="Y143" s="62" t="str" cm="1">
        <f t="array" ref="Y143">Common_InputFunctions.Utility_DisplayArrayInTable(Fertiliser_SourceData.Fertiliser_Products_Data1(),FertiliserProducts[[#Headers],[Include or Exclude]], 0,4)</f>
        <v/>
      </c>
      <c r="Z143" s="62" t="str" cm="1">
        <f t="array" ref="Z143">Common_InputFunctions.Utility_DisplayArrayInTable(Fertiliser_SourceData.Fertiliser_Products_Data1(),FertiliserProducts[[#Headers],[Include or Exclude]], 0,4)</f>
        <v/>
      </c>
      <c r="AA143" s="62" t="str" cm="1">
        <f t="array" ref="AA143">Common_InputFunctions.Utility_DisplayArrayInTable(Fertiliser_SourceData.Fertiliser_Products_Data1(),FertiliserProducts[[#Headers],[Include or Exclude]], 0,4)</f>
        <v/>
      </c>
      <c r="AB143" s="62" t="str" cm="1">
        <f t="array" ref="AB143">Common_InputFunctions.Utility_DisplayArrayInTable(Fertiliser_SourceData.Fertiliser_Products_Data1(),FertiliserProducts[[#Headers],[Include or Exclude]], 0,4)</f>
        <v/>
      </c>
      <c r="AC143" s="62" t="str" cm="1">
        <f t="array" ref="AC143">Common_InputFunctions.Utility_DisplayArrayInTable(Fertiliser_SourceData.Fertiliser_Products_Data1(),FertiliserProducts[[#Headers],[Include or Exclude]], 0,4)</f>
        <v/>
      </c>
      <c r="AD143" s="62" t="str" cm="1">
        <f t="array" ref="AD143">Common_InputFunctions.Utility_DisplayArrayInTable(Fertiliser_SourceData.Fertiliser_Products_Data1(),FertiliserProducts[[#Headers],[Include or Exclude]], 0,4)</f>
        <v/>
      </c>
      <c r="AE143" s="62" t="str" cm="1">
        <f t="array" ref="AE143">Common_InputFunctions.Utility_DisplayArrayInTable(Fertiliser_SourceData.Fertiliser_Products_Data1(),FertiliserProducts[[#Headers],[Include or Exclude]], 0,4)</f>
        <v/>
      </c>
    </row>
    <row r="144" spans="1:31" ht="20.100000000000001" customHeight="1" x14ac:dyDescent="0.25">
      <c r="A144"/>
      <c r="D144" s="62" t="str" cm="1">
        <f t="array" ref="D144">Common_InputFunctions.Utility_DisplayArrayInTable(Fertiliser_SourceData.Fertiliser_Products_Data1(),FertiliserProducts[[#Headers],[Include or Exclude]], -1)</f>
        <v/>
      </c>
      <c r="E144" s="62" t="str" cm="1">
        <f t="array" ref="E144">Common_InputFunctions.Utility_DisplayArrayInTable(Fertiliser_SourceData.Fertiliser_Products_Data1(),FertiliserProducts[[#Headers],[Include or Exclude]], 0)</f>
        <v/>
      </c>
      <c r="F144" s="62" t="str" cm="1">
        <f t="array" ref="F144">Common_InputFunctions.Utility_DisplayArrayInTable(Fertiliser_SourceData.Fertiliser_Products_Data1(),FertiliserProducts[[#Headers],[Include or Exclude]], 0)</f>
        <v/>
      </c>
      <c r="G144" s="62" t="str" cm="1">
        <f t="array" ref="G144">Common_InputFunctions.Utility_DisplayArrayInTable(Fertiliser_SourceData.Fertiliser_Products_Data1(),FertiliserProducts[[#Headers],[Include or Exclude]], 0)</f>
        <v/>
      </c>
      <c r="H144" s="62" t="str" cm="1">
        <f t="array" ref="H144">Common_InputFunctions.Utility_DisplayArrayInTable(Fertiliser_SourceData.Fertiliser_Products_Data1(),FertiliserProducts[[#Headers],[Include or Exclude]], 0,4)</f>
        <v/>
      </c>
      <c r="I144" s="62" t="str" cm="1">
        <f t="array" ref="I144">Common_InputFunctions.Utility_DisplayArrayInTable(Fertiliser_SourceData.Fertiliser_Products_Data1(),FertiliserProducts[[#Headers],[Include or Exclude]], 0,4)</f>
        <v/>
      </c>
      <c r="J144" s="62" t="str" cm="1">
        <f t="array" ref="J144">Common_InputFunctions.Utility_DisplayArrayInTable(Fertiliser_SourceData.Fertiliser_Products_Data1(),FertiliserProducts[[#Headers],[Include or Exclude]], 0,4)</f>
        <v/>
      </c>
      <c r="K144" s="62" t="str" cm="1">
        <f t="array" ref="K144">Common_InputFunctions.Utility_DisplayArrayInTable(Fertiliser_SourceData.Fertiliser_Products_Data1(),FertiliserProducts[[#Headers],[Include or Exclude]], 0,4)</f>
        <v/>
      </c>
      <c r="L144" s="62" t="str" cm="1">
        <f t="array" ref="L144">Common_InputFunctions.Utility_DisplayArrayInTable(Fertiliser_SourceData.Fertiliser_Products_Data1(),FertiliserProducts[[#Headers],[Include or Exclude]], 0,4)</f>
        <v/>
      </c>
      <c r="M144" s="62" t="str" cm="1">
        <f t="array" ref="M144">Common_InputFunctions.Utility_DisplayArrayInTable(Fertiliser_SourceData.Fertiliser_Products_Data1(),FertiliserProducts[[#Headers],[Include or Exclude]], 0,4)</f>
        <v/>
      </c>
      <c r="N144" s="62" t="str" cm="1">
        <f t="array" ref="N144">Common_InputFunctions.Utility_DisplayArrayInTable(Fertiliser_SourceData.Fertiliser_Products_Data1(),FertiliserProducts[[#Headers],[Include or Exclude]], 0,4)</f>
        <v/>
      </c>
      <c r="O144" s="62" t="str" cm="1">
        <f t="array" ref="O144">Common_InputFunctions.Utility_DisplayArrayInTable(Fertiliser_SourceData.Fertiliser_Products_Data1(),FertiliserProducts[[#Headers],[Include or Exclude]], 0,4)</f>
        <v/>
      </c>
      <c r="P144" s="62" t="str" cm="1">
        <f t="array" ref="P144">Common_InputFunctions.Utility_DisplayArrayInTable(Fertiliser_SourceData.Fertiliser_Products_Data1(),FertiliserProducts[[#Headers],[Include or Exclude]], 0,4)</f>
        <v/>
      </c>
      <c r="Q144" s="62" t="str" cm="1">
        <f t="array" ref="Q144">Common_InputFunctions.Utility_DisplayArrayInTable(Fertiliser_SourceData.Fertiliser_Products_Data1(),FertiliserProducts[[#Headers],[Include or Exclude]], 0,4)</f>
        <v/>
      </c>
      <c r="R144" s="62" t="str" cm="1">
        <f t="array" ref="R144">Common_InputFunctions.Utility_DisplayArrayInTable(Fertiliser_SourceData.Fertiliser_Products_Data1(),FertiliserProducts[[#Headers],[Include or Exclude]], 0,4)</f>
        <v/>
      </c>
      <c r="S144" s="62" t="str" cm="1">
        <f t="array" ref="S144">Common_InputFunctions.Utility_DisplayArrayInTable(Fertiliser_SourceData.Fertiliser_Products_Data1(),FertiliserProducts[[#Headers],[Include or Exclude]], 0,4)</f>
        <v/>
      </c>
      <c r="T144" s="62" t="str" cm="1">
        <f t="array" ref="T144">Common_InputFunctions.Utility_DisplayArrayInTable(Fertiliser_SourceData.Fertiliser_Products_Data1(),FertiliserProducts[[#Headers],[Include or Exclude]], 0,4)</f>
        <v/>
      </c>
      <c r="U144" s="62" t="str" cm="1">
        <f t="array" ref="U144">Common_InputFunctions.Utility_DisplayArrayInTable(Fertiliser_SourceData.Fertiliser_Products_Data1(),FertiliserProducts[[#Headers],[Include or Exclude]], 0,4)</f>
        <v/>
      </c>
      <c r="V144" s="62" t="str" cm="1">
        <f t="array" ref="V144">Common_InputFunctions.Utility_DisplayArrayInTable(Fertiliser_SourceData.Fertiliser_Products_Data1(),FertiliserProducts[[#Headers],[Include or Exclude]], 0,4)</f>
        <v/>
      </c>
      <c r="W144" s="62" t="str" cm="1">
        <f t="array" ref="W144">Common_InputFunctions.Utility_DisplayArrayInTable(Fertiliser_SourceData.Fertiliser_Products_Data1(),FertiliserProducts[[#Headers],[Include or Exclude]], 0,4)</f>
        <v/>
      </c>
      <c r="X144" s="62" t="str" cm="1">
        <f t="array" ref="X144">Common_InputFunctions.Utility_DisplayArrayInTable(Fertiliser_SourceData.Fertiliser_Products_Data1(),FertiliserProducts[[#Headers],[Include or Exclude]], 0,4)</f>
        <v/>
      </c>
      <c r="Y144" s="62" t="str" cm="1">
        <f t="array" ref="Y144">Common_InputFunctions.Utility_DisplayArrayInTable(Fertiliser_SourceData.Fertiliser_Products_Data1(),FertiliserProducts[[#Headers],[Include or Exclude]], 0,4)</f>
        <v/>
      </c>
      <c r="Z144" s="62" t="str" cm="1">
        <f t="array" ref="Z144">Common_InputFunctions.Utility_DisplayArrayInTable(Fertiliser_SourceData.Fertiliser_Products_Data1(),FertiliserProducts[[#Headers],[Include or Exclude]], 0,4)</f>
        <v/>
      </c>
      <c r="AA144" s="62" t="str" cm="1">
        <f t="array" ref="AA144">Common_InputFunctions.Utility_DisplayArrayInTable(Fertiliser_SourceData.Fertiliser_Products_Data1(),FertiliserProducts[[#Headers],[Include or Exclude]], 0,4)</f>
        <v/>
      </c>
      <c r="AB144" s="62" t="str" cm="1">
        <f t="array" ref="AB144">Common_InputFunctions.Utility_DisplayArrayInTable(Fertiliser_SourceData.Fertiliser_Products_Data1(),FertiliserProducts[[#Headers],[Include or Exclude]], 0,4)</f>
        <v/>
      </c>
      <c r="AC144" s="62" t="str" cm="1">
        <f t="array" ref="AC144">Common_InputFunctions.Utility_DisplayArrayInTable(Fertiliser_SourceData.Fertiliser_Products_Data1(),FertiliserProducts[[#Headers],[Include or Exclude]], 0,4)</f>
        <v/>
      </c>
      <c r="AD144" s="62" t="str" cm="1">
        <f t="array" ref="AD144">Common_InputFunctions.Utility_DisplayArrayInTable(Fertiliser_SourceData.Fertiliser_Products_Data1(),FertiliserProducts[[#Headers],[Include or Exclude]], 0,4)</f>
        <v/>
      </c>
      <c r="AE144" s="62" t="str" cm="1">
        <f t="array" ref="AE144">Common_InputFunctions.Utility_DisplayArrayInTable(Fertiliser_SourceData.Fertiliser_Products_Data1(),FertiliserProducts[[#Headers],[Include or Exclude]], 0,4)</f>
        <v/>
      </c>
    </row>
    <row r="145" spans="1:31" ht="20.100000000000001" customHeight="1" x14ac:dyDescent="0.25">
      <c r="A145"/>
      <c r="D145" s="62" t="str" cm="1">
        <f t="array" ref="D145">Common_InputFunctions.Utility_DisplayArrayInTable(Fertiliser_SourceData.Fertiliser_Products_Data1(),FertiliserProducts[[#Headers],[Include or Exclude]], -1)</f>
        <v/>
      </c>
      <c r="E145" s="62" t="str" cm="1">
        <f t="array" ref="E145">Common_InputFunctions.Utility_DisplayArrayInTable(Fertiliser_SourceData.Fertiliser_Products_Data1(),FertiliserProducts[[#Headers],[Include or Exclude]], 0)</f>
        <v/>
      </c>
      <c r="F145" s="62" t="str" cm="1">
        <f t="array" ref="F145">Common_InputFunctions.Utility_DisplayArrayInTable(Fertiliser_SourceData.Fertiliser_Products_Data1(),FertiliserProducts[[#Headers],[Include or Exclude]], 0)</f>
        <v/>
      </c>
      <c r="G145" s="62" t="str" cm="1">
        <f t="array" ref="G145">Common_InputFunctions.Utility_DisplayArrayInTable(Fertiliser_SourceData.Fertiliser_Products_Data1(),FertiliserProducts[[#Headers],[Include or Exclude]], 0)</f>
        <v/>
      </c>
      <c r="H145" s="62" t="str" cm="1">
        <f t="array" ref="H145">Common_InputFunctions.Utility_DisplayArrayInTable(Fertiliser_SourceData.Fertiliser_Products_Data1(),FertiliserProducts[[#Headers],[Include or Exclude]], 0,4)</f>
        <v/>
      </c>
      <c r="I145" s="62" t="str" cm="1">
        <f t="array" ref="I145">Common_InputFunctions.Utility_DisplayArrayInTable(Fertiliser_SourceData.Fertiliser_Products_Data1(),FertiliserProducts[[#Headers],[Include or Exclude]], 0,4)</f>
        <v/>
      </c>
      <c r="J145" s="62" t="str" cm="1">
        <f t="array" ref="J145">Common_InputFunctions.Utility_DisplayArrayInTable(Fertiliser_SourceData.Fertiliser_Products_Data1(),FertiliserProducts[[#Headers],[Include or Exclude]], 0,4)</f>
        <v/>
      </c>
      <c r="K145" s="62" t="str" cm="1">
        <f t="array" ref="K145">Common_InputFunctions.Utility_DisplayArrayInTable(Fertiliser_SourceData.Fertiliser_Products_Data1(),FertiliserProducts[[#Headers],[Include or Exclude]], 0,4)</f>
        <v/>
      </c>
      <c r="L145" s="62" t="str" cm="1">
        <f t="array" ref="L145">Common_InputFunctions.Utility_DisplayArrayInTable(Fertiliser_SourceData.Fertiliser_Products_Data1(),FertiliserProducts[[#Headers],[Include or Exclude]], 0,4)</f>
        <v/>
      </c>
      <c r="M145" s="62" t="str" cm="1">
        <f t="array" ref="M145">Common_InputFunctions.Utility_DisplayArrayInTable(Fertiliser_SourceData.Fertiliser_Products_Data1(),FertiliserProducts[[#Headers],[Include or Exclude]], 0,4)</f>
        <v/>
      </c>
      <c r="N145" s="62" t="str" cm="1">
        <f t="array" ref="N145">Common_InputFunctions.Utility_DisplayArrayInTable(Fertiliser_SourceData.Fertiliser_Products_Data1(),FertiliserProducts[[#Headers],[Include or Exclude]], 0,4)</f>
        <v/>
      </c>
      <c r="O145" s="62" t="str" cm="1">
        <f t="array" ref="O145">Common_InputFunctions.Utility_DisplayArrayInTable(Fertiliser_SourceData.Fertiliser_Products_Data1(),FertiliserProducts[[#Headers],[Include or Exclude]], 0,4)</f>
        <v/>
      </c>
      <c r="P145" s="62" t="str" cm="1">
        <f t="array" ref="P145">Common_InputFunctions.Utility_DisplayArrayInTable(Fertiliser_SourceData.Fertiliser_Products_Data1(),FertiliserProducts[[#Headers],[Include or Exclude]], 0,4)</f>
        <v/>
      </c>
      <c r="Q145" s="62" t="str" cm="1">
        <f t="array" ref="Q145">Common_InputFunctions.Utility_DisplayArrayInTable(Fertiliser_SourceData.Fertiliser_Products_Data1(),FertiliserProducts[[#Headers],[Include or Exclude]], 0,4)</f>
        <v/>
      </c>
      <c r="R145" s="62" t="str" cm="1">
        <f t="array" ref="R145">Common_InputFunctions.Utility_DisplayArrayInTable(Fertiliser_SourceData.Fertiliser_Products_Data1(),FertiliserProducts[[#Headers],[Include or Exclude]], 0,4)</f>
        <v/>
      </c>
      <c r="S145" s="62" t="str" cm="1">
        <f t="array" ref="S145">Common_InputFunctions.Utility_DisplayArrayInTable(Fertiliser_SourceData.Fertiliser_Products_Data1(),FertiliserProducts[[#Headers],[Include or Exclude]], 0,4)</f>
        <v/>
      </c>
      <c r="T145" s="62" t="str" cm="1">
        <f t="array" ref="T145">Common_InputFunctions.Utility_DisplayArrayInTable(Fertiliser_SourceData.Fertiliser_Products_Data1(),FertiliserProducts[[#Headers],[Include or Exclude]], 0,4)</f>
        <v/>
      </c>
      <c r="U145" s="62" t="str" cm="1">
        <f t="array" ref="U145">Common_InputFunctions.Utility_DisplayArrayInTable(Fertiliser_SourceData.Fertiliser_Products_Data1(),FertiliserProducts[[#Headers],[Include or Exclude]], 0,4)</f>
        <v/>
      </c>
      <c r="V145" s="62" t="str" cm="1">
        <f t="array" ref="V145">Common_InputFunctions.Utility_DisplayArrayInTable(Fertiliser_SourceData.Fertiliser_Products_Data1(),FertiliserProducts[[#Headers],[Include or Exclude]], 0,4)</f>
        <v/>
      </c>
      <c r="W145" s="62" t="str" cm="1">
        <f t="array" ref="W145">Common_InputFunctions.Utility_DisplayArrayInTable(Fertiliser_SourceData.Fertiliser_Products_Data1(),FertiliserProducts[[#Headers],[Include or Exclude]], 0,4)</f>
        <v/>
      </c>
      <c r="X145" s="62" t="str" cm="1">
        <f t="array" ref="X145">Common_InputFunctions.Utility_DisplayArrayInTable(Fertiliser_SourceData.Fertiliser_Products_Data1(),FertiliserProducts[[#Headers],[Include or Exclude]], 0,4)</f>
        <v/>
      </c>
      <c r="Y145" s="62" t="str" cm="1">
        <f t="array" ref="Y145">Common_InputFunctions.Utility_DisplayArrayInTable(Fertiliser_SourceData.Fertiliser_Products_Data1(),FertiliserProducts[[#Headers],[Include or Exclude]], 0,4)</f>
        <v/>
      </c>
      <c r="Z145" s="62" t="str" cm="1">
        <f t="array" ref="Z145">Common_InputFunctions.Utility_DisplayArrayInTable(Fertiliser_SourceData.Fertiliser_Products_Data1(),FertiliserProducts[[#Headers],[Include or Exclude]], 0,4)</f>
        <v/>
      </c>
      <c r="AA145" s="62" t="str" cm="1">
        <f t="array" ref="AA145">Common_InputFunctions.Utility_DisplayArrayInTable(Fertiliser_SourceData.Fertiliser_Products_Data1(),FertiliserProducts[[#Headers],[Include or Exclude]], 0,4)</f>
        <v/>
      </c>
      <c r="AB145" s="62" t="str" cm="1">
        <f t="array" ref="AB145">Common_InputFunctions.Utility_DisplayArrayInTable(Fertiliser_SourceData.Fertiliser_Products_Data1(),FertiliserProducts[[#Headers],[Include or Exclude]], 0,4)</f>
        <v/>
      </c>
      <c r="AC145" s="62" t="str" cm="1">
        <f t="array" ref="AC145">Common_InputFunctions.Utility_DisplayArrayInTable(Fertiliser_SourceData.Fertiliser_Products_Data1(),FertiliserProducts[[#Headers],[Include or Exclude]], 0,4)</f>
        <v/>
      </c>
      <c r="AD145" s="62" t="str" cm="1">
        <f t="array" ref="AD145">Common_InputFunctions.Utility_DisplayArrayInTable(Fertiliser_SourceData.Fertiliser_Products_Data1(),FertiliserProducts[[#Headers],[Include or Exclude]], 0,4)</f>
        <v/>
      </c>
      <c r="AE145" s="62" t="str" cm="1">
        <f t="array" ref="AE145">Common_InputFunctions.Utility_DisplayArrayInTable(Fertiliser_SourceData.Fertiliser_Products_Data1(),FertiliserProducts[[#Headers],[Include or Exclude]], 0,4)</f>
        <v/>
      </c>
    </row>
    <row r="146" spans="1:31" ht="20.100000000000001" customHeight="1" x14ac:dyDescent="0.25">
      <c r="A146"/>
      <c r="D146" s="62" t="str" cm="1">
        <f t="array" ref="D146">Common_InputFunctions.Utility_DisplayArrayInTable(Fertiliser_SourceData.Fertiliser_Products_Data1(),FertiliserProducts[[#Headers],[Include or Exclude]], -1)</f>
        <v/>
      </c>
      <c r="E146" s="62" t="str" cm="1">
        <f t="array" ref="E146">Common_InputFunctions.Utility_DisplayArrayInTable(Fertiliser_SourceData.Fertiliser_Products_Data1(),FertiliserProducts[[#Headers],[Include or Exclude]], 0)</f>
        <v/>
      </c>
      <c r="F146" s="62" t="str" cm="1">
        <f t="array" ref="F146">Common_InputFunctions.Utility_DisplayArrayInTable(Fertiliser_SourceData.Fertiliser_Products_Data1(),FertiliserProducts[[#Headers],[Include or Exclude]], 0)</f>
        <v/>
      </c>
      <c r="G146" s="62" t="str" cm="1">
        <f t="array" ref="G146">Common_InputFunctions.Utility_DisplayArrayInTable(Fertiliser_SourceData.Fertiliser_Products_Data1(),FertiliserProducts[[#Headers],[Include or Exclude]], 0)</f>
        <v/>
      </c>
      <c r="H146" s="62" t="str" cm="1">
        <f t="array" ref="H146">Common_InputFunctions.Utility_DisplayArrayInTable(Fertiliser_SourceData.Fertiliser_Products_Data1(),FertiliserProducts[[#Headers],[Include or Exclude]], 0,4)</f>
        <v/>
      </c>
      <c r="I146" s="62" t="str" cm="1">
        <f t="array" ref="I146">Common_InputFunctions.Utility_DisplayArrayInTable(Fertiliser_SourceData.Fertiliser_Products_Data1(),FertiliserProducts[[#Headers],[Include or Exclude]], 0,4)</f>
        <v/>
      </c>
      <c r="J146" s="62" t="str" cm="1">
        <f t="array" ref="J146">Common_InputFunctions.Utility_DisplayArrayInTable(Fertiliser_SourceData.Fertiliser_Products_Data1(),FertiliserProducts[[#Headers],[Include or Exclude]], 0,4)</f>
        <v/>
      </c>
      <c r="K146" s="62" t="str" cm="1">
        <f t="array" ref="K146">Common_InputFunctions.Utility_DisplayArrayInTable(Fertiliser_SourceData.Fertiliser_Products_Data1(),FertiliserProducts[[#Headers],[Include or Exclude]], 0,4)</f>
        <v/>
      </c>
      <c r="L146" s="62" t="str" cm="1">
        <f t="array" ref="L146">Common_InputFunctions.Utility_DisplayArrayInTable(Fertiliser_SourceData.Fertiliser_Products_Data1(),FertiliserProducts[[#Headers],[Include or Exclude]], 0,4)</f>
        <v/>
      </c>
      <c r="M146" s="62" t="str" cm="1">
        <f t="array" ref="M146">Common_InputFunctions.Utility_DisplayArrayInTable(Fertiliser_SourceData.Fertiliser_Products_Data1(),FertiliserProducts[[#Headers],[Include or Exclude]], 0,4)</f>
        <v/>
      </c>
      <c r="N146" s="62" t="str" cm="1">
        <f t="array" ref="N146">Common_InputFunctions.Utility_DisplayArrayInTable(Fertiliser_SourceData.Fertiliser_Products_Data1(),FertiliserProducts[[#Headers],[Include or Exclude]], 0,4)</f>
        <v/>
      </c>
      <c r="O146" s="62" t="str" cm="1">
        <f t="array" ref="O146">Common_InputFunctions.Utility_DisplayArrayInTable(Fertiliser_SourceData.Fertiliser_Products_Data1(),FertiliserProducts[[#Headers],[Include or Exclude]], 0,4)</f>
        <v/>
      </c>
      <c r="P146" s="62" t="str" cm="1">
        <f t="array" ref="P146">Common_InputFunctions.Utility_DisplayArrayInTable(Fertiliser_SourceData.Fertiliser_Products_Data1(),FertiliserProducts[[#Headers],[Include or Exclude]], 0,4)</f>
        <v/>
      </c>
      <c r="Q146" s="62" t="str" cm="1">
        <f t="array" ref="Q146">Common_InputFunctions.Utility_DisplayArrayInTable(Fertiliser_SourceData.Fertiliser_Products_Data1(),FertiliserProducts[[#Headers],[Include or Exclude]], 0,4)</f>
        <v/>
      </c>
      <c r="R146" s="62" t="str" cm="1">
        <f t="array" ref="R146">Common_InputFunctions.Utility_DisplayArrayInTable(Fertiliser_SourceData.Fertiliser_Products_Data1(),FertiliserProducts[[#Headers],[Include or Exclude]], 0,4)</f>
        <v/>
      </c>
      <c r="S146" s="62" t="str" cm="1">
        <f t="array" ref="S146">Common_InputFunctions.Utility_DisplayArrayInTable(Fertiliser_SourceData.Fertiliser_Products_Data1(),FertiliserProducts[[#Headers],[Include or Exclude]], 0,4)</f>
        <v/>
      </c>
      <c r="T146" s="62" t="str" cm="1">
        <f t="array" ref="T146">Common_InputFunctions.Utility_DisplayArrayInTable(Fertiliser_SourceData.Fertiliser_Products_Data1(),FertiliserProducts[[#Headers],[Include or Exclude]], 0,4)</f>
        <v/>
      </c>
      <c r="U146" s="62" t="str" cm="1">
        <f t="array" ref="U146">Common_InputFunctions.Utility_DisplayArrayInTable(Fertiliser_SourceData.Fertiliser_Products_Data1(),FertiliserProducts[[#Headers],[Include or Exclude]], 0,4)</f>
        <v/>
      </c>
      <c r="V146" s="62" t="str" cm="1">
        <f t="array" ref="V146">Common_InputFunctions.Utility_DisplayArrayInTable(Fertiliser_SourceData.Fertiliser_Products_Data1(),FertiliserProducts[[#Headers],[Include or Exclude]], 0,4)</f>
        <v/>
      </c>
      <c r="W146" s="62" t="str" cm="1">
        <f t="array" ref="W146">Common_InputFunctions.Utility_DisplayArrayInTable(Fertiliser_SourceData.Fertiliser_Products_Data1(),FertiliserProducts[[#Headers],[Include or Exclude]], 0,4)</f>
        <v/>
      </c>
      <c r="X146" s="62" t="str" cm="1">
        <f t="array" ref="X146">Common_InputFunctions.Utility_DisplayArrayInTable(Fertiliser_SourceData.Fertiliser_Products_Data1(),FertiliserProducts[[#Headers],[Include or Exclude]], 0,4)</f>
        <v/>
      </c>
      <c r="Y146" s="62" t="str" cm="1">
        <f t="array" ref="Y146">Common_InputFunctions.Utility_DisplayArrayInTable(Fertiliser_SourceData.Fertiliser_Products_Data1(),FertiliserProducts[[#Headers],[Include or Exclude]], 0,4)</f>
        <v/>
      </c>
      <c r="Z146" s="62" t="str" cm="1">
        <f t="array" ref="Z146">Common_InputFunctions.Utility_DisplayArrayInTable(Fertiliser_SourceData.Fertiliser_Products_Data1(),FertiliserProducts[[#Headers],[Include or Exclude]], 0,4)</f>
        <v/>
      </c>
      <c r="AA146" s="62" t="str" cm="1">
        <f t="array" ref="AA146">Common_InputFunctions.Utility_DisplayArrayInTable(Fertiliser_SourceData.Fertiliser_Products_Data1(),FertiliserProducts[[#Headers],[Include or Exclude]], 0,4)</f>
        <v/>
      </c>
      <c r="AB146" s="62" t="str" cm="1">
        <f t="array" ref="AB146">Common_InputFunctions.Utility_DisplayArrayInTable(Fertiliser_SourceData.Fertiliser_Products_Data1(),FertiliserProducts[[#Headers],[Include or Exclude]], 0,4)</f>
        <v/>
      </c>
      <c r="AC146" s="62" t="str" cm="1">
        <f t="array" ref="AC146">Common_InputFunctions.Utility_DisplayArrayInTable(Fertiliser_SourceData.Fertiliser_Products_Data1(),FertiliserProducts[[#Headers],[Include or Exclude]], 0,4)</f>
        <v/>
      </c>
      <c r="AD146" s="62" t="str" cm="1">
        <f t="array" ref="AD146">Common_InputFunctions.Utility_DisplayArrayInTable(Fertiliser_SourceData.Fertiliser_Products_Data1(),FertiliserProducts[[#Headers],[Include or Exclude]], 0,4)</f>
        <v/>
      </c>
      <c r="AE146" s="62" t="str" cm="1">
        <f t="array" ref="AE146">Common_InputFunctions.Utility_DisplayArrayInTable(Fertiliser_SourceData.Fertiliser_Products_Data1(),FertiliserProducts[[#Headers],[Include or Exclude]], 0,4)</f>
        <v/>
      </c>
    </row>
    <row r="147" spans="1:31" ht="20.100000000000001" customHeight="1" x14ac:dyDescent="0.25">
      <c r="A147"/>
      <c r="D147" s="62" t="str" cm="1">
        <f t="array" ref="D147">Common_InputFunctions.Utility_DisplayArrayInTable(Fertiliser_SourceData.Fertiliser_Products_Data1(),FertiliserProducts[[#Headers],[Include or Exclude]], -1)</f>
        <v/>
      </c>
      <c r="E147" s="62" t="str" cm="1">
        <f t="array" ref="E147">Common_InputFunctions.Utility_DisplayArrayInTable(Fertiliser_SourceData.Fertiliser_Products_Data1(),FertiliserProducts[[#Headers],[Include or Exclude]], 0)</f>
        <v/>
      </c>
      <c r="F147" s="62" t="str" cm="1">
        <f t="array" ref="F147">Common_InputFunctions.Utility_DisplayArrayInTable(Fertiliser_SourceData.Fertiliser_Products_Data1(),FertiliserProducts[[#Headers],[Include or Exclude]], 0)</f>
        <v/>
      </c>
      <c r="G147" s="62" t="str" cm="1">
        <f t="array" ref="G147">Common_InputFunctions.Utility_DisplayArrayInTable(Fertiliser_SourceData.Fertiliser_Products_Data1(),FertiliserProducts[[#Headers],[Include or Exclude]], 0)</f>
        <v/>
      </c>
      <c r="H147" s="62" t="str" cm="1">
        <f t="array" ref="H147">Common_InputFunctions.Utility_DisplayArrayInTable(Fertiliser_SourceData.Fertiliser_Products_Data1(),FertiliserProducts[[#Headers],[Include or Exclude]], 0,4)</f>
        <v/>
      </c>
      <c r="I147" s="62" t="str" cm="1">
        <f t="array" ref="I147">Common_InputFunctions.Utility_DisplayArrayInTable(Fertiliser_SourceData.Fertiliser_Products_Data1(),FertiliserProducts[[#Headers],[Include or Exclude]], 0,4)</f>
        <v/>
      </c>
      <c r="J147" s="62" t="str" cm="1">
        <f t="array" ref="J147">Common_InputFunctions.Utility_DisplayArrayInTable(Fertiliser_SourceData.Fertiliser_Products_Data1(),FertiliserProducts[[#Headers],[Include or Exclude]], 0,4)</f>
        <v/>
      </c>
      <c r="K147" s="62" t="str" cm="1">
        <f t="array" ref="K147">Common_InputFunctions.Utility_DisplayArrayInTable(Fertiliser_SourceData.Fertiliser_Products_Data1(),FertiliserProducts[[#Headers],[Include or Exclude]], 0,4)</f>
        <v/>
      </c>
      <c r="L147" s="62" t="str" cm="1">
        <f t="array" ref="L147">Common_InputFunctions.Utility_DisplayArrayInTable(Fertiliser_SourceData.Fertiliser_Products_Data1(),FertiliserProducts[[#Headers],[Include or Exclude]], 0,4)</f>
        <v/>
      </c>
      <c r="M147" s="62" t="str" cm="1">
        <f t="array" ref="M147">Common_InputFunctions.Utility_DisplayArrayInTable(Fertiliser_SourceData.Fertiliser_Products_Data1(),FertiliserProducts[[#Headers],[Include or Exclude]], 0,4)</f>
        <v/>
      </c>
      <c r="N147" s="62" t="str" cm="1">
        <f t="array" ref="N147">Common_InputFunctions.Utility_DisplayArrayInTable(Fertiliser_SourceData.Fertiliser_Products_Data1(),FertiliserProducts[[#Headers],[Include or Exclude]], 0,4)</f>
        <v/>
      </c>
      <c r="O147" s="62" t="str" cm="1">
        <f t="array" ref="O147">Common_InputFunctions.Utility_DisplayArrayInTable(Fertiliser_SourceData.Fertiliser_Products_Data1(),FertiliserProducts[[#Headers],[Include or Exclude]], 0,4)</f>
        <v/>
      </c>
      <c r="P147" s="62" t="str" cm="1">
        <f t="array" ref="P147">Common_InputFunctions.Utility_DisplayArrayInTable(Fertiliser_SourceData.Fertiliser_Products_Data1(),FertiliserProducts[[#Headers],[Include or Exclude]], 0,4)</f>
        <v/>
      </c>
      <c r="Q147" s="62" t="str" cm="1">
        <f t="array" ref="Q147">Common_InputFunctions.Utility_DisplayArrayInTable(Fertiliser_SourceData.Fertiliser_Products_Data1(),FertiliserProducts[[#Headers],[Include or Exclude]], 0,4)</f>
        <v/>
      </c>
      <c r="R147" s="62" t="str" cm="1">
        <f t="array" ref="R147">Common_InputFunctions.Utility_DisplayArrayInTable(Fertiliser_SourceData.Fertiliser_Products_Data1(),FertiliserProducts[[#Headers],[Include or Exclude]], 0,4)</f>
        <v/>
      </c>
      <c r="S147" s="62" t="str" cm="1">
        <f t="array" ref="S147">Common_InputFunctions.Utility_DisplayArrayInTable(Fertiliser_SourceData.Fertiliser_Products_Data1(),FertiliserProducts[[#Headers],[Include or Exclude]], 0,4)</f>
        <v/>
      </c>
      <c r="T147" s="62" t="str" cm="1">
        <f t="array" ref="T147">Common_InputFunctions.Utility_DisplayArrayInTable(Fertiliser_SourceData.Fertiliser_Products_Data1(),FertiliserProducts[[#Headers],[Include or Exclude]], 0,4)</f>
        <v/>
      </c>
      <c r="U147" s="62" t="str" cm="1">
        <f t="array" ref="U147">Common_InputFunctions.Utility_DisplayArrayInTable(Fertiliser_SourceData.Fertiliser_Products_Data1(),FertiliserProducts[[#Headers],[Include or Exclude]], 0,4)</f>
        <v/>
      </c>
      <c r="V147" s="62" t="str" cm="1">
        <f t="array" ref="V147">Common_InputFunctions.Utility_DisplayArrayInTable(Fertiliser_SourceData.Fertiliser_Products_Data1(),FertiliserProducts[[#Headers],[Include or Exclude]], 0,4)</f>
        <v/>
      </c>
      <c r="W147" s="62" t="str" cm="1">
        <f t="array" ref="W147">Common_InputFunctions.Utility_DisplayArrayInTable(Fertiliser_SourceData.Fertiliser_Products_Data1(),FertiliserProducts[[#Headers],[Include or Exclude]], 0,4)</f>
        <v/>
      </c>
      <c r="X147" s="62" t="str" cm="1">
        <f t="array" ref="X147">Common_InputFunctions.Utility_DisplayArrayInTable(Fertiliser_SourceData.Fertiliser_Products_Data1(),FertiliserProducts[[#Headers],[Include or Exclude]], 0,4)</f>
        <v/>
      </c>
      <c r="Y147" s="62" t="str" cm="1">
        <f t="array" ref="Y147">Common_InputFunctions.Utility_DisplayArrayInTable(Fertiliser_SourceData.Fertiliser_Products_Data1(),FertiliserProducts[[#Headers],[Include or Exclude]], 0,4)</f>
        <v/>
      </c>
      <c r="Z147" s="62" t="str" cm="1">
        <f t="array" ref="Z147">Common_InputFunctions.Utility_DisplayArrayInTable(Fertiliser_SourceData.Fertiliser_Products_Data1(),FertiliserProducts[[#Headers],[Include or Exclude]], 0,4)</f>
        <v/>
      </c>
      <c r="AA147" s="62" t="str" cm="1">
        <f t="array" ref="AA147">Common_InputFunctions.Utility_DisplayArrayInTable(Fertiliser_SourceData.Fertiliser_Products_Data1(),FertiliserProducts[[#Headers],[Include or Exclude]], 0,4)</f>
        <v/>
      </c>
      <c r="AB147" s="62" t="str" cm="1">
        <f t="array" ref="AB147">Common_InputFunctions.Utility_DisplayArrayInTable(Fertiliser_SourceData.Fertiliser_Products_Data1(),FertiliserProducts[[#Headers],[Include or Exclude]], 0,4)</f>
        <v/>
      </c>
      <c r="AC147" s="62" t="str" cm="1">
        <f t="array" ref="AC147">Common_InputFunctions.Utility_DisplayArrayInTable(Fertiliser_SourceData.Fertiliser_Products_Data1(),FertiliserProducts[[#Headers],[Include or Exclude]], 0,4)</f>
        <v/>
      </c>
      <c r="AD147" s="62" t="str" cm="1">
        <f t="array" ref="AD147">Common_InputFunctions.Utility_DisplayArrayInTable(Fertiliser_SourceData.Fertiliser_Products_Data1(),FertiliserProducts[[#Headers],[Include or Exclude]], 0,4)</f>
        <v/>
      </c>
      <c r="AE147" s="62" t="str" cm="1">
        <f t="array" ref="AE147">Common_InputFunctions.Utility_DisplayArrayInTable(Fertiliser_SourceData.Fertiliser_Products_Data1(),FertiliserProducts[[#Headers],[Include or Exclude]], 0,4)</f>
        <v/>
      </c>
    </row>
    <row r="148" spans="1:31" ht="20.100000000000001" customHeight="1" x14ac:dyDescent="0.25">
      <c r="A148"/>
      <c r="D148" s="62" t="str" cm="1">
        <f t="array" ref="D148">Common_InputFunctions.Utility_DisplayArrayInTable(Fertiliser_SourceData.Fertiliser_Products_Data1(),FertiliserProducts[[#Headers],[Include or Exclude]], -1)</f>
        <v/>
      </c>
      <c r="E148" s="62" t="str" cm="1">
        <f t="array" ref="E148">Common_InputFunctions.Utility_DisplayArrayInTable(Fertiliser_SourceData.Fertiliser_Products_Data1(),FertiliserProducts[[#Headers],[Include or Exclude]], 0)</f>
        <v/>
      </c>
      <c r="F148" s="62" t="str" cm="1">
        <f t="array" ref="F148">Common_InputFunctions.Utility_DisplayArrayInTable(Fertiliser_SourceData.Fertiliser_Products_Data1(),FertiliserProducts[[#Headers],[Include or Exclude]], 0)</f>
        <v/>
      </c>
      <c r="G148" s="62" t="str" cm="1">
        <f t="array" ref="G148">Common_InputFunctions.Utility_DisplayArrayInTable(Fertiliser_SourceData.Fertiliser_Products_Data1(),FertiliserProducts[[#Headers],[Include or Exclude]], 0)</f>
        <v/>
      </c>
      <c r="H148" s="62" t="str" cm="1">
        <f t="array" ref="H148">Common_InputFunctions.Utility_DisplayArrayInTable(Fertiliser_SourceData.Fertiliser_Products_Data1(),FertiliserProducts[[#Headers],[Include or Exclude]], 0,4)</f>
        <v/>
      </c>
      <c r="I148" s="62" t="str" cm="1">
        <f t="array" ref="I148">Common_InputFunctions.Utility_DisplayArrayInTable(Fertiliser_SourceData.Fertiliser_Products_Data1(),FertiliserProducts[[#Headers],[Include or Exclude]], 0,4)</f>
        <v/>
      </c>
      <c r="J148" s="62" t="str" cm="1">
        <f t="array" ref="J148">Common_InputFunctions.Utility_DisplayArrayInTable(Fertiliser_SourceData.Fertiliser_Products_Data1(),FertiliserProducts[[#Headers],[Include or Exclude]], 0,4)</f>
        <v/>
      </c>
      <c r="K148" s="62" t="str" cm="1">
        <f t="array" ref="K148">Common_InputFunctions.Utility_DisplayArrayInTable(Fertiliser_SourceData.Fertiliser_Products_Data1(),FertiliserProducts[[#Headers],[Include or Exclude]], 0,4)</f>
        <v/>
      </c>
      <c r="L148" s="62" t="str" cm="1">
        <f t="array" ref="L148">Common_InputFunctions.Utility_DisplayArrayInTable(Fertiliser_SourceData.Fertiliser_Products_Data1(),FertiliserProducts[[#Headers],[Include or Exclude]], 0,4)</f>
        <v/>
      </c>
      <c r="M148" s="62" t="str" cm="1">
        <f t="array" ref="M148">Common_InputFunctions.Utility_DisplayArrayInTable(Fertiliser_SourceData.Fertiliser_Products_Data1(),FertiliserProducts[[#Headers],[Include or Exclude]], 0,4)</f>
        <v/>
      </c>
      <c r="N148" s="62" t="str" cm="1">
        <f t="array" ref="N148">Common_InputFunctions.Utility_DisplayArrayInTable(Fertiliser_SourceData.Fertiliser_Products_Data1(),FertiliserProducts[[#Headers],[Include or Exclude]], 0,4)</f>
        <v/>
      </c>
      <c r="O148" s="62" t="str" cm="1">
        <f t="array" ref="O148">Common_InputFunctions.Utility_DisplayArrayInTable(Fertiliser_SourceData.Fertiliser_Products_Data1(),FertiliserProducts[[#Headers],[Include or Exclude]], 0,4)</f>
        <v/>
      </c>
      <c r="P148" s="62" t="str" cm="1">
        <f t="array" ref="P148">Common_InputFunctions.Utility_DisplayArrayInTable(Fertiliser_SourceData.Fertiliser_Products_Data1(),FertiliserProducts[[#Headers],[Include or Exclude]], 0,4)</f>
        <v/>
      </c>
      <c r="Q148" s="62" t="str" cm="1">
        <f t="array" ref="Q148">Common_InputFunctions.Utility_DisplayArrayInTable(Fertiliser_SourceData.Fertiliser_Products_Data1(),FertiliserProducts[[#Headers],[Include or Exclude]], 0,4)</f>
        <v/>
      </c>
      <c r="R148" s="62" t="str" cm="1">
        <f t="array" ref="R148">Common_InputFunctions.Utility_DisplayArrayInTable(Fertiliser_SourceData.Fertiliser_Products_Data1(),FertiliserProducts[[#Headers],[Include or Exclude]], 0,4)</f>
        <v/>
      </c>
      <c r="S148" s="62" t="str" cm="1">
        <f t="array" ref="S148">Common_InputFunctions.Utility_DisplayArrayInTable(Fertiliser_SourceData.Fertiliser_Products_Data1(),FertiliserProducts[[#Headers],[Include or Exclude]], 0,4)</f>
        <v/>
      </c>
      <c r="T148" s="62" t="str" cm="1">
        <f t="array" ref="T148">Common_InputFunctions.Utility_DisplayArrayInTable(Fertiliser_SourceData.Fertiliser_Products_Data1(),FertiliserProducts[[#Headers],[Include or Exclude]], 0,4)</f>
        <v/>
      </c>
      <c r="U148" s="62" t="str" cm="1">
        <f t="array" ref="U148">Common_InputFunctions.Utility_DisplayArrayInTable(Fertiliser_SourceData.Fertiliser_Products_Data1(),FertiliserProducts[[#Headers],[Include or Exclude]], 0,4)</f>
        <v/>
      </c>
      <c r="V148" s="62" t="str" cm="1">
        <f t="array" ref="V148">Common_InputFunctions.Utility_DisplayArrayInTable(Fertiliser_SourceData.Fertiliser_Products_Data1(),FertiliserProducts[[#Headers],[Include or Exclude]], 0,4)</f>
        <v/>
      </c>
      <c r="W148" s="62" t="str" cm="1">
        <f t="array" ref="W148">Common_InputFunctions.Utility_DisplayArrayInTable(Fertiliser_SourceData.Fertiliser_Products_Data1(),FertiliserProducts[[#Headers],[Include or Exclude]], 0,4)</f>
        <v/>
      </c>
      <c r="X148" s="62" t="str" cm="1">
        <f t="array" ref="X148">Common_InputFunctions.Utility_DisplayArrayInTable(Fertiliser_SourceData.Fertiliser_Products_Data1(),FertiliserProducts[[#Headers],[Include or Exclude]], 0,4)</f>
        <v/>
      </c>
      <c r="Y148" s="62" t="str" cm="1">
        <f t="array" ref="Y148">Common_InputFunctions.Utility_DisplayArrayInTable(Fertiliser_SourceData.Fertiliser_Products_Data1(),FertiliserProducts[[#Headers],[Include or Exclude]], 0,4)</f>
        <v/>
      </c>
      <c r="Z148" s="62" t="str" cm="1">
        <f t="array" ref="Z148">Common_InputFunctions.Utility_DisplayArrayInTable(Fertiliser_SourceData.Fertiliser_Products_Data1(),FertiliserProducts[[#Headers],[Include or Exclude]], 0,4)</f>
        <v/>
      </c>
      <c r="AA148" s="62" t="str" cm="1">
        <f t="array" ref="AA148">Common_InputFunctions.Utility_DisplayArrayInTable(Fertiliser_SourceData.Fertiliser_Products_Data1(),FertiliserProducts[[#Headers],[Include or Exclude]], 0,4)</f>
        <v/>
      </c>
      <c r="AB148" s="62" t="str" cm="1">
        <f t="array" ref="AB148">Common_InputFunctions.Utility_DisplayArrayInTable(Fertiliser_SourceData.Fertiliser_Products_Data1(),FertiliserProducts[[#Headers],[Include or Exclude]], 0,4)</f>
        <v/>
      </c>
      <c r="AC148" s="62" t="str" cm="1">
        <f t="array" ref="AC148">Common_InputFunctions.Utility_DisplayArrayInTable(Fertiliser_SourceData.Fertiliser_Products_Data1(),FertiliserProducts[[#Headers],[Include or Exclude]], 0,4)</f>
        <v/>
      </c>
      <c r="AD148" s="62" t="str" cm="1">
        <f t="array" ref="AD148">Common_InputFunctions.Utility_DisplayArrayInTable(Fertiliser_SourceData.Fertiliser_Products_Data1(),FertiliserProducts[[#Headers],[Include or Exclude]], 0,4)</f>
        <v/>
      </c>
      <c r="AE148" s="62" t="str" cm="1">
        <f t="array" ref="AE148">Common_InputFunctions.Utility_DisplayArrayInTable(Fertiliser_SourceData.Fertiliser_Products_Data1(),FertiliserProducts[[#Headers],[Include or Exclude]], 0,4)</f>
        <v/>
      </c>
    </row>
    <row r="149" spans="1:31" ht="20.100000000000001" customHeight="1" x14ac:dyDescent="0.25">
      <c r="A149"/>
      <c r="D149" s="62" t="str" cm="1">
        <f t="array" ref="D149">Common_InputFunctions.Utility_DisplayArrayInTable(Fertiliser_SourceData.Fertiliser_Products_Data1(),FertiliserProducts[[#Headers],[Include or Exclude]], -1)</f>
        <v/>
      </c>
      <c r="E149" s="62" t="str" cm="1">
        <f t="array" ref="E149">Common_InputFunctions.Utility_DisplayArrayInTable(Fertiliser_SourceData.Fertiliser_Products_Data1(),FertiliserProducts[[#Headers],[Include or Exclude]], 0)</f>
        <v/>
      </c>
      <c r="F149" s="62" t="str" cm="1">
        <f t="array" ref="F149">Common_InputFunctions.Utility_DisplayArrayInTable(Fertiliser_SourceData.Fertiliser_Products_Data1(),FertiliserProducts[[#Headers],[Include or Exclude]], 0)</f>
        <v/>
      </c>
      <c r="G149" s="62" t="str" cm="1">
        <f t="array" ref="G149">Common_InputFunctions.Utility_DisplayArrayInTable(Fertiliser_SourceData.Fertiliser_Products_Data1(),FertiliserProducts[[#Headers],[Include or Exclude]], 0)</f>
        <v/>
      </c>
      <c r="H149" s="62" t="str" cm="1">
        <f t="array" ref="H149">Common_InputFunctions.Utility_DisplayArrayInTable(Fertiliser_SourceData.Fertiliser_Products_Data1(),FertiliserProducts[[#Headers],[Include or Exclude]], 0,4)</f>
        <v/>
      </c>
      <c r="I149" s="62" t="str" cm="1">
        <f t="array" ref="I149">Common_InputFunctions.Utility_DisplayArrayInTable(Fertiliser_SourceData.Fertiliser_Products_Data1(),FertiliserProducts[[#Headers],[Include or Exclude]], 0,4)</f>
        <v/>
      </c>
      <c r="J149" s="62" t="str" cm="1">
        <f t="array" ref="J149">Common_InputFunctions.Utility_DisplayArrayInTable(Fertiliser_SourceData.Fertiliser_Products_Data1(),FertiliserProducts[[#Headers],[Include or Exclude]], 0,4)</f>
        <v/>
      </c>
      <c r="K149" s="62" t="str" cm="1">
        <f t="array" ref="K149">Common_InputFunctions.Utility_DisplayArrayInTable(Fertiliser_SourceData.Fertiliser_Products_Data1(),FertiliserProducts[[#Headers],[Include or Exclude]], 0,4)</f>
        <v/>
      </c>
      <c r="L149" s="62" t="str" cm="1">
        <f t="array" ref="L149">Common_InputFunctions.Utility_DisplayArrayInTable(Fertiliser_SourceData.Fertiliser_Products_Data1(),FertiliserProducts[[#Headers],[Include or Exclude]], 0,4)</f>
        <v/>
      </c>
      <c r="M149" s="62" t="str" cm="1">
        <f t="array" ref="M149">Common_InputFunctions.Utility_DisplayArrayInTable(Fertiliser_SourceData.Fertiliser_Products_Data1(),FertiliserProducts[[#Headers],[Include or Exclude]], 0,4)</f>
        <v/>
      </c>
      <c r="N149" s="62" t="str" cm="1">
        <f t="array" ref="N149">Common_InputFunctions.Utility_DisplayArrayInTable(Fertiliser_SourceData.Fertiliser_Products_Data1(),FertiliserProducts[[#Headers],[Include or Exclude]], 0,4)</f>
        <v/>
      </c>
      <c r="O149" s="62" t="str" cm="1">
        <f t="array" ref="O149">Common_InputFunctions.Utility_DisplayArrayInTable(Fertiliser_SourceData.Fertiliser_Products_Data1(),FertiliserProducts[[#Headers],[Include or Exclude]], 0,4)</f>
        <v/>
      </c>
      <c r="P149" s="62" t="str" cm="1">
        <f t="array" ref="P149">Common_InputFunctions.Utility_DisplayArrayInTable(Fertiliser_SourceData.Fertiliser_Products_Data1(),FertiliserProducts[[#Headers],[Include or Exclude]], 0,4)</f>
        <v/>
      </c>
      <c r="Q149" s="62" t="str" cm="1">
        <f t="array" ref="Q149">Common_InputFunctions.Utility_DisplayArrayInTable(Fertiliser_SourceData.Fertiliser_Products_Data1(),FertiliserProducts[[#Headers],[Include or Exclude]], 0,4)</f>
        <v/>
      </c>
      <c r="R149" s="62" t="str" cm="1">
        <f t="array" ref="R149">Common_InputFunctions.Utility_DisplayArrayInTable(Fertiliser_SourceData.Fertiliser_Products_Data1(),FertiliserProducts[[#Headers],[Include or Exclude]], 0,4)</f>
        <v/>
      </c>
      <c r="S149" s="62" t="str" cm="1">
        <f t="array" ref="S149">Common_InputFunctions.Utility_DisplayArrayInTable(Fertiliser_SourceData.Fertiliser_Products_Data1(),FertiliserProducts[[#Headers],[Include or Exclude]], 0,4)</f>
        <v/>
      </c>
      <c r="T149" s="62" t="str" cm="1">
        <f t="array" ref="T149">Common_InputFunctions.Utility_DisplayArrayInTable(Fertiliser_SourceData.Fertiliser_Products_Data1(),FertiliserProducts[[#Headers],[Include or Exclude]], 0,4)</f>
        <v/>
      </c>
      <c r="U149" s="62" t="str" cm="1">
        <f t="array" ref="U149">Common_InputFunctions.Utility_DisplayArrayInTable(Fertiliser_SourceData.Fertiliser_Products_Data1(),FertiliserProducts[[#Headers],[Include or Exclude]], 0,4)</f>
        <v/>
      </c>
      <c r="V149" s="62" t="str" cm="1">
        <f t="array" ref="V149">Common_InputFunctions.Utility_DisplayArrayInTable(Fertiliser_SourceData.Fertiliser_Products_Data1(),FertiliserProducts[[#Headers],[Include or Exclude]], 0,4)</f>
        <v/>
      </c>
      <c r="W149" s="62" t="str" cm="1">
        <f t="array" ref="W149">Common_InputFunctions.Utility_DisplayArrayInTable(Fertiliser_SourceData.Fertiliser_Products_Data1(),FertiliserProducts[[#Headers],[Include or Exclude]], 0,4)</f>
        <v/>
      </c>
      <c r="X149" s="62" t="str" cm="1">
        <f t="array" ref="X149">Common_InputFunctions.Utility_DisplayArrayInTable(Fertiliser_SourceData.Fertiliser_Products_Data1(),FertiliserProducts[[#Headers],[Include or Exclude]], 0,4)</f>
        <v/>
      </c>
      <c r="Y149" s="62" t="str" cm="1">
        <f t="array" ref="Y149">Common_InputFunctions.Utility_DisplayArrayInTable(Fertiliser_SourceData.Fertiliser_Products_Data1(),FertiliserProducts[[#Headers],[Include or Exclude]], 0,4)</f>
        <v/>
      </c>
      <c r="Z149" s="62" t="str" cm="1">
        <f t="array" ref="Z149">Common_InputFunctions.Utility_DisplayArrayInTable(Fertiliser_SourceData.Fertiliser_Products_Data1(),FertiliserProducts[[#Headers],[Include or Exclude]], 0,4)</f>
        <v/>
      </c>
      <c r="AA149" s="62" t="str" cm="1">
        <f t="array" ref="AA149">Common_InputFunctions.Utility_DisplayArrayInTable(Fertiliser_SourceData.Fertiliser_Products_Data1(),FertiliserProducts[[#Headers],[Include or Exclude]], 0,4)</f>
        <v/>
      </c>
      <c r="AB149" s="62" t="str" cm="1">
        <f t="array" ref="AB149">Common_InputFunctions.Utility_DisplayArrayInTable(Fertiliser_SourceData.Fertiliser_Products_Data1(),FertiliserProducts[[#Headers],[Include or Exclude]], 0,4)</f>
        <v/>
      </c>
      <c r="AC149" s="62" t="str" cm="1">
        <f t="array" ref="AC149">Common_InputFunctions.Utility_DisplayArrayInTable(Fertiliser_SourceData.Fertiliser_Products_Data1(),FertiliserProducts[[#Headers],[Include or Exclude]], 0,4)</f>
        <v/>
      </c>
      <c r="AD149" s="62" t="str" cm="1">
        <f t="array" ref="AD149">Common_InputFunctions.Utility_DisplayArrayInTable(Fertiliser_SourceData.Fertiliser_Products_Data1(),FertiliserProducts[[#Headers],[Include or Exclude]], 0,4)</f>
        <v/>
      </c>
      <c r="AE149" s="62" t="str" cm="1">
        <f t="array" ref="AE149">Common_InputFunctions.Utility_DisplayArrayInTable(Fertiliser_SourceData.Fertiliser_Products_Data1(),FertiliserProducts[[#Headers],[Include or Exclude]], 0,4)</f>
        <v/>
      </c>
    </row>
    <row r="150" spans="1:31" ht="20.100000000000001" customHeight="1" x14ac:dyDescent="0.25">
      <c r="A150"/>
      <c r="D150" s="62" t="str" cm="1">
        <f t="array" ref="D150">Common_InputFunctions.Utility_DisplayArrayInTable(Fertiliser_SourceData.Fertiliser_Products_Data1(),FertiliserProducts[[#Headers],[Include or Exclude]], -1)</f>
        <v/>
      </c>
      <c r="E150" s="62" t="str" cm="1">
        <f t="array" ref="E150">Common_InputFunctions.Utility_DisplayArrayInTable(Fertiliser_SourceData.Fertiliser_Products_Data1(),FertiliserProducts[[#Headers],[Include or Exclude]], 0)</f>
        <v/>
      </c>
      <c r="F150" s="62" t="str" cm="1">
        <f t="array" ref="F150">Common_InputFunctions.Utility_DisplayArrayInTable(Fertiliser_SourceData.Fertiliser_Products_Data1(),FertiliserProducts[[#Headers],[Include or Exclude]], 0)</f>
        <v/>
      </c>
      <c r="G150" s="62" t="str" cm="1">
        <f t="array" ref="G150">Common_InputFunctions.Utility_DisplayArrayInTable(Fertiliser_SourceData.Fertiliser_Products_Data1(),FertiliserProducts[[#Headers],[Include or Exclude]], 0)</f>
        <v/>
      </c>
      <c r="H150" s="62" t="str" cm="1">
        <f t="array" ref="H150">Common_InputFunctions.Utility_DisplayArrayInTable(Fertiliser_SourceData.Fertiliser_Products_Data1(),FertiliserProducts[[#Headers],[Include or Exclude]], 0,4)</f>
        <v/>
      </c>
      <c r="I150" s="62" t="str" cm="1">
        <f t="array" ref="I150">Common_InputFunctions.Utility_DisplayArrayInTable(Fertiliser_SourceData.Fertiliser_Products_Data1(),FertiliserProducts[[#Headers],[Include or Exclude]], 0,4)</f>
        <v/>
      </c>
      <c r="J150" s="62" t="str" cm="1">
        <f t="array" ref="J150">Common_InputFunctions.Utility_DisplayArrayInTable(Fertiliser_SourceData.Fertiliser_Products_Data1(),FertiliserProducts[[#Headers],[Include or Exclude]], 0,4)</f>
        <v/>
      </c>
      <c r="K150" s="62" t="str" cm="1">
        <f t="array" ref="K150">Common_InputFunctions.Utility_DisplayArrayInTable(Fertiliser_SourceData.Fertiliser_Products_Data1(),FertiliserProducts[[#Headers],[Include or Exclude]], 0,4)</f>
        <v/>
      </c>
      <c r="L150" s="62" t="str" cm="1">
        <f t="array" ref="L150">Common_InputFunctions.Utility_DisplayArrayInTable(Fertiliser_SourceData.Fertiliser_Products_Data1(),FertiliserProducts[[#Headers],[Include or Exclude]], 0,4)</f>
        <v/>
      </c>
      <c r="M150" s="62" t="str" cm="1">
        <f t="array" ref="M150">Common_InputFunctions.Utility_DisplayArrayInTable(Fertiliser_SourceData.Fertiliser_Products_Data1(),FertiliserProducts[[#Headers],[Include or Exclude]], 0,4)</f>
        <v/>
      </c>
      <c r="N150" s="62" t="str" cm="1">
        <f t="array" ref="N150">Common_InputFunctions.Utility_DisplayArrayInTable(Fertiliser_SourceData.Fertiliser_Products_Data1(),FertiliserProducts[[#Headers],[Include or Exclude]], 0,4)</f>
        <v/>
      </c>
      <c r="O150" s="62" t="str" cm="1">
        <f t="array" ref="O150">Common_InputFunctions.Utility_DisplayArrayInTable(Fertiliser_SourceData.Fertiliser_Products_Data1(),FertiliserProducts[[#Headers],[Include or Exclude]], 0,4)</f>
        <v/>
      </c>
      <c r="P150" s="62" t="str" cm="1">
        <f t="array" ref="P150">Common_InputFunctions.Utility_DisplayArrayInTable(Fertiliser_SourceData.Fertiliser_Products_Data1(),FertiliserProducts[[#Headers],[Include or Exclude]], 0,4)</f>
        <v/>
      </c>
      <c r="Q150" s="62" t="str" cm="1">
        <f t="array" ref="Q150">Common_InputFunctions.Utility_DisplayArrayInTable(Fertiliser_SourceData.Fertiliser_Products_Data1(),FertiliserProducts[[#Headers],[Include or Exclude]], 0,4)</f>
        <v/>
      </c>
      <c r="R150" s="62" t="str" cm="1">
        <f t="array" ref="R150">Common_InputFunctions.Utility_DisplayArrayInTable(Fertiliser_SourceData.Fertiliser_Products_Data1(),FertiliserProducts[[#Headers],[Include or Exclude]], 0,4)</f>
        <v/>
      </c>
      <c r="S150" s="62" t="str" cm="1">
        <f t="array" ref="S150">Common_InputFunctions.Utility_DisplayArrayInTable(Fertiliser_SourceData.Fertiliser_Products_Data1(),FertiliserProducts[[#Headers],[Include or Exclude]], 0,4)</f>
        <v/>
      </c>
      <c r="T150" s="62" t="str" cm="1">
        <f t="array" ref="T150">Common_InputFunctions.Utility_DisplayArrayInTable(Fertiliser_SourceData.Fertiliser_Products_Data1(),FertiliserProducts[[#Headers],[Include or Exclude]], 0,4)</f>
        <v/>
      </c>
      <c r="U150" s="62" t="str" cm="1">
        <f t="array" ref="U150">Common_InputFunctions.Utility_DisplayArrayInTable(Fertiliser_SourceData.Fertiliser_Products_Data1(),FertiliserProducts[[#Headers],[Include or Exclude]], 0,4)</f>
        <v/>
      </c>
      <c r="V150" s="62" t="str" cm="1">
        <f t="array" ref="V150">Common_InputFunctions.Utility_DisplayArrayInTable(Fertiliser_SourceData.Fertiliser_Products_Data1(),FertiliserProducts[[#Headers],[Include or Exclude]], 0,4)</f>
        <v/>
      </c>
      <c r="W150" s="62" t="str" cm="1">
        <f t="array" ref="W150">Common_InputFunctions.Utility_DisplayArrayInTable(Fertiliser_SourceData.Fertiliser_Products_Data1(),FertiliserProducts[[#Headers],[Include or Exclude]], 0,4)</f>
        <v/>
      </c>
      <c r="X150" s="62" t="str" cm="1">
        <f t="array" ref="X150">Common_InputFunctions.Utility_DisplayArrayInTable(Fertiliser_SourceData.Fertiliser_Products_Data1(),FertiliserProducts[[#Headers],[Include or Exclude]], 0,4)</f>
        <v/>
      </c>
      <c r="Y150" s="62" t="str" cm="1">
        <f t="array" ref="Y150">Common_InputFunctions.Utility_DisplayArrayInTable(Fertiliser_SourceData.Fertiliser_Products_Data1(),FertiliserProducts[[#Headers],[Include or Exclude]], 0,4)</f>
        <v/>
      </c>
      <c r="Z150" s="62" t="str" cm="1">
        <f t="array" ref="Z150">Common_InputFunctions.Utility_DisplayArrayInTable(Fertiliser_SourceData.Fertiliser_Products_Data1(),FertiliserProducts[[#Headers],[Include or Exclude]], 0,4)</f>
        <v/>
      </c>
      <c r="AA150" s="62" t="str" cm="1">
        <f t="array" ref="AA150">Common_InputFunctions.Utility_DisplayArrayInTable(Fertiliser_SourceData.Fertiliser_Products_Data1(),FertiliserProducts[[#Headers],[Include or Exclude]], 0,4)</f>
        <v/>
      </c>
      <c r="AB150" s="62" t="str" cm="1">
        <f t="array" ref="AB150">Common_InputFunctions.Utility_DisplayArrayInTable(Fertiliser_SourceData.Fertiliser_Products_Data1(),FertiliserProducts[[#Headers],[Include or Exclude]], 0,4)</f>
        <v/>
      </c>
      <c r="AC150" s="62" t="str" cm="1">
        <f t="array" ref="AC150">Common_InputFunctions.Utility_DisplayArrayInTable(Fertiliser_SourceData.Fertiliser_Products_Data1(),FertiliserProducts[[#Headers],[Include or Exclude]], 0,4)</f>
        <v/>
      </c>
      <c r="AD150" s="62" t="str" cm="1">
        <f t="array" ref="AD150">Common_InputFunctions.Utility_DisplayArrayInTable(Fertiliser_SourceData.Fertiliser_Products_Data1(),FertiliserProducts[[#Headers],[Include or Exclude]], 0,4)</f>
        <v/>
      </c>
      <c r="AE150" s="62" t="str" cm="1">
        <f t="array" ref="AE150">Common_InputFunctions.Utility_DisplayArrayInTable(Fertiliser_SourceData.Fertiliser_Products_Data1(),FertiliserProducts[[#Headers],[Include or Exclude]], 0,4)</f>
        <v/>
      </c>
    </row>
    <row r="151" spans="1:31" ht="20.100000000000001" customHeight="1" x14ac:dyDescent="0.25">
      <c r="A151"/>
      <c r="D151" s="62" t="str" cm="1">
        <f t="array" ref="D151">Common_InputFunctions.Utility_DisplayArrayInTable(Fertiliser_SourceData.Fertiliser_Products_Data1(),FertiliserProducts[[#Headers],[Include or Exclude]], -1)</f>
        <v/>
      </c>
      <c r="E151" s="62" t="str" cm="1">
        <f t="array" ref="E151">Common_InputFunctions.Utility_DisplayArrayInTable(Fertiliser_SourceData.Fertiliser_Products_Data1(),FertiliserProducts[[#Headers],[Include or Exclude]], 0)</f>
        <v/>
      </c>
      <c r="F151" s="62" t="str" cm="1">
        <f t="array" ref="F151">Common_InputFunctions.Utility_DisplayArrayInTable(Fertiliser_SourceData.Fertiliser_Products_Data1(),FertiliserProducts[[#Headers],[Include or Exclude]], 0)</f>
        <v/>
      </c>
      <c r="G151" s="62" t="str" cm="1">
        <f t="array" ref="G151">Common_InputFunctions.Utility_DisplayArrayInTable(Fertiliser_SourceData.Fertiliser_Products_Data1(),FertiliserProducts[[#Headers],[Include or Exclude]], 0)</f>
        <v/>
      </c>
      <c r="H151" s="62" t="str" cm="1">
        <f t="array" ref="H151">Common_InputFunctions.Utility_DisplayArrayInTable(Fertiliser_SourceData.Fertiliser_Products_Data1(),FertiliserProducts[[#Headers],[Include or Exclude]], 0,4)</f>
        <v/>
      </c>
      <c r="I151" s="62" t="str" cm="1">
        <f t="array" ref="I151">Common_InputFunctions.Utility_DisplayArrayInTable(Fertiliser_SourceData.Fertiliser_Products_Data1(),FertiliserProducts[[#Headers],[Include or Exclude]], 0,4)</f>
        <v/>
      </c>
      <c r="J151" s="62" t="str" cm="1">
        <f t="array" ref="J151">Common_InputFunctions.Utility_DisplayArrayInTable(Fertiliser_SourceData.Fertiliser_Products_Data1(),FertiliserProducts[[#Headers],[Include or Exclude]], 0,4)</f>
        <v/>
      </c>
      <c r="K151" s="62" t="str" cm="1">
        <f t="array" ref="K151">Common_InputFunctions.Utility_DisplayArrayInTable(Fertiliser_SourceData.Fertiliser_Products_Data1(),FertiliserProducts[[#Headers],[Include or Exclude]], 0,4)</f>
        <v/>
      </c>
      <c r="L151" s="62" t="str" cm="1">
        <f t="array" ref="L151">Common_InputFunctions.Utility_DisplayArrayInTable(Fertiliser_SourceData.Fertiliser_Products_Data1(),FertiliserProducts[[#Headers],[Include or Exclude]], 0,4)</f>
        <v/>
      </c>
      <c r="M151" s="62" t="str" cm="1">
        <f t="array" ref="M151">Common_InputFunctions.Utility_DisplayArrayInTable(Fertiliser_SourceData.Fertiliser_Products_Data1(),FertiliserProducts[[#Headers],[Include or Exclude]], 0,4)</f>
        <v/>
      </c>
      <c r="N151" s="62" t="str" cm="1">
        <f t="array" ref="N151">Common_InputFunctions.Utility_DisplayArrayInTable(Fertiliser_SourceData.Fertiliser_Products_Data1(),FertiliserProducts[[#Headers],[Include or Exclude]], 0,4)</f>
        <v/>
      </c>
      <c r="O151" s="62" t="str" cm="1">
        <f t="array" ref="O151">Common_InputFunctions.Utility_DisplayArrayInTable(Fertiliser_SourceData.Fertiliser_Products_Data1(),FertiliserProducts[[#Headers],[Include or Exclude]], 0,4)</f>
        <v/>
      </c>
      <c r="P151" s="62" t="str" cm="1">
        <f t="array" ref="P151">Common_InputFunctions.Utility_DisplayArrayInTable(Fertiliser_SourceData.Fertiliser_Products_Data1(),FertiliserProducts[[#Headers],[Include or Exclude]], 0,4)</f>
        <v/>
      </c>
      <c r="Q151" s="62" t="str" cm="1">
        <f t="array" ref="Q151">Common_InputFunctions.Utility_DisplayArrayInTable(Fertiliser_SourceData.Fertiliser_Products_Data1(),FertiliserProducts[[#Headers],[Include or Exclude]], 0,4)</f>
        <v/>
      </c>
      <c r="R151" s="62" t="str" cm="1">
        <f t="array" ref="R151">Common_InputFunctions.Utility_DisplayArrayInTable(Fertiliser_SourceData.Fertiliser_Products_Data1(),FertiliserProducts[[#Headers],[Include or Exclude]], 0,4)</f>
        <v/>
      </c>
      <c r="S151" s="62" t="str" cm="1">
        <f t="array" ref="S151">Common_InputFunctions.Utility_DisplayArrayInTable(Fertiliser_SourceData.Fertiliser_Products_Data1(),FertiliserProducts[[#Headers],[Include or Exclude]], 0,4)</f>
        <v/>
      </c>
      <c r="T151" s="62" t="str" cm="1">
        <f t="array" ref="T151">Common_InputFunctions.Utility_DisplayArrayInTable(Fertiliser_SourceData.Fertiliser_Products_Data1(),FertiliserProducts[[#Headers],[Include or Exclude]], 0,4)</f>
        <v/>
      </c>
      <c r="U151" s="62" t="str" cm="1">
        <f t="array" ref="U151">Common_InputFunctions.Utility_DisplayArrayInTable(Fertiliser_SourceData.Fertiliser_Products_Data1(),FertiliserProducts[[#Headers],[Include or Exclude]], 0,4)</f>
        <v/>
      </c>
      <c r="V151" s="62" t="str" cm="1">
        <f t="array" ref="V151">Common_InputFunctions.Utility_DisplayArrayInTable(Fertiliser_SourceData.Fertiliser_Products_Data1(),FertiliserProducts[[#Headers],[Include or Exclude]], 0,4)</f>
        <v/>
      </c>
      <c r="W151" s="62" t="str" cm="1">
        <f t="array" ref="W151">Common_InputFunctions.Utility_DisplayArrayInTable(Fertiliser_SourceData.Fertiliser_Products_Data1(),FertiliserProducts[[#Headers],[Include or Exclude]], 0,4)</f>
        <v/>
      </c>
      <c r="X151" s="62" t="str" cm="1">
        <f t="array" ref="X151">Common_InputFunctions.Utility_DisplayArrayInTable(Fertiliser_SourceData.Fertiliser_Products_Data1(),FertiliserProducts[[#Headers],[Include or Exclude]], 0,4)</f>
        <v/>
      </c>
      <c r="Y151" s="62" t="str" cm="1">
        <f t="array" ref="Y151">Common_InputFunctions.Utility_DisplayArrayInTable(Fertiliser_SourceData.Fertiliser_Products_Data1(),FertiliserProducts[[#Headers],[Include or Exclude]], 0,4)</f>
        <v/>
      </c>
      <c r="Z151" s="62" t="str" cm="1">
        <f t="array" ref="Z151">Common_InputFunctions.Utility_DisplayArrayInTable(Fertiliser_SourceData.Fertiliser_Products_Data1(),FertiliserProducts[[#Headers],[Include or Exclude]], 0,4)</f>
        <v/>
      </c>
      <c r="AA151" s="62" t="str" cm="1">
        <f t="array" ref="AA151">Common_InputFunctions.Utility_DisplayArrayInTable(Fertiliser_SourceData.Fertiliser_Products_Data1(),FertiliserProducts[[#Headers],[Include or Exclude]], 0,4)</f>
        <v/>
      </c>
      <c r="AB151" s="62" t="str" cm="1">
        <f t="array" ref="AB151">Common_InputFunctions.Utility_DisplayArrayInTable(Fertiliser_SourceData.Fertiliser_Products_Data1(),FertiliserProducts[[#Headers],[Include or Exclude]], 0,4)</f>
        <v/>
      </c>
      <c r="AC151" s="62" t="str" cm="1">
        <f t="array" ref="AC151">Common_InputFunctions.Utility_DisplayArrayInTable(Fertiliser_SourceData.Fertiliser_Products_Data1(),FertiliserProducts[[#Headers],[Include or Exclude]], 0,4)</f>
        <v/>
      </c>
      <c r="AD151" s="62" t="str" cm="1">
        <f t="array" ref="AD151">Common_InputFunctions.Utility_DisplayArrayInTable(Fertiliser_SourceData.Fertiliser_Products_Data1(),FertiliserProducts[[#Headers],[Include or Exclude]], 0,4)</f>
        <v/>
      </c>
      <c r="AE151" s="62" t="str" cm="1">
        <f t="array" ref="AE151">Common_InputFunctions.Utility_DisplayArrayInTable(Fertiliser_SourceData.Fertiliser_Products_Data1(),FertiliserProducts[[#Headers],[Include or Exclude]], 0,4)</f>
        <v/>
      </c>
    </row>
    <row r="152" spans="1:31" ht="20.100000000000001" customHeight="1" x14ac:dyDescent="0.25">
      <c r="A152"/>
      <c r="D152" s="62" t="str" cm="1">
        <f t="array" ref="D152">Common_InputFunctions.Utility_DisplayArrayInTable(Fertiliser_SourceData.Fertiliser_Products_Data1(),FertiliserProducts[[#Headers],[Include or Exclude]], -1)</f>
        <v/>
      </c>
      <c r="E152" s="62" t="str" cm="1">
        <f t="array" ref="E152">Common_InputFunctions.Utility_DisplayArrayInTable(Fertiliser_SourceData.Fertiliser_Products_Data1(),FertiliserProducts[[#Headers],[Include or Exclude]], 0)</f>
        <v/>
      </c>
      <c r="F152" s="62" t="str" cm="1">
        <f t="array" ref="F152">Common_InputFunctions.Utility_DisplayArrayInTable(Fertiliser_SourceData.Fertiliser_Products_Data1(),FertiliserProducts[[#Headers],[Include or Exclude]], 0)</f>
        <v/>
      </c>
      <c r="G152" s="62" t="str" cm="1">
        <f t="array" ref="G152">Common_InputFunctions.Utility_DisplayArrayInTable(Fertiliser_SourceData.Fertiliser_Products_Data1(),FertiliserProducts[[#Headers],[Include or Exclude]], 0)</f>
        <v/>
      </c>
      <c r="H152" s="62" t="str" cm="1">
        <f t="array" ref="H152">Common_InputFunctions.Utility_DisplayArrayInTable(Fertiliser_SourceData.Fertiliser_Products_Data1(),FertiliserProducts[[#Headers],[Include or Exclude]], 0,4)</f>
        <v/>
      </c>
      <c r="I152" s="62" t="str" cm="1">
        <f t="array" ref="I152">Common_InputFunctions.Utility_DisplayArrayInTable(Fertiliser_SourceData.Fertiliser_Products_Data1(),FertiliserProducts[[#Headers],[Include or Exclude]], 0,4)</f>
        <v/>
      </c>
      <c r="J152" s="62" t="str" cm="1">
        <f t="array" ref="J152">Common_InputFunctions.Utility_DisplayArrayInTable(Fertiliser_SourceData.Fertiliser_Products_Data1(),FertiliserProducts[[#Headers],[Include or Exclude]], 0,4)</f>
        <v/>
      </c>
      <c r="K152" s="62" t="str" cm="1">
        <f t="array" ref="K152">Common_InputFunctions.Utility_DisplayArrayInTable(Fertiliser_SourceData.Fertiliser_Products_Data1(),FertiliserProducts[[#Headers],[Include or Exclude]], 0,4)</f>
        <v/>
      </c>
      <c r="L152" s="62" t="str" cm="1">
        <f t="array" ref="L152">Common_InputFunctions.Utility_DisplayArrayInTable(Fertiliser_SourceData.Fertiliser_Products_Data1(),FertiliserProducts[[#Headers],[Include or Exclude]], 0,4)</f>
        <v/>
      </c>
      <c r="M152" s="62" t="str" cm="1">
        <f t="array" ref="M152">Common_InputFunctions.Utility_DisplayArrayInTable(Fertiliser_SourceData.Fertiliser_Products_Data1(),FertiliserProducts[[#Headers],[Include or Exclude]], 0,4)</f>
        <v/>
      </c>
      <c r="N152" s="62" t="str" cm="1">
        <f t="array" ref="N152">Common_InputFunctions.Utility_DisplayArrayInTable(Fertiliser_SourceData.Fertiliser_Products_Data1(),FertiliserProducts[[#Headers],[Include or Exclude]], 0,4)</f>
        <v/>
      </c>
      <c r="O152" s="62" t="str" cm="1">
        <f t="array" ref="O152">Common_InputFunctions.Utility_DisplayArrayInTable(Fertiliser_SourceData.Fertiliser_Products_Data1(),FertiliserProducts[[#Headers],[Include or Exclude]], 0,4)</f>
        <v/>
      </c>
      <c r="P152" s="62" t="str" cm="1">
        <f t="array" ref="P152">Common_InputFunctions.Utility_DisplayArrayInTable(Fertiliser_SourceData.Fertiliser_Products_Data1(),FertiliserProducts[[#Headers],[Include or Exclude]], 0,4)</f>
        <v/>
      </c>
      <c r="Q152" s="62" t="str" cm="1">
        <f t="array" ref="Q152">Common_InputFunctions.Utility_DisplayArrayInTable(Fertiliser_SourceData.Fertiliser_Products_Data1(),FertiliserProducts[[#Headers],[Include or Exclude]], 0,4)</f>
        <v/>
      </c>
      <c r="R152" s="62" t="str" cm="1">
        <f t="array" ref="R152">Common_InputFunctions.Utility_DisplayArrayInTable(Fertiliser_SourceData.Fertiliser_Products_Data1(),FertiliserProducts[[#Headers],[Include or Exclude]], 0,4)</f>
        <v/>
      </c>
      <c r="S152" s="62" t="str" cm="1">
        <f t="array" ref="S152">Common_InputFunctions.Utility_DisplayArrayInTable(Fertiliser_SourceData.Fertiliser_Products_Data1(),FertiliserProducts[[#Headers],[Include or Exclude]], 0,4)</f>
        <v/>
      </c>
      <c r="T152" s="62" t="str" cm="1">
        <f t="array" ref="T152">Common_InputFunctions.Utility_DisplayArrayInTable(Fertiliser_SourceData.Fertiliser_Products_Data1(),FertiliserProducts[[#Headers],[Include or Exclude]], 0,4)</f>
        <v/>
      </c>
      <c r="U152" s="62" t="str" cm="1">
        <f t="array" ref="U152">Common_InputFunctions.Utility_DisplayArrayInTable(Fertiliser_SourceData.Fertiliser_Products_Data1(),FertiliserProducts[[#Headers],[Include or Exclude]], 0,4)</f>
        <v/>
      </c>
      <c r="V152" s="62" t="str" cm="1">
        <f t="array" ref="V152">Common_InputFunctions.Utility_DisplayArrayInTable(Fertiliser_SourceData.Fertiliser_Products_Data1(),FertiliserProducts[[#Headers],[Include or Exclude]], 0,4)</f>
        <v/>
      </c>
      <c r="W152" s="62" t="str" cm="1">
        <f t="array" ref="W152">Common_InputFunctions.Utility_DisplayArrayInTable(Fertiliser_SourceData.Fertiliser_Products_Data1(),FertiliserProducts[[#Headers],[Include or Exclude]], 0,4)</f>
        <v/>
      </c>
      <c r="X152" s="62" t="str" cm="1">
        <f t="array" ref="X152">Common_InputFunctions.Utility_DisplayArrayInTable(Fertiliser_SourceData.Fertiliser_Products_Data1(),FertiliserProducts[[#Headers],[Include or Exclude]], 0,4)</f>
        <v/>
      </c>
      <c r="Y152" s="62" t="str" cm="1">
        <f t="array" ref="Y152">Common_InputFunctions.Utility_DisplayArrayInTable(Fertiliser_SourceData.Fertiliser_Products_Data1(),FertiliserProducts[[#Headers],[Include or Exclude]], 0,4)</f>
        <v/>
      </c>
      <c r="Z152" s="62" t="str" cm="1">
        <f t="array" ref="Z152">Common_InputFunctions.Utility_DisplayArrayInTable(Fertiliser_SourceData.Fertiliser_Products_Data1(),FertiliserProducts[[#Headers],[Include or Exclude]], 0,4)</f>
        <v/>
      </c>
      <c r="AA152" s="62" t="str" cm="1">
        <f t="array" ref="AA152">Common_InputFunctions.Utility_DisplayArrayInTable(Fertiliser_SourceData.Fertiliser_Products_Data1(),FertiliserProducts[[#Headers],[Include or Exclude]], 0,4)</f>
        <v/>
      </c>
      <c r="AB152" s="62" t="str" cm="1">
        <f t="array" ref="AB152">Common_InputFunctions.Utility_DisplayArrayInTable(Fertiliser_SourceData.Fertiliser_Products_Data1(),FertiliserProducts[[#Headers],[Include or Exclude]], 0,4)</f>
        <v/>
      </c>
      <c r="AC152" s="62" t="str" cm="1">
        <f t="array" ref="AC152">Common_InputFunctions.Utility_DisplayArrayInTable(Fertiliser_SourceData.Fertiliser_Products_Data1(),FertiliserProducts[[#Headers],[Include or Exclude]], 0,4)</f>
        <v/>
      </c>
      <c r="AD152" s="62" t="str" cm="1">
        <f t="array" ref="AD152">Common_InputFunctions.Utility_DisplayArrayInTable(Fertiliser_SourceData.Fertiliser_Products_Data1(),FertiliserProducts[[#Headers],[Include or Exclude]], 0,4)</f>
        <v/>
      </c>
      <c r="AE152" s="62" t="str" cm="1">
        <f t="array" ref="AE152">Common_InputFunctions.Utility_DisplayArrayInTable(Fertiliser_SourceData.Fertiliser_Products_Data1(),FertiliserProducts[[#Headers],[Include or Exclude]], 0,4)</f>
        <v/>
      </c>
    </row>
    <row r="153" spans="1:31" ht="20.100000000000001" customHeight="1" x14ac:dyDescent="0.25">
      <c r="A153"/>
      <c r="D153" s="62" t="str" cm="1">
        <f t="array" ref="D153">Common_InputFunctions.Utility_DisplayArrayInTable(Fertiliser_SourceData.Fertiliser_Products_Data1(),FertiliserProducts[[#Headers],[Include or Exclude]], -1)</f>
        <v/>
      </c>
      <c r="E153" s="62" t="str" cm="1">
        <f t="array" ref="E153">Common_InputFunctions.Utility_DisplayArrayInTable(Fertiliser_SourceData.Fertiliser_Products_Data1(),FertiliserProducts[[#Headers],[Include or Exclude]], 0)</f>
        <v/>
      </c>
      <c r="F153" s="62" t="str" cm="1">
        <f t="array" ref="F153">Common_InputFunctions.Utility_DisplayArrayInTable(Fertiliser_SourceData.Fertiliser_Products_Data1(),FertiliserProducts[[#Headers],[Include or Exclude]], 0)</f>
        <v/>
      </c>
      <c r="G153" s="62" t="str" cm="1">
        <f t="array" ref="G153">Common_InputFunctions.Utility_DisplayArrayInTable(Fertiliser_SourceData.Fertiliser_Products_Data1(),FertiliserProducts[[#Headers],[Include or Exclude]], 0)</f>
        <v/>
      </c>
      <c r="H153" s="62" t="str" cm="1">
        <f t="array" ref="H153">Common_InputFunctions.Utility_DisplayArrayInTable(Fertiliser_SourceData.Fertiliser_Products_Data1(),FertiliserProducts[[#Headers],[Include or Exclude]], 0,4)</f>
        <v/>
      </c>
      <c r="I153" s="62" t="str" cm="1">
        <f t="array" ref="I153">Common_InputFunctions.Utility_DisplayArrayInTable(Fertiliser_SourceData.Fertiliser_Products_Data1(),FertiliserProducts[[#Headers],[Include or Exclude]], 0,4)</f>
        <v/>
      </c>
      <c r="J153" s="62" t="str" cm="1">
        <f t="array" ref="J153">Common_InputFunctions.Utility_DisplayArrayInTable(Fertiliser_SourceData.Fertiliser_Products_Data1(),FertiliserProducts[[#Headers],[Include or Exclude]], 0,4)</f>
        <v/>
      </c>
      <c r="K153" s="62" t="str" cm="1">
        <f t="array" ref="K153">Common_InputFunctions.Utility_DisplayArrayInTable(Fertiliser_SourceData.Fertiliser_Products_Data1(),FertiliserProducts[[#Headers],[Include or Exclude]], 0,4)</f>
        <v/>
      </c>
      <c r="L153" s="62" t="str" cm="1">
        <f t="array" ref="L153">Common_InputFunctions.Utility_DisplayArrayInTable(Fertiliser_SourceData.Fertiliser_Products_Data1(),FertiliserProducts[[#Headers],[Include or Exclude]], 0,4)</f>
        <v/>
      </c>
      <c r="M153" s="62" t="str" cm="1">
        <f t="array" ref="M153">Common_InputFunctions.Utility_DisplayArrayInTable(Fertiliser_SourceData.Fertiliser_Products_Data1(),FertiliserProducts[[#Headers],[Include or Exclude]], 0,4)</f>
        <v/>
      </c>
      <c r="N153" s="62" t="str" cm="1">
        <f t="array" ref="N153">Common_InputFunctions.Utility_DisplayArrayInTable(Fertiliser_SourceData.Fertiliser_Products_Data1(),FertiliserProducts[[#Headers],[Include or Exclude]], 0,4)</f>
        <v/>
      </c>
      <c r="O153" s="62" t="str" cm="1">
        <f t="array" ref="O153">Common_InputFunctions.Utility_DisplayArrayInTable(Fertiliser_SourceData.Fertiliser_Products_Data1(),FertiliserProducts[[#Headers],[Include or Exclude]], 0,4)</f>
        <v/>
      </c>
      <c r="P153" s="62" t="str" cm="1">
        <f t="array" ref="P153">Common_InputFunctions.Utility_DisplayArrayInTable(Fertiliser_SourceData.Fertiliser_Products_Data1(),FertiliserProducts[[#Headers],[Include or Exclude]], 0,4)</f>
        <v/>
      </c>
      <c r="Q153" s="62" t="str" cm="1">
        <f t="array" ref="Q153">Common_InputFunctions.Utility_DisplayArrayInTable(Fertiliser_SourceData.Fertiliser_Products_Data1(),FertiliserProducts[[#Headers],[Include or Exclude]], 0,4)</f>
        <v/>
      </c>
      <c r="R153" s="62" t="str" cm="1">
        <f t="array" ref="R153">Common_InputFunctions.Utility_DisplayArrayInTable(Fertiliser_SourceData.Fertiliser_Products_Data1(),FertiliserProducts[[#Headers],[Include or Exclude]], 0,4)</f>
        <v/>
      </c>
      <c r="S153" s="62" t="str" cm="1">
        <f t="array" ref="S153">Common_InputFunctions.Utility_DisplayArrayInTable(Fertiliser_SourceData.Fertiliser_Products_Data1(),FertiliserProducts[[#Headers],[Include or Exclude]], 0,4)</f>
        <v/>
      </c>
      <c r="T153" s="62" t="str" cm="1">
        <f t="array" ref="T153">Common_InputFunctions.Utility_DisplayArrayInTable(Fertiliser_SourceData.Fertiliser_Products_Data1(),FertiliserProducts[[#Headers],[Include or Exclude]], 0,4)</f>
        <v/>
      </c>
      <c r="U153" s="62" t="str" cm="1">
        <f t="array" ref="U153">Common_InputFunctions.Utility_DisplayArrayInTable(Fertiliser_SourceData.Fertiliser_Products_Data1(),FertiliserProducts[[#Headers],[Include or Exclude]], 0,4)</f>
        <v/>
      </c>
      <c r="V153" s="62" t="str" cm="1">
        <f t="array" ref="V153">Common_InputFunctions.Utility_DisplayArrayInTable(Fertiliser_SourceData.Fertiliser_Products_Data1(),FertiliserProducts[[#Headers],[Include or Exclude]], 0,4)</f>
        <v/>
      </c>
      <c r="W153" s="62" t="str" cm="1">
        <f t="array" ref="W153">Common_InputFunctions.Utility_DisplayArrayInTable(Fertiliser_SourceData.Fertiliser_Products_Data1(),FertiliserProducts[[#Headers],[Include or Exclude]], 0,4)</f>
        <v/>
      </c>
      <c r="X153" s="62" t="str" cm="1">
        <f t="array" ref="X153">Common_InputFunctions.Utility_DisplayArrayInTable(Fertiliser_SourceData.Fertiliser_Products_Data1(),FertiliserProducts[[#Headers],[Include or Exclude]], 0,4)</f>
        <v/>
      </c>
      <c r="Y153" s="62" t="str" cm="1">
        <f t="array" ref="Y153">Common_InputFunctions.Utility_DisplayArrayInTable(Fertiliser_SourceData.Fertiliser_Products_Data1(),FertiliserProducts[[#Headers],[Include or Exclude]], 0,4)</f>
        <v/>
      </c>
      <c r="Z153" s="62" t="str" cm="1">
        <f t="array" ref="Z153">Common_InputFunctions.Utility_DisplayArrayInTable(Fertiliser_SourceData.Fertiliser_Products_Data1(),FertiliserProducts[[#Headers],[Include or Exclude]], 0,4)</f>
        <v/>
      </c>
      <c r="AA153" s="62" t="str" cm="1">
        <f t="array" ref="AA153">Common_InputFunctions.Utility_DisplayArrayInTable(Fertiliser_SourceData.Fertiliser_Products_Data1(),FertiliserProducts[[#Headers],[Include or Exclude]], 0,4)</f>
        <v/>
      </c>
      <c r="AB153" s="62" t="str" cm="1">
        <f t="array" ref="AB153">Common_InputFunctions.Utility_DisplayArrayInTable(Fertiliser_SourceData.Fertiliser_Products_Data1(),FertiliserProducts[[#Headers],[Include or Exclude]], 0,4)</f>
        <v/>
      </c>
      <c r="AC153" s="62" t="str" cm="1">
        <f t="array" ref="AC153">Common_InputFunctions.Utility_DisplayArrayInTable(Fertiliser_SourceData.Fertiliser_Products_Data1(),FertiliserProducts[[#Headers],[Include or Exclude]], 0,4)</f>
        <v/>
      </c>
      <c r="AD153" s="62" t="str" cm="1">
        <f t="array" ref="AD153">Common_InputFunctions.Utility_DisplayArrayInTable(Fertiliser_SourceData.Fertiliser_Products_Data1(),FertiliserProducts[[#Headers],[Include or Exclude]], 0,4)</f>
        <v/>
      </c>
      <c r="AE153" s="62" t="str" cm="1">
        <f t="array" ref="AE153">Common_InputFunctions.Utility_DisplayArrayInTable(Fertiliser_SourceData.Fertiliser_Products_Data1(),FertiliserProducts[[#Headers],[Include or Exclude]], 0,4)</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C984F-8E40-42E0-887E-6E1963995749}">
  <dimension ref="A1:AI165"/>
  <sheetViews>
    <sheetView showGridLines="0" topLeftCell="A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224</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225</v>
      </c>
      <c r="E9" s="25" t="s">
        <v>226</v>
      </c>
      <c r="F9" s="25" t="s">
        <v>227</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Farm Inputs'!A1", "Farm Inputs")</f>
        <v>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Livestock purchases'!A1", "Livestock purchases")</f>
        <v>Livestock purchases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Freight'!A1", "Freight")</f>
        <v>Freight</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Solid waste'!A1", "Solid waste")</f>
        <v>Solid waste</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Manure sent off-site'!A1", "Manure sent off-site")</f>
        <v>Manure sent off-site</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Electricity'!A1", "Electricity")</f>
        <v>Electricity</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21" t="s">
        <v>77</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c r="D21" s="9" t="str" cm="1">
        <f t="array" ref="D21">Electricity_SourceData.Electricity_Scope2Scope3MarketBased_Title()</f>
        <v>Electricity scope 2 and scope 3 market-based emission factors</v>
      </c>
    </row>
    <row r="22" spans="1:8" ht="20.100000000000001" customHeight="1" x14ac:dyDescent="0.25">
      <c r="A22" s="16" t="str">
        <f>HYPERLINK("#'Calcs - Manure sent off-site'!A1", "Calcs - Manure sent off-site")</f>
        <v>Calcs - Manure sent off-site</v>
      </c>
      <c r="D22" s="11" t="str" cm="1">
        <f t="array" ref="D22">Electricity_SourceData.Electricity_Scope2Scope3MarketBased_Source()</f>
        <v>Australian National Greenhouse Accounts Factors 2025 - Table 2a</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62" t="s">
        <v>225</v>
      </c>
      <c r="E24" s="62" t="s">
        <v>228</v>
      </c>
      <c r="F24" s="62" t="s">
        <v>229</v>
      </c>
      <c r="G24" s="62" t="s">
        <v>230</v>
      </c>
      <c r="H24" s="62" t="s">
        <v>231</v>
      </c>
    </row>
    <row r="25" spans="1:8" ht="20.100000000000001" customHeight="1" x14ac:dyDescent="0.25">
      <c r="A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row>
    <row r="27" spans="1:8" ht="20.100000000000001" customHeight="1" x14ac:dyDescent="0.25">
      <c r="A27" s="229" t="s">
        <v>78</v>
      </c>
    </row>
    <row r="28" spans="1:8" ht="20.100000000000001" customHeight="1" x14ac:dyDescent="0.25">
      <c r="A28" s="16" t="str">
        <f>HYPERLINK("#'Constants - Scope 3'!A1", "Constants - Scope 3")</f>
        <v>Constants - Scope 3</v>
      </c>
    </row>
    <row r="29" spans="1:8" ht="20.100000000000001" customHeight="1" x14ac:dyDescent="0.25">
      <c r="A29" s="16" t="str">
        <f>HYPERLINK("#'Constants - Solid Waste'!A1", "Constants - Solid Waste")</f>
        <v>Constants - Solid Waste</v>
      </c>
    </row>
    <row r="30" spans="1:8" ht="20.100000000000001" customHeight="1" x14ac:dyDescent="0.25">
      <c r="A30" s="16" t="str">
        <f>HYPERLINK("#'Constants - Fuel'!A1", "Constants - Fuel")</f>
        <v>Constants - Fuel</v>
      </c>
    </row>
    <row r="31" spans="1:8" ht="20.100000000000001" customHeight="1" x14ac:dyDescent="0.25">
      <c r="A31" s="16" t="str">
        <f>HYPERLINK("#'Constants - Poultry'!A1", "Constants - Poultry")</f>
        <v>Constants - Poultry</v>
      </c>
    </row>
    <row r="32" spans="1:8"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23"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CE228-427F-4E7E-95CB-69E1B9A5D4DA}">
  <dimension ref="A1:BY259"/>
  <sheetViews>
    <sheetView showGridLines="0" tabSelected="1" topLeftCell="A86" zoomScaleNormal="100" workbookViewId="0">
      <selection activeCell="A37" sqref="A37"/>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37" t="e" vm="1">
        <v>#VALUE!</v>
      </c>
      <c r="C1" s="1" t="s">
        <v>0</v>
      </c>
    </row>
    <row r="2" spans="1:65" s="2" customFormat="1" ht="20.100000000000001" customHeight="1" x14ac:dyDescent="0.25">
      <c r="A2"/>
    </row>
    <row r="3" spans="1:6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6"/>
      <c r="W3" s="6"/>
    </row>
    <row r="4" spans="1:65" ht="20.100000000000001" customHeight="1" x14ac:dyDescent="0.25">
      <c r="A4" s="16" t="str">
        <f>HYPERLINK("#'Results'!A1", "Results")</f>
        <v>Results</v>
      </c>
      <c r="BM4" s="7"/>
    </row>
    <row r="5" spans="1:65" ht="20.100000000000001" customHeight="1" x14ac:dyDescent="0.25">
      <c r="A5"/>
      <c r="D5" s="9" t="str" cm="1">
        <f t="array" ref="D5">Common_SourceData.Common_SourceData_AustralianStatesTerritories_Title()</f>
        <v>Australian states and territories</v>
      </c>
      <c r="BM5" s="7"/>
    </row>
    <row r="6" spans="1:65" ht="20.100000000000001" customHeight="1" x14ac:dyDescent="0.25">
      <c r="A6"/>
      <c r="D6" s="10" t="s">
        <v>1</v>
      </c>
      <c r="E6" s="10" t="s">
        <v>2</v>
      </c>
      <c r="F6" s="10" t="s">
        <v>3</v>
      </c>
    </row>
    <row r="7" spans="1:65" ht="20.100000000000001" customHeight="1" x14ac:dyDescent="0.25">
      <c r="A7" s="19" t="s">
        <v>67</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HYPERLINK("#'Input - Site'!A1", "Site")</f>
        <v>Site</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16" t="str">
        <f>HYPERLINK("#'Input - Fuel'!A1", "Fuel")</f>
        <v>Fuel</v>
      </c>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16" t="str">
        <f>HYPERLINK("#'Input - Fertiliser'!A1", "Fertiliser")</f>
        <v>Fertiliser</v>
      </c>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16" t="str">
        <f>HYPERLINK("#'Input - Farm Inputs'!A1", "Farm Inputs")</f>
        <v>Farm Inputs</v>
      </c>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16" t="str">
        <f>HYPERLINK("#'Input - Livestock purchases'!A1", "Livestock purchases")</f>
        <v>Livestock purchases</v>
      </c>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16" t="str">
        <f>HYPERLINK("#'Input - Freight'!A1", "Freight")</f>
        <v>Freight</v>
      </c>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16" t="str">
        <f>HYPERLINK("#'Input - Solid waste'!A1", "Solid waste")</f>
        <v>Solid waste</v>
      </c>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16" t="str">
        <f>HYPERLINK("#'Input - Manure sent off-site'!A1", "Manure sent off-site")</f>
        <v>Manure sent off-site</v>
      </c>
    </row>
    <row r="16" spans="1:65" ht="20.100000000000001" customHeight="1" x14ac:dyDescent="0.25">
      <c r="A16" s="16" t="str">
        <f>HYPERLINK("#'Input - Electricity'!A1", "Electricity")</f>
        <v>Electricity</v>
      </c>
    </row>
    <row r="17" spans="1:4" ht="20.100000000000001" customHeight="1" x14ac:dyDescent="0.25">
      <c r="A17"/>
    </row>
    <row r="18" spans="1:4" ht="20.100000000000001" customHeight="1" x14ac:dyDescent="0.25">
      <c r="A18"/>
      <c r="D18" s="9" t="str" cm="1">
        <f t="array" ref="D18">Common_SourceData.Common_SourceData_WASA4Areas_Title()</f>
        <v>ABS Statistcal Areas Level 4 - Western Australia</v>
      </c>
    </row>
    <row r="19" spans="1:4" ht="20.100000000000001" customHeight="1" x14ac:dyDescent="0.25">
      <c r="A19" s="21" t="s">
        <v>77</v>
      </c>
      <c r="D19" s="11" t="str" cm="1">
        <f t="array" ref="D19">Common_SourceData.Common_SourceData_WASA4Areas_Source()</f>
        <v>Australian Bureau of Statistics (ABS) - Statistical Areas Level 2 - 2021 - Shapefile</v>
      </c>
    </row>
    <row r="20" spans="1:4" ht="20.100000000000001" customHeight="1" x14ac:dyDescent="0.25">
      <c r="A20" s="16" t="str">
        <f>HYPERLINK("#'15 Scope 3'!A1", "15 Scope 3")</f>
        <v>15 Scope 3</v>
      </c>
      <c r="D20" s="10" t="s">
        <v>4</v>
      </c>
    </row>
    <row r="21" spans="1:4" ht="20.100000000000001" customHeight="1" x14ac:dyDescent="0.25">
      <c r="A21" s="16" t="str">
        <f>HYPERLINK("#'10.1.1-2 Solid waste treatment'!A1", "10.1.1-2 Solid waste treatment")</f>
        <v>10.1.1-2 Solid waste treatment</v>
      </c>
      <c r="D21" s="10" t="str" cm="1">
        <f t="array" ref="D21">Common_InputFunctions.Utility_DisplayArrayInTable(Common_SourceData.Common_SourceData_WASA4Areas_Data(), Table_WASA4Areas[[#Headers],[SA 4 Name]], 0)</f>
        <v>Bunbury</v>
      </c>
    </row>
    <row r="22" spans="1:4" ht="20.100000000000001" customHeight="1" x14ac:dyDescent="0.25">
      <c r="A22" s="16" t="str">
        <f>HYPERLINK("#'Calcs - Manure sent off-site'!A1", "Calcs - Manure sent off-site")</f>
        <v>Calcs - Manure sent off-site</v>
      </c>
      <c r="D22" s="10" t="str" cm="1">
        <f t="array" ref="D22">Common_InputFunctions.Utility_DisplayArrayInTable(Common_SourceData.Common_SourceData_WASA4Areas_Data(), Table_WASA4Areas[[#Headers],[SA 4 Name]], 0)</f>
        <v>Mandurah</v>
      </c>
    </row>
    <row r="23" spans="1:4" ht="20.100000000000001" customHeight="1" x14ac:dyDescent="0.25">
      <c r="A23" s="16" t="str">
        <f>HYPERLINK("#'8.1.1.1-2 Transport fuel'!A1", "8.1.1.1-2 Transport fuel")</f>
        <v>8.1.1.1-2 Transport fuel</v>
      </c>
      <c r="D23" s="10" t="str" cm="1">
        <f t="array" ref="D23">Common_InputFunctions.Utility_DisplayArrayInTable(Common_SourceData.Common_SourceData_WASA4Areas_Data(), Table_WASA4Areas[[#Headers],[SA 4 Name]], 0)</f>
        <v>Perth - Inner</v>
      </c>
    </row>
    <row r="24" spans="1:4" ht="20.100000000000001" customHeight="1" x14ac:dyDescent="0.25">
      <c r="A24" s="16" t="str">
        <f>HYPERLINK("#'8.2.1.1-2 Stationary fuel'!A1", "8.2.1.1-2 Stationary fuel")</f>
        <v>8.2.1.1-2 Stationary fuel</v>
      </c>
      <c r="D24" s="10" t="str" cm="1">
        <f t="array" ref="D24">Common_InputFunctions.Utility_DisplayArrayInTable(Common_SourceData.Common_SourceData_WASA4Areas_Data(), Table_WASA4Areas[[#Headers],[SA 4 Name]], 0)</f>
        <v>Perth - North East</v>
      </c>
    </row>
    <row r="25" spans="1:4" ht="20.100000000000001" customHeight="1" x14ac:dyDescent="0.25">
      <c r="A25"/>
      <c r="D25" s="10" t="str" cm="1">
        <f t="array" ref="D25">Common_InputFunctions.Utility_DisplayArrayInTable(Common_SourceData.Common_SourceData_WASA4Areas_Data(), Table_WASA4Areas[[#Headers],[SA 4 Name]], 0)</f>
        <v>Perth - North West</v>
      </c>
    </row>
    <row r="26" spans="1:4" ht="20.100000000000001" customHeight="1" x14ac:dyDescent="0.25">
      <c r="A26"/>
      <c r="D26" s="10" t="str" cm="1">
        <f t="array" ref="D26">Common_InputFunctions.Utility_DisplayArrayInTable(Common_SourceData.Common_SourceData_WASA4Areas_Data(), Table_WASA4Areas[[#Headers],[SA 4 Name]], 0)</f>
        <v>Perth - South East</v>
      </c>
    </row>
    <row r="27" spans="1:4" ht="20.100000000000001" customHeight="1" x14ac:dyDescent="0.25">
      <c r="A27" s="229" t="s">
        <v>78</v>
      </c>
      <c r="D27" s="10" t="str" cm="1">
        <f t="array" ref="D27">Common_InputFunctions.Utility_DisplayArrayInTable(Common_SourceData.Common_SourceData_WASA4Areas_Data(), Table_WASA4Areas[[#Headers],[SA 4 Name]], 0)</f>
        <v>Perth - South West</v>
      </c>
    </row>
    <row r="28" spans="1:4" ht="20.100000000000001" customHeight="1" x14ac:dyDescent="0.25">
      <c r="A28" s="16" t="str">
        <f>HYPERLINK("#'Constants - Scope 3'!A1", "Constants - Scope 3")</f>
        <v>Constants - Scope 3</v>
      </c>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16" t="str">
        <f>HYPERLINK("#'Constants - Solid Waste'!A1", "Constants - Solid Waste")</f>
        <v>Constants - Solid Waste</v>
      </c>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16" t="str">
        <f>HYPERLINK("#'Constants - Fuel'!A1", "Constants - Fuel")</f>
        <v>Constants - Fuel</v>
      </c>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16" t="str">
        <f>HYPERLINK("#'Constants - Poultry'!A1", "Constants - Poultry")</f>
        <v>Constants - Poultry</v>
      </c>
    </row>
    <row r="32" spans="1:4" ht="20.100000000000001" customHeight="1" x14ac:dyDescent="0.25">
      <c r="A32" s="16" t="str">
        <f>HYPERLINK("#'Constants - Swine'!A1", "Constants - Swine")</f>
        <v>Constants - Swine</v>
      </c>
    </row>
    <row r="33" spans="1:8" ht="20.100000000000001" customHeight="1" x14ac:dyDescent="0.25">
      <c r="A33" s="16" t="str">
        <f>HYPERLINK("#'Constants - Dairy'!A1", "Constants - Dairy")</f>
        <v>Constants - Dairy</v>
      </c>
    </row>
    <row r="34" spans="1:8" ht="20.100000000000001" customHeight="1" x14ac:dyDescent="0.25">
      <c r="A34" s="16" t="str">
        <f>HYPERLINK("#'Constants - Pasture Beef'!A1", "Constants - Pasture Beef")</f>
        <v>Constants - Pasture Beef</v>
      </c>
      <c r="D34" s="9" t="str" cm="1">
        <f t="array" ref="D34">Common_SourceData.Common_SourceData_GWP_Title()</f>
        <v>Global warming potential for greenhouse gases</v>
      </c>
    </row>
    <row r="35" spans="1:8" ht="20.100000000000001" customHeight="1" x14ac:dyDescent="0.25">
      <c r="A35" s="16" t="str">
        <f>HYPERLINK("#'Constants - Common Livestock'!A1", "Constants - Common Livestock")</f>
        <v>Constants - Common Livestock</v>
      </c>
      <c r="D35" s="11" t="str" cm="1">
        <f t="array" ref="D35">Common_SourceData.Common_SourceData_GWP_Source()</f>
        <v>XXXXXXX</v>
      </c>
    </row>
    <row r="36" spans="1:8" ht="20.100000000000001" customHeight="1" x14ac:dyDescent="0.25">
      <c r="A36" s="16" t="str">
        <f>HYPERLINK("#'Constants - Fertiliser'!A1", "Constants - Fertiliser")</f>
        <v>Constants - Fertiliser</v>
      </c>
      <c r="D36" s="10" t="s">
        <v>5</v>
      </c>
      <c r="E36" s="10" t="s">
        <v>6</v>
      </c>
    </row>
    <row r="37" spans="1:8" ht="20.100000000000001" customHeight="1" x14ac:dyDescent="0.25">
      <c r="A37" s="16" t="str">
        <f>HYPERLINK("#'Constants - Electricity'!A1", "Constants - Electricity")</f>
        <v>Constants - Electricity</v>
      </c>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23" t="str">
        <f>HYPERLINK("#'Constants - Common'!A1", "Constants - Common")</f>
        <v>Constants - Common</v>
      </c>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9" t="str" cm="1">
        <f t="array" ref="D45">Common_SourceData.Common_SourceData_ConvertGasElementalToMolecular_Title()</f>
        <v>Factor to convert elemental mass of gas to molecular mass</v>
      </c>
    </row>
    <row r="46" spans="1:8" ht="20.100000000000001" customHeight="1" x14ac:dyDescent="0.25">
      <c r="A46"/>
      <c r="D46" s="11" t="str" cm="1">
        <f t="array" ref="D46">Common_SourceData.Common_SourceData_ConvertGasElementalToMolecular_Source()</f>
        <v>XXXXXXX</v>
      </c>
    </row>
    <row r="47" spans="1:8" ht="20.100000000000001" customHeight="1" x14ac:dyDescent="0.25">
      <c r="A47"/>
      <c r="D47" s="10" t="s">
        <v>5</v>
      </c>
      <c r="E47" s="10" t="s">
        <v>7</v>
      </c>
      <c r="F47" s="10" t="s">
        <v>8</v>
      </c>
      <c r="G47" s="10" t="s">
        <v>9</v>
      </c>
      <c r="H47" s="10" t="s">
        <v>10</v>
      </c>
    </row>
    <row r="48" spans="1:8" ht="20.100000000000001" customHeight="1" x14ac:dyDescent="0.25">
      <c r="A48"/>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9" t="str" cm="1">
        <f t="array" ref="D57">Common_SourceData.Common_SourceData_WetAndDryZones_Title()</f>
        <v>VEERG Australian wet and dry zones</v>
      </c>
    </row>
    <row r="58" spans="1:8" ht="20.100000000000001" customHeight="1" x14ac:dyDescent="0.25">
      <c r="A58"/>
      <c r="D58" s="11" t="str" cm="1">
        <f t="array" ref="D58">Common_SourceData.Common_SourceData_WetAndDryZones_Source()</f>
        <v>VEERG 2026: Table 1.2: Translating climate zones to wet and dry zones</v>
      </c>
    </row>
    <row r="59" spans="1:8" ht="20.100000000000001" customHeight="1" x14ac:dyDescent="0.25">
      <c r="A59"/>
      <c r="D59" s="12" t="str" cm="1">
        <f t="array" ref="D59:D61">"⚠️" &amp; Common_SourceData.Common_SourceData_WetAndDryZones_Variation()</f>
        <v>⚠️VARIATION OF SOURCE DATA:</v>
      </c>
    </row>
    <row r="60" spans="1:8" ht="20.100000000000001" customHeight="1" x14ac:dyDescent="0.25">
      <c r="A60"/>
      <c r="D60" s="12" t="str">
        <v>⚠️Added warm / cool temperate moist / dry - low frost and high temp classes to accommodate climate scenarios excluded by VEERG criteria.</v>
      </c>
    </row>
    <row r="61" spans="1:8" ht="20.100000000000001" customHeight="1" x14ac:dyDescent="0.25">
      <c r="A61"/>
      <c r="D61" s="12" t="str">
        <v>⚠️Fixed typo - Changed 'Fry' to 'Dry'.</v>
      </c>
    </row>
    <row r="62" spans="1:8" ht="20.100000000000001" customHeight="1" x14ac:dyDescent="0.25">
      <c r="A62"/>
    </row>
    <row r="63" spans="1:8" ht="20.100000000000001" customHeight="1" x14ac:dyDescent="0.25">
      <c r="A63"/>
      <c r="D63" s="10" t="s">
        <v>11</v>
      </c>
      <c r="E63" s="10" t="s">
        <v>12</v>
      </c>
    </row>
    <row r="64" spans="1:8" ht="20.100000000000001" customHeight="1" x14ac:dyDescent="0.25">
      <c r="A64"/>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9" t="str" cm="1">
        <f t="array" ref="D81">Common_SourceData.Common_SourceData_ClimateZones_Title()</f>
        <v>VEERG Australian climate zones</v>
      </c>
    </row>
    <row r="82" spans="1:20" ht="20.100000000000001" customHeight="1" x14ac:dyDescent="0.25">
      <c r="A82"/>
      <c r="D82" s="11" t="str" cm="1">
        <f t="array" ref="D82">Common_SourceData.Common_SourceData_ClimateZones_Source()</f>
        <v>VEERG 2026: Table 1.3: Climate and Rainfall zone classifications and definitions</v>
      </c>
    </row>
    <row r="83" spans="1:20" ht="20.100000000000001" customHeight="1" x14ac:dyDescent="0.25">
      <c r="A83"/>
      <c r="D83" s="12" t="str" cm="1">
        <f t="array" ref="D83:D87">"⚠️" &amp; Common_SourceData.Common_SourceData_ClimateZones_Variation()</f>
        <v>⚠️VARIATION OF SOURCE DATA:</v>
      </c>
    </row>
    <row r="84" spans="1:20" ht="20.100000000000001" customHeight="1" x14ac:dyDescent="0.25">
      <c r="A84"/>
      <c r="D84" s="12" t="str">
        <v>⚠️Added warm / cool temperate moist / dry - low frost and high temp classes to accommodate climate scenarios excluded by VEERG criteria.</v>
      </c>
    </row>
    <row r="85" spans="1:20" ht="20.100000000000001" customHeight="1" x14ac:dyDescent="0.25">
      <c r="A85"/>
      <c r="D85" s="12" t="str">
        <v>⚠️Fixed typo in MAT value for warm temperate dry - changed 10 to 11.</v>
      </c>
    </row>
    <row r="86" spans="1:20" ht="20.100000000000001" customHeight="1" x14ac:dyDescent="0.25">
      <c r="A86"/>
      <c r="D86" s="12" t="str">
        <v>⚠️Added min and max columns for MAT, MAP, frost days per year, elevation, MAP:PET to calculate zones from real climate data.</v>
      </c>
    </row>
    <row r="87" spans="1:20" ht="20.100000000000001" customHeight="1" x14ac:dyDescent="0.25">
      <c r="A87"/>
      <c r="D87" s="12" t="str">
        <v>⚠️GAF accepts rainfall as a proxy for precipitation.</v>
      </c>
    </row>
    <row r="88" spans="1:20" ht="20.100000000000001" customHeight="1" x14ac:dyDescent="0.25">
      <c r="A88"/>
    </row>
    <row r="89" spans="1:20" ht="20.100000000000001" customHeight="1" x14ac:dyDescent="0.25">
      <c r="A89"/>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row>
    <row r="99" spans="1:20" ht="20.100000000000001" customHeight="1" x14ac:dyDescent="0.25">
      <c r="A99"/>
      <c r="D99" s="13" t="str" cm="1">
        <f t="array" ref="D99:D102">Common_SourceData.Common_SourceData_ClimateZones_Appendices()</f>
        <v>Note:</v>
      </c>
    </row>
    <row r="100" spans="1:20" ht="20.100000000000001" customHeight="1" x14ac:dyDescent="0.25">
      <c r="A100"/>
      <c r="D100" s="13" t="str">
        <v>MAT = mean annual temperature</v>
      </c>
    </row>
    <row r="101" spans="1:20" ht="20.100000000000001" customHeight="1" x14ac:dyDescent="0.25">
      <c r="A101"/>
      <c r="D101" s="13" t="str">
        <v>MAP = mean annual precipitation</v>
      </c>
    </row>
    <row r="102" spans="1:20" ht="20.100000000000001" customHeight="1" x14ac:dyDescent="0.25">
      <c r="A102"/>
      <c r="D102" s="13" t="str">
        <v>PET = potential evapotranspiration</v>
      </c>
    </row>
    <row r="103" spans="1:20" ht="20.100000000000001" customHeight="1" x14ac:dyDescent="0.25">
      <c r="A103"/>
      <c r="D103" s="13"/>
    </row>
    <row r="104" spans="1:20" ht="20.100000000000001" customHeight="1" x14ac:dyDescent="0.25">
      <c r="A104"/>
    </row>
    <row r="105" spans="1:20" ht="20.100000000000001" customHeight="1" x14ac:dyDescent="0.25">
      <c r="A105"/>
      <c r="D105" s="9" t="str" cm="1">
        <f t="array" ref="D105">Common_SourceData.Common_SourceData_TemperatureZones_Title()</f>
        <v>VEERG Australian temperature zones</v>
      </c>
    </row>
    <row r="106" spans="1:20" ht="20.100000000000001" customHeight="1" x14ac:dyDescent="0.25">
      <c r="A106"/>
      <c r="D106" s="11" t="str" cm="1">
        <f t="array" ref="D106">Common_SourceData.Common_SourceData_TemperatureZones_Source()</f>
        <v>VEERG 2026: Table 1.3: Climate and Rainfall zone classifications and definitions</v>
      </c>
    </row>
    <row r="107" spans="1:20" ht="20.100000000000001" customHeight="1" x14ac:dyDescent="0.25">
      <c r="A107"/>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0" t="s">
        <v>28</v>
      </c>
      <c r="E109" s="10" t="s">
        <v>13</v>
      </c>
      <c r="F109" s="10" t="s">
        <v>29</v>
      </c>
      <c r="G109" s="10" t="s">
        <v>30</v>
      </c>
    </row>
    <row r="110" spans="1:20" ht="20.100000000000001" customHeight="1" x14ac:dyDescent="0.25">
      <c r="A110"/>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9" t="str" cm="1">
        <f t="array" ref="D115">Common_SourceData.Common_SourceData_RainfallZones_Title()</f>
        <v>VEERG Australian rainfall zones</v>
      </c>
      <c r="BN115" s="4"/>
    </row>
    <row r="116" spans="1:66" ht="20.100000000000001" customHeight="1" x14ac:dyDescent="0.25">
      <c r="A116"/>
      <c r="D116" s="11" t="str" cm="1">
        <f t="array" ref="D116">Common_SourceData.Common_SourceData_RainfallZones_Source()</f>
        <v>VEERG 2026: Table 1.3: Climate and Rainfall zone classifications and definitions</v>
      </c>
      <c r="BN116" s="4"/>
    </row>
    <row r="117" spans="1:66" ht="20.100000000000001" customHeight="1" x14ac:dyDescent="0.25">
      <c r="A117"/>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c r="BN118" s="4"/>
    </row>
    <row r="119" spans="1:66" ht="20.100000000000001" customHeight="1" x14ac:dyDescent="0.25">
      <c r="A119"/>
      <c r="D119" s="10" t="s">
        <v>31</v>
      </c>
      <c r="E119" s="10" t="s">
        <v>32</v>
      </c>
      <c r="F119" s="10" t="s">
        <v>20</v>
      </c>
      <c r="G119" s="10" t="s">
        <v>21</v>
      </c>
      <c r="BN119" s="4"/>
    </row>
    <row r="120" spans="1:66" ht="20.100000000000001" customHeight="1" x14ac:dyDescent="0.25">
      <c r="A120"/>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c r="BN122" s="4"/>
    </row>
    <row r="123" spans="1:66" ht="20.100000000000001" customHeight="1" x14ac:dyDescent="0.25">
      <c r="A123"/>
    </row>
    <row r="124" spans="1:66" ht="20.100000000000001" customHeight="1" x14ac:dyDescent="0.25">
      <c r="A124"/>
      <c r="D124" s="9" t="str" cm="1">
        <f t="array" ref="D124">Common_SourceData.Common_SourceData_LeachingZones_Title()</f>
        <v>VEERG Australian leaching zones</v>
      </c>
    </row>
    <row r="125" spans="1:66" ht="20.100000000000001" customHeight="1" x14ac:dyDescent="0.25">
      <c r="A125"/>
      <c r="D125" s="11"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0" t="s">
        <v>33</v>
      </c>
      <c r="E127" s="10" t="s">
        <v>34</v>
      </c>
    </row>
    <row r="128" spans="1:66" ht="20.100000000000001" customHeight="1" x14ac:dyDescent="0.25">
      <c r="A128"/>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9" t="str" cm="1">
        <f t="array" ref="D132">Common_SourceData.Common_SourceData_FracWET_Title()</f>
        <v>Fraction of N that is available for leaching and runoff</v>
      </c>
      <c r="E132" s="14"/>
    </row>
    <row r="133" spans="1:77" ht="20.100000000000001" customHeight="1" x14ac:dyDescent="0.25">
      <c r="A133"/>
      <c r="D133" s="11" t="str" cm="1">
        <f t="array" ref="D133">Common_SourceData.Common_SourceData_FracWET_Source()</f>
        <v>VEERG 2026:5.5.2.3 Constant Parameters</v>
      </c>
      <c r="E133" s="14"/>
    </row>
    <row r="134" spans="1:77" ht="20.100000000000001" customHeight="1" x14ac:dyDescent="0.25">
      <c r="A134"/>
      <c r="D134" s="3" t="s">
        <v>35</v>
      </c>
      <c r="E134" s="3" t="s">
        <v>36</v>
      </c>
    </row>
    <row r="135" spans="1:77" ht="20.100000000000001" customHeight="1" x14ac:dyDescent="0.25">
      <c r="A13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4"/>
      <c r="BO138" s="4"/>
      <c r="BP138" s="4"/>
      <c r="BQ138" s="4"/>
      <c r="BR138" s="4"/>
      <c r="BS138" s="4"/>
      <c r="BT138" s="4"/>
      <c r="BU138" s="4"/>
      <c r="BV138" s="4"/>
      <c r="BW138" s="4"/>
      <c r="BX138" s="4"/>
      <c r="BY138" s="4"/>
    </row>
    <row r="139" spans="1:77" ht="20.100000000000001" customHeight="1" x14ac:dyDescent="0.25">
      <c r="A139"/>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c r="D142" s="10" t="s">
        <v>37</v>
      </c>
      <c r="E142" s="10" t="s">
        <v>36</v>
      </c>
      <c r="BN142" s="4"/>
    </row>
    <row r="143" spans="1:77" ht="20.100000000000001" customHeight="1" x14ac:dyDescent="0.25">
      <c r="A14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c r="BN148" s="4"/>
    </row>
    <row r="149" spans="1:66" ht="20.100000000000001" customHeight="1" x14ac:dyDescent="0.25">
      <c r="A149"/>
      <c r="BN149" s="4"/>
    </row>
    <row r="150" spans="1:66" ht="20.100000000000001" customHeight="1" x14ac:dyDescent="0.25">
      <c r="A150"/>
      <c r="D150" s="9" t="str" cm="1">
        <f t="array" ref="D150">Common_SourceData.Common_SourceData_DataScores_Scope3_Title()</f>
        <v>Australian data scores for scope 3</v>
      </c>
      <c r="BN150" s="4"/>
    </row>
    <row r="151" spans="1:66" ht="20.100000000000001" customHeight="1" x14ac:dyDescent="0.25">
      <c r="A151"/>
      <c r="D151" s="11" t="str" cm="1">
        <f t="array" ref="D151">Common_SourceData.Common_SourceData_DataScores_Scope3_Source()</f>
        <v>VEERG 2026: XXXXXXXX</v>
      </c>
      <c r="BN151" s="4"/>
    </row>
    <row r="152" spans="1:66" ht="20.100000000000001" customHeight="1" x14ac:dyDescent="0.25">
      <c r="A152"/>
      <c r="BN152" s="4"/>
    </row>
    <row r="153" spans="1:66" ht="20.100000000000001" customHeight="1" x14ac:dyDescent="0.25">
      <c r="A153"/>
      <c r="D153" s="10" t="s">
        <v>38</v>
      </c>
      <c r="E153" s="10" t="s">
        <v>39</v>
      </c>
      <c r="BC153" s="7"/>
      <c r="BD153" s="7"/>
      <c r="BE153" s="7"/>
      <c r="BF153" s="7"/>
      <c r="BG153" s="7"/>
      <c r="BH153" s="7"/>
      <c r="BI153" s="7"/>
      <c r="BJ153" s="7"/>
      <c r="BK153" s="7"/>
      <c r="BL153" s="7"/>
      <c r="BM153" s="7"/>
    </row>
    <row r="154" spans="1:66" ht="20.100000000000001" customHeight="1" x14ac:dyDescent="0.25">
      <c r="A154"/>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FYAYQBsAGkAZABMAGkAdgBlAHMAdABvAGMAawBDAGwAYQBzAHM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EUARgBVAHIAZQBhAEMATwAyAF8AVABpAHQAbABlACIALAAiAEYAZQByAHQAaQBsAGkAcwBlAHIAXwBTAG8AdQByAGMAZQBEAGEAdABhAC4ARgBlAHIAdABpAGwAaQBzAGUAcgBfAEUARgBVAHIAZQBhAEMATwAyAF8AUwBvAHUAcgBjAGUAIgAsACIARgBlAHIAdABpAGwAaQBzAGUAcgBfAFMAbwB1AHIAYwBlAEQAYQB0AGEALgBGAGUAcgB0AGkAbABpAHMAZQByAF8ARQBGAFUAcgBlAGEAQwBPADIAXwBWAGEAcgBpAGEAYgBsAGUAIgAsACIARgBlAHIAdABpAGwAaQBzAGUAcgBfAFMAbwB1AHIAYwBlAEQAYQB0AGEALgBGAGUAcgB0AGkAbABpAHMAZQByAF8ARQBGAFUAcgBlAGEAQwBPADIAXwBVAG4AaQB0ACIALAAiAEYAZQByAHQAaQBsAGkAcwBlAHIAXwBTAG8AdQByAGMAZQBEAGEAdABhAC4ARgBlAHIAdABpAGwAaQBzAGUAcgBfAEUARgBVAHIAZQBhAEMATwAyAF8ARABhAHQAYQAiACwAIgBGAGUAcgB0AGkAbABpAHMAZQByAF8AUwBvAHUAcgBjAGUARABhAHQAYQAuAEYAZQByAHQAaQBsAGkAcwBlAHIAXwBFAEYAVQByAGUAYQBDAE8AMgBfAFYAYQByAGkAYQB0AGkAbwBuACIALAAiAEYAZQByAHQAaQBsAGkAcwBlAHIAXwBTAG8AdQByAGMAZQBEAGEAdABhAC4ARgBlAHIAdABpAGwAaQBzAGUAcgBfAEYAcgBhAGMARwBBAFMATQBTAG8AaQBsAF8AVABpAHQAbABlACIALAAiAEYAZQByAHQAaQBsAGkAcwBlAHIAXwBTAG8AdQByAGMAZQBEAGEAdABhAC4ARgBlAHIAdABpAGwAaQBzAGUAcgBfAEYAcgBhAGMARwBBAFMATQBTAG8AaQBsAF8AUwBvAHUAcgBjAGUAIgAsACIARgBlAHIAdABpAGwAaQBzAGUAcgBfAFMAbwB1AHIAYwBlAEQAYQB0AGEALgBGAGUAcgB0AGkAbABpAHMAZQByAF8ARgByAGEAYwBHAEEAUwBNAFMAbwBpAGwAXwBWAGEAcgBpAGEAYgBsAGUAIgAsACIARgBlAHIAdABpAGwAaQBzAGUAcgBfAFMAbwB1AHIAYwBlAEQAYQB0AGEALgBGAGUAcgB0AGkAbABpAHMAZQByAF8ARgByAGEAYwBHAEEAUwBNAFMAbwBpAGwAXwBVAG4AaQB0ACIALAAiAEYAZQByAHQAaQBsAGkAcwBlAHIAXwBTAG8AdQByAGMAZQBEAGEAdABhAC4ARgBlAHIAdABpAGwAaQBzAGUAcgBfAEYAcgBhAGMARwBBAFMATQBTAG8AaQBsAF8ARABhAHQAYQAiACwAIgBGAGUAcgB0AGkAbABpAHMAZQByAF8AUwBvAHUAcgBjAGUARABhAHQAYQAuAEYAZQByAHQAaQBsAGkAcwBlAHIAXwBGAHIAYQBjAEcAQQBTAE0AUwBvAGkAbABfAFYAYQByAGkAYQB0AGkAbwBuACIALAAiAEYAZQByAHQAaQBsAGkAcwBlAHIAXwBTAG8AdQByAGMAZQBEAGEAdABhAC4ARgBlAHIAdABpAGwAaQBzAGUAcgBfAEYAcgBhAGMATABFAEEAQwBIAF8AVABpAHQAbABlACIALAAiAEYAZQByAHQAaQBsAGkAcwBlAHIAXwBTAG8AdQByAGMAZQBEAGEAdABhAC4ARgBlAHIAdABpAGwAaQBzAGUAcgBfAEYAcgBhAGMATABFAEEAQwBIAF8AUwBvAHUAcgBjAGUAIgAsACIARgBlAHIAdABpAGwAaQBzAGUAcgBfAFMAbwB1AHIAYwBlAEQAYQB0AGEALgBGAGUAcgB0AGkAbABpAHMAZQByAF8ARgByAGEAYwBMAEUAQQBDAEgAXwBWAGEAcgBpAGEAYgBsAGUAIgAsACIARgBlAHIAdABpAGwAaQBzAGUAcgBfAFMAbwB1AHIAYwBlAEQAYQB0AGEALgBGAGUAcgB0AGkAbABpAHMAZQByAF8ARgByAGEAYwBMAEUAQQBDAEgAXwBVAG4AaQB0ACIALAAiAEYAZQByAHQAaQBsAGkAcwBlAHIAXwBTAG8AdQByAGMAZQBEAGEAdABhAC4ARgBlAHIAdABpAGwAaQBzAGUAcgBfAEYAcgBhAGMATABFAEEAQwBIAF8ARABhAHQAYQAiACwAIgBGAGUAcgB0AGkAbABpAHMAZQByAF8AUwBvAHUAcgBjAGUARABhAHQAYQAuAEYAZQByAHQAaQBsAGkAcwBlAHIAXwBGAHIAYQBjAEwARQBBAEMASABfAFYAYQByAGkAYQB0AGkAbwBuACIALAAiAEYAZQByAHQAaQBsAGkAcwBlAHIAXwBTAG8AdQByAGMAZQBEAGEAdABhAC4ARgBlAHIAdABpAGwAaQBzAGUAcgBfAEUARgBMAGUAYQBjAGgAXwBUAGkAdABsAGUAIgAsACIARgBlAHIAdABpAGwAaQBzAGUAcgBfAFMAbwB1AHIAYwBlAEQAYQB0AGEALgBGAGUAcgB0AGkAbABpAHMAZQByAF8ARQBGAEwAZQBhAGMAaABfAFMAbwB1AHIAYwBlACIALAAiAEYAZQByAHQAaQBsAGkAcwBlAHIAXwBTAG8AdQByAGMAZQBEAGEAdABhAC4ARgBlAHIAdABpAGwAaQBzAGUAcgBfAEUARgBMAGUAYQBjAGgAXwBWAGEAcgBpAGEAYgBsAGUAIgAsACIARgBlAHIAdABpAGwAaQBzAGUAcgBfAFMAbwB1AHIAYwBlAEQAYQB0AGEALgBGAGUAcgB0AGkAbABpAHMAZQByAF8ARQBGAEwAZQBhAGMAaABfAFUAbgBpAHQAIgAsACIARgBlAHIAdABpAGwAaQBzAGUAcgBfAFMAbwB1AHIAYwBlAEQAYQB0AGEALgBGAGUAcgB0AGkAbABpAHMAZQByAF8ARQBGAEwAZQBhAGMAaABfAEQAYQB0AGEAIgAsACIARgBlAHIAdABpAGwAaQBzAGUAcgBfAFMAbwB1AHIAYwBlAEQAYQB0AGEALgBGAGUAcgB0AGkAbABpAHMAZQByAF8ARQBGAEwAZQBhAGMAaABfAFYAYQByAGkAYQB0AGkAbwBuACIALAAiAEYAZQByAHQAaQBsAGkAcwBlAHIAXwBTAG8AdQByAGMAZQBEAGEAdABhAC4ARgBlAHIAdABpAGwAaQBzAGUAcgBfAEwAaQBtAGUARABvAGwAbwBtAGkAdABlAEcAeQBwAHMAdQBtAEMAbwBuAHMAdABhAG4AdABzAF8AVABpAHQAbABlACIALAAiAEYAZQByAHQAaQBsAGkAcwBlAHIAXwBTAG8AdQByAGMAZQBEAGEAdABhAC4ARgBlAHIAdABpAGwAaQBzAGUAcgBfAEwAaQBtAGUARABvAGwAbwBtAGkAdABlAEcAeQBwAHMAdQBtAEMAbwBuAHMAdABhAG4AdABzAF8ARABlAHMAYwByAGkAcAB0AGkAbwBuACIALAAiAEYAZQByAHQAaQBsAGkAcwBlAHIAXwBTAG8AdQByAGMAZQBEAGEAdABhAC4ARgBlAHIAdABpAGwAaQBzAGUAcgBfAEwAaQBtAGUARABvAGwAbwBtAGkAdABlAEcAeQBwAHMAdQBtAEMAbwBuAHMAdABhAG4AdABzAF8AUwBvAHUAcgBjAGUAIgAsACIARgBlAHIAdABpAGwAaQBzAGUAcgBfAFMAbwB1AHIAYwBlAEQAYQB0AGEALgBGAGUAcgB0AGkAbABpAHMAZQByAF8ATABpAG0AZQBEAG8AbABvAG0AaQB0AGUARwB5AHAAcwB1AG0AQwBvAG4AcwB0AGEAbgB0AHMAXwBEAGEAdABhACIALAAiAEYAZQByAHQAaQBsAGkAcwBlAHIAXwBTAG8AdQByAGMAZQBEAGEAdABhAC4ARgBlAHIAdABpAGwAaQBzAGUAcgBfAEwAaQBtAGUARABvAGwAbwBtAGkAdABlAEcAeQBwAHMAdQBtAEMAbwBuAHMAdABhAG4AdABzAF8AVgBhAHIAaQBhAHQAaQBvAG4AIgAsACIARgBlAHIAdABpAGwAaQBzAGUAcgBfAFMAbwB1AHIAYwBlAEQAYQB0AGEALgBGAGUAcgB0AGkAbABpAHMAZQByAF8ARgByAGEAYwB0AGkAbwBuAE4AQwBvAG0AbQBvAG4ARgBlAHIAdABpAGwAaQBzAGUAcgBzAF8AVABpAHQAbABlACIALAAiAEYAZQByAHQAaQBsAGkAcwBlAHIAXwBTAG8AdQByAGMAZQBEAGEAdABhAC4ARgBlAHIAdABpAGwAaQBzAGUAcgBfAEYAcgBhAGMAdABpAG8AbgBOAEMAbwBtAG0AbwBuAEYAZQByAHQAaQBsAGkAcwBlAHIAcwBfAFMAbwB1AHIAYwBlACIALAAiAEYAZQByAHQAaQBsAGkAcwBlAHIAXwBTAG8AdQByAGMAZQBEAGEAdABhAC4ARgBlAHIAdABpAGwAaQBzAGUAcgBfAEYAcgBhAGMAdABpAG8AbgBOAEMAbwBtAG0AbwBuAEYAZQByAHQAaQBsAGkAcwBlAHIAcwBfAEQAYQB0AGEAIgAsACIARgBlAHIAdABpAGwAaQBzAGUAcgBfAFMAbwB1AHIAYwBlAEQAYQB0AGEALgBGAGUAcgB0AGkAbABpAHMAZQByAF8ARgByAGEAYwB0AGkAbwBuAE4AQwBvAG0AbQBvAG4ARgBlAHIAdABpAGwAaQBzAGUAcgBzAF8AVgBhAHIAaQBhAHQAaQBvAG4AIgAsACIARgBlAHIAdABpAGwAaQBzAGUAcgBfAFMAbwB1AHIAYwBlAEQAYQB0AGEALgBGAGUAcgB0AGkAbABpAHMAZQByAF8ARgByAGEAYwB0AGkAbwBuAFUAcgBlAGEAQwBvAG0AbQBvAG4ARgBlAHIAdABpAGwAaQBzAGUAcgBzAF8AVABpAHQAbABlACIALAAiAEYAZQByAHQAaQBsAGkAcwBlAHIAXwBTAG8AdQByAGMAZQBEAGEAdABhAC4ARgBlAHIAdABpAGwAaQBzAGUAcgBfAEYAcgBhAGMAdABpAG8AbgBVAHIAZQBhAEMAbwBtAG0AbwBuAEYAZQByAHQAaQBsAGkAcwBlAHIAcwBfAFMAbwB1AHIAYwBlACIALAAiAEYAZQByAHQAaQBsAGkAcwBlAHIAXwBTAG8AdQByAGMAZQBEAGEAdABhAC4ARgBlAHIAdABpAGwAaQBzAGUAcgBfAEYAcgBhAGMAdABpAG8AbgBVAHIAZQBhAEMAbwBtAG0AbwBuAEYAZQByAHQAaQBsAGkAcwBlAHIAcwBfAEQAYQB0AGEAIgAsACIARgBlAHIAdABpAGwAaQBzAGUAcgBfAFMAbwB1AHIAYwBlAEQAYQB0AGEALgBGAGUAcgB0AGkAbABpAHMAZQByAF8ARgByAGEAYwB0AGkAbwBuAFUAcgBlAGEAQwBvAG0AbQBvAG4ARgBlAHIAdABpAGwAaQBzAGUAcgBzAF8AVgBhAHIAaQBhAHQAaQBvAG4AIgAsACIARgBlAHIAdABpAGwAaQBzAGUAcgBfAFMAbwB1AHIAYwBlAEQAYQB0AGEALgBGAGUAcgB0AGkAbABpAHMAZQByAF8AVQByAGUAYQBBAG0AbQBvAG4AaQBhAFMAbwB1AHIAYwBlAFIAZQBnAGkAbwBuAHMAXwBUAGkAdABsAGUAIgAsACIARgBlAHIAdABpAGwAaQBzAGUAcgBfAFMAbwB1AHIAYwBlAEQAYQB0AGEALgBGAGUAcgB0AGkAbABpAHMAZQByAF8AVQByAGUAYQBBAG0AbQBvAG4AaQBhAFMAbwB1AHIAYwBlAFIAZQBnAGkAbwBuAHMAXwBTAG8AdQByAGMAZQAiACwAIgBGAGUAcgB0AGkAbABpAHMAZQByAF8AUwBvAHUAcgBjAGUARABhAHQAYQAuAEYAZQByAHQAaQBsAGkAcwBlAHIAXwBVAHIAZQBhAEEAbQBtAG8AbgBpAGEAUwBvAHUAcgBjAGUAUgBlAGcAaQBvAG4AcwBfAEQAYQB0AGEAIgAsACIARgBlAHIAdABpAGwAaQBzAGUAcgBfAFMAbwB1AHIAYwBlAEQAYQB0AGEALgBGAGUAcgB0AGkAbABpAHMAZQByAF8AUAByAG8AZAB1AGMAdABzAF8AVABpAHQAbABl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UAbABlAGMAdAByAGkAYwBpAHQAeQBfAFMAbwB1AHIAYwBlAEQAYQB0AGEALgBFAGwAZQBjAHQAcgBpAGMAaQB0AHkAXwBTAGMAbwBwAGUAMgBTAGMAbwBwAGUAMwBMAG8AYwBhAHQAaQBvAG4AQgBhAHMAZQBkAF8AVABpAHQAbABlACIALAAiAEUAbABlAGMAdAByAGkAYwBpAHQAeQBfAFMAbwB1AHIAYwBlAEQAYQB0AGEALgBFAGwAZQBjAHQAcgBpAGMAaQB0AHkAXwBTAGMAbwBwAGUAMgBMAG8AYwBhAHQAaQBvAG4AQgBhAHMAZQBkAF8ARABlAHMAYwByAGkAcAB0AGkAbwBuACIALAAiAEUAbABlAGMAdAByAGkAYwBpAHQAeQBfAFMAbwB1AHIAYwBlAEQAYQB0AGEALgBFAGwAZQBjAHQAcgBpAGMAaQB0AHkAXwBTAGMAbwBwAGUAMgBTAGMAbwBwAGUAMwBMAG8AYwBhAHQAaQBvAG4AQgBhAHMAZQBkAF8AUwBvAHUAcgBjAGUAIgAsACIARQBsAGUAYwB0AHIAaQBjAGkAdAB5AF8AUwBvAHUAcgBjAGUARABhAHQAYQAuAEUAbABlAGMAdAByAGkAYwBpAHQAeQBfAFMAYwBvAHAAZQAyAFMAYwBvAHAAZQAzAEwAbwBjAGEAdABpAG8AbgBCAGEAcwBlAGQAXwBEAGEAdABhACIALAAiAEUAbABlAGMAdAByAGkAYwBpAHQAeQBfAFMAbwB1AHIAYwBlAEQAYQB0AGEALgBFAGwAZQBjAHQAcgBpAGMAaQB0AHkAXwBTAGMAbwBwAGUAMgBTAGMAbwBwAGUAMwBMAG8AYwBhAHQAaQBvAG4AQgBhAHMAZQBkAF8AVgBhAHIAaQBhAHQAaQBvAG4AIgAsACIARQBsAGUAYwB0AHIAaQBjAGkAdAB5AF8AUwBvAHUAcgBjAGUARABhAHQAYQAuAEUAbABlAGMAdAByAGkAYwBpAHQAeQBfAFMAYwBvAHAAZQAyAFMAYwBvAHAAZQAzAE0AYQByAGsAZQB0AEIAYQBzAGUAZABfAFQAaQB0AGwAZQAiACwAIgBFAGwAZQBjAHQAcgBpAGMAaQB0AHkAXwBTAG8AdQByAGMAZQBEAGEAdABhAC4ARQBsAGUAYwB0AHIAaQBjAGkAdAB5AF8AUwBjAG8AcABlADIATQBhAHIAawBlAHQAQgBhAHMAZQBkAF8ARABlAHMAYwByAGkAcAB0AGkAbwBuACIALAAiAEUAbABlAGMAdAByAGkAYwBpAHQAeQBfAFMAbwB1AHIAYwBlAEQAYQB0AGEALgBFAGwAZQBjAHQAcgBpAGMAaQB0AHkAXwBTAGMAbwBwAGUAMgBTAGMAbwBwAGUAMwBNAGEAcgBrAGUAdABCAGEAcwBlAGQAXwBTAG8AdQByAGMAZQAiACwAIgBFAGwAZQBjAHQAcgBpAGMAaQB0AHkAXwBTAG8AdQByAGMAZQBEAGEAdABhAC4ARQBsAGUAYwB0AHIAaQBjAGkAdAB5AF8AUwBjAG8AcABlADIAUwBjAG8AcABlADMATQBhAHIAawBlAHQAQgBhAHMAZQBkAF8ARABhAHQAYQAiACwAIgBFAGwAZQBjAHQAcgBpAGMAaQB0AHkAXwBTAG8AdQByAGMAZQBEAGEAdABhAC4ARQBsAGUAYwB0AHIAaQBjAGkAdAB5AF8AUwBjAG8AcABlADIAUwBjAG8AcABlADMATQBhAHIAawBlAHQAQgBhAHMAZQBkAF8AVgBhAHIAaQBhAHQAaQBvAG4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FMAYwBvAHAAZQAzAF8ASQBuAHAAdQB0AEYAdQBuAGMAdABpAG8AbgBzAC4ARwBlAHQATABpAHYAZQB3AGUAaQBnAGgAdABfAFAAYQBzAHQAdQByAGUAQgBlAGUAZg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YAZQBlAGQASQBuAHQAYQBrAGUAXwBUAGkAdABsAGUAIgAsACIAUwBvAHUAcgBjAGUARABhAHQAYQBfAFMAdwBpAG4AZQAuAFMAbwB1AHIAYwBlAEQAYQB0AGEAXwBTAHcAaQBuAGUAXwBGAGUAZQBkAEkAbgB0AGEAawBlAF8AVQBuAGkAdAAiACwAIgBTAG8AdQByAGMAZQBEAGEAdABhAF8AUwB3AGkAbgBlAC4AUwBvAHUAcgBjAGUARABhAHQAYQBfAFMAdwBpAG4AZQBfAEYAZQBlAGQASQBuAHQAYQBrAGUAXwBTAG8AdQByAGMAZQAiACwAIgBTAG8AdQByAGMAZQBEAGEAdABhAF8AUwB3AGkAbgBlAC4AUwBvAHUAcgBjAGUARABhAHQAYQBfAFMAdwBpAG4AZQBfAEYAZQBlAGQASQBuAHQAYQBrAGUAXwBWAGEAcgBpAGEAdABpAG8AbgAiACwAIgBTAG8AdQByAGMAZQBEAGEAdABhAF8AUwB3AGkAbgBlAC4AUwBvAHUAcgBjAGUARABhAHQAYQBfAFMAdwBpAG4AZQBfAEYAZQBlAGQASQBuAHQAYQBrAGUAXwBEAGEAdABhACIALAAiAFMAbwB1AHIAYwBlAEQAYQB0AGEAXwBTAHcAaQBuAGUALgBTAG8AdQByAGMAZQBEAGEAdABhAF8AUwB3AGkAbgBlAF8ATgBpAHQAcgBvAGcAZQBuAEkAbgBXAGEAcwB0AGUAXwBUAGkAdABsAGUAIgAsACIAUwBvAHUAcgBjAGUARABhAHQAYQBfAFMAdwBpAG4AZQAuAFMAbwB1AHIAYwBlAEQAYQB0AGEAXwBTAHcAaQBuAGUAXwBOAGkAdAByAG8AZwBlAG4ASQBuAFcAYQBzAHQAZQBfAFUAbgBpAHQAIgAsACIAUwBvAHUAcgBjAGUARABhAHQAYQBfAFMAdwBpAG4AZQAuAFMAbwB1AHIAYwBlAEQAYQB0AGEAXwBTAHcAaQBuAGUAXwBOAGkAdAByAG8AZwBlAG4ASQBuAFcAYQBzAHQAZQBfAFMAbwB1AHIAYwBlACIALAAiAFMAbwB1AHIAYwBlAEQAYQB0AGEAXwBTAHcAaQBuAGUALgBTAG8AdQByAGMAZQBEAGEAdABhAF8AUwB3AGkAbgBlAF8ATgBpAHQAcgBvAGcAZQBuAEkAbgBXAGEAcwB0AGUAXwBWAGEAcgBpAGEAdABpAG8AbgAiACwAIgBTAG8AdQByAGMAZQBEAGEAdABhAF8AUwB3AGkAbgBlAC4AUwBvAHUAcgBjAGUARABhAHQAYQBfAFMAdwBpAG4AZQBfAE4AaQB0AHIAbwBnAGUAbgBJAG4AVwBhAHMAdABlAF8ARABhAHQAYQAiACwAIgBTAG8AdQByAGMAZQBEAGEAdABhAF8AUwB3AGkAbgBlAC4AUwBvAHUAcgBjAGUARABhAHQAYQBfAFMAdwBpAG4AZQBfAEYAcgBhAGMAdABpAG8AbgBOAFYAbwBsAGEAdABpAGwAaQBzAGUAZABfAFQAaQB0AGwAZQAiACwAIgBTAG8AdQByAGMAZQBEAGEAdABhAF8AUwB3AGkAbgBlAC4AUwBvAHUAcgBjAGUARABhAHQAYQBfAFMAdwBpAG4AZQBfAEYAcgBhAGMAdABpAG8AbgBOAFYAbwBsAGEAdABpAGwAaQBzAGUAZABfAFUAbgBpAHQAIgAsACIAUwBvAHUAcgBjAGUARABhAHQAYQBfAFMAdwBpAG4AZQAuAFMAbwB1AHIAYwBlAEQAYQB0AGEAXwBTAHcAaQBuAGUAXwBGAHIAYQBjAHQAaQBvAG4ATgBWAG8AbABhAHQAaQBsAGkAcwBlAGQAXwBTAG8AdQByAGMAZQAiACwAIgBTAG8AdQByAGMAZQBEAGEAdABhAF8AUwB3AGkAbgBlAC4AUwBvAHUAcgBjAGUARABhAHQAYQBfAFMAdwBpAG4AZQBfAEYAcgBhAGMAdABpAG8AbgBOAFYAbwBsAGEAdABpAGwAaQBzAGUAZABfAFYAYQByAGkAYQB0AGkAbwBuACIALAAiAFMAbwB1AHIAYwBlAEQAYQB0AGEAXwBTAHcAaQBuAGUALgBTAG8AdQByAGMAZQBEAGEAdABhAF8AUwB3AGkAbgBlAF8ARgByAGEAYwB0AGkAbwBuAE4AVgBvAGwAYQB0AGkAbABpAHMAZQBkAF8ARABhAHQAYQAiACwAIgBTAG8AdQByAGMAZQBEAGEAdABhAF8AUwB3AGkAbgBlAC4AUwBvAHUAcgBjAGUARABhAHQAYQBfAFMAdwBpAG4AZQBfAE4AaQB0AHIAbwB1AHMATwB4AGkAZABlAEUARgBzAF8AVABpAHQAbABlACIALAAiAFMAbwB1AHIAYwBlAEQAYQB0AGEAXwBTAHcAaQBuAGUALgBTAG8AdQByAGMAZQBEAGEAdABhAF8AUwB3AGkAbgBlAF8ATgBpAHQAcgBvAHUAcwBPAHgAaQBkAGUARQBGAHMAXwBVAG4AaQB0ACIALAAiAFMAbwB1AHIAYwBlAEQAYQB0AGEAXwBTAHcAaQBuAGUALgBTAG8AdQByAGMAZQBEAGEAdABhAF8AUwB3AGkAbgBlAF8ATgBpAHQAcgBvAHUAcwBPAHgAaQBkAGUARQBGAHMAXwBTAG8AdQByAGMAZQAiACwAIgBTAG8AdQByAGMAZQBEAGEAdABhAF8AUwB3AGkAbgBlAC4AUwBvAHUAcgBjAGUARABhAHQAYQBfAFMAdwBpAG4AZQBfAE4AaQB0AHIAbwB1AHMATwB4AGkAZABlAEUARgBzAF8AVgBhAHIAaQBhAHQAaQBvAG4AIgAsACIAUwBvAHUAcgBjAGUARABhAHQAYQBfAFMAdwBpAG4AZQAuAFMAbwB1AHIAYwBlAEQAYQB0AGEAXwBTAHcAaQBuAGUAXwBOAGkAdAByAG8AdQBzAE8AeABpAGQAZQBFAEYAcwBfAEQAYQB0AGEAIgAsACIAUwBvAHUAcgBjAGUARABhAHQAYQBfAFMAdwBpAG4AZQAuAFMAbwB1AHIAYwBlAEQAYQB0AGEAXwBTAHcAaQBuAGUAXwBNAGUAdABoAGEAbgBlAFYAbwBsAGEAdABpAGwAZQBTAG8AbABpAGQAcwBFAG0AaQBzAHMAaQBvAG4AcwBQAG8AdABlAG4AdABpAGEAbABfAFQAaQB0AGwAZQAiACwAIgBTAG8AdQByAGMAZQBEAGEAdABhAF8AUwB3AGkAbgBlAC4AUwBvAHUAcgBjAGUARABhAHQAYQBfAFMAdwBpAG4AZQBfAE0AZQB0AGgAYQBuAGUAVgBvAGwAYQB0AGkAbABlAFMAbwBsAGkAZABzAEUAbQBpAHMAcwBpAG8AbgBzAFAAbwB0AGUAbgB0AGkAYQBsAF8AVgBhAHIAaQBhAGIAbABlACIALAAiAFMAbwB1AHIAYwBlAEQAYQB0AGEAXwBTAHcAaQBuAGUALgBTAG8AdQByAGMAZQBEAGEAdABhAF8AUwB3AGkAbgBlAF8ATQBlAHQAaABhAG4AZQBWAG8AbABhAHQAaQBsAGUAUwBvAGwAaQBkAHMARQBtAGkAcwBzAGkAbwBuAHMAUABvAHQAZQBuAHQAaQBhAGwAXwBVAG4AaQB0ACIALAAiAFMAbwB1AHIAYwBlAEQAYQB0AGEAXwBTAHcAaQBuAGUALgBTAG8AdQByAGMAZQBEAGEAdABhAF8AUwB3AGkAbgBlAF8ATQBlAHQAaABhAG4AZQBWAG8AbABhAHQAaQBsAGUAUwBvAGwAaQBkAHMARQBtAGkAcwBzAGkAbwBuAHMAUABvAHQAZQBuAHQAaQBhAGwAXwBTAG8AdQByAGMAZQAiACwAIgBTAG8AdQByAGMAZQBEAGEAdABhAF8AUwB3AGkAbgBlAC4AUwBvAHUAcgBjAGUARABhAHQAYQBfAFMAdwBpAG4AZQBfAE0AZQB0AGgAYQBuAGUAVgBvAGwAYQB0AGkAbABlAFMAbwBsAGkAZABzAEUAbQBpAHMAcwBpAG8AbgBzAFAAbwB0AGUAbgB0AGkAYQBsAF8AVgBhAHIAaQBhAHQAaQBvAG4AIgAsACIAUwBvAHUAcgBjAGUARABhAHQAYQBfAFMAdwBpAG4AZQAuAFMAbwB1AHIAYwBlAEQAYQB0AGEAXwBTAHcAaQBuAGUAXwBNAGUAdABoAGEAbgBlAFYAbwBsAGEAdABpAGwAZQBTAG8AbABpAGQAcwBFAG0AaQBzAHMAaQBvAG4AcwBQAG8AdABlAG4AdABpAGEAbABfAEQAYQB0AGEAIgAsACIAUwBvAHUAcgBjAGUARABhAHQAYQBfAFMAdwBpAG4AZQAuAFMAbwB1AHIAYwBlAEQAYQB0AGEAXwBTAHcAaQBuAGUAXwBNAE0AUwBfAE0AQwBGAHMAXwBUAGkAdABsAGUAIgAsACIAUwBvAHUAcgBjAGUARABhAHQAYQBfAFMAdwBpAG4AZQAuAFMAbwB1AHIAYwBlAEQAYQB0AGEAXwBTAHcAaQBuAGUAXwBNAE0AUwBfAE0AQwBGAHMAXwBVAG4AaQB0ACIALAAiAFMAbwB1AHIAYwBlAEQAYQB0AGEAXwBTAHcAaQBuAGUALgBTAG8AdQByAGMAZQBEAGEAdABhAF8AUwB3AGkAbgBlAF8ATQBNAFMAXwBNAEMARgBzAF8AUwBvAHUAcgBjAGUAIgAsACIAUwBvAHUAcgBjAGUARABhAHQAYQBfAFMAdwBpAG4AZQAuAFMAbwB1AHIAYwBlAEQAYQB0AGEAXwBTAHcAaQBuAGUAXwBNAE0AUwBfAE0AQwBGAHMAXwBWAGEAcgBpAGEAdABpAG8AbgAiACwAIgBTAG8AdQByAGMAZQBEAGEAdABhAF8AUwB3AGkAbgBlAC4AUwBvAHUAcgBjAGUARABhAHQAYQBfAFMAdwBpAG4AZQBfAE0ATQBTAF8ATQBDAEYAcwBfAEQAYQB0AGEAIgAsACIAUwBvAHUAcgBjAGUARABhAHQAYQBfAFMAdwBpAG4AZQAuAFMAbwB1AHIAYwBlAEQAYQB0AGEAXwBTAHcAaQBuAGUAXwBBAHYAZQByAGEAZwBlAEwAaQB2AGUAdwBlAGkAZwBoAHQAXwBUAGkAdABsAGUAIgAsACIAUwBvAHUAcgBjAGUARABhAHQAYQBfAFMAdwBpAG4AZQAuAFMAbwB1AHIAYwBlAEQAYQB0AGEAXwBTAHcAaQBuAGUAXwBBAHYAZQByAGEAZwBlAEwAaQB2AGUAdwBlAGkAZwBoAHQAXwBVAG4AaQB0ACIALAAiAFMAbwB1AHIAYwBlAEQAYQB0AGEAXwBTAHcAaQBuAGUALgBTAG8AdQByAGMAZQBEAGEAdABhAF8AUwB3AGkAbgBlAF8AQQB2AGUAcgBhAGcAZQBMAGkAdgBlAHcAZQBpAGcAaAB0AF8AUwBvAHUAcgBjAGUAIgAsACIAUwBvAHUAcgBjAGUARABhAHQAYQBfAFMAdwBpAG4AZQAuAFMAbwB1AHIAYwBlAEQAYQB0AGEAXwBTAHcAaQBuAGUAXwBBAHYAZQByAGEAZwBlAEwAaQB2AGUAdwBlAGkAZwBoAHQAXwBWAGEAcgBpAGEAdABpAG8AbgAiACwAIgBTAG8AdQByAGMAZQBEAGEAdABhAF8AUwB3AGkAbgBlAC4AUwBvAHUAcgBjAGUARABhAHQAYQBfAFMAdwBpAG4AZQBfAEEAdgBlAHIAYQBnAGUATABpAHYAZQB3AGUAaQBnAGgAdABfAEQAYQB0AGEAIgAsACIAUwBvAHUAcgBjAGUARABhAHQAYQBfAFMAdwBpAG4AZQAuAFMAbwB1AHIAYwBlAEQAYQB0AGEAXwBTAHcAaQBuAGUAXwBQAHIAbwBkAHUAYwB0AGkAbwBuAFMAeQBzAHQAZQBtAHMAXwBUAGkAdABsAGUAIgAsACIAUwBvAHUAcgBjAGUARABhAHQAYQBfAFMAdwBpAG4AZQAuAFMAbwB1AHIAYwBlAEQAYQB0AGEAXwBTAHcAaQBuAGUAXwBQAHIAbwBkAHUAYwB0AGkAbwBuAFMAeQBzAHQAZQBtAHMAXwBVAG4AaQB0ACIALAAiAFMAbwB1AHIAYwBlAEQAYQB0AGEAXwBTAHcAaQBuAGUALgBTAG8AdQByAGMAZQBEAGEAdABhAF8AUwB3AGkAbgBlAF8AUAByAG8AZAB1AGMAdABpAG8AbgBTAHkAcwB0AGUAbQBzAF8AUwBvAHUAcgBjAGUAIgAsACIAUwBvAHUAcgBjAGUARABhAHQAYQBfAFMAdwBpAG4AZQAuAFMAbwB1AHIAYwBlAEQAYQB0AGEAXwBTAHcAaQBuAGUAXwBQAHIAbwBkAHUAYwB0AGkAbwBuAFMAeQBzAHQAZQBtAHMAXwBWAGEAcgBpAGEAdABpAG8AbgAiACwAIgBTAG8AdQByAGMAZQBEAGEAdABhAF8AUwB3AGkAbgBlAC4AUwBvAHUAcgBjAGUARABhAHQAYQBfAFMAdwBpAG4AZQBfAFAAcgBvAGQAdQBjAHQAaQBvAG4AUwB5AHMAdABlAG0AcwBfAEQAYQB0AGEAIgAsACIAUwBvAHUAcgBjAGUARABhAHQAYQBfAFMAdwBpAG4AZQAuAFMAbwB1AHIAYwBlAEQAYQB0AGEAXwBTAHcAaQBuAGUAXwBGAHIAYQBjAEwARQBBAEMASABfAEQAcgB5AGwAbwB0AE0ATQBTAF8AVABpAHQAbABlACIALAAiAFMAbwB1AHIAYwBlAEQAYQB0AGEAXwBTAHcAaQBuAGUALgBTAG8AdQByAGMAZQBEAGEAdABhAF8AUwB3AGkAbgBlAF8ARgByAGEAYwBMAEUAQQBDAEgAXwBEAHIAeQBsAG8AdABNAE0AUwBfAFYAYQByAGkAYQBiAGwAZQAiACwAIgBTAG8AdQByAGMAZQBEAGEAdABhAF8AUwB3AGkAbgBlAC4AUwBvAHUAcgBjAGUARABhAHQAYQBfAFMAdwBpAG4AZQBfAEYAcgBhAGMATABFAEEAQwBIAF8ARAByAHkAbABvAHQATQBNAFMAXwBVAG4AaQB0ACIALAAiAFMAbwB1AHIAYwBlAEQAYQB0AGEAXwBTAHcAaQBuAGUALgBTAG8AdQByAGMAZQBEAGEAdABhAF8AUwB3AGkAbgBlAF8ARgByAGEAYwBMAEUAQQBDAEgAXwBEAHIAeQBsAG8AdABNAE0AUwBfAFMAbwB1AHIAYwBlACIALAAiAFMAbwB1AHIAYwBlAEQAYQB0AGEAXwBTAHcAaQBuAGUALgBTAG8AdQByAGMAZQBEAGEAdABhAF8AUwB3AGkAbgBlAF8ARgByAGEAYwBMAEUAQQBDAEgAXwBEAHIAeQBsAG8AdABNAE0AUwBfAFYAYQByAGkAYQB0AGkAbwBuACIALAAiAFMAbwB1AHIAYwBlAEQAYQB0AGEAXwBTAHcAaQBuAGUALgBTAG8AdQByAGMAZQBEAGEAdABhAF8AUwB3AGkAbgBlAF8ARgByAGEAYwBMAEUAQQBDAEgAXwBEAHIAeQBsAG8AdABNAE0AUwBfAEQAYQB0AGEAIgAsACIAUwBvAHUAcgBjAGUARABhAHQAYQBfAFMAdwBpAG4AZQAuAFMAbwB1AHIAYwBlAEQAYQB0AGEAXwBTAHcAaQBuAGUAXwBNAGUAZwBhAGoAbwB1AGwAZQBzAFAAZQByAEsAaQBsAG8AZwByAGEAbQBNAGUAdABoAGEAbgBlAF8AVABpAHQAbABlACIALAAiAFMAbwB1AHIAYwBlAEQAYQB0AGEAXwBTAHcAaQBuAGUALgBTAG8AdQByAGMAZQBEAGEAdABhAF8AUwB3AGkAbgBlAF8ATQBlAGcAYQBqAG8AdQBsAGUAcwBQAGUAcgBLAGkAbABvAGcAcgBhAG0ATQBlAHQAaABhAG4AZQBfAFYAYQByAGkAYQBiAGwAZQAiACwAIgBTAG8AdQByAGMAZQBEAGEAdABhAF8AUwB3AGkAbgBlAC4AUwBvAHUAcgBjAGUARABhAHQAYQBfAFMAdwBpAG4AZQBfAE0AZQBnAGEAagBvAHUAbABlAHMAUABlAHIASwBpAGwAbwBnAHIAYQBtAE0AZQB0AGgAYQBuAGUAXwBVAG4AaQB0ACIALAAiAFMAbwB1AHIAYwBlAEQAYQB0AGEAXwBTAHcAaQBuAGUALgBTAG8AdQByAGMAZQBEAGEAdABhAF8AUwB3AGkAbgBlAF8ATQBlAGcAYQBqAG8AdQBsAGUAcwBQAGUAcgBLAGkAbABvAGcAcgBhAG0ATQBlAHQAaABhAG4AZQBfAFMAbwB1AHIAYwBlACIALAAiAFMAbwB1AHIAYwBlAEQAYQB0AGEAXwBTAHcAaQBuAGUALgBTAG8AdQByAGMAZQBEAGEAdABhAF8AUwB3AGkAbgBlAF8ATQBlAGcAYQBqAG8AdQBsAGUAcwBQAGUAcgBLAGkAbABvAGcAcgBhAG0ATQBlAHQAaABhAG4AZQBfAFYAYQByAGkAYQB0AGkAbwBuACIALAAiAFMAbwB1AHIAYwBlAEQAYQB0AGEAXwBTAHcAaQBuAGUALgBTAG8AdQByAGMAZQBEAGEAdABhAF8AUwB3AGkAbgBlAF8ATQBlAGcAYQBqAG8AdQBsAGUAcwBQAGUAcgBLAGkAbABvAGcAcgBhAG0ATQBlAHQAaABhAG4AZQBfAEQAYQB0AGE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fAFQAaQB0AGwAZQAiACwAIgBTAGMAbwBwAGUAMwBfAEUAcQB1AGEAdABpAG8AbgBzAC4AVgBFAEUAUgBHAF8AMQA1AF8AMgBfADEAXwAxAF8AXwAxAF8ARQBtAGkAcwBzAGkAbwBuAHMARgByAG8AbQBQAHUAcgBjAGgAYQBzAGUAZABGAGUAZQBkAF8AVgBhAHIAaQBhAGIAbABlACIALAAiAFMAYwBvAHAAZQAzAF8ARQBxAHUAYQB0AGkAbwBuAHMALgBWAEUARQBSAEcAXwAxADUAXwAyAF8AMQBfADEAXwBfADEAXwBFAG0AaQBzAHMAaQBvAG4AcwBGAHIAbwBtAFAAdQByAGMAaABhAHMAZQBkAEYAZQBlAGQAXwBVAG4AaQB0ACIALAAiAFMAYwBvAHAAZQAzAF8ARQBxAHUAYQB0AGkAbwBuAHMALgBWAEUARQBSAEcAXwAxADUAXwAyAF8AMQBfADEAXwBfADEAXwBFAG0AaQBzAHMAaQBvAG4AcwBGAHIAbwBtAFAAdQByAGMAaABhAHMAZQBkAEYAZQBlAGQAXwBTAG8AdQByAGMAZQAiACwAIgBTAGMAbwBwAGUAMwBfAEUAcQB1AGEAdABpAG8AbgBzAC4AVgBFAEUAUgBHAF8AMQA1AF8AMgBfADEAXwAxAF8AXwAxAF8ARQBtAGkAcwBzAGkAbwBuAHMARgByAG8AbQBQAHUAcgBjAGgAYQBzAGUAZABGAGUAZQBkAF8ATgBJAFIAUgBlAGYAZQByAGUAbgBjAGUAIgAsACIAUwBjAG8AcABlADMAXwBFAHEAdQBhAHQAaQBvAG4AcwAuAFYARQBFAFIARwBfADEANQBfADIAXwAxAF8AMQBfAF8AMQBfAEUAbQBpAHMAcwBpAG8AbgBzAEYAcgBvAG0AUAB1AHIAYwBoAGEAcwBlAGQARgBlAGUAZABfAEwAYQB0AGUAeABFAHEAdQBhAHQAaQBvAG4AIgAsACIAUwBjAG8AcABlADMAXwBFAHEAdQBhAHQAaQBvAG4AcwAuAFYARQBFAFIARwBfADEANQBfADIAXwAxAF8AMQBfAF8AMQBfAEUAbQBpAHMAcwBpAG8AbgBzAEYAcgBvAG0AUAB1AHIAYwBoAGEAcwBlAGQARgBlAGUAZABfAEEAcgBnAHUAbQBlAG4AdABz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QQByAGcAdQBtAGUAbgB0AHM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gBfADEAXwAxAF8AXwAxAF8AVQBwAHMAdAByAGUAYQBtAFAAdQByAGMAaABhAHMAZQBkAEUAbABlAGMAdAByAGkAYwBpAHQAeQBMAG8AYwBhAHQAaQBvAG4AQgBhAHMAZQBkACIALAAiAFMAYwBvAHAAZQAzAF8ARQBxAHUAYQB0AGkAbwBuAHMALgBWAEUARQBSAEcAXwAxADUAXwAxADIAXwAxAF8AMQBfAF8AMQBfAFUAcABzAHQAcgBlAGEAbQBQAHUAcgBjAGgAYQBzAGUAZABFAGwAZQBjAHQAcgBpAGMAaQB0AHkATABvAGMAYQB0AGkAbwBuAEIAYQBzAGUAZABfAFQAaQB0AGwAZQAiACwAIgBTAGMAbwBwAGUAMwBfAEUAcQB1AGEAdABpAG8AbgBzAC4AVgBFAEUAUgBHAF8AMQA1AF8AMQAyAF8AMQBfADEAXwBfADEAXwBVAHAAcwB0AHIAZQBhAG0AUAB1AHIAYwBoAGEAcwBlAGQARQBsAGUAYwB0AHIAaQBjAGkAdAB5AEwAbwBjAGEAdABpAG8AbgBCAGEAcwBlAGQAXwBWAGEAcgBpAGEAYgBsAGUAIgAsACIAUwBjAG8AcABlADMAXwBFAHEAdQBhAHQAaQBvAG4AcwAuAFYARQBFAFIARwBfADEANQBfADEAMgBfADEAXwAxAF8AXwAxAF8AVQBwAHMAdAByAGUAYQBtAFAAdQByAGMAaABhAHMAZQBkAEUAbABlAGMAdAByAGkAYwBpAHQAeQBMAG8AYwBhAHQAaQBvAG4AQgBhAHMAZQBkAF8AVQBuAGkAdAAiACwAIgBTAGMAbwBwAGUAMwBfAEUAcQB1AGEAdABpAG8AbgBzAC4AVgBFAEUAUgBHAF8AMQA1AF8AMQAyAF8AMQBfADEAXwBfADEAXwBVAHAAcwB0AHIAZQBhAG0AUAB1AHIAYwBoAGEAcwBlAGQARQBsAGUAYwB0AHIAaQBjAGkAdAB5AEwAbwBjAGEAdABpAG8AbgBCAGEAcwBlAGQAXwBTAG8AdQByAGMAZQAiACwAIgBTAGMAbwBwAGUAMwBfAEUAcQB1AGEAdABpAG8AbgBzAC4AVgBFAEUAUgBHAF8AMQA1AF8AMQAyAF8AMQBfADEAXwBfADEAXwBVAHAAcwB0AHIAZQBhAG0AUAB1AHIAYwBoAGEAcwBlAGQARQBsAGUAYwB0AHIAaQBjAGkAdAB5AEwAbwBjAGEAdABpAG8AbgBCAGEAcwBlAGQAXwBOAEkAUgBSAGUAZgBlAHIAZQBuAGMAZQAiACwAIgBTAGMAbwBwAGUAMwBfAEUAcQB1AGEAdABpAG8AbgBzAC4AVgBFAEUAUgBHAF8AMQA1AF8AMQAyAF8AMQBfADEAXwBfADEAXwBVAHAAcwB0AHIAZQBhAG0AUAB1AHIAYwBoAGEAcwBlAGQARQBsAGUAYwB0AHIAaQBjAGkAdAB5AEwAbwBjAGEAdABpAG8AbgBCAGEAcwBlAGQAXwBMAGEAdABlAHgARQBxAHUAYQB0AGkAbwBuACIALAAiAFMAYwBvAHAAZQAzAF8ARQBxAHUAYQB0AGkAbwBuAHMALgBWAEUARQBSAEcAXwAxADUAXwAxADIAXwAxAF8AMQBfAF8AMQBfAFUAcABzAHQAcgBlAGEAbQBQAHUAcgBjAGgAYQBzAGUAZABFAGwAZQBjAHQAcgBpAGMAaQB0AHkATABvAGMAYQB0AGkAbwBuAEIAYQBzAGUAZABfAEEAcgBnAHUAbQBlAG4AdABzACIALAAiAFMAYwBvAHAAZQAzAF8ARQBxAHUAYQB0AGkAbwBuAHMALgBWAEUARQBSAEcAXwAxADUAXwAxADIAXwAxAF8AMgBfAF8AMQBfAFUAcABzAHQAcgBlAGEAbQBQAHUAcgBjAGgAYQBzAGUAZABFAGwAZQBjAHQAcgBpAGMAaQB0AHkATQBhAHIAawBlAHQAQgBhAHMAZQBkACIALAAiAFMAYwBvAHAAZQAzAF8ARQBxAHUAYQB0AGkAbwBuAHMALgBWAEUARQBSAEcAXwAxADUAXwAxADIAXwAxAF8AMgBfAF8AMQBfAFUAcABzAHQAcgBlAGEAbQBQAHUAcgBjAGgAYQBzAGUAZABFAGwAZQBjAHQAcgBpAGMAaQB0AHkATQBhAHIAawBlAHQAQgBhAHMAZQBkAFYAYQByAGkAYQB0AGkAbwBuACIALAAiAFMAYwBvAHAAZQAzAF8ARQBxAHUAYQB0AGkAbwBuAHMALgBWAEUARQBSAEcAXwAxADUAXwAxADIAXwAxAF8AMgBfAF8AMQBfAFUAcABzAHQAcgBlAGEAbQBQAHUAcgBjAGgAYQBzAGUAZABFAGwAZQBjAHQAcgBpAGMAaQB0AHkATQBhAHIAawBlAHQAQgBhAHMAZQBkAF8AVABpAHQAbABlACIALAAiAFMAYwBvAHAAZQAzAF8ARQBxAHUAYQB0AGkAbwBuAHMALgBWAEUARQBSAEcAXwAxADUAXwAxADIAXwAxAF8AMgBfAF8AMQBfAFUAcABzAHQAcgBlAGEAbQBQAHUAcgBjAGgAYQBzAGUAZABFAGwAZQBjAHQAcgBpAGMAaQB0AHkATQBhAHIAawBlAHQAQgBhAHMAZQBkAF8AVgBhAHIAaQBhAGIAbABlACIALAAiAFMAYwBvAHAAZQAzAF8ARQBxAHUAYQB0AGkAbwBuAHMALgBWAEUARQBSAEcAXwAxADUAXwAxADIAXwAxAF8AMgBfAF8AMQBfAFUAcABzAHQAcgBlAGEAbQBQAHUAcgBjAGgAYQBzAGUAZABFAGwAZQBjAHQAcgBpAGMAaQB0AHkATQBhAHIAawBlAHQAQgBhAHMAZQBkAF8AVQBuAGkAdAAiACwAIgBTAGMAbwBwAGUAMwBfAEUAcQB1AGEAdABpAG8AbgBzAC4AVgBFAEUAUgBHAF8AMQA1AF8AMQAyAF8AMQBfADIAXwBfADEAXwBVAHAAcwB0AHIAZQBhAG0AUAB1AHIAYwBoAGEAcwBlAGQARQBsAGUAYwB0AHIAaQBjAGkAdAB5AE0AYQByAGsAZQB0AEIAYQBzAGUAZABfAFMAbwB1AHIAYwBlACIALAAiAFMAYwBvAHAAZQAzAF8ARQBxAHUAYQB0AGkAbwBuAHMALgBWAEUARQBSAEcAXwAxADUAXwAxADIAXwAxAF8AMgBfAF8AMQBfAFUAcABzAHQAcgBlAGEAbQBQAHUAcgBjAGgAYQBzAGUAZABFAGwAZQBjAHQAcgBpAGMAaQB0AHkATQBhAHIAawBlAHQAQgBhAHMAZQBkAF8ATgBJAFIAUgBlAGYAZQByAGUAbgBjAGUAIgAsACIAUwBjAG8AcABlADMAXwBFAHEAdQBhAHQAaQBvAG4AcwAuAFYARQBFAFIARwBfADEANQBfADEAMgBfADEAXwAyAF8AXwAxAF8AVQBwAHMAdAByAGUAYQBtAFAAdQByAGMAaABhAHMAZQBkAEUAbABlAGMAdAByAGkAYwBpAHQAeQBNAGEAcgBrAGUAdABCAGEAcwBlAGQAXwBMAGEAdABlAHgARQBxAHUAYQB0AGkAbwBuACIALAAiAFMAYwBvAHAAZQAzAF8ARQBxAHUAYQB0AGkAbwBuAHMALgBWAEUARQBSAEcAXwAxADUAXwAxADIAXwAxAF8AMgBfAF8AMQBfAFUAcABzAHQAcgBlAGEAbQBQAHUAcgBjAGgAYQBzAGUAZABFAGwAZQBjAHQAcgBpAGMAaQB0AHkATQBhAHIAawBlAHQAQgBhAHMAZQBkAF8ATABhAHQAZQB4AEUAcQB1AGEAdABpAG8AbgBWAGEAcgBp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IAXwAxAF8AMgBfAF8AMQBfAFUAcABzAHQAcgBlAGEAbQBQAHUAcgBjAGgAYQBzAGUAZABFAGwAZQBjAHQAcgBpAGMAaQB0AHkATQBhAHIAawBlAHQAQgBhAHMAZQBkAF8AVgBhAHIAaQBhAHQAaQBvAG4AIgAsACIAUwBjAG8AcABlADMAXwBFAHEAdQBhAHQAaQBvAG4AcwAuAFYARQBFAFIARwBfADEANQBfADEAMwBfADEAXwAxAF8AXwAxAF8ARQBtAGkAcwBzAGkAbwBuAHMARgByAG8AbQBNAGEAbgB1AHIAZQBTAGUAbgB0AE8AZgBmAFMAaQB0AGUAIgAsACIAUwBjAG8AcABlADMAXwBFAHEAdQBhAHQAaQBvAG4AcwAuAFYARQBFAFIARwBfADEANQBfADEAMwBfADEAXwAxAF8AXwAxAF8ARQBtAGkAcwBzAGkAbwBuAHMARgByAG8AbQBNAGEAbgB1AHIAZQBTAGUAbgB0AE8AZgBmAFMAaQB0AGUAXwBUAGkAdABsAGUAIgAsACIAUwBjAG8AcABlADMAXwBFAHEAdQBhAHQAaQBvAG4AcwAuAFYARQBFAFIARwBfADEANQBfADEAMwBfADEAXwAxAF8AXwAxAF8ARQBtAGkAcwBzAGkAbwBuAHMARgByAG8AbQBNAGEAbgB1AHIAZQBTAGUAbgB0AE8AZgBmAFMAaQB0AGUAXwBWAGEAcgBpAGEAYgBsAGUAIgAsACIAUwBjAG8AcABlADMAXwBFAHEAdQBhAHQAaQBvAG4AcwAuAFYARQBFAFIARwBfADEANQBfADEAMwBfADEAXwAxAF8AXwAxAF8ARQBtAGkAcwBzAGkAbwBuAHMARgByAG8AbQBNAGEAbgB1AHIAZQBTAGUAbgB0AE8AZgBmAFMAaQB0AGUAXwBVAG4AaQB0ACIALAAiAFMAYwBvAHAAZQAzAF8ARQBxAHUAYQB0AGkAbwBuAHMALgBWAEUARQBSAEcAXwAxADUAXwAxADMAXwAxAF8AMQBfAF8AMQBfAEUAbQBpAHMAcwBpAG8AbgBzAEYAcgBvAG0ATQBhAG4AdQByAGUAUwBlAG4AdABPAGYAZgBTAGkAdABlAF8AUwBvAHUAcgBjAGUAIgAsACIAUwBjAG8AcABlADMAXwBFAHEAdQBhAHQAaQBvAG4AcwAuAFYARQBFAFIARwBfADEANQBfADEAMwBfADEAXwAxAF8AXwAxAF8ARQBtAGkAcwBzAGkAbwBuAHMARgByAG8AbQBNAGEAbgB1AHIAZQBTAGUAbgB0AE8AZgBmAFMAaQB0AGUAXwBOAEkAUgBSAGUAZgBlAHIAZQBuAGMAZQAiACwAIgBTAGMAbwBwAGUAMwBfAEUAcQB1AGEAdABpAG8AbgBzAC4AVgBFAEUAUgBHAF8AMQA1AF8AMQAzAF8AMQBfADEAXwBfADEAXwBFAG0AaQBzAHMAaQBvAG4AcwBGAHIAbwBtAE0AYQBuAHUAcgBlAFMAZQBuAHQATwBmAGYAUwBpAHQAZQBfAEwAYQB0AGUAeABFAHEAdQBhAHQAaQBvAG4AIgAsACIAUwBjAG8AcABlADMAXwBFAHEAdQBhAHQAaQBvAG4AcwAuAFYARQBFAFIARwBfADEANQBfADEAMwBfADEAXwAxAF8AXwAxAF8ARQBtAGkAcwBzAGkAbwBuAHMARgByAG8AbQBNAGEAbgB1AHIAZQBTAGUAbgB0AE8AZgBmAFMAaQB0AGUAXwBBAHIAZwB1AG0AZQBuAHQAcwAiACwAIgBTAGMAbwBwAGUAMwBfAEUAcQB1AGEAdABpAG8AbgBzAC4AVgBFAEUAUgBHAF8AMQA1AF8AMQAzAF8AMQBfADMAXwBfADEAXwBFAG0AaQBzAHMAaQBvAG4AcwBGAHIAbwBtAFMAbwBsAGkAZABXAGEAcwB0AGUAVAByAGUAYQB0AG0AZQBuAHQARgBhAGMAaQBsAGkAdAB5ACIALAAiAFMAYwBvAHAAZQAzAF8ARQBxAHUAYQB0AGkAbwBuAHMALgBWAEUARQBSAEcAXwAxADUAXwAxADMAXwAxAF8AMwBfAF8AMQBfAEUAbQBpAHMAcwBpAG8AbgBzAEYAcgBvAG0AUwBvAGwAaQBkAFcAYQBzAHQAZQBUAHIAZQBhAHQAbQBlAG4AdABGAGEAYwBpAGwAaQB0AHkAXwBUAGkAdABsAGUAIgAsACIAUwBjAG8AcABlADMAXwBFAHEAdQBhAHQAaQBvAG4AcwAuAFYARQBFAFIARwBfADEANQBfADEAMwBfADEAXwAzAF8AXwAxAF8ARQBtAGkAcwBzAGkAbwBuAHMARgByAG8AbQBTAG8AbABpAGQAVwBhAHMAdABlAFQAcgBlAGEAdABtAGUAbgB0AEYAYQBjAGkAbABpAHQAeQBfAFYAYQByAGkAYQBiAGwAZQAiACwAIgBTAGMAbwBwAGUAMwBfAEUAcQB1AGEAdABpAG8AbgBzAC4AVgBFAEUAUgBHAF8AMQA1AF8AMQAzAF8AMQBfADMAXwBfADEAXwBFAG0AaQBzAHMAaQBvAG4AcwBGAHIAbwBtAFMAbwBsAGkAZABXAGEAcwB0AGUAVAByAGUAYQB0AG0AZQBuAHQARgBhAGMAaQBsAGkAdAB5AF8AVQBuAGkAdAAiACwAIgBTAGMAbwBwAGUAMwBfAEUAcQB1AGEAdABpAG8AbgBzAC4AVgBFAEUAUgBHAF8AMQA1AF8AMQAzAF8AMQBfADMAXwBfADEAXwBFAG0AaQBzAHMAaQBvAG4AcwBGAHIAbwBtAFMAbwBsAGkAZABXAGEAcwB0AGUAVAByAGUAYQB0AG0AZQBuAHQARgBhAGMAaQBsAGkAdAB5AF8AUwBvAHUAcgBjAGUAIgAsACIAUwBjAG8AcABlADMAXwBFAHEAdQBhAHQAaQBvAG4AcwAuAFYARQBFAFIARwBfADEANQBfADEAMwBfADEAXwAzAF8AXwAxAF8ARQBtAGkAcwBzAGkAbwBuAHMARgByAG8AbQBTAG8AbABpAGQAVwBhAHMAdABlAFQAcgBlAGEAdABtAGUAbgB0AEYAYQBjAGkAbABpAHQAeQBfAE4ASQBSAFIAZQBmAGUAcgBlAG4AYwBlACIALAAiAFMAYwBvAHAAZQAzAF8ARQBxAHUAYQB0AGkAbwBuAHMALgBWAEUARQBSAEcAXwAxADUAXwAxADMAXwAxAF8AMwBfAF8AMQBfAEUAbQBpAHMAcwBpAG8AbgBzAEYAcgBvAG0AUwBvAGwAaQBkAFcAYQBzAHQAZQBUAHIAZQBhAHQAbQBlAG4AdABGAGEAYwBpAGwAaQB0AHkAXwBMAGEAdABlAHgARQBxAHUAYQB0AGkAbwBuACIALAAiAFMAYwBvAHAAZQAzAF8ARQBxAHUAYQB0AGkAbwBuAHMALgBWAEUARQBSAEcAXwAxADUAXwAxADMAXwAxAF8AMwBfAF8AMQBfAEUAbQBpAHMAcwBpAG8AbgBzAEYAcgBvAG0AUwBvAGwAaQBkAFcAYQBzAHQAZQBUAHIAZQBhAHQAbQBlAG4AdABGAGEAYwBpAGwAaQB0AHkAXwBBAHIAZwB1AG0AZQBuAHQAcwAiACwAIgBTAGMAbwBwAGUAMwBfAEUAcQB1AGEAdABpAG8AbgBzAC4AVgBFAEUAUgBHAF8AMQA1AF8AMQA0AF8AMQBfADEAXwBfADEAXwBFAG0AYgBlAGQAZABlAGQARQBtAGkAcwBzAGkAbwBuAHMARgByAG8AbQBVAHAAcwB0AHIAZQBhAG0ARgByAGUAaQBnAGgAdAAiACwAIgBTAGMAbwBwAGUAMwBfAEUAcQB1AGEAdABpAG8AbgBzAC4AVgBFAEUAUgBHAF8AMQA1AF8AMQA0AF8AMQBfADEAXwBfADEAXwBFAG0AYgBlAGQAZABlAGQARQBtAGkAcwBzAGkAbwBuAHMARgByAG8AbQBVAHAAcwB0AHIAZQBhAG0ARgByAGUAaQBnAGgAdABfAFQAaQB0AGwAZQAiACwAIgBTAGMAbwBwAGUAMwBfAEUAcQB1AGEAdABpAG8AbgBzAC4AVgBFAEUAUgBHAF8AMQA1AF8AMQA0AF8AMQBfADEAXwBfADEAXwBFAG0AYgBlAGQAZABlAGQARQBtAGkAcwBzAGkAbwBuAHMARgByAG8AbQBVAHAAcwB0AHIAZQBhAG0ARgByAGUAaQBnAGgAdABfAFYAYQByAGkAYQBiAGwAZQAiACwAIgBTAGMAbwBwAGUAMwBfAEUAcQB1AGEAdABpAG8AbgBzAC4AVgBFAEUAUgBHAF8AMQA1AF8AMQA0AF8AMQBfADEAXwBfADEAXwBFAG0AYgBlAGQAZABlAGQARQBtAGkAcwBzAGkAbwBuAHMARgByAG8AbQBVAHAAcwB0AHIAZQBhAG0ARgByAGUAaQBnAGgAdABfAFUAbgBpAHQAIgAsACIAUwBjAG8AcABlADMAXwBFAHEAdQBhAHQAaQBvAG4AcwAuAFYARQBFAFIARwBfADEANQBfADEANABfADEAXwAxAF8AXwAxAF8ARQBtAGIAZQBkAGQAZQBkAEUAbQBpAHMAcwBpAG8AbgBzAEYAcgBvAG0AVQBwAHMAdAByAGUAYQBtAEYAcgBlAGkAZwBoAHQAXwBTAG8AdQByAGMAZQAiACwAIgBTAGMAbwBwAGUAMwBfAEUAcQB1AGEAdABpAG8AbgBzAC4AVgBFAEUAUgBHAF8AMQA1AF8AMQA0AF8AMQBfADEAXwBfADEAXwBFAG0AYgBlAGQAZABlAGQARQBtAGkAcwBzAGkAbwBuAHMARgByAG8AbQBVAHAAcwB0AHIAZQBhAG0ARgByAGUAaQBnAGgAdABfAE4ASQBSAFIAZQBmAGUAcgBlAG4AYwBlACIALAAiAFMAYwBvAHAAZQAzAF8ARQBxAHUAYQB0AGkAbwBuAHMALgBWAEUARQBSAEcAXwAxADUAXwAxADQAXwAxAF8AMQBfAF8AMQBfAEUAbQBiAGUAZABkAGUAZABFAG0AaQBzAHMAaQBvAG4AcwBGAHIAbwBtAFUAcABzAHQAcgBlAGEAbQBGAHIAZQBpAGcAaAB0AF8ATABhAHQAZQB4AEUAcQB1AGEAdABpAG8AbgAiACwAIgBTAGMAbwBwAGUAMwBfAEUAcQB1AGEAdABpAG8AbgBzAC4AVgBFAEUAUgBHAF8AMQA1AF8AMQA0AF8AMQBfADEAXwBfADEAXwBFAG0AYgBlAGQAZABlAGQARQBtAGkAcwBzAGkAbwBuAHMARgByAG8AbQBVAHAAcwB0AHIAZQBhAG0ARgByAGUAaQBnAGgAdABfAEEAcgBnAHUAbQBlAG4AdABz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FcAYQBzAHQAZQBTAG8AbABpAGQAXwBJAG4AcAB1AHQARgB1AG4AYwB0AGkAbwBuAHMALgBXAGEAcwB0AGUAUwBvAGwAaQBkAF8ASQBuAHAAdQB0AEYAdQBuAGMAdABpAG8AbgBzAF8AUwB1AG0AVwBhAHMAdABlAFQAcgBlAGEAdABtAGUAbgB0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FYAYQBsAGkAZABMAGkAdgBlAHMAdABvAGMAawBDAGwAYQBzAHMAXABuAD0AIABVAE4ASQBRAFUARQAoAEYASQBMAFQARQBSACgAVABhAGIAbABlAF8AUwBjAG8AcABlADMAXwBMAGkAdgBlAHMAdABvAGMAawBbAFAAcgBvAGQAdQBjAHQAXQAsACAAVABhAGIAbABlAF8AUwBjAG8AcABlADMAXwBMAGkAdgBlAHMAdABvAGMAawBbAEMAYQB0AGUAZwBvAHIAeQBdAD0AVABhAGIAbABlAF8ASQBuAHAAdQB0AF8ATABpAHYAZQBzAHQAbwBjAGsAUAB1AHIAYwBoAGEAcwBlAHMAWwBbACMAVABoAGkAcwAgAFIAbwB3AF0ALABbAEwAaQB2AGUAcwB0AG8AYwBrACAAdAB5AHAAZQAgACgAcwBlAGwAZQBjAHQAKQBdAF0AKQApAFwAbgBcAG4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GUAcgB0AGkAbABpAHMAZQByAF8AUwBvAHUAcgBjAGUARABhAHQAYQAiACwAIgB0AGUAeAB0ACIAOgAiAC8AKgBcAG4APQA9AD0APQA9AD0APQA9AD0APQA9AD0APQA9AD0APQA9AD0APQA9AD0APQA9AD0APQA9AD0APQA9AD0APQA9AD0APQA9AD0APQA9AD0APQA9AD0APQA9AD0APQA9AD0APQA9AD0APQA9AD0APQA9AD0APQA9AD0APQA9AD0APQA9AD0APQA9AD0APQA9AD0APQA9AD0APQBcAG4ARgBlAHIAdABpAGwAaQBzAGUAcgAgAGMAaABlAG0AaQBjAGEAbAAgAGMAbwBtAHAAbwB1AG4AZABzAFwAbgA9AD0APQA9AD0APQA9AD0APQA9AD0APQA9AD0APQA9AD0APQA9AD0APQA9AD0APQA9AD0APQA9AD0APQA9AD0APQA9AD0APQA9AD0APQA9AD0APQA9AD0APQA9AD0APQA9AD0APQA9AD0APQA9AD0APQA9AD0APQA9AD0APQA9AD0APQA9AD0APQA9AD0APQA9AD0APQA9AFwAbgAqAC8AXABuAFwAbgBGAGUAcgB0AGkAbABpAHMAZQByAF8AQwBoAGUAbQBpAGMAYQBsAEMAbwBtAHAAbwB1AG4AZABFAGwAZQBtAGUAbgB0AHMAXwBUAGkAdABsAGUAXABuAD0ATABBAE0AQgBEAEEAKAAoAFwAIgBDAG8AbQBtAG8AbgAgAGkAbgBvAHIAZwBhAG4AaQBjACAAZgBlAHIAdABpAGwAaQBzAGUAcgBzAFwAIgApACkAOwBcAG4AXABuAEYAZQByAHQAaQBsAGkAcwBlAHIAXwBDAGgAZQBtAGkAYwBhAGwAQwBvAG0AcABvAHUAbgBkAEUAbABlAG0AZQBuAHQAcwBfAFMAbwB1AHIAYwBlAFwAbgA9AEwAQQBNAEIARABBACgAKABcACIAVABhAGIAbABlACAAQQAuADIALgAyAC4AMwA6ACAARgByAGEAYwB0AGkAbwBuACAAbwBmACAAbgBpAHQAcgBvAGcAZQBuACAAaQBuACAAYwBvAG0AbQBvAG4AIABpAG4AbwByAGcAYQBuAGkAYwAgAGYAZQByAHQAaQBsAGkAcwBlAHIAcwAgACgAawBnAE4ALwBrAGcAKQAgACgARgBOAG8AcgBnAGEAbgBpAGMALABmACkAIABBAE4ARAAgAFQAYQBiAGwAZQAgAEEALgAyAC4AMgAuADQAOgAgAEYAcgBhAGMAdABpAG8AbgAgAG8AZgAgAHUAcgBlAGEAIABpAG4AIABjAG8AbQBtAG8AbgAgAGkAbgBvAHIAZwBhAG4AaQBjACAAZgBlAHIAdABpAGwAaQBzAGUAcgBzACAAKABrAGcAIAB1AHIAZQBhAC8AawBnACkAIAAoAEYAVQBmACkAXAAiACkAKQA7AFwAbgBcAG4ARgBlAHIAdABpAGwAaQBzAGUAcgBfAEMAaABlAG0AaQBjAGEAbABDAG8AbQBwAG8AdQBuAGQARQBsAGUAbQBlAG4AdABzAF8ARABhAHQAYQBcAG4APQBMAEEATQBCAEQAQQAoAFwAbgAgAE0AQQBLAEUAQQBSAFIAQQBZACgAMgAwACwAIAA2ACwAXABuACAATABBAE0AQgBEAEEAKAByACwAYwAsAFwAbgAgACAASQBOAEQARQBYACgAewBcAG4AIAAgAFwAIgBGAGUAcgB0AGkAbABpAHMAZQByACAAVAB5AHAAZQAgAGYAXAAiACwAIABcACIARgBOAGkAbgBvAHIAZwBhAG4AaQBjACwAZgBcACIALAAgAFwAIgBGAFUAZgBcACIALAAgAFwAIgBCAGEAcwBpAHMAXAAiACwAIABcACIATABpAGYAZQBDAHkAYwBsAGUAcwAgAFMAYwBvAHAAZQAgADMAIABkAGUAZgBpAG4AaQB0AGkAbwBuAFwAIgAsACAAXAAiAFMAbwB1AHIAYwBlAFwAIgA7AFwAbgAgACAAXAAiAE0AbwBuAG8AYQBtAG0AbwBuAGkAdQBtACAAcABoAG8AcwBwAGgAYQB0AGUAIAAoAE0AQQBQACkAXAAiACwAIAAwAC4AMQAwACwAIAAwACwAIABcACIAQQBtAG0AbwBuAGkAdQBtAC0AYgBhAHMAZQBkACAAZgBlAHIAdABpAGwAaQBzAGUAcgBzAFwAIgAsACAAXAAiAE0AbwBuAG8AYQBtAG0AbwBuAGkAdQBtACAAcABoAG8AcwBwAGgAYQB0AGUAIAAoAE0AQQBQACkAXAAiACwAIABcACIAVgBFAEUAUgBHAFwAIgA7AFwAbgAgACAAXAAiAEQAaQBhAG0AbQBvAG4AaQB1AG0AIABwAGgAbwBzAHAAaABhAHQAZQAgACgARABBAFAAKQBcACIALAAgADAALgAxADgALAAgADAALAAgAFwAIgBBAG0AbQBvAG4AaQB1AG0ALQBiAGEAcwBlAGQAIABmAGUAcgB0AGkAbABpAHMAZQByAHMAXAAiACwAIABcACIARABpAGEAbQBtAG8AbgBpAHUAbQAgAHAAaABvAHMAcABoAGEAdABlACAAKABEAEEAUAApAFwAIgAsACAAXAAiAFYARQBFAFIARwBcACIAOwBcAG4AIAAgAFwAIgBVAHIAZQBhAFwAIgAsACAAMAAuADQANgAsACAAMQAsACAAXAAiAFUAcgBlAGEALQBiAGEAcwBlAGQAIABmAGUAcgB0AGkAbABpAHMAZQByAHMAXAAiACwAIABcACIAVQByAGUAYQBcACIALAAgAFwAIgBWAEUARQBSAEcAXAAiADsAXABuACAAIABcACIAUwB1AGwAcABoAGEAdABlACAAbwBmACAAYQBtAG0AbwBuAGkAYQAgACgAUwBPAEEAKQBcACIALAAgADAALgAyADEALAAgADAALAAgAFwAIgBBAG0AbQBvAG4AaQB1AG0ALQBiAGEAcwBlAGQAIABmAGUAcgB0AGkAbABpAHMAZQByAHMAXAAiACwAIABcACIAUwB1AGwAcABoAGEAdABlACAAbwBmACAAYQBtAG0AbwBuAGkAYQAgACgAUwBPAEEAKQBcACIALAAgAFwAIgBWAEUARQBSAEcAXAAiADsAXABuACAAIABcACIAVQByAGUAYQAtAGEAbQBtAG8AbgBpAHUAbQAgAG4AaQB0AHIAYQB0AGUAIAAoAFUAQQBOACkAXAAiACwAIAAwAC4AMwAyACwAIAAwAC4AMwA1ACwAIABcACIAVQByAGUAYQAtAGIAYQBzAGUAZAAgAGYAZQByAHQAaQBsAGkAcwBlAHIAcwBcACIALAAgAFwAIgBVAHIAZQBhAC0AYQBtAG0AbwBuAGkAdQBtACAAbgBpAHQAcgBhAHQAZQAgACgAVQBBAE4AKQBcACIALAAgAFwAIgBWAEUARQBSAEcAXAAiADsAXABuACAAIABcACIAQQBtAG0AbwBuAGkAdQBtACAAbgBpAHQAcgBhAHQAZQAgACgAQQBOACkAXAAiACwAIAAwAC4AMwAzADcALAAgADAALAAgAFwAIgBBAG0AbQBvAG4AaQB1AG0ALQBuAGkAdAByAGEAdABlACAAYgBhAHMAZQBkACAAZgBlAHIAdABpAGwAaQBzAGUAcgBzAFwAIgAsACAAXAAiAEEAbQBtAG8AbgBpAHUAbQAgAG4AaQB0AHIAYQB0AGUAIAAoAEEATgApAFwAIgAsACAAXAAiAFYARQBFAFIARwBcACIAOwBcAG4AIAAgAFwAIgBDAGEAbABjAGkAdQBtACAAYQBtAG0AbwBuAGkAdQBtACAAbgBpAHQAcgBhAHQAZQAgACgAQwBBAE4AKQBcACIALAAgADAALgAyADcALAAgADAALAAgAFwAIgBBAG0AbQBvAG4AaQB1AG0ALQBuAGkAdAByAGEAdABlACAAYgBhAHMAZQBkACAAZgBlAHIAdABpAGwAaQBzAGUAcgBzAFwAIgAsACAAXAAiAEMAYQBsAGMAaQB1AG0AIABhAG0AbQBvAG4AaQB1AG0AIABuAGkAdAByAGEAdABlACAAKABDAEEATgApAFwAIgAsACAAXAAiAFYARQBFAFIARwBcACIAOwBcAG4AIAAgAFwAIgBOAGkAdAByAG8AZwBlAG4AIAAtACAAQQBtAG0AbwBuAGkAYQBjAGEAbABcACIALAAgADEALAAgADAALAAgAFwAIgBBAG0AbQBvAG4AaQB1AG0ALQBiAGEAcwBlAGQAIABmAGUAcgB0AGkAbABpAHMAZQByAHMAXAAiACwAIABcACIATgBpAHQAcgBvAGcAZQBuACAALQAgAEEAbQBtAG8AbgBpAGEAYwBhAGwAXAAiACwAIABcACIATABpAGYAZQBDAHkAYwBsAGUAcwBcACIAOwBcAG4AIAAgAFwAIgBOAGkAdAByAG8AZwBlAG4AIAAtACAATgBpAHQAcgBhAHQAZQBcACIALAAgADEALAAgADAALAAgAFwAIgBOAGkAdAByAGEAdABlAC0AYgBhAHMAZQBkACAAZgBlAHIAdABpAGwAaQBzAGUAcgBzAFwAIgAsACAAXAAiAE4AaQB0AHIAbwBnAGUAbgAgAGYAcgBvAG0AIABOAGkAdAByAGEAdABlAFwAIgAsACAAXAAiAEwAaQBmAGUAQwB5AGMAbABlAHMAXAAiADsAXABuACAAIABcACIATgBpAHQAcgBvAGcAZQBuACAALQAgAEcAZQBuAGUAcgBpAGMAXAAiACwAIAAxACwAIAAwACwAIABcACIAVQByAGUAYQAtAGIAYQBzAGUAZAAgAGYAZQByAHQAaQBsAGkAcwBlAHIAcwBcACIALAAgAFwAIgBOAGkAdAByAG8AZwBlAG4AIABmAHIAbwBtACAAZgBlAHIAdABpAGwAaQBzAGUAcgBcACIALAAgAFwAIgBMAGkAZgBlAEMAeQBjAGwAZQBzAFwAIgA7AFwAbgAgACAAXAAiAFAAaABvAHMAcABoAG8AcgB1AHMAIAAtACAARwBlAG4AZQByAGkAYwBcACIALAAgADAALAAgADAALAAgAFwAIgBPAHQAaABlAHIAIABmAGUAcgB0AGkAbABpAHMAZQByAHMAXAAiACwAIABcACIAUABoAG8AcwBwAGgAbwByAHUAcwAgAGYAcgBvAG0AIABmAGUAcgB0AGkAbABpAHMAZQByAFwAIgAsACAAXAAiAEwAaQBmAGUAQwB5AGMAbABlAHMAXAAiADsAXABuACAAIABcACIAUABvAHQAYQBzAHMAaQB1AG0AIAAtACAARwBlAG4AZQByAGkAYwBcACIALAAgADAALAAgADAALAAgAFwAIgBPAHQAaABlAHIAIABmAGUAcgB0AGkAbABpAHMAZQByAHMAXAAiACwAIABcACIAUABvAHQAYQBzAHMAaQB1AG0AIABmAHIAbwBtACAAZgBlAHIAdABpAGwAaQBzAGUAcgBcACIALAAgAFwAIgBMAGkAZgBlAEMAeQBjAGwAZQBzAFwAIgA7AFwAbgAgACAAXAAiAFMAdQBsAGYAdQByACAALQAgAEcAZQBuAGUAcgBpAGMAXAAiACwAIAAwACwAIAAwACwAIABcACIATwB0AGgAZQByACAAZgBlAHIAdABpAGwAaQBzAGUAcgBzAFwAIgAsACAAXAAiAFMAdQBsAGYAdQByACAAZgByAG8AbQAgAGYAZQByAHQAaQBsAGkAcwBlAHIAXAAiACwAIABcACIATABpAGYAZQBDAHkAYwBsAGUAcwBcACIAOwBcAG4AIAAgAFwAIgBaAGkAbgBjACAALQAgAEcAZQBuAGUAcgBpAGMAXAAiACwAIAAwACwAIAAwACwAIABcACIATwB0AGgAZQByACAAZgBlAHIAdABpAGwAaQBzAGUAcgBzAFwAIgAsACAAXAAiAFoAaQBuAGMAIABmAHIAbwBtACAAZgBlAHIAdABpAGwAaQBzAGUAcgBcACIALAAgAFwAIgBMAGkAZgBlAEMAeQBjAGwAZQBzAFwAIgA7AFwAbgAgACAAXAAiAE0AdQByAGkAYQB0AGUAIABvAGYAIABwAG8AdABhAHMAaAAgACgATQBPAFAAKQBcACIALAAgADAALAAgADAALAAgAFwAIgBPAHQAaABlAHIAIABmAGUAcgB0AGkAbABpAHMAZQByAHMAXAAiACwAIABcACIATQB1AHIAaQBhAHQAZQAgAG8AZgAgAHAAbwB0AGEAcwBoACAAKABNAE8AUAApAFwAIgAsACAAXAAiAEwAaQBmAGUAQwB5AGMAbABlAHMAXAAiADsAXABuACAAIABcACIARABvAHUAYgBsAGUAIABzAHUAcABlAHIAcABoAG8AcwBwAGgAYQB0AGUAXAAiACwAIAAwACwAIAAwACwAIABcACIATwB0AGgAZQByACAAZgBlAHIAdABpAGwAaQBzAGUAcgBzAFwAIgAsACAAXAAiAEQAbwB1AGIAbABlACAAcwB1AHAAZQByAHAAaABvAHMAcABoAGEAdABlAFwAIgAsACAAXAAiAEwAaQBmAGUAQwB5AGMAbABlAHMAXAAiADsAXABuACAAIABcACIAUwBpAG4AZwBsAGUAIABzAHUAcABlAHIAcABoAG8AcwBwAGgAYQB0AGUAIAAoAFMAUwBQACkAXAAiACwAIAAwACwAIAAwACwAIABcACIATwB0AGgAZQByACAAZgBlAHIAdABpAGwAaQBzAGUAcgBzAFwAIgAsACAAXAAiAFMAaQBuAGcAbABlACAAcwB1AHAAZQByAHAAaABvAHMAcABoAGEAdABlACAAKABTAFMAUAApAFwAIgAsACAAXAAiAEwAaQBmAGUAQwB5AGMAbABlAHMAXAAiADsAXABuACAAIABcACIAQQBtAG0AbwBuAGkAYQBcACIALAAgADAALgA4ADIAMwA1ACwAIAAwACwAIABcACIAQQBtAG0AbwBuAGkAdQBtAC0AYgBhAHMAZQBkACAAZgBlAHIAdABpAGwAaQBzAGUAcgBzAFwAIgAsACAAXAAiAEEAbQBtAG8AbgBpAGEAXAAiACwAIABcACIATABpAGYAZQBDAHkAYwBsAGUAcwBcACIAOwBcAG4AIAAgAFwAIgBDAGEAbABjAGkAdQBtACAAbgBpAHQAcgBhAHQAZQBcACIALAAgADAALgAxADUANQAsACAAMAAsACAAXAAiAE4AaQB0AHIAYQB0AGUALQBiAGEAcwBlAGQAIABmAGUAcgB0AGkAbABpAHMAZQByAHMAXAAiACwAIABcACIAQwBhAGwAYwBpAHUAbQAgAG4AaQB0AHIAYQB0AGUAXAAiACwAIABcACIAVgBFAEUAUgBHAFwAIgBcAG4AIAAgAH0ALAAgAHIALAAgAGMAKQBcAG4AKQApACkAOwBcAG4AXABuAEYAZQByAHQAaQBsAGkAcwBlAHIAXwBDAGgAZQBtAGkAYwBhAGwAQwBvAG0AcABvAHUAbgBkAEUAbABlAG0AZQBuAHQAcwBfAFYAYQByAGkAYQB0AGkAbwBuAFwAbgA9AEwAQQBNAEIARABBACgAXABuACAATQBBAEsARQBBAFIAUgBBAFkAKAAxADIALAAgADEALABcAG4AIABMAEEATQBCAEQAQQAoAHIALABjACwAXABuACAAIABJAE4ARABFAFgAKAB7AFwAbgAgACAAXAAiAFYAQQBSAEkAQQBUAEkATwBOACAATwBOACAAUwBPAFUAUgBDAEUAXAAiADsAXABuACAAIABcACIAQQBkAGQAZQBkACAAXAB1ADAAMAAyADcAQgBhAHMAaQBzAFwAdQAwADAAMgA3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XAB1ADAAMAAyADcAUwBjAG8AcABlACAAMwAgAGQAZQBmAGkAbgBpAHQAaQBvAG4AXAB1ADAAMAAyADcAIABjAG8AbAB1AG0AbgAgAHQAbwAgAGEAbABsAG8AdwAgAG0AYQBwAHAAaQBuAGcAIAB3AGkAdABoACAAcwBjAG8AcABlACAAMwAgAGQAYQB0AGEAXAAiADsAXABuACAAIABcACIAQQBkAGQAZQBkACAAXAB1ADAAMAAyADcAUwBvAHUAcgBjAGUAXAB1ADAAMAAyADcAIABjAG8AbAB1AG0AbgBcACIAOwBcAG4AIAAgAFwAIgBDAG8AbQBiAGkAbgBlAGQAIABkAGEAdABhACAAZgByAG8AbQAgAFQAYQBiAGwAZQAgAEEALgAyAC4AMgAuADMAIABhAG4AZAAgAFQAYQBiAGwAZQAgAEEALgAyAC4AMgAuADQAIABpAG4AdABvACAAbwBuAGUAIAB0AGEAYgBsAGUAIAB0AG8AIABhAGkAZAAgAGwAbwBvAGsAdQBwAC4AXAAiADsAXABuACAAIABcACIARQB4AGMAbAB1AGQAZQBkACAAXAB1ADAAMAAyADcAUgBlAGYAZQByAGUAbgBjAGUAcwBcAHUAMAAwADIANwAgAGMAbwBsAHUAbQBuAFwAIgA7AFwAbgAgACAAXAAiAEUAeABjAGwAdQBkAGUAZAAgAFwAdQAwADAAMgA3AEEAbQBtAG8AbgBpAHUAbQAgAHMAdQBsAGYAYQB0AGUAXAB1ADAAMAAyADcAIABhAHMAIABpAHQAIABpAHMAIABhACAAZAB1AHAAbABpAGMAYQB0AGUAIABvAGYAIABcAHUAMAAwADIANwBTAHUAbABwAGgAYQB0AGUAIABvAGYAIABhAG0AbQBvAG4AaQBhACAAKABTAE8AQQApAFwAdQAwADAAMgA3AFwAIgA7AFwAbgAgACAAXAAiAEUAeABjAGwAdQBkAGUAZAAgAFwAdQAwADAAMgA3AEMAYQBsAGMAaQB1AG0AIABuAGkAdAByAGEAdABlAFwAdQAwADAAMgA3ACAAYQBzACAAbgBvACAAcwBjAG8AcABlACAAMwAgAHYAYQBsAHUAZQAgAGEAdgBhAGkAbABhAGIAbABlAC4AXAAiADsAXABuACAAIABcACIAUwBlAHQAIABcAHUAMAAwADIANwBOAGkAdAByAG8AZwBlAG4AIAAtACAARwBlAG4AZQByAGkAYwBcAHUAMAAwADIANwAgAGIAYQBzAGkAcwAgAGEAcwAgAFwAdQAwADAAMgA3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BcAHUAMAAwADIANwBVAHIAZQBhAC0AYQBtAG0AbwBuAGkAdQBtACAAbgBpAHQAcgBhAHQAZQBcAHUAMAAwADIANwAgAGIAYQBzAGkAcwAgAGEAcwAgAFwAdQAwADAAMgA3AFUAcgBlAGEALQBiAGEAcwBlAGQAIABmAGUAcgB0AGkAbABpAHMAZQByAFwAdQAwADAAMgA3AFwAIgA7AFwAbgAgACAAXAAiAEEAbQBtAG8AbgBpAGEAIABoAGEAcwAgAGEAbgAgAEYATgAgAHYAYQBsAHUAZQAgAG8AZgAgADAALgA4ADIAMwA1ACAAYgBhAHMAZQBkACAAbwBuACAAKAAxADQALwAxADcAKQB4ADEAMAAwACwAIAB3AGgAZQByAGUAIAAxADQAIABpAHMAIAB0AGgAZQAgAG0AYQBzAHMAIABvAGYAIABuAGkAdAByAG8AZwBlAG4AIABpAG4AIABhAG0AbQBvAG4AaQBhACAAYQBuAGQAIAAxADcAIABpAHMAIAB0AGgAZQAgAG0AbwBsAGEAcgAgAG0AYQBzAHMAIABvAGYAIABhAG0AbQBvAG4AaQBhAC4AXAAiAFwAbg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yAGEAYwB0AGkAbwBuACAAbwBmACAAaQBu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RgBfAFQAaQB0AGwAZQBcAG4APQBMAEEATQBCAEQAQQAoACgAXAAiAEYAcgBhAGMAdABpAG8AbgAgAG8AZgAgAGkAbgBvAHIAZwBhAG4AaQBjACAAZgBlAHIAdABpAGwAaQBzAGUAcgAgAHQAaABhAHQAIAB2AG8AbABhAHQAaQBsAGkAcwBlAHMAIABhAHMAIABOAEgAMwAgAGEAbgBkACAATgBPAHgAXAAiACkAKQA7AFwAbgBcAG4ARgBlAHIAdABpAGwAaQBzAGUAcgBfAEYAcgBhAGMARwBBAFMARgBfAFMAbwB1AHIAYwBlAFwAbgA9AEwAQQBNAEIARABBACgAKABcACI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pACkAOwBcAG4AXABuAEYAZQByAHQAaQBsAGkAcwBlAHIAXwBGAHIAYQBjAEcAQQBTAEYAXwBEAGEAdABhAFwAbgA9AEwAQQBNAEIARABBACgAXABuACAATQBBAEsARQBBAFIAUgBBAFkAKAA2ACwAIAAyACwAXABuACAATABBAE0AQgBEAEEAKAByACwAYwAsAFwAbgAgACAASQBOAEQARQBYACgAewBcAG4AIAAgAFwAIgBGAGUAcgB0AGkAbABpAHMAZQByACAAdAB5AHAAZQAgAGYAXAAiACwAIABcACIARgByAGEAYwBHAEEAUwBGAGYAXAAiADsAXABuACAAIABcACIAVQByAGUAYQAtAGIAYQBzAGUAZAAgAGYAZQByAHQAaQBsAGkAcwBlAHIAcwBcACIALAAgADAALgAxADUAOwBcAG4AIAAgAFwAIgBBAG0AbQBvAG4AaQB1AG0ALQBiAGEAcwBlAGQAIABmAGUAcgB0AGkAbABpAHMAZQByAHMAXAAiACwAIAAwAC4AMAA4ADsAXABuACAAIABcACIATgBpAHQAcgBhAHQAZQAtAGIAYQBzAGUAZAAgAGYAZQByAHQAaQBsAGkAcwBlAHIAcwBcACIALAAgADAALgAwADEAOwBcAG4AIAAgAFwAIgBBAG0AbQBvAG4AaQB1AG0ALQBuAGkAdAByAGEAdABlACAAYgBhAHMAZQBkACAAZgBlAHIAdABpAGwAaQBzAGUAcgBzAFwAIgAsACAAMAAuADAANQA7AFwAbgAgACAAXAAiAE8AdABoAGUAcgAgAGYAZQByAHQAaQBsAGkAcwBlAHIAcwBcACIALAAgADAALgAxADEAXABuACAAIAB9ACwAIAByACwAIABjACkAXABuACkAKQApADsAXABuAFwAbgBGAGUAcgB0AGkAbABpAHMAZQByAF8ARgByAGEAYwBHAEEAUwBG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jAGEAcgBiAG8AbgAgAGUAbQBpAHMAcwBpAG8AbgBzACAAZgByAG8AbQAgAHUAcgBlAGEAIABhAHAAcABsAGkAYwBhAHQAaQBvAG4AXABuAD0APQA9AD0APQA9AD0APQA9AD0APQA9AD0APQA9AD0APQA9AD0APQA9AD0APQA9AD0APQA9AD0APQA9AD0APQA9AD0APQA9AD0APQA9AD0APQA9AD0APQA9AD0APQA9AD0APQA9AD0APQA9AD0APQA9AD0APQA9AD0APQA9AD0APQA9AD0APQA9AD0APQA9AD0APQA9AD0AXABuACoALwBcAG4AXABuAEYAZQByAHQAaQBsAGkAcwBlAHIAXwBFAEYAVQByAGUAYQBDAE8AMgBfAFQAaQB0AGwAZQBcAG4APQBMAEEATQBCAEQAQQAoACgAXAAiAEUAbQBpAHMAcwBpAG8AbgAgAGYAYQBjAHQAbwByACAAZgBvAHIAIABjAGEAcgBiAG8AbgAgAGUAbQBpAHMAcwBpAG8AbgBzACAAZgByAG8AbQAgAHUAcgBlAGEAIABhAHAAcABsAGkAYwBhAHQAaQBvAG4AXAAiACkAKQA7AFwAbgBcAG4ARgBlAHIAdABpAGwAaQBzAGUAcgBfAEUARgBVAHIAZQBhAEMATwAyAF8AUwBvAHUAcgBjAGUAXABuAD0ATABBAE0AQgBEAEEAKAAoAFwAIgBWAEUARQBSAEcAIAAyADAAMgA2ADoAIAA1AC4AMQAuADIALgAyACAAQwBvAG4AcwB0AGEAbgB0ACAAUABhAHIAYQBtAGUAdABlAHIAcwBcACIAKQApADsAXABuAFwAbgBGAGUAcgB0AGkAbABpAHMAZQByAF8ARQBGAFUAcgBlAGEAQwBPADIAXwBWAGEAcgBpAGEAYgBsAGUAXABuAD0ATABBAE0AQgBEAEEAKAAoAFwAIgBFAEYAdQByAGUAYQBDAE8AMgBcACIAKQApADsAXABuAFwAbgBGAGUAcgB0AGkAbABpAHMAZQByAF8ARQBGAFUAcgBlAGEAQwBPADIAXwBVAG4AaQB0AFwAbgA9AEwAQQBNAEIARABBACgAKABcACIAawBnACAAQwAvAGsAZwAgAHUAcgBlAGEAXAAiACkAKQA7AFwAbgBcAG4ARgBlAHIAdABpAGwAaQBzAGUAcgBfAEUARgBVAHIAZQBhAEMATwAyAF8ARABhAHQAYQBcAG4APQBMAEEATQBCAEQAQQAoADAALgAyACkAOwBcAG4AXABuAEYAZQByAHQAaQBsAGkAcwBlAHIAXwBFAEYAVQByAGUAYQBDAE8AM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0AUwBvAGkAbABfAFQAaQB0AGwAZQBcAG4APQBMAEEATQBCAEQAQQAoACgAXAAiAEYAcgBhAGMAdABpAG8AbgAgAG8AZgAgAG8AcgBnAGEAbgBpAGMAIABmAGUAcgB0AGkAbABpAHMAZQByACAAdABoAGEAdAAgAHYAbwBsAGEAdABpAGwAaQBzAGUAcwAgAGEAcwAgAE4ASAAzACAAYQBuAGQAIABOAE8AeABcACIAKQApADsAXABuAFwAbgBGAGUAcgB0AGkAbABpAHMAZQByAF8ARgByAGEAYwBHAEEAUwBNAFMAbwBpAGwAXwBTAG8AdQByAGMAZQBcAG4APQBMAEEATQBCAEQAQQAoACgAXAAiAFYARQBFAFIARwAgADIAMAAyADYAOgAgADUALgA0AC4AMgAuADMAIABDAG8AbgBzAHQAYQBuAHQAIABQAGEAcgBhAG0AZQB0AGUAcgBzAFwAIgApACkAOwBcAG4AXABuAEYAZQByAHQAaQBsAGkAcwBlAHIAXwBGAHIAYQBjAEcAQQBTAE0AUwBvAGkAbABfAFYAYQByAGkAYQBiAGwAZQBcAG4APQBMAEEATQBCAEQAQQAoACgAXAAiAEYAcgBhAGMARwBBAFMATQBzAG8AaQBsAFwAIgApACkAOwBcAG4AXABuAEYAZQByAHQAaQBsAGkAcwBlAHIAXwBGAHIAYQBjAEcAQQBTAE0AUwBvAGkAbABfAFUAbgBpAHQAXABuAD0ATABBAE0AQgBEAEEAKAAoAFwAIgAoAGsAZwAgAE4ASAAzAC0ATgAgACsAIABOAE8AeAAtAE4AKQAvAGsAZwAgAE4AXAAiACkAKQA7AFwAbgBcAG4ARgBlAHIAdABpAGwAaQBzAGUAcgBfAEYAcgBhAGMARwBBAFMATQBTAG8AaQBsAF8ARABhAHQAYQBcAG4APQBMAEEATQBCAEQAQQAoADAALgAyADEAKQA7AFwAbgBcAG4ARgBlAHIAdABpAGwAaQBzAGUAcgBfAEYAcgBhAGMARwBBAFMATQBTAG8AaQBs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HQAaABhAHQAIABpAHMAIABsAG8AcwB0ACAAdABoAHIAbwB1AGcAaA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GAHIAYQBjAEwARQBBAEMASABfAFQAaQB0AGwAZQBcAG4APQBMAEEATQBCAEQAQQAoACgAXAAiAEYAcgBhAGMAdABpAG8AbgAgAG8AZgAgAG4AaQB0AHIAbwBnAGUAbgAgAHQAaABhAHQAIABpAHMAIABsAG8AcwB0ACAAdABoAHIAbwB1AGcAaAAgAGwAZQBhAGMAaABpAG4AZwAgAGEAbgBkACAAcgB1AG4AbwBmAGYAXAAiACkAKQA7AFwAbgBcAG4ARgBlAHIAdABpAGwAaQBzAGUAcgBfAEYAcgBhAGMATABFAEEAQwBIAF8AUwBvAHUAcgBjAGUAXABuAD0ATABBAE0AQgBEAEEAKAAoAFwAIgBWAEUARQBSAEcAIAAyADAAMgA2ADoAIAA1AC4ANQAuADIALgAzACAAQwBvAG4AcwB0AGEAbgB0ACAAUABhAHIAYQBtAGUAdABlAHIAcwBcACIAKQApADsAXABuAFwAbgBGAGUAcgB0AGkAbABpAHMAZQByAF8ARgByAGEAYwBMAEUAQQBDAEgAXwBWAGEAcgBpAGEAYgBsAGUAXABuAD0ATABBAE0AQgBEAEEAKAAoAFwAIgBGAHIAYQBjAEwARQBBAEMASABcACIAKQApADsAXABuAFwAbgBGAGUAcgB0AGkAbABpAHMAZQByAF8ARgByAGEAYwBMAEUAQQBDAEgAXwBVAG4AaQB0AFwAbgA9AEwAQQBNAEIARABBACgAKABcACIAZgByAGEAYwB0AGkAbwBuAFwAIgApACkAOwBcAG4AXABuAEYAZQByAHQAaQBsAGkAcwBlAHIAXwBGAHIAYQBjAEwARQBBAEMASABfAEQAYQB0AGEAXABuAD0ATABBAE0AQgBEAEEAKAAwAC4AMgA0ACkAOwBcAG4AXABuAEYAZQByAHQAaQBsAGkAcwBlAHIAXwBGAHIAYQBjAEwARQBBAEMAS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bgBpAHQAcgBvAGcAZQBu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UARgBMAGUAYQBjAGgAXwBUAGkAdABsAGUAXABuAD0ATABBAE0AQgBEAEEAKAAoAFwAIgBFAG0AaQBzAHMAaQBvAG4AIABmAGEAYwB0AG8AcgAgAGYAbwByACAAbgBpAHQAcgBvAGcAZQBuACAAbABlAGEAYwBoAGkAbgBnACAAYQBuAGQAIAByAHUAbgBvAGYAZgBcACIAKQApADsAXABuAFwAbgBGAGUAcgB0AGkAbABpAHMAZQByAF8ARQBGAEwAZQBhAGMAaABfAFMAbwB1AHIAYwBlAFwAbgA9AEwAQQBNAEIARABBACgAKABcACIAVgBFAEUAUgBHACAAMgAwADIANgA6ACAANQAuADUALgAyAC4AMwAgAEMAbwBuAHMAdABhAG4AdAAgAFAAYQByAGEAbQBlAHQAZQByAHMAXAAiACkAKQA7AFwAbgBcAG4ARgBlAHIAdABpAGwAaQBzAGUAcgBfAEUARgBMAGUAYQBjAGgAXwBWAGEAcgBpAGEAYgBsAGUAXABuAD0ATABBAE0AQgBEAEEAKAAoAFwAIgBFAEYATABlAGEAYwBoAFwAIgApACkAOwBcAG4AXABuAEYAZQByAHQAaQBsAGkAcwBlAHIAXwBFAEYATABlAGEAYwBoAF8AVQBuAGkAdABcAG4APQBMAEEATQBCAEQAQQAoACgAXAAiAGsAZwAgAE4AMgBPAC0ATgAgAC8AIABrAGcAIABOAFwAIgApACkAOwBcAG4AXABuAEYAZQByAHQAaQBsAGkAcwBlAHIAXwBFAEYATABlAGEAYwBoAF8ARABhAHQAYQBcAG4APQBMAEEATQBCAEQAQQAoADAALgAwADEAMQApADsAXABuAFwAbgBGAGUAcgB0AGkAbABpAHMAZQByAF8ARQBGAEwAZQBhAGMAaABfAFYAYQByAGkAYQB0AGkAbwBuAFwAbgA9AEwAQQBNAEIARABBACgAXAAiAFwAIgApADsAXABuAFwAbgBcAG4AXABuAC8AKgBcAG4APQA9AD0APQA9AD0APQA9AD0APQA9AD0APQA9AD0APQA9AD0APQA9AD0APQA9AD0APQA9AD0APQA9AD0APQA9AD0APQA9AD0APQA9AD0APQA9AD0APQA9AD0APQA9AD0APQA9AD0APQA9AD0APQA9AD0APQA9AD0APQA9AD0APQA9AD0APQA9AD0APQA9AD0APQA9AD0APQBcAG4ATABpAG0AZQAsACAAZABvAGwAbwBtAGkAdABlACAAYQBuAGQAIABnAHkAcABzAHUAbQBcAG4APQA9AD0APQA9AD0APQA9AD0APQA9AD0APQA9AD0APQA9AD0APQA9AD0APQA9AD0APQA9AD0APQA9AD0APQA9AD0APQA9AD0APQA9AD0APQA9AD0APQA9AD0APQA9AD0APQA9AD0APQA9AD0APQA9AD0APQA9AD0APQA9AD0APQA9AD0APQA9AD0APQA9AD0APQA9AD0APQBcAG4AKgAvAFwAbgBcAG4ARgBlAHIAdABpAGwAaQBzAGUAcgBfAEwAaQBtAGUARABvAGwAbwBtAGkAdABlAEcAeQBwAHMAdQBtAEMAbwBuAHMAdABhAG4AdABzAF8AVABpAHQAbABlAFwAbgA9AEwAQQBNAEIARABBACgAKABcACIAQwBvAG4AcwB0AGEAbgB0AHMAIABmAG8AcgAgAGwAaQBtAGUALAAgAGQAbwBsAG8AbQBpAHQAZQAgAGEAbgBkACAAZwB5AHAAcwB1AG0AXAAiACkAKQA7AFwAbgBcAG4ARgBlAHIAdABpAGwAaQBzAGUAcgBfAEwAaQBtAGUARABvAGwAbwBtAGkAdABlAEcAeQBwAHMAdQBtAEMAbwBuAHMAdABhAG4AdABzAF8ARABlAHMAYwByAGkAcAB0AGkAbwBuAFwAbgA9AEwAQQBNAEIARABBACgAKABcACIAQwBvAG4AcwB0AGEAbgB0AHMAIABmAG8AcgAgAGwAaQBtAGUALAAgAGQAbwBsAG8AbQBpAHQAZQAgAGEAbgBkACAAZwB5AHAAcwB1AG0AXAAiACkAKQA7AFwAbgBcAG4ARgBlAHIAdABpAGwAaQBzAGUAcgBfAEwAaQBtAGUARABvAGwAbwBtAGkAdABlAEcAeQBwAHMAdQBtAEMAbwBuAHMAdABhAG4AdABzAF8AUwBvAHUAcgBjAGUAXABuAD0ATABBAE0AQgBEAEEAKAAoAFwAIgBWAEUARQBSAEcAIAAyADAAMgA2ADoAIAA1AC4AMwAuADIALgAzACAAQwBvAG4AcwB0AGEAbgB0ACAAUABhAHIAYQBtAGUAdABlAHIAcwBcACIAKQApADsAXABuAFwAbgBGAGUAcgB0AGkAbABpAHMAZQByAF8ATABpAG0AZQBEAG8AbABvAG0AaQB0AGUARwB5AHAAcwB1AG0AQwBvAG4AcwB0AGEAbgB0AHMAXwBEAGEAdABhAFwAbgA9AEwAQQBNAEIARABBACgAXABuACAATQBBAEsARQBBAFIAUgBBAFkAKAA0ACwAIAAzACwAXABuACAATABBAE0AQgBEAEEAKAByACwAYwAsAFwAbgAgACAASQBOAEQARQBYACgAewBcAG4AIAAgAFwAIgBFAGwAZQBtAGUAbgB0AFwAIgAsACAAXAAiAFAAXAAiACwAIABcACIARQBGAFwAIgA7AFwAbgAgACAAXAAiAEwAaQBtAGUAIAAoAEMAYQBsAGMAaQB1AG0AIABjAGEAcgBiAG8AbgBhAHQAZQApAFwAIgAsACAAMAAuADkALAAgADAALgAxADIAOwBcAG4AIAAgAFwAIgBEAG8AbABvAG0AaQB0AGUAIAAoAE0AYQBnAG4AZQBzAGkAdQBtACAAYwBhAHIAYgBvAG4AYQB0AGUAKQBcACIALAAgADAALgA5ADUALAAgADAALgAxADMAOwBcAG4AIAAgAFwAIgBHAHkAcABzAHUAbQBcACIALAAgADAALAAgADAAXABuACAAIAB9ACwAIAByACwAIABjACkAXABuACkAKQApADsAXABuAFwAbgBGAGUAcgB0AGkAbABpAHMAZQByAF8ATABpAG0AZQBEAG8AbABvAG0AaQB0AGUARwB5AHAAcwB1AG0AQwBvAG4AcwB0AGEAbgB0AHMAXwBWAGEAcgBpAGEAdABpAG8AbgBcAG4APQBMAEEATQBCAEQAQQAoACgAXAAiAFYAQQBSAEkAQQBUAEkATwBOACAARgBSAE8ATQAgAFMATwBVAFIAQwBFACAARABBAFQAQQA6ACAARwB5AHAAcwB1AG0AIABoAGEAcwAgAGIAZQBlAG4AIABhAGQAZABlAGQAIAB3AGkAdABoACAAcABsAGEAYwBlAGgAbwBsAGQAZQByACAAdgBhAGwAdQBlAHMAIABvAGYAIAAwACAAZgBvAHIAIABQACAAYQBuAGQAIABFAEYAL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E4AQwBvAG0AbQBvAG4ARgBlAHIAdABpAGwAaQBzAGUAcgBzAF8AVABpAHQAbABlAFwAbgA9AEwAQQBNAEIARABBACgAKABcACIARgByAGEAYwB0AGkAbwBuACAAbwBmACAAbgBpAHQAcgBvAGcAZQBuACAAaQBuACAAYwBvAG0AbQBvAG4AIABpAG4AbwByAGcAYQBuAGkAYwAgAGYAZQByAHQAaQBsAGkAcwBlAHIAcwAgACgAawBnAE4ALwBrAGcAKQAgACgARgBOAG8AcgBnAGEAbgBpAGMALABmACkAXAAiACkAKQA7AFwAbgBcAG4ARgBlAHIAdABpAGwAaQBzAGUAcgBfAEYAcgBhAGMAdABpAG8AbgBOAEMAbwBtAG0AbwBuAEYAZQByAHQAaQBsAGkAcwBlAHIAcwBfAFMAbwB1AHIAYwBlAFwAbgA9AEwAQQBNAEIARABBACgAKABcACIAVgBFAEUAUgBHACAAMgAwADIANgA6ACAAVABhAGIAbABlACAAQQAuADIALgAyAC4AMwBcACIAKQApADsAXABuAFwAbgBGAGUAcgB0AGkAbABpAHMAZQByAF8ARgByAGEAYwB0AGkAbwBuAE4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OAGkAbgBvAHIAZwBhAG4AaQBjAGYAXAAiADsAXABuACAAIABcACIATQBvAG4AbwBhAG0AbQBvAG4AaQB1AG0AIABwAGgAbwBzAHAAaABhAHQAZQAgACgATQBBAFAAKQBcACIALAAgADAALgAxADAAOwBcAG4AIAAgAFwAIgBEAGkAYQBtAG0AbwBuAGkAdQBtACAAcABoAG8AcwBwAGgAYQB0AGUAIAAoAEQAQQBQACkAXAAiACwAIAAwAC4AMQA4ADsAXABuACAAIABcACIAVQByAGUAYQBcACIALAAgADAALgA0ADYAOwBcAG4AIAAgAFwAIgBTAHUAbABwAGgAYQB0AGUAIABvAGYAIABhAG0AbQBvAG4AaQBhACAAKABTAE8AQQApAFwAIgAsACAAMAAuADIAMQA7AFwAbgAgACAAXAAiAFUAcgBlAGEALQBhAG0AbQBvAG4AaQB1AG0AIABuAGkAdAByAGEAdABlACAAKABVAEEATgApAFwAIgAsACAAMAAuADMAMgA7AFwAbgAgACAAXAAiAEEAbQBtAG8AbgBpAHUAbQAgAG4AaQB0AHIAYQB0AGUAIAAoAEEATgApAFwAIgAsACAAMAAuADMAMwA3ADsAXABuACAAIABcACIAQwBhAGwAYwBpAHUAbQAgAGEAbQBtAG8AbgBpAHUAbQAgAG4AaQB0AHIAYQB0AGUAIAAoAEMAQQBOACkAXAAiACwAIAAwAC4AMgA3ADsAXABuACAAIABcACIAQQBtAG0AbwBuAGkAdQBtACAAUwB1AGwAZgBhAHQAZQBcACIALAAgADAALgAyADEAOwBcAG4AIAAgAFwAIgBDAGEAbABjAGkAdQBtACAATgBpAHQAcgBhAHQAZQBcACIALAAgADAALgAxADUANQBcAG4AIAAgAH0ALAAgAHIALAAgAGMAKQBcAG4AKQApACkAOwBcAG4AXABuAEYAZQByAHQAaQBsAGkAcwBlAHIAXwBGAHIAYQBjAHQAaQBvAG4ATg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HUAcgBlAGE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FUAcgBlAGEAQwBvAG0AbQBvAG4ARgBlAHIAdABpAGwAaQBzAGUAcgBzAF8AVABpAHQAbABlAFwAbgA9AEwAQQBNAEIARABBACgAKABcACIARgByAGEAYwB0AGkAbwBuACAAbwBmACAAdQByAGUAYQAgAGkAbgAgAGMAbwBtAG0AbwBuACAAaQBuAG8AcgBnAGEAbgBpAGMAIABmAGUAcgB0AGkAbABpAHMAZQByAHMAIAAoAGsAZwAgAHUAcgBlAGEALwBrAGcAKQAgACgARgBVAGYAKQBcACIAKQApADsAXABuAFwAbgBGAGUAcgB0AGkAbABpAHMAZQByAF8ARgByAGEAYwB0AGkAbwBuAFUAcgBlAGEAQwBvAG0AbQBvAG4ARgBlAHIAdABpAGwAaQBzAGUAcgBzAF8AUwBvAHUAcgBjAGUAXABuAD0ATABBAE0AQgBEAEEAKAAoAFwAIgBWAEUARQBSAEcAIAAyADAAMgA2ADoAIABUAGEAYgBsAGUAIABBAC4AMgAuADIALgA0AFwAIgApACkAOwBcAG4AXABuAEYAZQByAHQAaQBsAGkAcwBlAHIAXwBGAHIAYQBjAHQAaQBvAG4AVQByAGUAYQ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FUAZgBcACIAOwBcAG4AIAAgAFwAIgBNAG8AbgBvAGEAbQBtAG8AbgBpAHUAbQAgAHAAaABvAHMAcABoAGEAdABlACAAKABNAEEAUAApAFwAIgAsACAAMAA7AFwAbgAgACAAXAAiAEQAaQBhAG0AbQBvAG4AaQB1AG0AIABwAGgAbwBzAHAAaABhAHQAZQAgACgARABBAFAAKQBcACIALAAgADAAOwBcAG4AIAAgAFwAIgBVAHIAZQBhAFwAIgAsACAAMQA7AFwAbgAgACAAXAAiAFMAdQBsAHAAaABhAHQAZQAgAG8AZgAgAGEAbQBtAG8AbgBpAGEAIAAoAFMATwBBACkAXAAiACwAIAAwADsAXABuACAAIABcACIAVQByAGUAYQAtAGEAbQBtAG8AbgBpAHUAbQAgAG4AaQB0AHIAYQB0AGUAIAAoAFUAQQBOACkAXAAiACwAIAAwAC4AMwA1ADsAXABuACAAIABcACIAQQBtAG0AbwBuAGkAdQBtACAAbgBpAHQAcgBhAHQAZQAgACgAQQBOACkAXAAiACwAIAAwADsAXABuACAAIABcACIAQwBhAGwAYwBpAHUAbQAgAGEAbQBtAG8AbgBpAHUAbQAgAG4AaQB0AHIAYQB0AGUAIAAoAEMAQQBOACkAXAAiACwAIAAwADsAXABuACAAIABcACIAQQBtAG0AbwBuAGkAdQBtACAAUwB1AGwAZgBhAHQAZQBcACIALAAgADAAOwBcAG4AIAAgAFwAIgBDAGEAbABjAGkAdQBtACAATgBpAHQAcgBhAHQAZQBcACIALAAgADAAXABuACAAIAB9ACwAIAByACwAIABjACkAXABuACkAKQApADsAXABuAFwAbgBGAGUAcgB0AGkAbABpAHMAZQByAF8ARgByAGEAYwB0AGkAbwBuAFUAcgBlAGE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TAG8AdQByAGMAZQAgAHIAZQBnAGkAbwBuAHMAIABmAG8AcgAgAHUAcgBlAGEAIABhAG4AZAAgAGEAbQBtAG8AbgBpAGEAXABuAD0APQA9AD0APQA9AD0APQA9AD0APQA9AD0APQA9AD0APQA9AD0APQA9AD0APQA9AD0APQA9AD0APQA9AD0APQA9AD0APQA9AD0APQA9AD0APQA9AD0APQA9AD0APQA9AD0APQA9AD0APQA9AD0APQA9AD0APQA9AD0APQA9AD0APQA9AD0APQA9AD0APQA9AD0APQA9AD0AXABuACoALwBcAG4AXABuAEYAZQByAHQAaQBsAGkAcwBlAHIAXwBVAHIAZQBhAEEAbQBtAG8AbgBpAGEAUwBvAHUAcgBjAGUAUgBlAGcAaQBvAG4AcwBfAFQAaQB0AGwAZQBcAG4APQBMAEEATQBCAEQAQQAoAFwAIgBTAG8AdQByAGMAZQAgAHIAZQBnAGkAbwBuAHMAIABmAG8AcgAgAHUAcgBlAGEAIABhAG4AZAAgAGEAbQBtAG8AbgBpAGEAXAAiACkAOwBcAG4AXABuAEYAZQByAHQAaQBsAGkAcwBlAHIAXwBVAHIAZQBhAEEAbQBtAG8AbgBpAGEAUwBvAHUAcgBjAGUAUgBlAGcAaQBvAG4AcwBfAFMAbwB1AHIAYwBlAFwAbg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EYAZQByAHQAaQBsAGkAcwBlAHIAXwBVAHIAZQBhAEEAbQBtAG8AbgBpAGEAUwBvAHUAcgBjAGUAUgBlAGcAaQBvAG4AcwBfAEQAYQB0AGEAXABuAD0ATABBAE0AQgBEAEEAKABcAG4AIABNAEEASwBFAEEAUgBSAEEAWQAoADUALAAgADEALABcAG4AIABMAEEATQBCAEQAQQAoAHIALABjACwAXABuACAAIABJAE4ARABFAFgAKAB7AFwAbgAgACAAXAAiAFMAbwB1AHIAYwBlAFwAIgA7AFwAbgAgACAAXAAiAEcAbABvAGIAYQBsAFwAIgA7AFwAbgAgACAAXAAiAEMAYQBuAGEAZABhAFwAIgA7AFwAbgAgACAAXAAiAEMAaABpAG4AYQBcACIAOwBcAG4AIAAgAFwAIgBZAGUAbQBlAG4AXAAiAFwAbgAgACAAfQAsACAAcgAsACAAYwApAFwAbgApACkAKQA7AFwAbgBcAG4ALwAqAFwAbgA9AD0APQA9AD0APQA9AD0APQA9AD0APQA9AD0APQA9AD0APQA9AD0APQA9AD0APQA9AD0APQA9AD0APQA9AD0APQA9AD0APQA9AD0APQA9AD0APQA9AD0APQA9AD0APQA9AD0APQA9AD0APQA9AD0APQA9AD0APQA9AD0APQA9AD0APQA9AD0APQA9AD0APQA9AD0APQA9AFwAbgBCAHIAYQBuAGQAZQBkACAAZgBlAHIAdABpAGwAaQBzAGUAcgAgAHAAcgBvAGQAdQBjAHQAcwBcAG4APQA9AD0APQA9AD0APQA9AD0APQA9AD0APQA9AD0APQA9AD0APQA9AD0APQA9AD0APQA9AD0APQA9AD0APQA9AD0APQA9AD0APQA9AD0APQA9AD0APQA9AD0APQA9AD0APQA9AD0APQA9AD0APQA9AD0APQA9AD0APQA9AD0APQA9AD0APQA9AD0APQA9AD0APQA9AD0APQBcAG4AKgAvAFwAbgBcAG4ARgBlAHIAdABpAGwAaQBzAGUAcgBfAFAAcgBvAGQAdQBjAHQAcwBfAFQAaQB0AGwAZQBcAG4APQBMAEEATQBCAEQAQQAoACgAXAAiAEIAcgBhAG4AZABlAGQAIABmAGUAcgB0AGkAbABpAHMAZQByACAAcAByAG8AZAB1AGMAdABzACAAYQBuAGQAIAB0AGgAZQBpAHIAIABjAGgAZQBtAGkAYwBhAGwAIABjAG8AbQBwAG8AcwBpAHQAaQBvAG4AXAAiACkAKQA7AFwAbgBcAG4ARgBlAHIAdABpAGwAaQBzAGUAcgBfAFAAcgBvAGQAdQBjAHQAcwBfAFMAbwB1AHIAYwBlAFwAbgA9AEwAQQBNAEIARABBACgAKABcACIAXAAiACkAKQA7AFwAbgBcAG4ARgBlAHIAdABpAGwAaQBzAGUAcgBfAFAAcgBvAGQAdQBjAHQAcwBfAEQAYQB0AGEAMQBcAG4APQBMAEEATQBCAEQAQQAoAFwAbgAgAE0AQQBLAEUAQQBSAFIAQQBZACgAMgA0ACwAIAAzADIALABcAG4AIABMAEEATQBCAEQAQQAoAHIALABjACwAXABuACAAIABJAE4ARABFAFgAKAB7AFwAbgBcAG4AXAAiAEkAbgBjAGwAdQBkAGUAIABvAHIAIABlAHgAYwBsAHUAZABlAFwAIgAsAFwAIgBOAG8AdABlAHMAXAAiACwAXAAiAEMAbwBtAHAAYQBuAHkAXAAiACwAXAAiAFAAcgBvAGQAdQBjAHQAIABOAGEAbQBlAFwAIgAsAFwAIgBMAGkAbgBrAFwAIgAsAFwAIgBEAGEAdABhACAAcwBvAHUAcgBjAGUAXAAiACwAXAAiAFMAbwB1AHIAYwBlACAAaQBtAGEAZwBlAHMAXAAiACwAXAAiAFUAbgBpAHQAXAAiACwAXAAiAEQAZQBuAHMAaQB0AHkAIAAoAGwAIAB0AG8AIABrAGcAKQBcACIALABcACIAVQByAGUAYQAgAHMAbwB1AHIAYwBlAFwAIgAsAFwAIgBBAG0AbQBvAG4AaQBhACAAcwBvAHUAcgBjAGUAXAAiACwAXAAiAEkAbgBnAHIAZQBkAGkAZQBuAHQAIAAxAFwAIgAsAFwAIgBJAG4AZwByAGUAZABpAGUAbgB0ACAAMQAgAHAAZQByAGMAZQBuAHQAXAAiACwAXAAiAEkAbgBnAHIAZQBkAGkAZQBuAHQAIAAyAFwAIgAsAFwAIgBJAG4AZwByAGUAZABpAGUAbgB0ACAAMgAgAHAAZQByAGMAZQBuAHQAXAAiACwAXAAiAEkAbgBnAHIAZQBkAGkAZQBuAHQAIAAzAFwAIgAsAFwAIgBJAG4AZwByAGUAZABpAGUAbgB0ACAAMwAgAHAAZQByAGMAZQBuAHQAXAAiACwAXAAiAEkAbgBnAHIAZQBkAGkAZQBuAHQAIAA0AFwAIgAsAFwAIgBJAG4AZwByAGUAZABpAGUAbgB0ACAANAAgAHAAZQByAGMAZQBuAHQAXAAiACwAXAAiAEkAbgBnAHIAZQBkAGkAZQBuAHQAIAA1AFwAIgAsAFwAIgBJAG4AZwByAGUAZABpAGUAbgB0ACAANQAgAHAAZQByAGMAZQBuAHQAXAAiACwAXAAiAEkAbgBnAHIAZQBkAGkAZQBuAHQAIAA2AFwAIgAsAFwAIgBJAG4AZwByAGUAZABpAGUAbgB0ACAANgAgAHAAZQByAGMAZQBuAHQAXAAiACwAXAAiAEkAbgBnAHIAZQBkAGkAZQBuAHQAIAA3AFwAIgAsAFwAIgBJAG4AZwByAGUAZABpAGUAbgB0ACAANwAgAHAAZQByAGMAZQBuAHQAXAAiACwAXAAiAEkAbgBnAHIAZQBkAGkAZQBuAHQAIAA4AFwAIgAsAFwAIgBJAG4AZwByAGUAZABpAGUAbgB0ACAAOAAgAHAAZQByAGMAZQBuAHQAXAAiACwAXAAiAEkAbgBnAHIAZQBkAGkAZQBuAHQAIAA5AFwAIgAsAFwAIgBJAG4AZwByAGUAZABpAGUAbgB0ACAAOQAgAHAAZQByAGMAZQBuAHQAXAAiACwAXAAiAEkAbgBnAHIAZQBkAGkAZQBuAHQAIAAxADAAXAAiACwAXAAiAEkAbgBnAHIAZQBkAGkAZQBuAHQAIAAxADAAIABwAGUAcgBjAGUAbgB0AFwAIgAsAFwAIgBFAE4ARAAgAFIATwBXAFwAIgA7AFwAbgBcACIASQBuAGMAbAB1AGQAZQBcACIALABcACIAXAAiACwAXAAiAEMAYQBtAHAAYgBlAGwAbABzACAAZgBlAHIAdABpAGwAaQBzAGUAcgBzACAAQQB1AHMAdAByAGEAbABpAGEAXAAiACwAXAAiAEEAcQB1AGEAIABGAGkAbgBpAHMAaABcACIALABcACIAQQBxAHUAYQAgAEYAaQBuAGkAcwBoACAALQAgAEMAYQBtAHAAYgBlAGwAbABzACAARgBlAHIAdABpAGwAaQBzAGUAcgBzACAAQQB1AHMAdAByAGEAbABhAHMAaQBhAFwAIgAsAFwAIgBXAGUAYgBzAGkAdABlAFwAIgAsAFwAIgBcACIALABcACIATABcACIALAAxAC4AMgA2ACwAXAAiAFwAIgAsAFwAIgBcACIALABcACIAUABvAHQAYQBzAHMAaQB1AG0AIAAtACAARwBlAG4AZQByAGkAYwBcACIALAAwAC4AMgAyADUALABcACIAUABoAG8AcwBwAGgAbwByAHUAcwAgAC0AIABHAGUAbgBlAHIAaQBjAFwAIgAsADAALgAwADQALABcACIATgBpAHQAcgBvAGcAZQBuACAALQAgAEcAZQBuAGUAcgBpAGMAXAAiACwAMAAuADAAMgA2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RwByAG8AdwBcACIALABcACIAQQBxAHUAYQAgAEcAcgBvAHcAIAAtACAAQwBhAG0AcABiAGUAbABsAHMAIABGAGUAcgB0AGkAbABpAHMAZQByAHMAIABBAHUAcwB0AHIAYQBsAGEAcwBpAGEAXAAiACwAXAAiAFcAZQBiAHMAaQB0AGUAXAAiACwAXAAiAFwAIgAsAFwAIgBMAFwAIgAsADEALgAyADYALABcACIAXAAiACwAXAAiAFwAIgAsAFwAIgBQAG8AdABhAHMAcwBpAHUAbQAgAC0AIABHAGUAbgBlAHIAaQBjAFwAIgAsADAALgAxADAANQAsAFwAIgBOAGkAdAByAG8AZwBlAG4AIAAtACAARwBlAG4AZQByAGkAYwBcACIALAAwAC4AMAA5ADYALABcACIAUABoAG8AcwBwAGgAbwByAHUAcwAgAC0AIABHAGUAbgBlAHIAaQBjAFwAIgAsADAALgAw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OAGkAdAByAG8AIABBAE4AXAAiACwAXAAiAEEAcQB1AGEAIABOAGkAdAByAG8AIABBAE4AIAAtACAAQwBhAG0AcABiAGUAbABsAHMAIABGAGUAcgB0AGkAbABpAHMAZQByAHMAIABBAHUAcwB0AHIAYQBsAGEAcwBpAGEAXAAiACwAXAAiAFcAZQBiAHMAaQB0AGUALgAgAEIAcgBvAGMAaAB1AHIAZQBcACIALABcACIAXAAiACwAXAAiAEwAXAAiACwAMQAuADIANA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FwAIgAsAFwAIgBBAHEAdQBhACAATgBpAHQAcgBvAEMAYQBs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AoAFYASQApAFwAIgAsAFwAIgBBAHEAdQBhACAATgBpAHQAcgBvAEMAYQBsACAAKABWAEkAK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VQBsAHQAaQBtAGEAdABlAFwAIgAsAFwAIgBBAHEAdQBhACAATgBpAHQAcgBvAEMAYQBsACAAVQBsAHQAaQBtAGEAdABl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MwAsAFwAIgBOAGkAdAByAG8AZwBlAG4AIA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UwB0AGEAcgB0AFwAIgAsAFwAIgBBAHEAdQBhACAAUwB0AGEAcgB0ACAALQAgAEMAYQBtAHAAYgBlAGwAbABzACAARgBlAHIAdABpAGwAaQBzAGUAcgBzACAAQQB1AHMAdAByAGEAbABhAHMAaQBhAFwAIgAsAFwAIgBXAGUAYgBzAGkAdABlACAAUwBEAFMAXAAiACwAXAAiAFwAIgAsAFwAIgBMAFwAIgAsADEALgAyADUALABcACIAXAAi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MAbwBtAHAAbABlAHQAZQBcACIALABcACIAQQBxAHUAYQAgAFQAaABpAG8ALQBDAG8AbQBwAGwAZQB0AGUAIAAtACAAQwBhAG0AcABiAGUAbABsAHMAIABGAGUAcgB0AGkAbABpAHMAZQByAHMAIABBAHUAcwB0AHIAYQBsAGEAcwBpAGEAXAAiACwAXAAiAFcAZQBiAHMAaQB0AGUAIABTAEQAUwBcACIALABcACIAXAAiACwAXAAiAEwAXAAiACwAMQAuADQAMwAsAFwAIgBcACI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UAbQBlAHIAZwBlAFwAIgAsAFwAIgBBAHEAdQBhACAAVABoAGkAbwAtAEUAbQBlAHIAZwBlACAALQAgAEMAYQBtAHAAYgBlAGwAbABzACAARgBlAHIAdABpAGwAaQBzAGUAcgBzACAAQQB1AHMAdAByAGEAbABhAHMAaQBhAFwAIgAsAFwAIgBXAGUAYgBzAGkAdABlACAAUwBEAFMAXAAiACwAXAAiAFwAIgAsAFwAIgBMAFwAIgAsADEALgAyADkALABcACIAXAAiACwAXAAiAFwAIgAsAFwAIgBOAGkAdAByAG8AZwBlAG4AIAAtACAARwBlAG4AZQByAGkAYwBcACIALAAwAC4AMQAwADUALABcACIAUABoAG8AcwBwAGgAbwByAHUAcwAgAC0AIABHAGUAbgBlAHIAaQBjAFwAIgAsADAALgAwADkANAAsAFwAIgBQAG8AdABhAHMAcwBpAHUAbQAgAC0AIABHAGUAbgBlAHIAaQBjAFwAIgAsADAALgAwADQALABcACIAUwB1AGwAZgB1AHIAIAAtACAARwBlAG4AZQByAGkAYwBcACIALAAwAC4AMAAz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GAGwAbwB1AHIAaQBzAGgAXAAiACwAXAAiAEEAcQB1AGEAIABUAGgAaQBvAC0ARgBsAG8AdQByAGkAcwBoACAALQAgAEMAYQBtAHAAYgBlAGwAbABzACAARgBlAHIAdABpAGwAaQBzAGUAcgBzACAAQQB1AHMAdAByAGEAbABhAHMAaQBhAFwAIgAsAFwAIgBXAGUAYgBzAGkAdABlACAAUwBEAFMAXAAiACwAXAAiAFwAIgAsAFwAIgBMAFwAIgAsADEALgAzADIALABcACIAXAAiACwAXAAiAFwAIgAsAFwAIgBQAG8AdABhAHMAcwBpAHUAbQAgAC0AIABHAGUAbgBlAHIAaQBjAFwAIgAsADAALgAxADAAOAAsAFwAIgBOAGkAdAByAG8AZwBlAG4AIAAtACAARwBlAG4AZQByAGkAYwBcACIALAAwAC4AMAA5ADUALABcACIAUwB1AGwAZgB1AHIAIAAtACAARwBlAG4AZQByAGkAYwBcACIALAAwAC4AMAA4ADEALABcACIAUABoAG8AcwBwAGgAbwByAHUAcwAgAC0AIABHAGUAbgBlAHIAaQBjAFwAIgAsADAALgAwADQ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GAG8AbAAgAFAAbAB1AHMAXAAiACwAXAAiAEEAcwBjAG8AIABGAG8AbA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ABsAHUAcwBcACIALABcACIAQQBzAGMAbw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gBoAGkAegBvACAAUABsAHUAcwBcACIALABcACIAQQBzAGMAbwAgAFIAaABpAHoAbwAgAFAAbAB1AHMAIAAtACAAQwBhAG0AcABiAGUAbABsAHMAIABGAGUAcgB0AGkAbABpAHMAZQByAHMAIABBAHUAcwB0AHIAYQBsAGEAcwBpAGEAXAAiACwAXAAiAFwAIgAsAFwAIgBCAGkAbwBzAHQAaQBtAHUAbABhAG4AdA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lAG4AZQBmAGkAdAAgAFAAWgBcACIALABcACIAQgBlAG4AZQBmAGkAdAAgAFAAWg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wBhAG0AcABiAGUAbABsAHMAIABmAGUAcgB0AGkAbABpAHMAZQByAHMAIABBAHUAcwB0AHIAYQBsAGkAYQBcACIALABcACIAQgB1AGQALQBXAGkAcwBlAHIAIABEAHIAeQBcACIALABcACIAQgB1AGQALQBXAGkAcwBlAHIAIABEAHIAeQAgAC0AIABDAGEAbQBwAGIAZQBsAGwAcwAgAEYAZQByAHQAaQBsAGkAcwBlAHIAcwAgAEEAdQBzAHQAcgBhAGwAYQBzAGkAYQBcACIALABcACIAXAAiACwAXAAiAFwAIgAsAFwAIgBrAGcAXAAiACwAXAAi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IAaQB0ACAAQwBcACIALABcACIAQwBhAGwAYgBpAHQAIABD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MAaQB1AG0AIAAxADcANQBcACIALABcACIAQwBhAGwAYwBpAHUAbQAgADEANwA1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DAGEAbABQAGgAbwBzAFwAIgAsAFwAIgBDAGEAbABwAGgAbwBzACAALQAgAEMAYQBtAHAAYgBlAGwAbABzACAARgBlAHIAdABpAGwAaQBzAGUAcgBzACAAQQB1AHMAdAByAGEAbABhAHMAaQBhAFwAIgAsAFwAIgBXAGUAYgBzAGkAdABlAFwAIgAsAFwAIgBcACIALABcACIATABcACIALAAxAC4AMgA4ADUALABcACIAXAAi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LABcACIAXAAiACwAXAAiAFwAIgAsAFwAIgBFAE4ARAAgAFIATwBXAFwAIgBcAG4AIAAgAH0ALAAgAHIALAAgAGMAKQBcAG4AKQApACkAOwBcAG4AXABuAC8AKgBcAG4ARgBlAHIAdABpAGwAaQBzAGUAcgBfAFAAcgBvAGQAdQBjAHQAcwBfAEQAYQB0AGEAMgBcAG4APQBMAEEATQBCAEQAQQAoAFwAbgAgAE0AQQBLAEUAQQBSAFIAQQBZACgAMgAxACwAIAAyADgALABcAG4AIABMAEEATQBCAEQAQQAoAHIALABjACwAXABuACAAIABJAE4ARABFAFgAKAB7AFwAbgBcACIASQBuAGMAbAB1AGQAZQBcACIALABcACIANQAwAC8ANQAwACAAbgBpAHQAcgBhAHQAZQAgAGEAbgBkACAAYQBtAG0AbwBuAGkAYQBjAGEAbAAgAG4AaQB0AHIAbwBnAGUAbgAgACgAYQBtAG0AbwBuAGkAdQBtACAAbgBpAHQAcgBhAHQAZQApAFwAIgAsAFwAIgBDAGEAbQBwAGIAZQBsAGwAcwAgAGYAZQByAHQAaQBsAGkAcwBlAHIAcwAgAEEAdQBzAHQAcgBhAGwAaQBhAFwAIgAsAFwAIgBDAG8AbQBwAGEAcwBzAFwAIgAsAFwAIgBDAG8AbQBwAGEAcwBzACAALQAgAEMAYQBtAHAAYgBlAGwAbABzACAARgBlAHIAdABpAGwAaQBzAGUAcgBzACAAQQB1AHMAdAByAGEAbABhAHMAaQBhAFwAIgAsAFwAIgBcACIALABcACIAXAAiACwAXAAiAGsAZwBcACIALAAxACwAXAAiAFwAIg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DAG8AbgB0AHIAbwBsAGwAZQBkACAAcgBlAGwAZQBhAHMAZQAgAE4AIAB0AHIAZQBhAHQAZQBkACAAYQBzACAAZwBlAG4AZQByAGkAYwAgAEEAbQBvAHUAbgB0ACAAbwBmACAAdQByAGUAYQAgAGMAYQBsAGMAdQBsAGEAdABlAGQAIABmAHIAbwBtACAAdQByAGUAYQAgAG4AaQB0AHIAbwBnAGUAbgAgAGEAbQBvAHUAbgB0AFwAIgAsAFwAIgBDAGEAbQBwAGIAZQBsAGwAcwAgAGYAZQByAHQAaQBsAGkAcwBlAHIAcwAgAEEAdQBzAHQAcgBhAGwAaQBhAFwAIgAsAFwAIgBDAG8AUgBvAE4AIAAxADIALQAwAC0AMQAwAFwAIgAsAFwAIgBDAG8AcgBvAG4AIAAxADIALQAwAC0AMQAwACAALQAgAEMAYQBtAHAAYgBlAGwAbABzACAARgBlAHIAdABpAGwAaQBzAGUAcgBzACAAQQB1AHMAdAByAGEAbABhAHMAaQBhAFwAIgAsAFwAIgBXAGUAYgBzAGkAdABlACAAUwBEAFMAIABCAHIAbwBjAGgAdQByAGUAXAAiACwAXAAiAFwAIgAsAFwAIgBMAFwAIgAsADEALgAyADEANQAsAFwAIgBcACIALABcACIAXAAiACwAXAAiAFUAcgBlAGEAXAAiACwAMAAuADEAOQA1ADYANQAyADEANwA0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CwAXAAiAEUATgBEACAAUgBPAFcAXAAiADsAXABuAFwAIgBJAG4AYwBsAHUAZABlAFwAIgAsAFwAIgBVAHMAZQBkACAAUwB1AGwAcABoAGEAdABlACAAbwBmACAAQQBtAG0AbwBuAGkAYQAgAGEAbgBkACAAQQBtAG0AbwBuAGkAdQBtACAAbgBpAHQAcgBhAHQAZQAgAHYAYQBsAHUAZQBzACAAZgByAG8AbQAgAFMARABTAFwAIgAsAFwAIgBDAGEAbQBwAGIAZQBsAGwAcwAgAGYAZQByAHQAaQBsAGkAcwBlAHIAcwAgAEEAdQBzAHQAcgBhAGwAaQBhAFwAIgAsAFwAIgBNAGEAeABpAG0AdQBtACAAUQB1AGkAYwBrAC0ATgBcACIALABcACIATQBhAHgAaQBtAHUAbQAgAFEAdQBpAGMAawAtAE4AIAAtACAAQwBhAG0AcABiAGUAbABsAHMAIABGAGUAcgB0AGkAbABpAHMAZQByAHMAIABBAHUAcwB0AHIAYQBsAGEAcwBpAGEAXAAiACwAXAAiAFcAZQBiAHMAaQB0AGUAIABTAEQAUwBcACIALABcACIAXAAiACwAXAAiAGsAZwBcACIALAAxACwAXAAiAFwAIgAsAFwAIgBcACIALABcACIAUwB1AGwAcABoAGEAdABlACAAbwBmACAAYQBtAG0AbwBuAGkAYQBcACIALAAwAC4ANQA1ACwAXAAiAEEAbQBtAG8AbgBpAHUAbQAgAG4AaQB0AHIAYQB0AGUAXAAiACwAMAAuADM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BAGcAcwB0AGEAXAAiACwAXAAiAEEAZwBTAHQAYQByACAATQBhAG4AZwBhAG4AZQBzAGUAXAAiACwAXAAiAEEAZwBTAHQAYQByACAATQBhAG4AZwBhAG4AZQBzAGUAIAB8ACAAVwBlAGwAYwBvAG0AZQAgAHQAbwAgAEEAZwBzAHQAYQByAFwAIgAsAFwAIgBMAGEAYgBlAGwAIABTAEQAUwBcACIALABcACIAXAAiACwAXAAiAEwAXAAiACwAMQAuADQANwAsAFwAIgBcACIALABcACIAXAAiACwAXAAiAE0AYQBuAGcAYQBuAGUAcwBlACAAbgBpAHQAcgBhAHQAZQBcACIALAAwAC4ANAA1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wBMACAAVABlAGMAXAAiACwAXAAiAEMAcgBvAHAAIABCAG8AbwBzAHQAZQByACAAUABMAFUAUwBcACIALABcACIAaAB0AHQAcABzADoALwAvAHcAdwB3AC4AcwBsAHQAZQBjAC4AYwBvAG0ALgBhAHUALwBzAGwAdABlAGMALwBmAGEAYwB0AF8AcwBoAGUAZQB0AHMALwBTAEwAVABFAEMAXwBDAHIAbwBwAEIAbwBvAHMAdABlAHIAUABsAHUAcwAuAHAAZABmAFwAIgAsAFwAIgBCAHIAbwBjAGgAdQByAGUAIAB3AGUAYgBzAGkAdABlAFwAIgAsAFwAIgBcACIALABcACIATABcACIALAAxAC4AMwAxADkALABcACIAXAAiACwAXAAiAFwAIgAsAFwAIgBQAGgAbwBzAHAAaABvAHIAdQBzACAALQAgAEcAZQBuAGUAcgBpAGMAXAAiACwAMAAuADEANQAsAFwAIgBDAGEAbABjAGkAdQBtACAALQAgAEcAZQBuAGUAcgBpAGMAXAAiACwAMAAuADAANAAsAFwAIgBOAGkAdAByAG8AZwBlAG4AIAAtACAAQQBtAG0AbwBuAGkAYQBjAGEAbABcACIALAAwAC4AMAAyADkALABcACIATgBpAHQAcgBvAGcAZQBuACAALQAgAE4AaQB0AHIAYQB0AGUAXAAiACwAMAAuADAAMgAxACwAXAAiAFAAbwB0AGEAcwBzAGkAdQBtACAALQAgAEcAZQBuAGUAcgBpAGMAXAAiACwAMAAuADAAMgAxACwAXAAiAEMAbwBvAHAAZQByAFwAIgAsADAALgAwADAANQAsAFwAIgBaAGkAbgBjAFwAIgAsADAALgAwADAANAAsAFwAIgBNAGEAbgBnAGEAbgBlAHMAZQBcACIALAAwAC4AMAAwADQALABcACIATQBhAGcAbgBlAHMAaQB1AG0AXAAiACwAMAAuADAAMAAyACwAXAAiAFwAIgAsAFwAIgBcACIALABcACIARQBOAEQAIABSAE8AVwBcACIAOwBcAG4AXAAiAEkAbgBjAGwAdQBkAGUAXAAiACwAXAAiAEkAbgBnAHIAZQBkAGkAZQBuAHQAIABpAHMAIABhAGMAdAB1AGEAbABsAHkAIABhAG0AbQBvAG4AaQB1AG0AIABiAGkAYwBhAHIAYgBvAG4AYQB0AGUAIAB0AGgAZQAgAGUAbABlAG0AZQBuAHQAYQBsACAAYwBvAG0AcABvAHMAaQB0AGkAbwBuACAAaABhAHMAIAAxADcALgA3ACUAIABOAGkAdAByAG8AZwBlAG4AXAAiACwAXAAiAFIAaQBzAHMAbwAtAEMAaABlAG0AaQBjAGEAbABcACIALABcACIAQQBtAG0AbwBuAGkAdQBtACAAQgBpAGMAYQByAGIAbwBuAGEAdABlAFwAIgAsAFwAIgBBAG0AbQBvAG4AaQB1AG0AIABCAGkAYwBhAHIAYgBvAG4AYQB0AGUAIABIAGkAZwBoAC0AUQB1AGEAbABpAHQAeQAgAEYAZQByAHQAaQBsAGkAegBlAHIAIABcAHUAMAAwADIANgAgAEwAZQBhAHYAZQBuAGkAbgBnACAAQQBnAGUAbgB0AFwAIgAsAFwAIgBXAGUAYgBzAGkAdABlACAAUwBEAFMAIAAgAGgAdAB0AHAAcwA6AC8ALwBtAGUAcgBjAGsAaQBuAGQAZQB4AC4AcgBzAGMALgBvAHIAZwAvAG0AbwBuAG8AZwByAGEAcABoAHMALwBtADEANwA2ADQAPwBhAGMAYwBlAHMAcwA9AGYAdABcACIALABcACIAXAAiACwAXAAiAGsAZwBcACIALAAxACwAXAAiAFwAIgAsAFwAIgBDAGgAaQBuAGE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IAaQBzAHMAbwAtAEMAaABlAG0AaQBjAGEAbABcACIALABcACIAQQBtAG0AbwBuAGkAdQBtACAAUwB1AGwAZgBhAHQAZQBcACIALABcACIAQQBtAG0AbwBuAGkAdQBtACAAUwB1AGwAZgBhAHQAZQAgAEYAZQByAHQAaQBsAGkAegBlAHIAIABIAGkAZwBoAC0AUQB1AGEAbABpAHQAeQAgAE4AaQB0AHIAbwBnAGUAbgAgAGEAbgBkACAAUwB1AGwAZgB1AHIAIABmAG8AcgAgAEMAcgBvAHAAcwBcACIALABcACIAVwBlAGIAcwBpAHQAZQBcACIALABcACIAXAAiACwAXAAiAGsAZwBcACIALAAxACwAXAAiAFwAIgAsAFwAIgBDAGgAaQBuAGEAXAAiACwAXAAiAFMAdQBsAGYAdQByACAALQAgAEcAZQBuAGUAcgBpAGMAXAAiACwAMAAuADIANAAsAFwAIgBOAGkAdAByAG8AZwBlAG4AIAAtACAAQQBtAG0AbwBuAGkAYQBjAGEAbABcACIALAAwAC4AMgAx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IAYQB2AGUAbgBzAGQAbwB3AG4AXAAiACwAXAAiAEEAbQBtAG8AbgBpAHUAbQAgAFMAdQBsAHAAaABhAHQAZQAgAC0AIABHAHIAYQBuAHUAbABhAHIAXAAiACwAXAAiAFIAYQB2AGUAbgBzAGQAbwB3AG4AIAB8ACAARwByAGEAbgB1AGwAYQByACAAQQBtAG0AbwBuAGkAdQBtACAAUwB1AGwAcABoAGEAdABlACAAKABHAEEAUwAvAFMATwBBACkAXAAiACwAXAAiAFcAZQBiAHMAaQB0AGUAIABTAEQAUwBcACIALABcACIAXAAiACwAXAAiAGsAZwBcACIALAAxACwAXAAiAFwAIgAsAFwAIgBcACIALABcACIAUwB1AGwAZgB1AHIAIAAtACAARwBlAG4AZQByAGkAYwBcACIALAAwAC4AMgAzACwAXAAiAE4AaQB0AHIAbwBnAGUAbgAgAC0AIABBAG0AbQBvAG4AaQBhAGMAYQBsAFwAIgAsADAALg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kAbQBwAGEAYwB0ACAARgBlAHIAdABpAGwAaQBzAGUAcgBzAFwAIgAsAFwAIgBEAGkALQBBAG0AbQBvAG4AaQB1AG0AIABQAGgAbwBzAHAAaABhAHQAZQAgACgARABBAFAAKQBcACIALABcACIARABpAC0AQQBtAG0AbwBuAGkAdQBtACAAUABoAG8AcwBwAGgAYQB0AGUAIAAoAEQAQQBQACkAIAAtACAASQBtAHAAYQBjAHQAIABGAGUAcgB0AGkAbABpAHMAZQByAHMAXAAiACwAXAAiAFcAZQBiAHMAaQB0AGUAXAAiACwAXAAiAFwAIgAsAFwAIgBrAGcAXAAiACwAMQAsAFwAIgBcACIALABcACIAXAAiACwAXAAiAFAAaABvAHMAcABoAG8AcgB1AHMAIAAtACAARwBlAG4AZQByAGkAYwBcACIALAAwAC4AMgAwADIALABcACIATgBpAHQAcgBvAGcAZQBuACAALQAgAEcAZQBuAGUAcgBpAGMAXAAiACwAMAAuADEAOAAsAFwAIgBTAHUAbABmAHUAcgAgAC0AIABHAGUAbgBlAHIAaQBjAFwAIgAsADAALgAwADEAN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wAIgAsAFwAIgBJAG4AYwBpAHQAZQBjACAAUABpAHYAbwB0ACAARgBlAHIAdABpAGwAaQBzAGUAcgBzAFwAIgAsAFwAIgBCAGEAcwBhAGwAdAAgAEIAbwBvAFMAUwB0AGEAXAAiACwAXAAiAEIAYQBnACAAVABhAGcAcwBcACIALABcACIAQgByAG8AYwBoAHUAcgBlAFwAIgAsAFwAIgBcACIALABcACIAawBnAFwAIgAsADEALABcACIAXAAiACwAXAAiAFwAIgAsAFwAIgBTAHUAbABmAHUAcgAgAC0AIABHAGUAbgBlAHIAaQBjAFwAIgAsADAALgAyADcANgAsAFwAIgBQAGgAbwBzAHAAaABvAHIAdQBzACAALQAgAEcAZQBuAGUAcgBpAGMAXAAiACwAMAAuADEANAAsAFwAIgBOAGkAdAByAG8AZwBlAG4AIAAtACAARwBlAG4AZQByAGkAYwBcACIALAAwAC4AMAA4ACwAXAAiAEYAbABvAHUAcgBpAGQAZQBcACIALAAwAC4AMAAyADQ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FMAdQBtAG0AaQB0ACAARgBlAHIAdABpAGwAaQB6AGUAcgBzAFwAIgAsAFwAIgBEAEEAUABTAFoAQwBcACIALABcACIATQBpAGMAcgBvAHMAbwBmAHQAIABXAG8AcgBkACAALQAgAEQAQQBQAFMAWgBDACAAUwBhAGYAZQB0AHkAIABEAGEAdABhACAAUwBoAGUAZQB0AFwAIgAsAFwAIgBTAEQAUwBcACIALABcACIAXAAiACwAXAAiAGsAZwBcACIALAAxACwAXAAiAFwAIgAsAFwAIgBcACIALABcACIAUABoAG8AcwBwAGgAbwByAHUAcwAgAC0AIABHAGUAbgBlAHIAaQBjAFwAIgAsADAALgAxADgAMgAsAFwAIgBOAGkAdAByAG8AZwBlAG4AIAAtACAARwBlAG4AZQByAGkAYwBcACIALAAwAC4AMQA2ADkALABcACIAUwB1AGwAZgB1AHIAIAAtACAARwBlAG4AZQByAGkAYwBcACIALAAwAC4AMAA4ACwAXAAiAFoAaQBuAGMAIAAtACAARwBlAG4AZQByAGkAYwBcACIALAAwAC4AMAAwADIALABcACIAQwBvAHAAcABlAHIAXAAiACwAMAAuADAAMAAxACwAXAAiAFwAIgAsAFwAIgBcACIALABcACIAXAAiACwAXAAiAFwAIgAsAFwAIgBcACIALABcACIAXAAiACwAXAAiAFwAIgAsAFwAIgBcACIALABcACIAXAAiACwAXAAiAFwAIgAsAFwAIgBFAE4ARAAgAFIATwBXAFwAIgA7AFwAbgBcACIASQBuAGMAbAB1AGQAZQBcACIALABcACIAQQBtAG8AdQBuAHQAIABvAGYAIAB1AHIAZQBhACAAYwBhAGwAYwB1AGwAYQB0AGUAZAAgAGYAcgBvAG0AIAB1AHIAZQBhACAAbgBpAHQAcgBvAGcAZQBuACAAYQBtAG8AdQBuAHQAXAAiACwAXAAiAEkAbgBjAGkAdABlAGMAIABQAGkAdgBvAHQAIABGAGUAcgB0AGkAbABpAHMAZQByAHMAXAAiACwAXAAiAEUAYQBzAHkAIABOAFwAIgAsAFwAIgBoAHQAdABwAHMAOgAvAC8AdwB3AHcALgBpAG4AYwBpAHQAZQBjAHAAaQB2AG8AdABmAGUAcgB0AGkAbABpAHMAZQByAHMALgBjAG8AbQAuAGEAdQAvAHAAcgBvAGQAdQBjAHQAcwAtAHMAZQByAHYAaQBjAGUAcwAvAG8AdQByAC0AcAByAG8AZAB1AGMAdABzAC8AbABpAHEAdQBpAGQAcwAvAGUAYQBzAHkALQBuAC8AXAAiACwAXAAiAFcAZQBiAHMAaQB0AGUAIABiAHIAbwBjAGgAdQByAGUAIABCAGEAZwAgAHQAYQBnAFwAIgAsAFwAIgBcACIALABcACIATABcACIALAAxAC4AMwAyACwAXAAiAFwAIgAsAFwAIgBcACIALABcACIAVQByAGUAYQBcACIALAAwAC4ANAA2ADcAMwA5ADEAMwAwADQ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gBpAHMAcwBvAC0AQwBoAGUAbQBpAGMAYQBsAFwAIgAsAFwAIgBDAGEAbABjAGkAdQBtACAAQQBtAG0AbwBuAGkAdQBtACAATgBpAHQAcgBhAHQAZQBcACIALABcACIAQwBhAGwAYwBpAHUAbQAgAEEAbQBtAG8AbgBpAHUAbQAgAE4AaQB0AHIAYQB0AGUAIABCAGEAbABhAG4AYwBlAGQAIABGAGUAcgB0AGkAbABpAHoAZQByACAAZgBvAHIAIABFAG4AaABhAG4AYwBlAGQAIABDAHIAbwBwACAARwByAG8AdwB0AGgAIAB8ACAAUgBpAHMAcwBvAFwAIgAsAFwAIgBcACIALABcACIAXAAiACwAXAAiAGsAZwBcACIALAAxACwAXAAiAFwAIgAsAFwAIgBDAGgAaQBuAGEAXAAiACwAXAAiAE4AaQB0AHIAbwBnAGUAbgAgAC0AIABBAG0AbQBvAG4AaQBhAGMAYQBsAFwAIgAsADAALgAyADcALABcACIATgBpAHQAcgBvAGcAZQBuACAALQAgAE4AaQB0AHIAYQB0AGUAXAAiACwAMAAuADEAMwA1ACwAXAAiAEMAYQBsAGMAaQB1AG0AIAAtACAARwBlAG4AZQByAGkAYwBcACIALAAwAC4AMQAy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wBMACAAVABlAGMAXAAiACwAXAAiAEMAZQBsAGwAQwBBAEwAIABQAGwAdQBzAFwAIgAsAFwAIgBTAEwAVABFAEMAXwBDAGUAbABsAEMAQQBMAFAATABVAFMALgBwAGQAZgBcACIALABcACIAQgByAG8AYwBoAHUAcgBlAFwAIgAsAFwAIgBcACIALABcACIATABcACIALAAxAC4AMQAzADgALABcACIAXAAiACwAXAAiAFwAIgAsAFwAIgBDAGEAbABjAGkAdQBtACAALQAgAEcAZQBuAGUAcgBpAGM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VQBzAGUAIABtAHUAcgBpAGEAdABlACAAbwBmACAAcABvAHQAYQBzAGgAIAAoAE0ATwBQACkAIABpAG4AcwB0AGUAYQBkACAAbwBmACAAXAB1ADAAMAAyADcAcABvAHQAYQBzAHMAaQB1AG0AIABhAHMAIABjAGgAbABvAHIAaQBkAGUAXAB1ADAAMAAyADcAXAAiACwAXAAiAEkAbgBjAGkAdABlAGMAIABQAGkAdgBvAHQAIABGAGUAcgB0AGkAbABpAHMAZQByAHMAXAAiACwAXAAiAEMASwA1ADUAXAAiACwAXAAiAEIAYQBnACAAVABhAGcAcwBcACIALABcACIAQgBhAGcAIAB0AGEAZwBcACIALABcACIAXAAiACwAXAAiAGsAZwBcACIALAAxACwAXAAiAFwAIgAsAFwAIgBcACIALABcACIAUABoAG8AcwBwAGgAbwByAHUAcwAgAC0AIABHAGUAbgBlAHIAaQBjAFwAIgAsADAALgAxADUALABcACIATgBpAHQAcgBvAGcAZQBuACAALQAgAEEAbQBtAG8AbgBpAGEAYwBhAGwAXAAiACwAMAAuADEAMwA1ACwAXAAiAE0AdQByAGkAYQB0AGUAIABvAGYAIABQAG8AdABhAHMAaAAgACgATQBPAFAAKQBcACIALAAwAC4AMQAyADUALABcACIARgBsAG8AdQByAGkAZABlAFwAIgAsADAALgAwADIAMwAsAFwAIgBTAHUAbABmAHUAcgAgAC0AIABHAGUAbgBlAHIAaQBjAFwAIgAsADAALgAwADEAMgAsAFwAIgBcACIALABcACIAXAAiACwAXAAiAFwAIgAsAFwAIgBcACIALABcACIAXAAiACwAXAAiAFwAIgAsAFwAIgBcACIALABcACIAXAAiACwAXAAiAFwAIgAsAFwAIgBcACIALABcACIARQBOAEQAIABSAE8AVwBcACIAOwBcAG4AIAAgACAAIABcACIARQB4AGMAbAB1AGQAZQAgAC0AIABBAGIAcwBlAG4AdAAgAGkAbgBnAHIAZQBkAGkAZQBuAHQAcwAgAFwAdQAwADAAMwBlACAAMgAlAFwAIgAsAFwAIgBcACIALABcACIAQwBhAG0AcABiAGUAbABsAHMAIABmAGUAcgB0AGkAbABpAHMAZQByAHMAIABBAHUAcwB0AHIAYQBsAGkAYQBcACIALABcACIAQgB1AGQALQBXAGkAcwBlAHIAIABEAHIAeQBcACIALABcACIAawBn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IAaQB0ACAAQw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MAaQB1AG0AIAAxADcAN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BAGIAcwBlAG4AdAAgAGkAbgBnAHIAZQBkAGkAZQBuAHQAcwAgAFwAdQAwADAAMwBlACAAMgAlAFwAIgAsAFwAIgBcACIALABcACIAQwBhAG0AcABiAGUAbABsAHMAIABmAGUAcgB0AGkAbABpAHMAZQByAHMAIABBAHUAcwB0AHIAYQBsAGkAYQBcACIALABcACIAQwBhAGwAUABoAG8AcwBcACIALABcACIATABcACIALAAxAC4AMgA4ADU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7AFwAbgBcACIASQBuAGMAbAB1AGQAZQBcACIALABcACIANQAwAC8ANQAwACAAbgBpAHQAcgBhAHQAZQAgAGEAbgBkACAAYQBtAG0AbwBuAGkAYQBjAGEAbAAgAG4AaQB0AHIAbwBnAGUAbgAgACgAYQBtAG0AbwBuAGkAdQBtACAAbgBpAHQAcgBhAHQAZQApAFwAIgAsAFwAIgBcACIALABcACIAQwBhAG0AcABiAGUAbABsAHMAIABmAGUAcgB0AGkAbABpAHMAZQByAHMAIABBAHUAcwB0AHIAYQBsAGkAYQBcACIALABcACIAQwBvAG0AcABhAHMAcwBcACIALABcACIAawBnAFwAIgAsADE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DsAXABuAFwAIgBJAG4AYwBsAHUAZABlACAALQAgAEEAYgBzAGUAbgB0ACAAaQBuAGcAcgBlAGQAaQBlAG4AdABzACAAXAB1ADAAMAAzAGMAIAAyACUAXAAiACwAXAAiAEMAbwBuAHQAcgBvAGwAbABlAGQAIAByAGUAbABlAGEAcwBlACAATgAgAHQAcgBlAGEAdABlAGQAIABhAHMAIABnAGUAbgBlAHIAaQBjAFwAIgAsAFwAIgBcACIALABcACIAQwBhAG0AcABiAGUAbABsAHMAIABmAGUAcgB0AGkAbABpAHMAZQByAHMAIABBAHUAcwB0AHIAYQBsAGkAYQBcACIALABcACIAQwBvAFIAbwBOACAAMQAyAC0AMAAtADEAMABcACIALABcACIATABcACIALAAxAC4AMgAxADUALABcACIAXAAiACwAXAAiAE4AaQB0AHIAbwBnAGUAbgAgAC0AIABVAHIAZQBpAGMAXAAiACwAMAAuADAAOQ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BcAG4AIAAgAH0ALAAgAHIALAAgAGMAKQBcAG4AKQApACkAOwBcAG4AXABuAFwAbgBGAGUAcgB0AGkAbABpAHMAZQByAF8AUAByAG8AZAB1AGMAdABzAF8ARABhAHQAYQAzAFwAbgA9AEwAQQBNAEIARABBACgAXABuACAATQBBAEsARQBBAFIAUgBBAFkAKAAyADAALAAgADMANQAsAFwAbgAgAEwAQQBNAEIARABBACgAcgAsAGMALABcAG4AIAAgAEkATgBEAEUAWAAoAHsAXABuAFwAIgBSAHUAcwB0AGkAYwBhACAATgBlAHIAZwBlAHQAaQBjAFwAIgAsAFwAIgBrAGcAXAAiACwAMQAsAFwAIgBQAG8AdABhAHMAcwBpAHUAbQAgAC0AIABHAGUAbgBlAHIAaQBjAFwAIgAsADAALgAxADQAMQ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OQA2ACwAXAAiAEwAbwBjAGEAdABpAG8AbgAgAG4AbwB0ACAAcwBwAGUAYwBpAGYAaQBlAGQAXAAiACwAXAAiAFAAaABvAHMAcABoAG8AcgB1AHMAIAAtACAARwBlAG4AZQByAGkAYwBcACIALAAwAC4AMAA1ADIALABcACIATABvAGMAYQB0AGkAbwBuACAAbgBvAHQAIABzAHAAZQBjAGkAZgBpAGUAZABcACIALABcACIATQBhAGcAbgBlAHMAaQB1AG0AIAAtACAAZwBlAG4AZQByAGkAYwBcACIALAAwAC4AMAAxADIALABcACIATABvAGMAYQB0AGkAbwBuACAAbgBvAHQAIABzAHAAZQBjAGkAZgBpAGUAZABcACIALABcACIAWgBpAG4AYwAgAC0AIABHAGUAbgBlAHIAaQBjAFwAIgAsADAALgAwADAAMA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2ACwAXAAiAEwAbwBjAGEAdABpAG8AbgAgAG4AbwB0ACAAcwBwAGUAYwBpAGYAaQBlAGQAXAAiACwAXAAiAEIAbwByAG8AbgAgAC0AIABnAGUAbgBlAHIAaQBjAFwAIgAsADAALgAwADAAMAAyACwAXAAiAEwAbwBjAGEAdABpAG8AbgAgAG4AbwB0ACAAcwBwAGUAYwBpAGYAaQBlAGQAXAAiACwAXAAiAFwAIgAsAFwAIgBcACIALABcACIAXAAiADsAXABuAFwAIgBTAEUAVABuAFMASQBaAEUAXAAiACwAXAAiAEwAXAAiACwAMQAuADMALABcACIAUABvAHQAYQBzAHMAaQB1AG0AIAAtACAARwBlAG4AZQByAGkAYwBcACIALAAwAC4AMAA3ADkAMgAsAFwAIgBMAG8AYwBhAHQAaQBvAG4AIABuAG8AdAAgAHMAcABlAGMAaQBmAGkAZQBkAFwAIgAsAFwAIgBQAGgAbwBzAHAAaABvAHIAdQBzACAALQAgAEcAZQBuAGUAcgBpAGMAXAAiACwAMAAuADAANgAwADUALABcACIATABvAGMAYQB0AGkAbwBuACAAbgBvAHQAIABzAHAAZQBjAGkAZgBpAGUAZABcACIALABcACIATgBpAHQAcgBvAGcAZQBuACAALQAgAEcAZQBuAGUAcgBpAGMAXAAiACwAMAAuADAAMQAwADgALABcACIATABvAGMAYQB0AGkAbwBuACAAbgBvAHQAIABzAHAAZQBjAGkAZgBpAGUAZABcACIALABcACIAWgBpAG4AYwAgAC0AIABHAGUAbgBlAHIAaQBjAFwAIgAsADAALgAwADEAMAA3ACwAXAAiAEwAbwBjAGEAdABpAG8AbgAgAG4AbwB0ACAAcwBwAGUAYwBpAGYAaQBlAGQAXAAiACwAXAAiAE0AYQBnAG4AZQBzAGkAdQBtACAALQAgAGcAZQBuAGUAcgBpAGMAXAAiACwAMAAuADAAMQAwADQALABcACIATABvAGMAYQB0AGkAbwBuACAAbgBvAHQAIABzAHAAZQBjAGkAZgBpAGUAZABcACIALABcACIATQBhAG4AZwBhAG4AZQBzAGUAIAAtACAARwBlAG4AZQByAGkAYwBcACIALAAwAC4AMAAwADcANQAsAFwAIgBMAG8AYwBhAHQAaQBvAG4AIABuAG8AdAAgAHMAcABlAGMAaQBmAGkAZQBkAFwAIgAsAFwAIgBTAHUAbABmAHUAcgAgAC0AIABHAGUAbgBlAHIAaQBjAFwAIgAsADAALgAwADAANQA0ACwAXAAiAEwAbwBjAGEAdABpAG8AbgAgAG4AbwB0ACAAcwBwAGUAYwBpAGYAaQBlAGQAXAAiACwAXAAiAEMAbwBiAGEAbAB0ACAALQAgAGcAZQBuAGUAcgBpAGMAXAAiACwAMAAuADAAMAAxADgALABcACIATABvAGMAYQB0AGkAbwBuACAAbgBvAHQAIABzAHAAZQBjAGkAZgBpAGUAZABcACIALABcACIASQByAG8AbgAgAC0AIABnAGUAbgBlAHIAaQBjAFwAIgAsADAALgAwADAAMQA1ACwAXAAiAEwAbwBjAGEAdABpAG8AbgAgAG4AbwB0ACAAcwBwAGUAYwBpAGYAaQBlAGQAXAAiACwAXAAiAEMAbwBwAHAAZQByACAALQAgAGcAZQBuAGUAcgBpAGMAXAAiACwAMAAuADAAMAAxADEALABcACIATABvAGMAYQB0AGkAbwBuACAAbgBvAHQAIABzAHAAZQBjAGkAZgBpAGUAZABcACIAOwBcAG4AXAAiAFMATwBBAFwAIgAsAFwAIgBrAGcAXAAiACwAMQAsAFwAIgBOAGkAdAByAG8AZwBlAG4AIAAtACAAQQBtAG0AbwBuAGkAYQBjAGEAbABcACIALAAwAC4AMgAxACwAXAAiAEwAbwBjAGEAdABpAG8AbgAgAG4AbwB0ACAAcwBwAGUAYwBpAGYAaQBlAGQAXAAiACwAXAAiAFMAdQBsAGYAdQByACAALQAgAEcAZQBuAGUAcgBpAGMAXAAiACwAMAAuADI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sAUABcACIALABcACIAawBnAFwAIgAsADEALABcACIAUABoAG8AcwBwAGgAbwByAHUAcwAgAC0AIABHAGUAbgBlAHIAaQBjAFwAIgAsADAALgAyADIANwAsAFwAIgBMAG8AYwBhAHQAaQBvAG4AIABuAG8AdAAgAHMAcABlAGMAaQBmAGkAZQBkAFwAIgAsAFwAIgBQAG8AdABhAHMAcwBpAHUAbQAgAC0AIABHAGUAbgBlAHIAaQBjAFwAIgAsADAALgAyADg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MAYQBtAFwAIgAsAFwAIgBrAGcAXAAiACwAMQAsAFwAIgBOAGkAdAByAG8AZwBlAG4AIAAtACAAQQBtAG0AbwBuAGkAYQBjAGEAbABcACIALAAwAC4AMgAwADgALABcACIATABvAGMAYQB0AGkAbwBuACAAbgBvAHQAIABzAHAAZQBjAGkAZgBpAGUAZABcACIALABcACIAUwB1AGwAZgB1AHIAIAAtACAARwBlAG4AZQByAGkAYwBcACIALAAwAC4AMgAz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aAGkAbgBjAFwAIgAsAFwAIgBrAGcAXAAiACwAMQAsAFwAIgBaAGkAbgBjACAALQAgAEcAZQBuAGUAcgBpAGMAXAAiACwAMAAuADIAMQAsAFwAIgBMAG8AYwBhAHQAaQBvAG4AIABuAG8AdAAgAHMAcABlAGMAaQBmAGkAZQBkAFwAIgAsAFwAIgBTAHUAbABmAHUAcgAgAC0AIABHAGUAbgBlAHIAaQBjAFwAIgAsADAALgAxADA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sAXAAiACwAXAAiAEwAXAAiACwAMQAuADQANwAsAFwAIgBQAG8AdABhAHMAcwBpAHUAbQAgAC0AIABHAGUAbgBlAHIAaQBjAFwAIgAsADAALgAzACwAXAAiAEwAbwBjAGEAdABpAG8AbgAgAG4AbwB0ACAAcwBwAGUAYwBpAGYAaQBlAGQAXAAiACwAXAAiAFMAdQBsAGYAdQByACAALQAgAEcAZQBuAGUAcgBpAGMAXAAiACwAMAAuADI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XAAiACwAXAAiAEwAXAAiACwAMQAuADMAMgAsAFwAIgBOAGkAdAByAG8AZwBlAG4AIAAtACAARwBlAG4AZQByAGkAYwBcACIALAAwAC4AMwA3ADI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AgAFAAbAB1AHMAXAAiACwAXAAiAEwAXAAiACwAMQAuADMAMgAsAFwAIgBOAGkAdAByAG8AZwBlAG4AIAAtACAARwBlAG4AZQByAGkAYwBcACIALAAwAC4AMwA2ADQ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UwB1AGwAXAAiACwAXAAiAEwAXAAiACwAMQAuADMANQAsAFwAIgBTAHUAbABmAHUAcgAgAC0AIABHAGUAbgBlAHIAaQBjAFwAIgAsADAALgAzADUALABcACIATABvAGMAYQB0AGkAbwBuACAAbgBvAHQAIABzAHAAZQBjAGkAZgBpAGUAZABcACIALABcACIATgBpAHQAcgBvAGcAZQBuACAALQAgAEEAbQBtAG8AbgBpAGEAYwBhAGwAXAAiACwAMAAuADEAN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QBBAFMAXAAiACwAXAAiAEwAXAAiACwAMQAuADIAMwA1ACwAXAAiAE4AaQB0AHIAbwBnAGUAbgAgAC0AIABHAGUAbgBlAHIAaQBjAFwAIgAsADAALgAyADAAOQAsAFwAIgBMAG8AYwBhAHQAaQBvAG4AIABuAG8AdAAgAHMAcABlAGMAaQBmAGkAZQBkAFwAIgAsAFwAIgBTAHUAbABmAHUAcgAgAC0AIABHAGUAbgBlAHIAaQBjAFwAIgAsADAALgAwADYANwAsAFwAIgBMAG8AYwBhAHQAaQBvAG4AIABuAG8AdAAgAHMAcABlAGMAaQBmAGkAZQBkAFwAIgAsAFwAIgBOAGkAdAByAG8AZwBlAG4AIAAtACAAQQBtAG0AbwBuAGkAYQBjAGEAbABcACIALAAwAC4AMAA1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IABMAGkAcQB1AGkAZABzACAATgAtAEYATwBMACAAMgA0ACsAVABFAFwAIgAsAFwAIgBrAGcAXAAiACwAMQAsAFwAIgBOAGkAdAByAG8AZwBlAG4AIAAtACAARwBlAG4AZQByAGkAYwBcACIALAAwAC4AMQA5ACwAXAAiAEwAbwBjAGEAdABpAG8AbgAgAG4AbwB0ACAAcwBwAGUAYwBpAGYAaQBlAGQAXAAiACwAXAAiAFAAbwB0AGEAcwBzAGkAdQBtACAALQAgAEcAZQBuAGUAcgBpAGMAXAAiACwAMAAuADEANgA2ACwAXAAiAEwAbwBjAGEAdABpAG8AbgAgAG4AbwB0ACAAcwBwAGUAYwBpAGYAaQBlAGQAXAAiACwAXAAiAFMAdQBsAGYAdQByACAALQAgAEcAZQBuAGUAcgBpAGMAXAAiACwAMAAuADAAMwAsAFwAIgBMAG8AYwBhAHQAaQBvAG4AIABuAG8AdAAgAHMAcABlAGMAaQBmAGkAZQBkAFwAIgAsAFwAIgBQAGgAbwBzAHAAaABvAHIAdQBzACAALQAgAEcAZQBuAGUAcgBpAGMAXAAiACwAMAAuADAAMgA2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AgAFUAbgBpAGsAYQAgAFAAbAB1AHMAXAAiACwAXAAiAGsAZwBcACIALAAxACwAXAAiAFAAbwB0AGEAcwBzAGkAdQBtACAALQAgAEcAZQBuAGUAcgBpAGMAXAAiACwAMAAuADMAOAAy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TQBpAGwAYQAgADIAMQAtADcALQAzACgANAApAFwAIgAsAFwAIgBrAGcAXAAiACwAMQAsAFwAIgBOAGkAdAByAG8AZwBlAG4AIAAtACAARwBlAG4AZQByAGkAYwBcACIALAAwAC4AMgAxACwAXAAiAEwAbwBjAGEAdABpAG8AbgAgAG4AbwB0ACAAcwBwAGUAYwBpAGYAaQBlAGQAXAAiACwAXAAiAFAAaABvAHMAcABoAG8AcgB1AHMAIAAtACAARwBlAG4AZQByAGkAYwBcACIALAAwAC4AMAA3ADQALABcACIATABvAGMAYQB0AGkAbwBuACAAbgBvAHQAIABzAHAAZQBjAGkAZgBpAGUAZABcACIALABcACIAUwB1AGwAZgB1AHIAIAAtACAARwBlAG4AZQByAGkAYwBcACIALAAwAC4AMAA0ACwAXAAiAEwAbwBjAGEAdABpAG8AbgAgAG4AbwB0ACAAcwBwAGUAYwBpAGYAaQBlAGQAXAAiACwAXAAiAFAAbwB0AGEAcwBzAGkAdQBtACAALQAgAEcAZQBuAGUAcgBpAGMAXAAiACwAMAAuADAAMgA1ACwAXAAiAEwAbwBjAGEAdABpAG8AbgAgAG4AbwB0ACAAcwBwAGUAYwBpAGYAaQBlAGQAXAAiACwAXAAiAE0AYQBnAG4AZQBzAGkAdQBtACAALQAgAGcAZQBuAGUAcgBpAGMAXAAiACwAMAAuADAAMAA0ACwAXAAiAEwAbwBjAGEAdABpAG8AbgAgAG4AbwB0ACAAcwBwAGUAYwBpAGYAaQBlAGQAXAAiACwAXAAiAFoAaQBuAGMAIAAtACAARwBlAG4AZQByAGkAYwBcACIALAAwAC4AMAAwADEANQAsAFwAIgBMAG8AYwBhAHQAaQBvAG4AIABuAG8AdAAgAHMAcABlAGMAaQBmAGkAZQBkAFwAIgAsAFwAIgBcACIALABcACIAXAAiACwAXAAiAFwAIgAsAFwAIgBcACIALABcACIAXAAiACwAXAAiAFwAIgAsAFwAIgBcACIALABcACIAXAAiACwAXAAiAFwAIgAsAFwAIgBcACIALABcACIAXAAiACwAXAAiAFwAIgA7AFwAbgBcACIAWQBhAHIAYQBSAGUAZwBhACAAMQAzAC0AMgAtADIAMQBcACIALABcACIAawBnAFwAIgAsADEALABcACIAUABvAHQAYQBzAHMAaQB1AG0AIAAtACAARwBlAG4AZQByAGkAYwBcACIALAAwAC4AMgAxACwAXAAiAEwAbwBjAGEAdABpAG8AbgAgAG4AbwB0ACAAcwBwAGUAYwBpAGYAaQBlAGQAXAAiACwAXAAiAFMAdQBsAGYAdQByACAALQAgAEcAZQBuAGUAcgBpAGMAXAAiACwAMAAuADEAMAA4ACwAXAAiAEwAbwBjAGEAdABpAG8AbgAgAG4AbwB0ACAAcwBwAGUAYwBpAGYAaQBlAGQAXAAiACwAXAAiAE4AaQB0AHIAbwBnAGUAbgAgAC0AIABBAG0AbQBvAG4AaQBhAGMAYQBsAFwAIgAsADAALgAwADcANwAsAFwAIgBMAG8AYwBhAHQAaQBvAG4AIABuAG8AdAAgAHMAcABlAGMAaQBmAGkAZQBkAFwAIgAsAFwAIgBOAGkAdAByAG8AZwBlAG4AIABmAHIAbwBtACAATgBpAHQAcgBhAHQAZQBcACIALAAwAC4AMAA1ADMALABcACIATABvAGMAYQB0AGkAbwBuACAAbgBvAHQAIABzAHAAZQBjAGkAZgBpAGUAZABcACIALABcACIAUABoAG8AcwBwAGgAbwByAHUAcwAgAC0AIABHAGUAbgBlAHIAaQBjAFwAIgAsADAALgAwADEANwA1ACwAXAAiAEwAbwBjAGEAdABpAG8AbgAgAG4AbwB0ACAAcwBwAGUAYwBpAGYAaQBlAGQAXAAiACwAXAAiAE0AYQBnAG4AZQBzAGkAdQBtACAALQAgAGcAZQBuAGUAcgBpAGMAXAAiACwAMAAuADAAMAA0ACwAXAAiAEwAbwBjAGEAdABpAG8AbgAgAG4AbwB0ACAAcwBwAGUAYwBpAGYAaQBlAGQAXAAiACwAXAAiAEIAbwByAG8AbgAgAC0AIABnAGUAbgBlAHIAaQBjAFwAIgAsADAALgAwADAAMAA4ACwAXAAiAEwAbwBjAGEAdABpAG8AbgAgAG4AbwB0ACAAcwBwAGUAYwBpAGYAaQBlAGQAXAAiACwAXAAiAFoAaQBuAGMAIAAtACAARwBlAG4AZQByAGkAYwBcACIALAAwAC4AMAAwADAAOAAsAFwAIgBMAG8AYwBhAHQAaQBvAG4AIABuAG8AdAAgAHMAcABlAGMAaQBmAGkAZQBkAFwAIgAsAFwAIgBcACIALABcACIAXAAiACwAXAAiAFwAIgAsAFwAIgBcACIALABcACIAXAAiACwAXAAiAFwAIgA7AFwAbgBcACIAWQBhAHIAYQBSAGUAZwBhACAAOQAtADAALQAzADAAIAAoADEANAApAFwAIgAsAFwAIgBrAGcAXAAiACwAMQAsAFwAIgBQAG8AdABhAHMAcwBpAHUAbQAgAC0AIABHAGUAbgBlAHIAaQBjAFwAIgAsADAALgAzACwAXAAiAEwAbwBjAGEAdABpAG8AbgAgAG4AbwB0ACAAcwBwAGUAYwBpAGYAaQBlAGQAXAAiACwAXAAiAFMAdQBsAGYAdQByACAALQAgAEcAZQBuAGUAcgBpAGMAXAAiACwAMAAuADEANAAsAFwAIgBMAG8AYwBhAHQAaQBvAG4AIABuAG8AdAAgAHMAcABlAGMAaQBmAGkAZQBkAFwAIgAsAFwAIgBOAGkAdAByAG8AZwBlAG4AIAAtACAAQQBtAG0AbwBuAGkAYQBjAGEAbABcACIALAAwAC4AMAA0ADUALABcACIATABvAGMAYQB0AGkAbwBuACAAbgBvAHQAIABzAHAAZQBjAGkAZgBpAGUAZABcACIALABcACIATgBpAHQAcgBvAGcAZQBuACAAZgByAG8AbQAgAE4AaQB0AHIAYQB0AGUAXAAiACwAMAAuADAAN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sAIABQAEwAVQBTAFwAIgAsAFwAIgBrAGcAXAAiACwAMQAsAFwAIgBOAGkAdAByAG8AZwBlAG4AIAAtACAARwBlAG4AZQByAGkAYwBcACIALAAwAC4AMQAzADcALABcACIATABvAGMAYQB0AGkAbwBuACAAbgBvAHQAIABzAHAAZQBjAGkAZgBpAGUAZABcACIALABcACIAUABvAHQAYQBzAHMAaQB1AG0AIAAtACAARwBlAG4AZQByAGkAYwBcACIALAAwAC4AMwA4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sAUABcACIALABcACIAawBnAFwAIgAsADEALABcACIAUABvAHQAYQBzAHMAaQB1AG0AIAAtACAARwBlAG4AZQByAGkAYwBcACIALAAwAC4AMgA4ADIALABcACIATABvAGMAYQB0AGkAbwBuACAAbgBvAHQAIABzAHAAZQBjAGkAZgBpAGUAZABcACIALABcACIAUABoAG8AcwBwAGgAbwByAHUAcwAgAC0AIABHAGUAbgBlAHIAaQBjAFwAIgAsADAALgAyADI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XABuAEYAZQByAHQAaQBsAGkAcwBlAHIAXwBQAHIAbwBkAHUAYwB0AHMAXwBEAGEAdABhADQAXABuAD0ATABBAE0AQgBEAEEAKABcAG4AIABNAEEASwBFAEEAUgBSAEEAWQAoADUALAAgADMANQAsAFwAbgAgAEwAQQBNAEIARABBACgAcgAsAGMALABcAG4AIAAgAEkATgBEAEUAWAAoAHsAXABuAFwAIgBZAGEAcgBhAFQAZQByAGEAIABLAFIASQBTAFQAQQBMAE8ATgAgAFIARQBEAFwAIgAsAFwAIgBrAGcAXAAiACwAMQAsAFwAIgBQAG8AdABhAHMAcwBpAHUAbQAgAC0AIABHAGUAbgBlAHIAaQBjAFwAIgAsADAALgAyADkAOAA4ACwAXAAiAEwAbwBjAGEAdABpAG8AbgAgAG4AbwB0ACAAcwBwAGUAYwBpAGYAaQBlAGQAXAAiACwAXAAiAE4AaQB0AHIAbwBnAGUAbgAgAC0AIABHAGUAbgBlAHIAaQBjAFwAIgAsADAALgAxADIALABcACIATABvAGMAYQB0AGkAbwBuACAAbgBvAHQAIABzAHAAZQBjAGkAZgBpAGUAZABcACIALABcACIAUABoAG8AcwBwAGgAbwByAHUAcwAgAC0AIABHAGUAbgBlAHIAaQBjAFwAIgAsADAALgAwADUAMgA0ADQALABcACIATABvAGMAYQB0AGkAbwBuACAAbgBvAHQAIABzAHAAZQBjAGkAZgBpAGUAZABcACIALABcACIAUwB1AGwAZgB1AHIAIAAtACAARwBlAG4AZQByAGkAYwBcACIALAAwAC4AMAAxACwAXAAiAEwAbwBjAGEAdABpAG8AbgAgAG4AbwB0ACAAcwBwAGUAYwBpAGYAaQBlAGQAXAAiACwAXAAiAE0AYQBnAG4AZQBzAGkAdQBtACAALQAgAGcAZQBuAGUAcgBpAGMAXAAiACwAMAAuADAAMAA2ADAAMw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ABlAHIAYQAgAEsAUgBJAFMAVABBAEwATwBOACAAUwBQAEUAQwBJAEEATABcACIALABcACIAawBnAFwAIgAsADEALABcACIATgBpAHQAcgBvAGcAZQBuACAALQAgAEcAZQBuAGUAcgBpAGMAXAAiACwAMAAuADEAOAAsAFwAIgBMAG8AYwBhAHQAaQBvAG4AIABuAG8AdAAgAHMAcABlAGMAaQBmAGkAZQBkAFwAIgAsAFwAIgBQAG8AdABhAHMAcwBpAHUAbQAgAC0AIABHAGUAbgBlAHIAaQBjAFwAIgAsADAALgAxADQAOQAsAFwAIgBMAG8AYwBhAHQAaQBvAG4AIABuAG8AdAAgAHMAcABlAGMAaQBmAGkAZQBkAFwAIgAsAFwAIgBQAGgAbwBzAHAAaABvAHIAdQBzACAALQAgAEcAZQBuAGUAcgBpAGMAXAAiACwAMAAuADAANwA5ACwAXAAiAEwAbwBjAGEAdABpAG8AbgAgAG4AbwB0ACAAcwBwAGUAYwBpAGYAaQBlAGQAXAAiACwAXAAiAFMAdQBsAGYAdQByACAALQAgAEcAZQBuAGUAcgBpAGMAXAAiACwAMAAuADAAM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gBpAHQAYQAgAEcAbAB5AHQAcgBlAGwAIABaAG4AUABcACIALABcACIATABcACIALAAxAC4AMwA1ADQALABcACIAWgBpAG4AYwAgAC0AIABHAGUAbgBlAHIAaQBjAFwAIgAsADAALgAxACwAXAAiAEwAbwBjAGEAdABpAG8AbgAgAG4AbwB0ACAAcwBwAGUAYwBpAGYAaQBlAGQAXAAiACwAXAAiAFAAaABvAHMAcABoAG8AcgB1AHMAIAAtACAARwBlAG4AZQByAGkAYwBcACIALAAwAC4AMAA0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gBpAHQAYQAgAFoAaQBuAHQAcgBhAGMAXAAiACwAXAAiAEwAXAAiACwAMQAuADcAMwA0ACwAXAAiAFoAaQBuAGMAIAAtACAARwBlAG4AZQByAGkAYwBcACIALAAwAC4ANwAsAFwAIgBMAG8AYwBhAHQAaQBvAG4AIABuAG8AdAAgAHMAcABlAGMAaQBmAGkAZQBkAFwAIgAsAFwAIgBOAGkAdAByAG8AZwBlAG4AIAAtACAARwBlAG4AZQByAGkAYwBcACIALAAwAC4AMAAx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oAaQBuAGMAUwB0AGEAcgBcACIALABcACIAawBnAFwAIgAsADEALABcACIATgBpAHQAcgBvAGcAZQBuACAALQAgAEEAbQBtAG8AbgBpAGEAYwBhAGwAXAAiACwAMAAuADEALABcACIATABvAGMAYQB0AGkAbwBuACAAbgBvAHQAIABzAHAAZQBjAGkAZgBpAGUAZABcACIALABcACIAUABoAG8AcwBwAGgAbwByAHUAcwAgAC0AIABHAGUAbgBlAHIAaQBjAFwAIgAsADAALgAyADIALABcACIATABvAGMAYQB0AGkAbwBuACAAbgBvAHQAIABzAHAAZQBjAGkAZgBpAGUAZABcACIALABcACIAUwB1AGwAZgB1AHIAIAAtACAARwBlAG4AZQByAGkAYwBcACIALAAwAC4AMAAyACwAXAAiAEwAbwBjAGEAdABpAG8AbgAgAG4AbwB0ACAAcwBwAGUAYwBpAGYAaQBlAGQAXAAiACwAXAAiAFoAaQBuAGMAIAAtACAARwBlAG4AZQByAGkAYwBcACIALAAwAC4AMAAx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AqAC8AXABuAFwAbgBcAG4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TAG8AdQByAGMAZQBEAGEAdABhAF8AUABvAHUAbAB0AHIAeQAiACwAIgB0AGUAeAB0ACIAOgAiAC8AKgAgAFwAbgAtAC0ALQAtAC0ALQAtAC0ALQAtAC0ALQAtAC0ALQAtAC0ALQAtAC0ALQAtAC0ALQAtAC0ALQAtAC0ALQAtAC0ALQAtAC0ALQAtAC0AXABuAFMAbwB1AHIAYwBlAEQAYQB0AGEAXwBQAG8AdQBsAHQAcgB5AF8ARABpAGUAdABQAHIAbwBwAGUAcgB0AGkAZQBzAFwAbgBUAGEAYgBsAGUAIABBAC4AMQAuADcALgAxADoAIABQAG8AdQBsAHQAcgB5ACAALQAgAEQAaQBlAHQAIABwAHIAbwBwAGUAcgB0AGkAZQBzAFwAbgAtAC0ALQAtAC0ALQAtAC0ALQAtAC0ALQAtAC0ALQAtAC0ALQAtAC0ALQAtAC0ALQAtAC0ALQAtAC0ALQAtAC0ALQAtAC0ALQAtAC0AXABuACoALwBcAG4AXABuAFMAbwB1AHIAYwBlAEQAYQB0AGEAXwBQAG8AdQBsAHQAcgB5AF8ARABpAGUAdABQAHIAbwBwAGUAcgB0AGkAZQBzAF8AVABpAHQAbABlAFwAbgAgACAAPQBMAEEATQBCAEQAQQAoAFwAIgBQAG8AdQBsAHQAcgB5ACAALQAgAEQAaQBlAHQAIABwAHIAbwBwAGUAcgB0AGkAZQBzAFwAIgApADsAXABuAFwAbgBTAG8AdQByAGMAZQBEAGEAdABhAF8AUABvAHUAbAB0AHIAeQBfAEQAaQBlAHQAUAByAG8AcABlAHIAdABpAGUAcwBfAFUAbgBpAHQAXABuACAAIAA9AEwAQQBNAEIARABBACgAXAAiAFwAIgApADsAXABuAFwAbgBTAG8AdQByAGMAZQBEAGEAdABhAF8AUABvAHUAbAB0AHIAeQBfAEQAaQBlAHQAUAByAG8AcABlAHIAdABpAGUAcwBfAFMAbwB1AHIAYwBlAFwAbgAgACAAPQBMAEEATQBCAEQAQQAoAFwAIgBWAEUARQBSAEcAIAAyADAAMgA2ADoAIABUAGEAYgBsAGUAIABBAC4AMQAuADcALgAxADoAIABQAG8AdQBsAHQAcgB5ACAALQAgAEQAaQBlAHQAIABwAHIAbwBwAGUAcgB0AGkAZQBzAFwAIgApADsAXABuAFwAbgBTAG8AdQByAGMAZQBEAGEAdABhAF8AUABvAHUAbAB0AHIAeQBfAEQAaQBlAHQAUAByAG8AcABlAHIAdABpAGUAcwBfAFYAYQByAGkAYQB0AGkAbwBuAFwAbgAgACAAPQBMAEEATQBCAEQAQQAoAFwAIgBcACIAKQA7AFwAbgBcAG4AUwBvAHUAcgBjAGUARABhAHQAYQBfAFAAbwB1AGwAdAByAHkAXwBEAGkAZQB0AFAAcgBvAHAAZQByAHQAaQBlAHMAXwBEAGEAdABhAFwAbgAgACAAPQBMAEEATQBCAEQAQQAoAFwAbgAgACAAIAAgAE0AQQBLAEUAQQBSAFIAQQBZACgANgAsACAANQAsACAAXABuACAAIAAgACAAIAAgAEwAQQBNAEIARABBACgAcgAsAGMALAAgAFwAbgAgACAAIAAgACAAIAAgACAASQBOAEQARQBYACgAewBcAG4AIAAgACAAIAAgACAAIAAgACAAIABcACIATgB1AHQAcgBpAGUAbgB0ACAAYQBuAGEAbAB5AHMAaQBzAFwAIgAsACAAXAAiAEwAYQB5AGUAcgBzAFwAIgAsACAAXAAiAE0AZQBhAHQAIABjAGgAaQBjAGsAZQBuACAAZwByAG8AdwBlAHIAcwBcACIALAAgAFwAIgBNAGUAYQB0ACAAYwBoAGkAYwBrAGUAbgAgAGIAcgBlAGUAZABlAHIAXAAiACwAIABcACIATQBlAGEAdAAgAG8AdABoAGUAcgBcACIAOwBcAG4AIAAgACAAIAAgACAAIAAgACAAIABcACIARAByAHkAIABtAGEAdAB0AGUAcgAgAGkAbgB0AGEAawBlACAAKABrAGcALwBoAGUAYQBkAC8AZABhAHkAKQBcACIALAAgADAALgAwADgANgAsACAAMAAuADAAOQAzACwAIAAwAC4AMQAwADMALAAgADAALgAwADkAMwA7ACAAXABuACAAIAAgACAAIAAgACAAIAAgACAAXAAiAEQAcgB5ACAAbQBhAHQAdABlAHIAIABkAGkAZwBlAHMAdABpAGIAaQBsAGkAdAB5AFwAIgAsACAAMAAuADgAMAAsACAAMAAuADgAMAAsACAAMAAuADgAMAAsACAAMAAuADgAMAA7AFwAbgAgACAAIAAgACAAIAAgACAAIAAgAFwAIgBDAHIAdQBkAGUAIABwAHIAbwB0AGUAaQBuAFwAIgAsACAAMAAuADEAOQAsACAAMAAuADIAMwAsACAAMAAuADEAOQAsACAAMAAuADIAMwA7AFwAbgAgACAAIAAgACAAIAAgACAAIAAgAFwAIgBOAGkAdAByAG8AZwBlAG4AIAByAGUAdABlAG4AdABpAG8AbgAgAHIAYQB0AGUAXAAiACwAIAAwAC4AMwA1ACwAIAAwAC4ANAA3ACwAIAAwAC4AMwAyACwAIAAwAC4ANAA3ADsAXABuACAAIAAgACAAIAAgACAAIAAgACAAXAAiAE0AYQBuAHUAcgBlACAAYQBzAGgAXAAiACwAIAAwAC4AMQA4ACwAIAAwAC4AMQA1ACwAIAAwAC4AMQA4ACwAIAAwAC4AMQA1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0AQwBGAFwAbgBUAGEAYgBsAGUAIABBAC4AMQAuADcALgA0ADoAIABQAG8AdQBsAHQAcgB5ACAALQAgAE0AQwBGAHMAXABuAC0ALQAtAC0ALQAtAC0ALQAtAC0ALQAtAC0ALQAtAC0ALQAtAC0ALQAtAC0ALQAtAC0ALQAtAC0ALQAtAC0ALQAtAC0ALQAtAC0ALQBcAG4AKgAvAFwAbgBcAG4AUwBvAHUAcgBjAGUARABhAHQAYQBfAFAAbwB1AGwAdAByAHkAXwBNAEMARgBfAFQAaQB0AGwAZQBcAG4AIAAgAD0ATABBAE0AQgBEAEEAKABcACIAUABvAHUAbAB0AHIAeQAgAC0AIABNAEMARgBzAFwAIgApADsAXABuAFwAbgBTAG8AdQByAGMAZQBEAGEAdABhAF8AUABvAHUAbAB0AHIAeQBfAE0AQwBGAF8AVQBuAGkAdABcAG4AIAAgAD0ATABBAE0AQgBEAEEAKABcACIAXAAiACkAOwBcAG4AXABuAFMAbwB1AHIAYwBlAEQAYQB0AGEAXwBQAG8AdQBsAHQAcgB5AF8ATQBDAEYAXwBTAG8AdQByAGMAZQBcAG4AIAAgAD0ATABBAE0AQgBEAEEAKABcACIAVgBFAEUAUgBHACAAMgAwADIANgA6ACAAVABhAGIAbABlACAAQQAuADEALgA3AC4ANAA6ACAAUABvAHUAbAB0AHIAeQAgAC0AIABNAEMARgBzAFwAIgApADsAXABuAFwAbgBTAG8AdQByAGMAZQBEAGEAdABhAF8AUABvAHUAbAB0AHIAeQBfAE0AQwBG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TgAgAFMATwBVAFIAQwBFADoAXAAiADsAXABuACAAIAAgACAAIAAgACAAIAAgACAAXAAiAFMAcABsAGkAdAAgAE4AUwBXACAAYQBuAGQAIABBAEMAVAAgAGkAbgB0AG8AIABzAGUAcABhAHIAYQB0AGUAIABzAHQAYQB0AGUAcwAuACAAUwBwAGwAaQB0ACAAUQBMAEQAIABhAG4AZAAgAE4AVAAgAGkAbgB0AG8AIABzAGUAcABhAHIAYQB0AGUAIABzAHQAYQB0AGUAcwAuAFwAIgA7AFwAbgAgACAAIAAgACAAIAAgACAAIAAgAFwAIgBJAG4AYwBsAHUAZABlAGQAIAB2AGEAbAB1AGUAcwAgAGYAbwByACAAZQBhAGMAaAAgAHMAdABhAHQAZQAgAHcAaABlAG4AIABcAHUAMAAwADIANwBBAGwAbAAgAHMAdABhAHQAZQBzAFwAdQAwADAAMgA3ACAAdgBhAGwAdQBlACAAaQBzACAAZwBpAHYAZQBuAC4AXAAiADsAXABuACAAIAAgACAAIAAgACAAIAAgACAAXAAiAEEAZABkAGUAZAAgAFwAdQAwADAAMgA3AE4ASQBSACAAZABlAGYAaQBuAGkAdABpAG8AbgBcAHUAMAAwADIANwAgAGMAbwBsAHUAbQBuACAAdwBpAHQAaAAgAE0ATQBTACAAbgBhAG0AZQBzACAAdABoAGEAdAAgAG0AYQB0AGMAaAAgAE4ASQBSACAAZABlAGYAaQBuAGkAdABpAG8AbgBzAC4AXAAiADsAXABuACAAIAAgACAAIAAgACAAIAAgACAAXAAi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BcAHUAMAAwADIANwBQAGEAcwB0AHUAcgBlACAAcgBhAG4AZwBlACAAYQBuAGQAIABwAGEAZABkAG8AYwBrAFwAdQAwADAAMgA3ACAAYQBwAHAAbABpAGUAcwAgAE0AQwBGACAAZgBvAHIAIABkAHIAeQBsAG8AdAAuAFwAIgApADsAXABuAFwAbgBcAG4ALwAqACAAXABuAC0ALQAtAC0ALQAtAC0ALQAtAC0ALQAtAC0ALQAtAC0ALQAtAC0ALQAtAC0ALQAtAC0ALQAtAC0ALQAtAC0ALQAtAC0ALQAtAC0ALQBcAG4AUwBvAHUAcgBjAGUARABhAHQAYQBfAFAAbwB1AGwAdAByAHkAXwBNAGUAdABoAGEAbgBlAEUAbQBpAHMAcwBpAG8AbgBzAFAAbwB0AGUAbgB0AGkAYQBsAFwAbgBNAGUAdABoAGEAbgBlACAAZQBtAGkAcwBzAGkAbwBuAHMAIABwAG8AdABlAG4AdABpAGEAbAAgAHAAZQByACAAcABvAHUAbAB0AHIAeQAgAGMAbABhAHMAcwBcAG4ALQAtAC0ALQAtAC0ALQAtAC0ALQAtAC0ALQAtAC0ALQAtAC0ALQAtAC0ALQAtAC0ALQAtAC0ALQAtAC0ALQAtAC0ALQAtAC0ALQAtAFwAbgAqAC8AXABuAFwAbgBTAG8AdQByAGMAZQBEAGEAdABhAF8AUABvAHUAbAB0AHIAeQBfAE0AZQB0AGgAYQBuAGUARQBtAGkAcwBzAGkAbwBuAHMAUABvAHQAZQBuAHQAaQBhAGwAXwBUAGkAdABsAGUAXABuACAAIAA9AEwAQQBNAEIARABBACgAXAAiAFAAbwB1AGwAdAByAHkAIAAtACAATQBlAHQAaABhAG4AZQAgAGUAbQBpAHMAcwBpAG8AbgBzACAAcABvAHQAZQBuAHQAaQBhAGwAIABwAGUAcgAgAGMAbABhAHMAcwBcACIAKQA7AFwAbgBcAG4AUwBvAHUAcgBjAGUARABhAHQAYQBfAFAAbwB1AGwAdAByAHkAXwBNAGUAdABoAGEAbgBlAEUAbQBpAHMAcwBpAG8AbgBzAFAAbwB0AGUAbgB0AGkAYQBsAF8AVQBuAGkAdABcAG4AIAAgAD0ATABBAE0AQgBEAEEAKABcACIAbQAzACAAQwBIADQALwBrAGcAIABWAFMAXAAiACkAOwBcAG4AXABuAFMAbwB1AHIAYwBlAEQAYQB0AGEAXwBQAG8AdQBsAHQAcgB5AF8ATQBlAHQAaABhAG4AZQBFAG0AaQBzAHMAaQBvAG4AcwBQAG8AdABlAG4AdABpAGEAbABfAFMAbwB1AHIAYwBlAFwAbgAgACAAPQBMAEEATQBCAEQAQQAoAFwAIgBWAEUARQBSAEcAIAAyADAAMgA2ADoAIAA0AC4ANgAuADIALgAzACAAQwBPAE4AUwBUAEEATgBUADoAIABQAG8AdQBsAHQAcgB5ACAALQAgAE0AZQB0AGgAYQBuAGUAIABlAG0AaQBzAHMAaQBvAG4AcwAgAHAAbwB0AGUAbgB0AGkAYQBsACAAcABlAHIAIABjAGwAYQBzAHMAXAAiACkAOwBcAG4AXABuAFMAbwB1AHIAYwBlAEQAYQB0AGEAXwBQAG8AdQBsAHQAcgB5AF8ATQBlAHQAaABhAG4AZQBFAG0AaQBzAHMAaQBvAG4AcwBQAG8AdABlAG4AdABpAGEAbABfAFYAYQByAGkAYQB0AGkAbwBuAFwAbgAgACAAPQBMAEEATQBCAEQAQQAoAFwAIgBcACIAKQA7AFwAbgBcAG4AUwBvAHUAcgBjAGUARABhAHQAYQBfAFAAbwB1AGwAdAByAHkAXwBNAGUAdABoAGEAbgBlAEUAbQBpAHMAcwBpAG8AbgBzAFAAbwB0AGUAbgB0AGkAYQBsAF8ARABhAHQAYQBcAG4AIAAgAD0ATABBAE0AQgBEAEEAKABcAG4AIAAgACAAIABNAEEASwBFAEEAUgBSAEEAWQAoADMALAAgADIALAAgAFwAbgAgACAAIAAgACAAIABMAEEATQBCAEQAQQAoAHIALABjACwAIABcAG4AIAAgACAAIAAgACAAIAAgAEkATgBEAEUAWAAoAHsAXABuACAAIAAgACAAIAAgACAAIAAgACAAXAAiAFAAbwB1AGwAdAByAHkAIABjAGwAYQBzAHMAXAAiACwAIABcACIAQgAwAFwAIgA7AFwAbgAgACAAIAAgACAAIAAgACAAIAAgAFwAIgBMAGEAeQBlAHIAcwBcACIALAAgADAALgAzADkAOwAgAFwAbgAgACAAIAAgACAAIAAgACAAIAAgAFwAIgBNAGUAYQB0ACAAYwBoAGkAYwBrAGUAbgBzAFwAIgAsACAAMAAuADMAN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QAHIAbwBkAHUAYwB0AGkAbwBuAFMAeQBzAHQAZQBtAHMAXABuAFAAbwB1AGwAdAByAHkAIABwAHIAbwBkAHUAYwB0AGkAbwBuACAAcwB5AHMAdABlAG0AcwBcAG4ALQAtAC0ALQAtAC0ALQAtAC0ALQAtAC0ALQAtAC0ALQAtAC0ALQAtAC0ALQAtAC0ALQAtAC0ALQAtAC0ALQAtAC0ALQAtAC0ALQAtAFwAbgAqAC8AXABuAFwAbgBTAG8AdQByAGMAZQBEAGEAdABhAF8AUABvAHUAbAB0AHIAeQBfAFAAcgBvAGQAdQBjAHQAaQBvAG4AUwB5AHMAdABlAG0AcwBfAFQAaQB0AGwAZQBcAG4AIAAgAD0ATABBAE0AQgBEAEEAKABcACIAUABvAHUAbAB0AHIAeQAgAC0AIABQAHIAbwBkAHUAYwB0AGkAbwBuACAAcwB5AHMAdABlAG0AcwBcACIAKQA7AFwAbgBcAG4AUwBvAHUAcgBjAGUARABhAHQAYQBfAFAAbwB1AGwAdAByAHkAXwBQAHIAbwBkAHUAYwB0AGkAbwBuAFMAeQBzAHQAZQBtAHMAXwBVAG4AaQB0AFwAbgAgACAAPQBMAEEATQBCAEQAQQAoAFwAIgBcACIAKQA7AFwAbgBcAG4AUwBvAHUAcgBjAGUARABhAHQAYQBfAFAAbwB1AGwAdAByAHkAXwBQAHIAbwBkAHUAYwB0AGkAbwBuAFMAeQBzAHQAZQBtAHMAXwBTAG8AdQByAGMAZQBcAG4AIAAgAD0ATABBAE0AQgBEAEEAKABcACIAVgBFAEUAUgBHACAAMgAwADIANgA6ACAANAAuADYAIABQAG8AdQBsAHQAcgB5AFwAIgApADsAXABuAFwAbgBTAG8AdQByAGMAZQBEAGEAdABhAF8AUABvAHUAbAB0AHIAeQBfAFAAcgBvAGQAdQBjAHQAaQBvAG4AUwB5AHMAdABlAG0AcwBfAFYAYQByAGkAYQB0AGkAbwBuAFwAbgAgACAAPQBMAEEATQBCAEQAQQAoAFwAIgBcACIAKQA7AFwAbgBcAG4AUwBvAHUAcgBjAGUARABhAHQAYQBfAFAAbwB1AGwAdAByAHk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GAHIAZQBlACAAcgBhAG4AZwBlAFwAIgA7ACAAXABuACAAIAAgACAAIAAgACAAIAAgACAAXAAiAEIAYQByAG4AXAAiADsAXABuACAAIAAgACAAIAAgACAAIAAgACAAXAAiAEM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FAAbwB1AGwAdAByAHkAXwBWAFMATABfAFQAaQB0AGwAZQBcAG4AIAAgAD0ATABBAE0AQgBEAEEAKABcACIAUABvAHUAbAB0AHIAeQAgAC0AIABGAHIAYQBjAHQAaQBvAG4AIABvAGYAIAB2AG8AbABhAHQAaQBsAGUAIABzAG8AbABpAGQAcwAgAGwAbwBzAHQAIABpAG4AIAB0AGgAZQAgAHAAcgBpAG0AYQByAHkAIABNAE0AUwBcACIAKQA7AFwAbgBcAG4AUwBvAHUAcgBjAGUARABhAHQAYQBfAFAAbwB1AGwAdAByAHkAXwBWAFMATABfAFUAbgBpAHQAXABuACAAIAA9AEwAQQBNAEIARABBACgAXAAiAFwAIgApADsAXABuAFwAbgBTAG8AdQByAGMAZQBEAGEAdABhAF8AUABvAHUAbAB0AHIAeQBfAFYAUwBMAF8AUwBvAHUAcgBjAGUAXABuACAAIAA9AEwAQQBNAEIARABBACgAXAAiAFYARQBFAFIARwAgADIAMAAyADYAOgAgADQALgA2AC4AMgAuADMAIABDAE8ATgBTAFQAQQBOAFQAXAAiACkAOwBcAG4AXABuAFMAbwB1AHIAYwBlAEQAYQB0AGEAXwBQAG8AdQBsAHQAcgB5AF8AVgBTAEwAXwBWAGEAcgBpAGEAdABpAG8AbgBcAG4AIAAgAD0ATABBAE0AQgBEAEEAKABcACIAVgBBAFIASQBBAFQASQBPAE4AIABPAE4AIABTAE8AVQBSAEMARQA6ACAAVABhAGIAbABlACAAZwBlAG4AZQByAGEAdABlAGQAIABmAHIAbwBtACAAbABpAG4AZQAgAGkAdABlAG0AcwAuACAAQQBkAGQAZQBkACAAXAB1ADAAMAAyADcATgBJAFIAIABkAGUAZgBpAG4AaQB0AGkAbwBuACAAYwBvAGwAdQBtAG4AXAB1ADAAMAAyADcALgBcACIAKQA7AFwAbgBcAG4AUwBvAHUAcgBjAGUARABhAHQAYQBfAFAAbwB1AGwAdAByAHkAXwBWAFMATABfAEQAYQB0AGEAXABuACAAIAA9AEwAQQBNAEIARABBACgAXABuACAAIAAgACAATQBBAEsARQBBAFIAUgBBAFkAKAA0ACwAIAAzACwAIABcAG4AIAAgACAAIAAgACAATABBAE0AQgBEAEEAKAByACwAYwAsACAAXABuACAAIAAgACAAIAAgACAAIABJAE4ARABFAFgAKAB7AFwAbgAgACAAIAAgACAAIAAgACAAIAAgAFwAIgBNAE0AUwBcACIALAAgAFwAIgBWAFMATABcACIALAAgAFwAIgBOAEkAUgAgAGQAZQBmAGkAbgBpAHQAaQBvAG4AXAAiADsAXABuACAAIAAgACAAIAAgACAAIAAgACAAXAAiAFAAbwB1AGwAdAByAHkAIABtAGEAbgB1AHIAZQAgAHcAaQB0AGgAIABsAGkAdAB0AGUAcgBcACIALAAgADAALgAxADUALAAgAFwAIgBQAG8AdQBsAHQAcgB5ACAAbQBhAG4AdQByAGUAIAB3AGkAdABoACAAYgBlAGQAZABpAG4AZwBcACIAOwBcAG4AIAAgACAAIAAgACAAIAAgACAAIABcACIAUABvAHUAbAB0AHIAeQAgAG0AYQBuAHUAcgBlACAAdwBpAHQAaABvAHUAdAAgAGwAaQB0AHQAZQByACAALQAgAHMAdABvAHIAZQBkACAAaQBuACAAaABvAHUAcwBlAFwAIgAsACAAMAAuADIALAAgAFwAIgBNAGEAbgB1AHIAZQAgAHMAdABvAHIAZQBkACAAaQBuACAAaABvAHUAcwBlAFwAIgA7AFwAbgAgACAAIAAgACAAIAAgACAAIAAgAFwAIgBQAG8AdQBsAHQAcgB5ACAAbQBhAG4AdQByAGUAIAB3AGkAdABoAG8AdQB0ACAAbABpAHQAdABlAHIAIAAtACAAYgBlAGwAdAAgAHIAZQBtAG8AdgBhAGwAXAAiACwAIAAwACwAIABcACIAQgBlAGwAdAAgAG0AYQBuAHUAcgBlACAAcgBlAG0AbwB2AGEAbA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bwB1AGwAdAByAHkAXwBGAHIAYQBjAEcAQQBTAE0AbQBUAFwAbgBUAGEAYgBsAGUAIABBAC4AMQAuADcALgAyADoAIABQAG8AdQBsAHQAcgB5ACAALQAgAEYAcgBhAGMAdABpAG8AbgAgAG8AZgAgAE4AIAB2AG8AbABhAHQAaQBsAGkAcwBlAGQAIABiAHkAIABNAE0AUwAgACgAKABrAGcAIABOAEgAMwAtAE4AIAArACAATgBPAHgALQBOACkALwBrAGcATgApACAAKABGAHIAYQBjAEcAQQBTAE0AbQBUACkAXABuAC0ALQAtAC0ALQAtAC0ALQAtAC0ALQAtAC0ALQAtAC0ALQAtAC0ALQAtAC0ALQAtAC0ALQAtAC0ALQAtAC0ALQAtAC0ALQAtAC0ALQBcAG4AKgAvAFwAbgBcAG4AUwBvAHUAcgBjAGUARABhAHQAYQBfAFAAbwB1AGwAdAByAHkAXwBGAHIAYQBjAEcAQQBTAE0AbQBUAF8AVABpAHQAbABlAFwAbgAgACAAPQBMAEEATQBCAEQAQQAoAFwAIgBQAG8AdQBsAHQAcgB5ACAALQAgAEYAcgBhAGMAdABpAG8AbgAgAG8AZgAgAE4AIAB2AG8AbABhAHQAaQBsAGkAcwBlAGQAIABiAHkAIABNAE0AUwAgACgAKABrAGcAIABOAEgAMwAtAE4AIAArACAATgBPAHgALQBOACkALwBrAGcATgApACAAKABGAHIAYQBjAEcAQQBTAE0AbQBUACkAXAAiACkAOwBcAG4AXABuAFMAbwB1AHIAYwBlAEQAYQB0AGEAXwBQAG8AdQBsAHQAcgB5AF8ARgByAGEAYwBHAEEAUwBNAG0AVABfAFUAbgBpAHQAXABuACAAIAA9AEwAQQBNAEIARABBACgAXAAiACgAawBnACAATgBIADMALQBOACAAKwAgAE4ATwB4AC0ATgApAC8AawBnAE4AXAAiACkAOwBcAG4AXABuAFMAbwB1AHIAYwBlAEQAYQB0AGEAXwBQAG8AdQBsAHQAcgB5AF8ARgByAGEAYwBHAEEAUwBNAG0AVABfAFMAbwB1AHIAYwBlAFwAbgAgACAAPQBMAEEATQBCAEQAQQAoAFwAIgBWAEUARQBSAEcAIAAyADAAMgA2ADoAIABUAGEAYgBsAGUAIABBAC4AMQAuADcALgAyAFwAIgApADsAXABuAFwAbgBTAG8AdQByAGMAZQBEAGEAdABhAF8AUABvAHUAbAB0AHIAeQBfAEYAcgBhAGMARwBBAFMATQBtAFQAXwBWAGEAcgBpAGEAdABpAG8AbgBcAG4AIAAgAD0ATABBAE0AQgBEAEEAKABcACIAVgBBAFIASQBBAFQASQBPAE4AIABPAE4AIABTAE8AVQBSAEMARQA6ACAAQQBkAGQAZQBkACAAXAB1ADAAMAAyADcATgBJAFIAIABkAGUAZgBpAG4AaQB0AGkAbwBuACAAYwBvAGwAdQBtAG4AXAB1ADAAMAAyAD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BcAHUAMAAwADIANwBOAEkAUgAgAGQAZQBmAGkAbgBpAHQAaQBvAG4AIABjAG8AbAB1AG0AbgBcAHUAMAAwADIANwAuACA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AuAFwAIgApADsAXABuAFwAbgBTAG8AdQByAGMAZQBEAGEAdABhAF8AUABvAHUAbAB0AHIAeQBfAEUARgBtAFQAXwBEAGEAdABhAFwAbgAgACAAPQBMAEEATQBCAEQAQQAoAFwAbgAgACAAIAAgAE0AQQBLAEUAQQBSAFIAQQBZACgAOQAsACAAMwAsACAAXABuACAAIAAgACAAIAAgAEwAQQBNAEIARABBACgAcgAsAGMALAAgAFwAbgAgACAAIAAgACAAIAAgACAASQBOAEQARQBYACgAewBcAG4AIAAgACAAIAAgACAAIAAgACAAIABcACIATQBNAFMAIABtAFwAIgAsACAAXAAiAEUARgBtAFQAXAAiACwAIABcACIATgBJAFIAIAByAGUAZgBlAHIAZQBuAGMAZQBcACIAOwBcAG4AIAAgACAAIAAgACAAIAAgACAAIABcACIAUABvAHUAbAB0AHIAeQAgAG0AYQBuAHUAcgBlACAAdwBpAHQAaAAgAGwAaQB0AHQAZQByACAAKABoAG8AdQBzAGkAbgBnACkAXAAiACwAIAAwAC4AMAAwADEALAAgAFwAIgBQAG8AdQBsAHQAcgB5ACAAbQBhAG4AdQByAGUAIAB3AGkAdABoACAAYgBlAGQAZABpAG4AZwBcACIAOwBcAG4AIAAgACAAIAAgACAAIAAgACAAIABcACIAUABvAHUAbAB0AHIAeQAgAG0AYQBuAHUAcgBlACAAdwBpAHQAaABvAHUAdAAgAGwAaQB0AHQAZQByACAAKABoAG8AdQBzAGkAbgBnACkAXAAiACwAIAAwAC4AMAAwADEALAAgAFwAIgBCAGUAbAB0ACAAbQBhAG4AdQByAGUAIAByAGUAbQBvAHYAYQBsAFwAIgA7AFwAbgAgACAAIAAgACAAIAAgACAAIAAgAFwAIgBQAG8AdQBsAHQAcgB5ACAAbQBhAG4AdQByAGUAIAB3AGkAdABoAG8AdQB0ACAAbABpAHQAdABlAHIAIAAoAGgAbwB1AHMAaQBuAGcAKQBcACIALAAgADAALgAwADAAMQAsACAAXAAiAE0AYQBuAHUAcgBlACAAcwB0AG8AcgBlAGQAIABpAG4AIABoAG8AdQBzAGUAXAAiADsAXABuACAAIAAgACAAIAAgACAAIAAgACAAXAAiAFAAYQBzAHQAdQByAGUAIAByAGEAbgBnAGUAIABhAG4AZAAgAHAAYQBkAGQAbwBjAGsAIAAoAGYAcgBlAGUAIAByAGEAbgBnAGUAKQBcACIALAAgADAALgAwADIALAAgAFwAIgBQAGEAcwB0AHUAcgBlACAAcgBhAG4AZwBlACAAYQBuAGQAIABwAGEAZABkAG8AYwBrAFwAIgA7AFwAbgAgACAAIAAgACAAIAAgACAAIAAgAFwAIgBTAG8AbABpAGQAIABzAHQAbwByAGEAZwBlACAAKABzAHQAbwBjAGsAcABpAGwAZQApAFwAIgAsACAAMAAuADAAMAA1ACwAIABcACIAUwBvAGwAaQBkACAAcwB0AG8AcgBhAGcAZQBcACIAOwBcAG4AIAAgACAAIAAgACAAIAAgACAAIABcACIAQwBvAG0AcABvAHMAdABpAG4AZwAgACgAcABhAHMAcwBpAHYAZQAgAHcAaQBuAGQAcgBvAHcAKQBcACIALAAgADAALgAwADE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FAAbwB1AGwAdA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FAAbwB1AGwAdAByAHkAXwBGAHIAYQBjAHQAaQBvAG4ATwBmAE4AaQB0AHIAbwBnAGUAbgBMAG8AcwB0AFQAaAByAG8AdQBnAGgATABlAGEAYwBoAGkAbgBnAEEAbgBkAFIAdQBuAG8AZgBmAF8AVgBhAHIAaQBhAGIAbABlAFwAbgAgACAAPQBMAEEATQBCAEQAQQAoAFwAIgBGAHIAYQBjAF8ATABFAEEAQwBIAF8ATQBTAFwAIgApADsAXABuAFwAbgBTAG8AdQByAGMAZQBEAGEAdABhAF8AUABvAHUAbAB0AHIAeQBfAEYAcgBhAGMAdABpAG8AbgBPAGYATgBpAHQAcgBvAGcAZQBuAEwAbwBzAHQAVABoAHIAbwB1AGcAaABMAGUAYQBjAGgAaQBuAGcAQQBuAGQAUgB1AG4AbwBmAGYAXwBVAG4AaQB0AFwAbgAgACAAPQBMAEEATQBCAEQAQQAoAFwAIgBEAGkAbQBlAG4AcwBpAG8AbgBsAGUAcwBzAFwAIgApADsAXABuAFwAbgBTAG8AdQByAGMAZQBEAGEAdABhAF8AUABvAHUAbAB0AHIAeQBfAEYAcgBhAGMAdABpAG8AbgBPAGYATgBpAHQAcgBvAGcAZQBuAEwAbwBzAHQAVABoAHIAbwB1AGcAaABMAGUAYQBjAGgAaQBuAGcAQQBuAGQAUgB1AG4AbwBmAGYAXwBTAG8AdQByAGMAZQBcAG4AIAAgAD0ATABBAE0AQgBEAEEAKABcACIAVgBFAEUAUgBHACAAMgAwADIANgA6ACAANAAuADYALgAyAC4AMwAgAEMATwBOAFMAVABBAE4AVABTAFwAIgApADsAXABuAFwAbgBTAG8AdQByAGMAZQBEAGEAdABhAF8AUABvAHUAbAB0AHIAeQBfAEYAcgBhAGMAdABpAG8AbgBPAGYATgBpAHQAcgBvAGcAZQBuAEwAbwBzAHQAVABoAHIAbwB1AGcAaABMAGUAYQBjAGgAaQBuAGcAQQBuAGQAUgB1AG4AbwBmAGYAXwBWAGEAcgBpAGEAdABpAG8AbgBcAG4AIAAgAD0ATABBAE0AQgBEAEEAKABcACIAXAAiACkAOwBcAG4AXABuAFMAbwB1AHIAYwBlAEQAYQB0AGEAXwBQAG8AdQBsAHQ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FAAbwB1AGwAdAByAHkAXwBGAHIAYQBjAEcAQQBNAFM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bwB1AGwAdAByAHkAXwBGAHIAYQBjAEcAQQBNAFM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8AdQBsAHQAcgB5AF8ARgByAGEAYwBHAEEATQBTAFMAbwBpAGwAXwBWAGEAcgBpAGEAYgBsAGUAXABuACAAIAA9AEwAQQBNAEIARABBACgAXAAiAEYAcgBhAGMARwBBAFMATQBfAHMAbwBpAGwAXAAiACkAOwBcAG4AXABuAFMAbwB1AHIAYwBlAEQAYQB0AGEAXwBQAG8AdQBsAHQAcgB5AF8ARgByAGEAYwBHAEEATQBTAFMAbwBpAGwAXwBVAG4AaQB0AFwAbgAgACAAPQBMAEEATQBCAEQAQQAoAFwAIgAoAGsAZwAgAE4ASAAzAC0ATgAgACsAIABOAE8AeAAtAE4AKQAvAGsAZwAgAE4AXAAiACkAOwBcAG4AXABuAFMAbwB1AHIAYwBlAEQAYQB0AGEAXwBQAG8AdQBsAHQAcgB5AF8ARgByAGEAYwBHAEEATQBTAFMAbwBpAGwAXwBTAG8AdQByAGMAZQBcAG4AIAAgAD0ATABBAE0AQgBEAEEAKABcACIAVgBFAEUAUgBHACAAMgAwADIANgA6ACAANAAuADYALgAyAC4AMwAgAEMATwBOAFMAVABBAE4AVABTAFwAIgApADsAXABuAFwAbgBTAG8AdQByAGMAZQBEAGEAdABhAF8AUABvAHUAbAB0AHIAeQBfAEYAcgBhAGMARwBBAE0AUwBTAG8AaQBsAF8AVgBhAHIAaQBhAHQAaQBvAG4AXABuACAAIAA9AEwAQQBNAEIARABBACgAXAAiAFYAQQBSAEkAQQBUAEkATwBOACAATwBOACAAUwBPAFUAUgBDAEUAOgAgAFQAaABpAHMAIABjAG8AbgBzAHQAYQBuAHQAIABpAHMAIABuAG8AdAAgAGQAbwBjAHUAbQBlAG4AdABlAGQAIABpAG4AIAB0AGgAZQAgAGQAcgBhAGYAdAAsACAAdQBzAGUAZAAgAHQAaABlACAAcwBhAG0AZQAgAHYAYQBsAHUAZQAgAG8AZgAgADAALgAyADEAIABhAHMAIABhAGwAbAAgAG8AdABoAGUAcgAgAGwAaQB2AGUAcwB0AG8AYwBrAC4AXAAiACkAOwBcAG4AXABuAFMAbwB1AHIAYwBlAEQAYQB0AGEAXwBQAG8AdQBsAHQAcgB5AF8ARgByAGEAYwBHAEEATQBTAFMAbwBpAGwAXwBEAGEAdABhAFwAbgAgACAAPQBMAEEATQBCAEQAQQAoADAALgAyADEAKQA7AFwAbgBcAG4AXABuAC8AKgAgAFwAbgAtAC0ALQAtAC0ALQAtAC0ALQAtAC0ALQAtAC0ALQAtAC0ALQAtAC0ALQAtAC0ALQAtAC0ALQAtAC0ALQAtAC0ALQAtAC0ALQAtAC0AXABuAFMAbwB1AHIAYwBlAEQAYQB0AGEAXwBQAG8AdQBsAHQAcgB5AF8ATABpAHYAZQB3AGUAaQBnAGgAdABzAFwAbgBUAGEAYgBsAGUAIABBAC4AMQAuADcALgA1ADoAIABQAG8AdQBsAHQAcgB5ACAALQAgAEwAaQB2AGUAdwBlAGkAZwBoAHQAcwAgACgAVwBjAG8AKQAgACgAawBnACkAXABuAC0ALQAtAC0ALQAtAC0ALQAtAC0ALQAtAC0ALQAtAC0ALQAtAC0ALQAtAC0ALQAtAC0ALQAtAC0ALQAtAC0ALQAtAC0ALQAtAC0ALQBcAG4AKgAvAFwAbgBcAG4AUwBvAHUAcgBjAGUARABhAHQAYQBfAFAAbwB1AGwAdAByAHkAXwBMAGkAdgBlAHcAZQBpAGcAaAB0AHMAXwBUAGkAdABsAGUAXABuACAAIAA9AEwAQQBNAEIARABBACgAXAAiAFAAbwB1AGwAdAByAHkAIAAtACAATABpAHYAZQB3AGUAaQBnAGgAdABzACAAKABXAGMAbwApACAAKABrAGcAKQBcACIAKQA7AFwAbgBcAG4AUwBvAHUAcgBjAGUARABhAHQAYQBfAFAAbwB1AGwAdAByAHkAXwBMAGkAdgBlAHcAZQBpAGcAaAB0AHMAXwBVAG4AaQB0AFwAbgAgACAAPQBMAEEATQBCAEQAQQAoAFwAIgBrAGcAXAAiACkAOwBcAG4AXABuAFMAbwB1AHIAYwBlAEQAYQB0AGEAXwBQAG8AdQBsAHQAcgB5AF8ATABpAHYAZQB3AGUAaQBnAGgAdABzAF8AUwBvAHUAcgBjAGUAXABuACAAIAA9AEwAQQBNAEIARABBACgAXAAiAFYARQBFAFIARwAgADIAMAAyADYAOgAgAFQAYQBiAGwAZQAgAEEALgAxAC4ANwAuADUAXAAiACkAOwBcAG4AXABuAFMAbwB1AHIAYwBlAEQAYQB0AGEAXwBQAG8AdQBsAHQAcgB5AF8ATABpAHYAZQB3AGUAaQBnAGgAdABzAF8AVgBhAHIAaQBhAHQAaQBvAG4AXABuACAAIAA9AEwAQQBNAEIARABBACgAXAAiAFwAIgApADsAXABuAFwAbgBTAG8AdQByAGMAZQBEAGEAdABhAF8AUABvAHUAbAB0AHIAeQBfAEwAaQB2AGUAdwBlAGkAZwBoAHQAcwBfAEQAYQB0AGEAXABuACAAIAA9AEwAQQBNAEIARABBACgAXABuACAAIAAgACAATQBBAEsARQBBAFIAUgBBAFkAKAA5ACwAIAAzACwAIABcAG4AIAAgACAAIAAgACAATABBAE0AQgBEAEEAKAByACwAYwAsACAAXABuACAAIAAgACAAIAAgACAAIABJAE4ARABFAFgAKAB7AFwAbgAgACAAIAAgACAAIAAgACAAIAAgAFwAIgBMAGkAdgBlAHMAdABvAGMAawAgAEMAbABhAHMAcwAgAGoAXAAiACwAIABcACIAQQB2AGUAcgBhAGcAZQAgAEwAaQB2AGUAdwBlAGkAZwBoAHQAIAAoAGsAZwApAFwAIgA7AFwAbgAgACAAIAAgACAAIAAgACAAIAAgAFwAIgBDAGgAaQBjAGsAZQBuAFwAIgAsACAAMQAuADMAOwBcAG4AIAAgACAAIAAgACAAIAAgACAAIABcACIASABlAG4AIABcAHUAMAAwADMAZQ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DAALAAgAFwAIgBcACIAOwBcAG4AIAAgACAAIAAgACAAIAAgAFwAIgBJAG4AYwBpAG4AZQByAGEAdABpAG8AbgBcACIALAAgAFwAIgBHAHIAZQBlAG4AIAB3AGEAcwB0AGUAIAAoAGkAbgBjAGwAdQBkAGkAbgBnACAAYwByAG8AcAAgAHIAZQBzAGkAZAB1AGUAcwAgAG8AcgAgAHAAcgB1AG4AaQBuAGcAcwApAFwAIgAsACAAMAAsACAAXAAiAFwAIgA7AFwAbgAgACAAIAAgACAAIAAgACAAXAAiAEkAbgBjAGkAbgBlAHIAYQB0AGkAbwBuAFwAIgAsACAAXAAiAFcAbwBvAGQAXAAiACwAIAAwACwAIABcACIAXAAiADsAXABuACAAIAAgACAAIAAgACAAIABcACIASQBuAGMAaQBuAGUAcgBhAHQAaQBvAG4AXAAiACwAIABcACIAU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AwAC4AMAA0ADYALAAgAFwAIgBcACIAOwBcAG4AIAAgACAAIAAgACAAIAAgAFwAIgBDAG8AbQBwAG8AcwB0AGkAbgBnAFwAIgAsACAAXAAiAEcAcgBlAGUAbgAgAHcAYQBzAHQAZQAgACgAaQBuAGMAbAB1AGQAaQBuAGcAIABjAHIAbwBwACAAcgBlAHMAaQBkAHUAZQBzACAAbwByACAAcAByAHUAbgBpAG4AZwBzACkAXAAiACwAIAAwAC4AMAA0ADYALAAgAFwAIgBcACIAOwBcAG4AIAAgACAAIAAgACAAIAAgAFwAIgBDAG8AbQBwAG8AcwB0AGkAbgBnAFwAIgAsACAAXAAiAFcAbwBvAGQAXAAiACwAIAAwAC4AMAA0ADYALAAgAFwAIgBcACIAOwBcAG4AIAAgACAAIAAgACAAIAAgAFwAIgBDAG8AbQBwAG8AcwB0AGkAbgBnAFwAIgAsACAAXAAiAFMAbAB1AGQAZwBlAFwAIgAsACAAMAAuADAANAA2ACwAIABcACIAXAAiADsAXABuACAAIAAgACAAIAAgACAAIABcACIAQwBvAG0AcABvAHMAdABpAG4AZwBcACIALAAgAFwAIgBQAGEAcABlAHIAIABhAG4AZAAgAGMAYQByAGQAYgBvAGEAcgBkAFwAIgAsACAAMAAuADAANAA2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AwAC4AMAAyADgALAAgAFwAIgBcACIAOwBcAG4AIAAgACAAIAAgACAAIAAgAFwAIgBBAG4AYQBlAHIAbwBiAGkAYwAgAGQAaQBnAGUAcwB0AGkAbwBuAFwAIgAsACAAXAAiAEcAcgBlAGUAbgAgAHcAYQBzAHQAZQAgACgAaQBuAGMAbAB1AGQAaQBuAGcAIABjAHIAbwBwACAAcgBlAHMAaQBkAHUAZQBzACAAbwByACAAcAByAHUAbgBpAG4AZwBzACkAXAAiACwAIAAwAC4AMAAyADgALAAgAFwAIgBcACIAOwBcAG4AIAAgACAAIAAgACAAIAAgAFwAIgBBAG4AYQBlAHIAbwBiAGkAYwAgAGQAaQBnAGUAcwB0AGkAbwBuAFwAIgAsACAAXAAiAFcAbwBvAGQAXAAiACwAIAAwAC4AMAAyADgALAAgAFwAIgBcACIAOwBcAG4AIAAgACAAIAAgACAAIAAgAFwAIgBBAG4AYQBlAHIAbwBiAGkAYwAgAGQAaQBnAGUAcwB0AGkAbwBuAFwAIgAsACAAXAAiAFMAbAB1AGQAZwBlAFwAIgAsACAAMAAuADAAMgA4ACwAIABcACIAXAAiADsAXABuACAAIAAgACAAIAAgACAAIABcACIAQQBuAGEAZQByAG8AYgBpAGMAIABkAGkAZwBlAHMAdABpAG8AbgBcACIALAAgAFwAIgBQAGEAcABlAHIAIABhAG4AZAAgAGMAYQByAGQAYgBvAGEAcgBkAFwAIgAsACAAMAAuADAAMgA4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XAB1ADAAMAAyADcAcABhAHAAZQByACAAYQBuAGQAIABjAGEAcgBiAG8AYQByAGQAXAB1ADAAMAAyADcAIAB0AG8AIABcAHUAMAAwADIANwBwAGEAcABlAHIAIABhAG4AZAAgAGMAYQByAGQAYgBvAGEAcgBkAFwAdQAwADAAMgA3AFwAIgA7AFwAbgAgACAAIAAgACAAIAAgACAAXAAiAEYAaQB4AGUAZAAgAHQAeQBwAG8AIABcAHUAMAAwADIANwBwAHIAdQBuAG4AaQBuAGcAcwBcAHUAMAAwADIANwAgAHQAbwAgAFwAdQAwADAAMgA3AHAAcgB1AG4AaQBuAGcAcwBcAHUAMAAwADIANwBcACIAOwBcAG4AIAAgACAAIAAgACAAIAAgAFwAIgBBAGQAZABlAGQAIABFAEYAIABzAG8AdQByAGMAZQAgAGMAbwBsAHUAbQBuACAAdwBpAHQAaAAgAHMAcABlAGMAaQBmAGkAYwAgAHIAZQBmAGUAcgBlAG4AYwBlAHMAXAAiADsAXABuACAAIAAgACAAIAAgACAAIABcACIAQQBkAGQAZQBkACAAcwB1AGIALQBjAGEAdABlAGcAbwByAGkAZQBzACAAZgBvAHIAIABcAHUAMAAwADIANwBJAG4AYwBpAG4AZQByAGEAdABpAG8AbgA6ACAARgBvAG8AZAAgAHcAYQBzAHQAZQAsACAAZwByAGUAZQBuACAAdwBhAHMAdABlACwAIAB3AG8AbwBkACwAIABzAGwAdQBkAGc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DAG8AbQBwAG8AcwB0AGkAbgBnADoAIABBAGwAbAAgAG8AcgBnAGEAbgBpAGMAIAB3AGEAcwB0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QBuAGEAZQByAG8AYgBpAGMAIABkAGkAZwBlAHMAdABpAG8AbgA6ACAAQQBsAGwAIABvAHIAZwBhAG4AaQBjACAAdwBhAHMAdABlAFwAdQAwADAAMgA3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gAIABNAGUAdABoAG8AZAAgADEAIAAtACAATQBhAG4AdQByAGUAIABBAHAAcABsAGkAZQBkACAAVABvACAAUwBvAGkAbABz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ABfAF8AMQBfAE0AYQBzAHMATwBmAE4AaQB0AHIAbwBnAGUAbgBBAHAAcABsAGkAZQBkAFQAbwBTAG8AaQBsAHMAUwBjAG8AcABlADEAXABuAE0AYQBzAHMAIABvAGYAIABuAGkAdAByAG8AZwBlAG4AIABmAHIAbwBtACAAbQBhAG4AdQByAGUAIABhAHAAcABsAGkAZQBkACAAdABvACAAcwBvAGkAbABzACAAZgBvAHIAIABzAGMAbwBwAGUAIAAxACAAZQBtAGkAcwBzAGkAbwBuAHMAXABuAE0ATgBTAG8AaQBsAF8AcwBjAG8AcABlADEAXABuAGsAZwAgAE4AXABuAE0ATgBTAG8AaQBsAF8AewBzAGMAbwBwAGUAMQB9AD0AKABNAE4AXwB7AGoAbQB9AFwAXAB0AGkAbQBlAHMAIAAoADEALQBFAEYAXwBtAC0ARgByAGEAYwBHAEEAUwBNAF8AbQApAC0ATQBOAEwAZQBhAGMAaABfAGoAbQApAFwAXAB0AGkAbQBlAHMAIABQAEYAXwBzAGMAbwBwAGU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F8AcwBjAG8AcABl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QBfAE0AYQBzAHMATwBmAE4AaQB0AHIAbwBnAGUAbgBBAHAAcABsAGkAZQBkAFQAbwBTAG8AaQBsAHMAUwBjAG8AcABlADEAXABuACAAIAA9AEwAQQBNAEIARABBACgAXABuACAAIAAgACAATQBOAF8AagBtACwAIABFAEYAXwBtACwAIABGAHIAYQBjAEcAQQBTAE0AXwBtACwAIABNAE4ATABlAGEAYwBoAF8AagBtACwAIABQAEYAXwBzAGMAbwBwAGUALABcAG4AIAAgACAAIAAoAE0ATgBfAGoAbQAgACoAIAAoADEAIAAtACAARQBGAF8AbQAgAC0AIABGAHIAYQBjAEcAQQBTAE0AXwBtACkAIAAtACAATQBOAEwAZQBhAGMAaABfAGoAbQApACAAKgAgAFAARgBfAHMAYwBvAHAAZQBcAG4AIAAgACkAOwBcAG4AXABuAFYARQBFAFIARwBfADQAXwAzAF8AMQBfADgAXwBfADEAXwBNAGEAcwBzAE8AZgBOAGkAdAByAG8AZwBlAG4AQQBwAHAAbABpAGUAZABUAG8AUwBvAGkAbABzAFMAYwBvAHAAZQAxAF8AVABpAHQAbABlAFwAbgAgACAAPQBMAEEATQBCAEQAQQAoAFwAIgBNAGEAcwBzACAAbwBmACAAbgBpAHQAcgBvAGcAZQBuACAAZgByAG8AbQAgAG0AYQBuAHUAcgBlACAAYQBwAHAAbABpAGUAZAAgAHQAbwAgAHMAbwBpAGwAcwAgAGYAbwByACAAcwBjAG8AcABlACAAMQAgAGUAbQBpAHMAcwBpAG8AbgBzAFwAIgApADsAXABuAFwAbgBWAEUARQBSAEcAXwA0AF8AMwBfADEAXwA4AF8AXwAxAF8ATQBhAHMAcwBPAGYATgBpAHQAcgBvAGcAZQBuAEEAcABwAGwAaQBlAGQAVABvAFMAbwBpAGwAcwBTAGMAbwBwAGUAMQBfAFYAYQByAGkAYQBiAGwAZQBcAG4AIAAgAD0ATABBAE0AQgBEAEEAKABcACIATQBOAFMAbwBpAGwAXwBzAGMAbwBwAGUAMQBcACIAKQA7AFwAbgBcAG4AVgBFAEUAUgBHAF8ANABfADMAXwAxAF8AOABfAF8AMQBfAE0AYQBzAHMATwBmAE4AaQB0AHIAbwBnAGUAbgBBAHAAcABsAGkAZQBkAFQAbwBTAG8AaQBsAHMAUwBjAG8AcABlADEAXwBVAG4AaQB0AFwAbgAgACAAPQBMAEEATQBCAEQAQQAoAFwAIgBrAGcAIABOAFwAIgApADsAXABuAFwAbgBWAEUARQBSAEcAXwA0AF8AMwBfADEAXwA4AF8AXwAxAF8ATQBhAHMAcwBPAGYATgBpAHQAcgBvAGcAZQBuAEEAcABwAGwAaQBlAGQAVABvAFMAbwBpAGwAcwBTAGMAbwBwAGUAMQBfAFMAbwB1AHIAYwBlAFwAbgAgACAAPQBMAEEATQBCAEQAQQAoAFwAIgBWAEUARQBSAEcAIAAyADAAMgA2ADoAIAA0AC4AMwAuADEALgA4ACwAIABFAHEAdQBhAHQAaQBvAG4AIAAoADEAKQBcACIAKQA7AFwAbgBcAG4AVgBFAEUAUgBHAF8ANABfADMAXwAxAF8AOABfAF8AMQBfAE0AYQBzAHMATwBmAE4AaQB0AHIAbwBnAGUAbgBBAHAAcABsAGkAZQBkAFQAbwBTAG8AaQBsAHMAUwBjAG8AcABlADEAXwBOAEkAUgBSAGUAZgBlAHIAZQBuAGMAZQBcAG4AIAAgAD0ATABBAE0AQgBEAEEAKABcACIAXAAiACkAOwBcAG4AXABuAFYARQBFAFIARwBfADQAXwAzAF8AMQBfADgAXwBfADEAXwBNAGEAcwBzAE8AZgBOAGkAdAByAG8AZwBlAG4AQQBwAHAAbABpAGUAZABUAG8AUwBvAGkAbABzAFMAYwBvAHAAZQAxAF8ATABhAHQAZQB4AEUAcQB1AGEAdABpAG8AbgBcAG4AIAAgAD0ATABBAE0AQgBEAEEAKABcACIATQBOAFMAbwBpAGwAXwB7AHMAYwBvAHAAZQAx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BQAEYAXAAiACkAOwBcAG4AXABuAFYARQBFAFIARwBfADQAXwAzAF8AMQBfADg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8AcwBjAG8AcABl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4AF8AXwAyAF8ATQBhAHMAcwBPAGYATgBpAHQAcgBvAGcAZQBuAEEAcABwAGwAaQBlAGQAVABvAFMAbwBpAGwAcwBTAGMAbwBwAGUAMwBcAG4ATQBhAHMAcwAgAG8AZgAgAG4AaQB0AHIAbwBnAGUAbgAgAGYAcgBvAG0AIABtAGEAbgB1AHIAZQAgAGEAcABwAGwAaQBlAGQAIAB0AG8AIABzAG8AaQBsAHMAIABmAG8AcgAgAHMAYwBvAHAAZQAgADMAIABlAG0AaQBzAHMAaQBvAG4AcwBcAG4ATQBOAFMAbwBpAGwAXwBzAGMAbwBwAGUAMwBcAG4AawBnACAATgBcAG4ATQBOAFMAbwBpAGwAXwB7AHMAYwBvAHAAZQAzAH0APQAoAE0ATgBfAHsAagBtAH0AXABcAHQAaQBtAGUAcwAgACgAMQAtAEUARgBfAG0ALQBGAHIAYQBjAEcAQQBTAE0AXwBtACkALQBNAE4ATABlAGEAYwBoAF8AagBtACkAXABcAHQAaQBtAGUAcwAgACgAMQAtAFAARgAp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IAXwBNAGEAcwBzAE8AZgBOAGkAdAByAG8AZwBlAG4AQQBwAHAAbABpAGUAZABUAG8AUwBvAGkAbABzAFMAYwBvAHAAZQAzAFwAbgAgACAAPQBMAEEATQBCAEQAQQAoAFwAbgAgACAAIAAgAE0ATgBfAGoAbQAsACAARQBGAF8AbQAsACAARgByAGEAYwBHAEEAUwBNAF8AbQAsACAATQBOAEwAZQBhAGMAaABfAGoAbQAsACAAUABGACwAXABuACAAIAAgACAAKABNAE4AXwBqAG0AIAAqACAAKAAxACAALQAgAEUARgBfAG0AIAAtACAARgByAGEAYwBHAEEAUwBNAF8AbQApACAALQAgAE0ATgBMAGUAYQBjAGgAXwBqAG0AKQAgACoAIAAoADEAIAAtACAAUABGACkAXABuACAAIAApADsAXABuAFwAbgBWAEUARQBSAEcAXwA0AF8AMwBfADEAXwA4AF8AXwAyAF8ATQBhAHMAcwBPAGYATgBpAHQAcgBvAGcAZQBuAEEAcABwAGwAaQBlAGQAVABvAFMAbwBpAGwAcwBTAGMAbwBwAGUAMwBfAFQAaQB0AGwAZQBcAG4AIAAgAD0ATABBAE0AQgBEAEEAKABcACIATQBhAHMAcwAgAG8AZgAgAG4AaQB0AHIAbwBnAGUAbgAgAGYAcgBvAG0AIABtAGEAbgB1AHIAZQAgAGEAcABwAGwAaQBlAGQAIAB0AG8AIABzAG8AaQBsAHMAIABmAG8AcgAgAHMAYwBvAHAAZQAgADMAIABlAG0AaQBzAHMAaQBvAG4AcwBcACIAKQA7AFwAbgBcAG4AVgBFAEUAUgBHAF8ANABfADMAXwAxAF8AOABfAF8AMgBfAE0AYQBzAHMATwBmAE4AaQB0AHIAbwBnAGUAbgBBAHAAcABsAGkAZQBkAFQAbwBTAG8AaQBsAHMAUwBjAG8AcABlADMAXwBWAGEAcgBpAGEAYgBsAGUAXABuACAAIAA9AEwAQQBNAEIARABBACgAXAAiAE0ATgBTAG8AaQBsAF8AcwBjAG8AcABlADMAXAAiACkAOwBcAG4AXABuAFYARQBFAFIARwBfADQAXwAzAF8AMQBfADgAXwBfADIAXwBNAGEAcwBzAE8AZgBOAGkAdAByAG8AZwBlAG4AQQBwAHAAbABpAGUAZABUAG8AUwBvAGkAbABzAFMAYwBvAHAAZQAzAF8AVQBuAGkAdABcAG4AIAAgAD0ATABBAE0AQgBEAEEAKABcACIAawBnACAATgBcACIAKQA7AFwAbgBcAG4AVgBFAEUAUgBHAF8ANABfADMAXwAxAF8AOABfAF8AMgBfAE0AYQBzAHMATwBmAE4AaQB0AHIAbwBnAGUAbgBBAHAAcABsAGkAZQBkAFQAbwBTAG8AaQBsAHMAUwBjAG8AcABlADMAXwBTAG8AdQByAGMAZQBcAG4AIAAgAD0ATABBAE0AQgBEAEEAKABcACIAVgBFAEUAUgBHACAAMgAwADIANgA6ACAANAAuADMALgAxAC4AOAAsACAARQBxAHUAYQB0AGkAbwBuACAAKAAyACkAXAAiACkAOwBcAG4AXABuAFYARQBFAFIARwBfADQAXwAzAF8AMQBfADgAXwBfADIAXwBNAGEAcwBzAE8AZgBOAGkAdAByAG8AZwBlAG4AQQBwAHAAbABpAGUAZABUAG8AUwBvAGkAbABzAFMAYwBvAHAAZQAzAF8ATgBJAFIAUgBlAGYAZQByAGUAbgBjAGUAXABuACAAIAA9AEwAQQBNAEIARABBACgAXAAiAFwAIgApADsAXABuAFwAbgBWAEUARQBSAEcAXwA0AF8AMwBfADEAXwA4AF8AXwAyAF8ATQBhAHMAcwBPAGYATgBpAHQAcgBvAGcAZQBuAEEAcABwAGwAaQBlAGQAVABvAFMAbwBpAGwAcwBTAGMAbwBwAGUAMwBfAEwAYQB0AGUAeABFAHEAdQBhAHQAaQBvAG4AXABuACAAIAA9AEwAQQBNAEIARABBACgAXAAiAE0ATgBTAG8AaQBsAF8AewBzAGMAbwBwAGUAMw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KAAxAC0AUABGACkAXAAiACkAOwBcAG4AXABuAFYARQBFAFIARwBfADQAXwAzAF8AMQBfADg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EQAYQBp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gAE0AZQB0AGgAbwBkACAAMQAgAC0AIABNAGEAbgB1AHIAZQAgAE0AZQB0AGgAYQBuAGU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F8AXwAxAF8AVABvAHQAYQBsAEEAbgBuAHUAYQBsAE0AZQB0AGgAYQBuAGUARgByAG8AbQBNAGEAbgB1AHIAZQBNAGEAbgBhAGcAZQBtAGUAbgB0AFwAbgBUAG8AdABhAGwAIABhAG4AbgB1AGEAbAAgAG0AZQB0AGgAYQBuAGUAIABwAHIAbwBkAHUAYwB0AGkAbwBuACAAZgByAG8AbQAgAG0AYQBuAHUAcgBlACAAbQBhAG4AYQBnAGUAbQBlAG4AdABcAG4ARQBfAEMASAA0AFwAbgB0ACAAQwBIADQAXABuAEUAXwB7AEMASAA0AH0AP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BuAE4AXwBqADEAMgA0ACAAPQAgAG4AdQBtAGIAZQByACAAbwBmACAAZABhAGkAcgB5ACAAYwBhAHQAdABsAGUAIABpAG4AIABjAGwAYQBzAHMAZQBzACAAagA9ADEALAAyACwANABcAG4ATQBfAGoAMQAyADQAbQAgAD0AIABtAGUAdABoAGEAbgBlACAAcAByAG8AZAB1AGMAdABpAG8AbgAgAGYAcgBvAG0AIABtAGEAbgB1AHIAZQAgAG8AZgAgAHcAZQBhAG4AZQBkACAAZABhAGkAcgB5ACAAYwBhAHQAdABsAGUAIABpAG4AIABjAGwAYQBzAHMAZQBzACAAagA9ADEALAAyACwANAAgAGkAbgAgAE0ATQBTACAAbQAgACgAawBnACAAQwBIADQALwBoAGUAYQBkAC8AZABhAHkAKQBcAG4ARABfAGoAMQAyADQAIAA9ACAAZAB1AHIAYQB0AGkAbwBuACAAbwBmACAAcwB0AGEAeQAgAG8AbgAgAGYAYQByAG0AIABmAG8AcgAgAGMAbABhAHMAcwBlAHMAIABqAD0AMQAsADIALAA0ACAAKABkAGEAeQBzACkAXABuAE4AXwBqADMANQAgAD0AIABuAHUAbQBiAGUAcgAgAG8AZgAgAGQAYQBpAHIAeQAgAGMAYQB0AHQAbABlACAAaQBuACAAYwBsAGEAcwBzAGUAcwAgAGoAPQAzACwANQBcAG4ATQBfAGoAMwA1AG0AIAA9ACAAbQBlAHQAaABhAG4AZQAgAHAAcgBvAGQAdQBjAHQAaQBvAG4AIABmAHIAbwBtACAAbQBhAG4AdQByAGUAIABvAGYAIAB3AGUAYQBuAGUAZAAgAGQAYQBpAHIAeQAgAGMAYQB0AHQAbABlACAAaQBuACAAYwBsAGEAcwBzAGUAcwAgAGoAPQAzACwANQAgAGkAbgAgAE0ATQBTACAAbQAgACgAawBnACAAQwBIADQALwBoAGUAYQBkAC8AZABhAHkAKQBcAG4ARABfAGoAMwA1ACAAPQAgAGQAdQByAGEAdABpAG8AbgAgAG8AZgAgAHMAdABhAHkAIABvAG4AIABmAGEAcgBtACAAZgBvAHIAIABjAGwAYQBzAHMAZQBzACAAagA9ADMALAA1ACAAKABkAGEAeQBzACkAXABuAE0AUABXAF8AbQBhAG4AdQByAGUAXwBqADMANQAgAD0AIABtAGUAdABoAGEAbgBlACAAcAByAG8AZAB1AGMAdABpAG8AbgAgAGYAcgBvAG0AIABtAGEAbgB1AHIAZQAgAG8AZ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QAXwAzAF8AMQBfADEAXwBfADEAXwBUAG8AdABhAGwAQQBuAG4AdQBhAGwATQBlAHQAaABhAG4AZQBGAHIAbwBtAE0AYQBuAHUAcgBlAE0AYQBuAGEAZwBlAG0AZQBuAHQAXABuACAAIAA9AEwAQQBNAEIARABBACgAXABuACAAIAAgACAATgBfAGoAMQAyADQALAAgAE0AXwBqADEAMgA0AG0ALAAgAEQAXwBqADEAMgA0ACwAIABOAF8AagAzADUALAAgAE0AXwBqADMANQBtACwAIABEAF8AagAzADUALAAgAE0AUABXAF8AbQBhAG4AdQByAGUAXwBqADMANQAsAFwAbgAgACAAIAAgACgAKABOAF8AagAxADIANAAgACoAIABNAF8AagAxADIANABtACAAKgAgAEQAXwBqADEAMgA0ACkAIAArACAAKABOAF8AagAzADUAIAAqACAATQBfAGoAMwA1AG0AIAAqACAARABfAGoAMwA1ACkAIAArACAAKABOAF8AagAzADUAIAAqACAATQBQAFcAXwBtAGEAbgB1AHIAZQBfAGoAMwA1ACAAKgAgAEQAXwBqADMANQApACkAIAAqACAAMQAwACAAXgAgAC0AMwBcAG4AIAAgACkAOwBcAG4AXABuAFYARQBFAFIARwBfADQAXwAzAF8AMQBfADEAXwBfADEAXwBUAG8AdABhAGwAQQBuAG4AdQBhAGwATQBlAHQAaABhAG4AZQBGAHIAbwBtAE0AYQBuAHUAcgBlAE0AYQBuAGEAZwBlAG0AZQBuAHQAVgBhAHIAaQBhAHQAaQBvAG4AXABuACAAIAA9AEwAQQBNAEIARABBACgAXABuACAAIAAgACAATgBfAGoAMQAyADQALAAgAE0AXwBqADEAMgA0AG0ALAAgAEQAXwBqADEAMgA0ACwAIABOAF8AagAzADUALAAgAE0AXwBqADMANQBtACwAIABEAF8AagAzADUALAAgAE0AUABXAF8AbQBhAG4AdQByAGUAXwBqADMANQAsACAARABQAFcAXwBqADMANQAsAFwAbgAgACAAIAAgACgAKABOAF8AagAxADIANAAgACoAIABNAF8AagAxADIANABtACAAKgAgAEQAXwBqADEAMgA0ACkAIAArACAAKABOAF8AagAzADUAIAAqACAATQBfAGoAMwA1AG0AIAAqACAARABfAGoAMwA1ACkAIAArACAAKABOAF8AagAzADUAIAAqACAATQBQAFcAXwBtAGEAbgB1AHIAZQBfAGoAMwA1ACAAKgAgAEQAUABXAF8AagAzADUAKQApACAAKgAgADEAMAAgAF4AIAAtADMAXABuACAAIAApADsAXABuAFwAbgBcAG4AVgBFAEUAUgBHAF8ANABfADMAXwAxAF8AMQBfAF8AMQBfAFQAbwB0AGEAbABBAG4AbgB1AGEAbABNAGUAdABoAGEAbgBlAEYAcgBvAG0ATQBhAG4AdQByAGUATQBhAG4AYQBnAGUAbQBlAG4AdABfAFQAaQB0AGwAZQBcAG4AIAAgAD0ATABBAE0AQgBEAEEAKABcACIAVABvAHQAYQBsACAAYQBuAG4AdQBhAGwAIABtAGUAdABoAGEAbgBlACAAcAByAG8AZAB1AGMAdABpAG8AbgAgAGYAcgBvAG0AIABtAGEAbgB1AHIAZQAgAG0AYQBuAGEAZwBlAG0AZQBuAHQAXAAiACkAOwBcAG4AXABuAFYARQBFAFIARwBfADQAXwAzAF8AMQBfADEAXwBfADEAXwBUAG8AdABhAGwAQQBuAG4AdQBhAGwATQBlAHQAaABhAG4AZQBGAHIAbwBtAE0AYQBuAHUAcgBlAE0AYQBuAGEAZwBlAG0AZQBuAHQAXwBWAGEAcgBpAGEAYgBsAGUAXABuACAAIAA9AEwAQQBNAEIARABBACgAXAAiAEUAXwBDAEgANABcACIAKQA7AFwAbgBcAG4AVgBFAEUAUgBHAF8ANABfADMAXwAxAF8AMQBfAF8AMQBfAFQAbwB0AGEAbABBAG4AbgB1AGEAbABNAGUAdABoAGEAbgBlAEYAcgBvAG0ATQBhAG4AdQByAGUATQBhAG4AYQBnAGUAbQBlAG4AdABfAFUAbgBpAHQAXABuACAAIAA9AEwAQQBNAEIARABBACgAXAAiAHQAIABDAEgANABcACIAKQA7AFwAbgBcAG4AVgBFAEUAUgBHAF8ANABfADMAXwAxAF8AMQBfAF8AMQBfAFQAbwB0AGEAbABBAG4AbgB1AGEAbABNAGUAdABoAGEAbgBlAEYAcgBvAG0ATQBhAG4AdQByAGUATQBhAG4AYQBnAGUAbQBlAG4AdABfAFMAbwB1AHIAYwBlAFwAbgAgACAAPQBMAEEATQBCAEQAQQAoAFwAIgBWAEUARQBSAEcAIAAyADAAMgA2ADoAIAA0AC4AMwAuADEALgAxACwAIABFAHEAdQBhAHQAaQBvAG4AIAAoADEAKQBcACIAKQA7AFwAbgBcAG4AVgBFAEUAUgBHAF8ANABfADMAXwAxAF8AMQBfAF8AMQBfAFQAbwB0AGEAbABBAG4AbgB1AGEAbABNAGUAdABoAGEAbgBlAEYAcgBvAG0ATQBhAG4AdQByAGUATQBhAG4AYQBnAGUAbQBlAG4AdABfAE4ASQBSAFIAZQBmAGUAcgBlAG4AYwBlAFwAbgAgACAAPQBMAEEATQBCAEQAQQAoAFwAIgBcACIAKQA7AFwAbgBcAG4AVgBFAEUAUgBHAF8ANABfADMAXwAxAF8AMQBfAF8AMQBfAFQAbwB0AGEAbABBAG4AbgB1AGEAbABNAGUAdABoAGEAbgBlAEYAcgBvAG0ATQBhAG4AdQByAGUATQBhAG4AYQBnAGUAbQBlAG4AdABfAEwAYQB0AGUAeABFAHEAd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IgApADsAXABuAFwAbgBWAEUARQBSAEcAXwA0AF8AMwBfADEAXwAxAF8AXwAxAF8AVABvAHQAYQBsAEEAbgBuAHUAYQBsAE0AZQB0AGgAYQBuAGUARgByAG8AbQBNAGEAbgB1AHIAZQBNAGEAbgBhAGcAZQBtAGUAbgB0AF8ATABhAHQAZQB4AEUAcQB1AGEAdABpAG8AbgBWAGEAcgBp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AAVwBfAHsAagA9ADMALAA1AH0AKQApAFwAXAB0AGkAbQBlAHMAIAAxADAAXgB7AC0AMwB9AFwAIgApADsAXABuAFwAbgBWAEUARQBSAEcAXwA0AF8AMwBfADEAXwAxAF8AXwAxAF8AVABvAHQAYQBsAEEAbgBuAHUAYQBsAE0AZQB0AGgAYQBuAGUARgByAG8AbQBNAGEAbgB1AHIAZQBNAGEAbgBhAGcAZQBtAGUAbgB0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bQBcACIALAAgAFwAIgBtAGUAdABoAGEAbgBlACAAcAByAG8AZAB1AGMAdABpAG8AbgAgAGYAcgBvAG0AIABtAGEAbgB1AHIAZQAgAG8AZgAgAHcAZQBhAG4AZQBkACAAZABhAGkAcgB5ACAAYwBhAHQAdABsAGUAIABpAG4AIABjAGwAYQBzAHMAZQBzACAAagA9ADEALAAyACwANAAgAGkAbgAgAE0ATQBTACAAbQBcACIALAAgAFwAIgBrAGcAIABDAEgANAAvAGgAZQBhAGQALwBkAGEAeQBcACIALAAgAFwAIgBDAGEAbABjAHUAbABhAHQAZQBkACAAZgByAG8AbQAgADQALgAzAC4AMQAuADEAIAAoADIAKQBcACIAOwBcAG4AIAAgACAAIAAgACAAIAAgACAAIABcACIARABfAGoAMQAyADQAXAAiACwAIABcACIAZAB1AHIAYQB0AGkAbwBuACAAbwBmACAAcwB0AGEAeQAgAG8Abg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tAFwAIgAsACAAXAAiAG0AZQB0AGgAYQBuAGUAIABwAHIAbwBkAHUAYwB0AGkAbwBuACAAZgByAG8AbQAgAG0AYQBuAHUAcgBlACAAbwBmACAAdwBlAGEAbgBlAGQAIABkAGEAaQByAHkAIABjAGEAdAB0AGwAZQAgAGkAbgAgAGMAbABhAHMAcwBlAHMAIABqAD0AMwAsADUAIABpAG4AIABNAE0AUwAgAG0AXAAiACwAIABcACIAawBnACAAQwBIADQALwBoAGUAYQBkAC8AZABhAHkAXAAiACwAIABcACIAQwBhAGwAYwB1AGwAYQB0AGUAZAAgAGYAcgBvAG0AIAA0AC4AMwAuADEALgAxACAAKAAyACkAXAAiADsAXABuACAAIAAgACAAIAAgACAAIAAgACAAXAAiAEQAXwBqADMANQBcACIALAAgAFwAIgBkAHUAcgBhAHQAaQBvAG4AIABvAGYAIABzAHQAYQB5ACAAbwBuACAAZgBhAHIAbQAgAGYAbwByACAAYwBsAGEAcwBzAGUAcwAgAGoAPQAzACwANQBcACIALAAgAFwAIgBkAGEAeQBzAFwAIgAsACAAXAAiAEkAbgBwAHUAdABcACIAOwBcAG4AIAAgACAAIAAgACAAIAAgACAAIABcACIATQBQAFcAXwBtAGEAbgB1AHIAZQBfAGoAMwA1AFwAIgAsACAAXAAiAG0AZQB0AGgAYQBuAGUAIABwAHIAbwBkAHUAYwB0AGkAbwBuACAAZgByAG8AbQAgAG0AYQBuAHUAcgBlACAAbwBmACAAcAByAGUALQB3AGUAYQBuAGUAZAAgAGgAZQBpAGYAZQByACAAYQBuAGQAIABiAHUAbABsACAAYwBhAGwAdgBlAHMAXAAiACwAIABcACIAawBnACAAQwBIADQALwBoAGUAYQBkAC8AZABhAHkAXAAiACwAIABcACIAQwBvAG4AcwB0AGEAbgB0AFwAIgA7AFwAbgAgACAAIAAgACAAIAAgACAAIAAgAFwAIgBEAFAAVwBfAGoAMwA1AFwAIgAsACAAXAAiAGQAdQByAGEAdABpAG8AbgAgAG8AZgAgAHMAdABhAHkAIABvAG4AIABmAGEAcgBtACAAZgBvAHIAIABwAHIAZQAtAHcAZQBhAG4AZQBkACAAaABlAGkAZgBlAHIAIABhAG4AZAAgAGIAdQBsAGwAIABjAGEAbAB2AGUAcwBcACIALAAgAFwAIgBkAGEAeQBzAFwAIgAsACAAXAAiAEkAbgBwAHUAdABcACIAXABuACAAIAAgACAAIAAgACAAIAB9ACwAIAByACwAIABjACkAXABuACAAIAAgACAAIAAgACkAXABuACAAIAAgACAAKQBcAG4AIAAgACkAOwBcAG4AXABuAFYARQBFAFIARwBfADQAXwAzAF8AMQBfADEAXwBfADEAXwBUAG8AdABhAGwAQQBuAG4AdQBhAGwATQBlAHQAaABhAG4AZQBGAHIAbwBtAE0AYQBuAHUAcgBlAE0AYQBuAGEAZwBlAG0AZQBuAHQAXwBWAGEAcgBpAGEAdABpAG8AbgBcAG4AIAAgAD0ATABBAE0AQgBEAEEAKABcACIAVgBBAFIASQBBAFQASQBPAE4AOgAgAFUAcwBlAGQAIABzAGUAcABhAHIAYQB0AGUAIAB2AGEAcgBpAGEAYgBsAGUAIABmAG8AcgAgAGQAdQByAGEAdABpAG8AbgAgAG8AZgAgAHMAdABhAHkAIABvAG4AIABmAGEAcgBtACAAZgBvAHIAIABwAHIAZQAtAHcAZQBhAG4AZQBkACAAaABlAGkAZgBlAHIAIABhAG4AZAAgAGIAdQBsAGwAIABjAGEAbAB2AGUAcwAuAFwAIgApADsAXABuAFwAbgAvACoAXABuAC0ALQAtAC0ALQAtAC0ALQAtAC0ALQAtAC0ALQAtAC0ALQAtAC0ALQAtAC0ALQAtAC0ALQAtAC0ALQAtAC0ALQAtAC0ALQAtAC0ALQBcAG4AVgBFAEUAUgBHAF8ANABfADMAXwAxAF8AMQBfAF8AMgBfAE0AZQB0AGgAYQBuAGUARgByAG8AbQBNAGEAbgB1AHIAZQBQAHIAbwBkAHUAYwB0AGkAbwBuAFwAbgBNAGUAdABoAGEAbgBlACAAZgByAG8AbQAgAG0AYQBuAHUAcgBlACAAcAByAG8AZAB1AGMAdABpAG8AbgAgAGYAcgBvAG0AIAB3AGUAYQBuAGUAZAAgAGQAYQBpAHIAeQAgAGMAYQB0AHQAbABlAFwAbgBNAF8AagBtAFwAbgBrAGcAIABDAEgANAAvAGgAZQBhAGQALwBkAGEAeQBcAG4ATQBfAHsAagBtAH0APQBWAFMAXwBqAFwAXAB0AGkAbQBlAHMAIABGAFYAUwBfAHsAagBtACwAVAA9ADEAfQBcAFwAdABpAG0AZQBzACAATQBDAEYAXwB7AGkAbQB9AFwAXAB0AGkAbQBlAHMAIABCAF8AbwBcAFwAdABpAG0AZQBzACAAXABcAHIAaABvAFwAbgBWAFMAXwBqACAAPQAgAGQAYQBpAGwAeQAgAHYAbwBsAGEAdABpAGwAZQAgAHMAbwBsAGkAZABzACAAcAByAG8AZAB1AGMAdABpAG8AbgAgAHAAZQByACAAaABlAGEAZAAgAGYAbwByACAAZABhAGkAcgB5ACAAYwBhAHQAdABsAGUAIAAoAGsAZwAvAGgAZQBhAGQALwBkAGEAeQApAFwAbgBGAFYAUwBfAGoAbQBUADEAIAA9ACAAZgByAGEAYwB0AGkAbwBuACAAbwBmACAAdwBhAHMAdABlACAAZgByAG8AbQAgAGUAYQBjAGgAIABjAGwAYQBzAHMAIABpAG4AIABlAGEAYwBoACAAbQBhAG4AYQBnAGUAbQBlAG4AdAAgAHMAeQBzAHQAZQBtAFwAbgBNAEMARgBfAGkAbQAgAD0AIABtAGUAdABoAGEAbgBlACAAYwBvAG4AdgBlAHIAcwBpAG8AbgAgAGYAYQBjAHQAbwByACAAZgBvAHIAIAB0AGUAbQBwAGUAcgBhAHQAdQByAGUAIAB6AG8AbgBlACAAYQBuAGQAIABNAE0AUwBcAG4AQgBfAG8AIAA9ACAAZQBtAGkAcwBzAGkAbwBuAHMAIABwAG8AdABlAG4AdABpAGEAbAAgACgAbQAzACAAQwBIADQALwBrAGcAVgBTACkAXABuAHIAaABvACAAPQAgAGQAZQBuAHMAaQB0AHkAIABvAGYAIABtAGUAdABoAGEAbgBlACAAKABrAGcALwBtADMAKQBcAG4ALQAtAC0ALQAtAC0ALQAtAC0ALQAtAC0ALQAtAC0ALQAtAC0ALQAtAC0ALQAtAC0ALQAtAC0ALQAtAC0ALQAtAC0ALQAtAC0ALQAtAFwAbgAqAC8AXABuAFwAbgBWAEUARQBSAEcAXwA0AF8AMwBfADEAXwAxAF8AXwAyAF8ATQBlAHQAaABhAG4AZQBGAHIAbwBtAE0AYQBuAHUAcgBlAFAAcgBvAGQAdQBjAHQAaQBvAG4AXABuACAAIAA9AEwAQQBNAEIARABBACgAXABuACAAIAAgACAAVgBTAF8AagAsACAARgBWAFMAXwBqAG0AVAAxACwAIABNAEMARgBfAGkAbQAsACAAQgBfAG8ALAAgAHIAaABvACwAXABuACAAIAAgACAAVgBTAF8AagAgACoAIABGAFYAUwBfAGoAbQBUADEAIAAqACAATQBDAEYAXwBpAG0AIAAqACAAQgBfAG8AIAAqACAAcgBoAG8AXABuACAAIAApADsAXABuAFwAbgBWAEUARQBSAEcAXwA0AF8AMwBfADEAXwAxAF8AXwAyAF8ATQBlAHQAaABhAG4AZQBGAHIAbwBtAE0AYQBuAHUAcgBlAFAAcgBvAGQAdQBjAHQAaQBvAG4AXwBUAGkAdABsAGUAXABuACAAIAA9AEwAQQBNAEIARABBACgAXAAiAE0AZQB0AGgAYQBuAGUAIABmAHIAbwBtACAAbQBhAG4AdQByAGUAIABwAHIAbwBkAHUAYwB0AGkAbwBuACAAZgByAG8AbQAgAHcAZQBhAG4AZQBkACAAZABhAGkAcgB5ACAAYwBhAHQAdABsAGUAXAAiACkAOwBcAG4AXABuAFYARQBFAFIARwBfADQAXwAzAF8AMQBfADEAXwBfADIAXwBNAGUAdABoAGEAbgBlAEYAcgBvAG0ATQBhAG4AdQByAGUAUAByAG8AZAB1AGMAdABpAG8AbgBfAFYAYQByAGkAYQBiAGwAZQBcAG4AIAAgAD0ATABBAE0AQgBEAEEAKABcACIATQBfAGoAbQBcACIAKQA7AFwAbgBcAG4AVgBFAEUAUgBHAF8ANABfADMAXwAxAF8AMQBfAF8AMgBfAE0AZQB0AGgAYQBuAGUARgByAG8AbQBNAGEAbgB1AHIAZQBQAHIAbwBkAHUAYwB0AGkAbwBuAF8AVQBuAGkAdABcAG4AIAAgAD0ATABBAE0AQgBEAEEAKABcACIAawBnACAAQwBIADQALwBoAGUAYQBkAC8AZABhAHkAXAAiACkAOwBcAG4AXABuAFYARQBFAFIARwBfADQAXwAzAF8AMQBfADEAXwBfADIAXwBNAGUAdABoAGEAbgBlAEYAcgBvAG0ATQBhAG4AdQByAGUAUAByAG8AZAB1AGMAdABpAG8AbgBfAFMAbwB1AHIAYwBlAFwAbgAgACAAPQBMAEEATQBCAEQAQQAoAFwAIgBWAEUARQBSAEcAIAAyADAAMgA2ADoAIAA0AC4AMwAuADEALgAxACwAIABFAHEAdQBhAHQAaQBvAG4AIAAoADIAKQBcACIAKQA7AFwAbgBcAG4AVgBFAEUAUgBHAF8ANABfADMAXwAxAF8AMQBfAF8AMgBfAE0AZQB0AGgAYQBuAGUARgByAG8AbQBNAGEAbgB1AHIAZQBQAHIAbwBkAHUAYwB0AGkAbwBuAF8ATgBJAFIAUgBlAGYAZQByAGUAbgBjAGUAXABuACAAIAA9AEwAQQBNAEIARABBACgAXAAiAFwAIgApADsAXABuAFwAbgBWAEUARQBSAEcAXwA0AF8AMwBfADEAXwAxAF8AXwAyAF8ATQBlAHQAaABhAG4AZQBGAHIAbwBtAE0AYQBuAHUAcgBlAFAAcgBvAGQAdQBjAHQAaQBvAG4AXwBMAGEAdABlAHgARQBxAHUAYQB0AGkAbwBuAFwAbgAgACAAPQBMAEEATQBCAEQAQQAoAFwAIgBNAF8AewBqAG0AfQA9AFYAUwBfAGoAXABcAHQAaQBtAGUAcwAgAEYAVgBTAF8AewBqAG0ALABUAD0AMQB9AFwAXAB0AGkAbQBlAHMAIABNAEMARgBfAHsAaQBtAH0AXABcAHQAaQBtAGUAcwAgAEIAXwBvAFwAXAB0AGkAbQBlAHMAIABcAFwAcgBoAG8AXAAiACkAOwBcAG4AXABuAFYARQBFAFIARwBfADQAXwAzAF8AMQBfADEAXwBfADIAXwBNAGUAdABoAGEAbgBlAEYAcgBvAG0ATQBhAG4AdQBy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pAFwAIgAsACAAXAAiAHMAdABhAHQAZQBcACIALAAgAFwAIgBzAHQAYQB0AGUAXAAiACwAIABcACIASQBuAHAAdQB0AFwAIgBcAG4AIAAgACAAIAAgACAAIAAgAH0ALAAgAHIALAAgAGMAKQBcAG4AIAAgACAAIAAgACAAKQBcAG4AIAAgACAAIAApAFwAbgAgACAAKQA7AFwAbgBcAG4AVgBFAEUAUgBHAF8ANABfADMAXwAxAF8AMQBfAF8AMgBfAE0AZQB0AGgAYQBuAGUARgByAG8AbQBNAGEAbgB1AHI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NAEEAVABcACIALAAgAFwAIgBNAGUAYQBuACAAYQBuAG4AdQBhAGwAIAB0AGUAbQBwAGUAcgBhAHQAdQByAGUAXAAiACwAIABcACIAsABD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zAF8AVgBvAGwAYQB0AGkAbABlAFMAbwBsAGkAZABzAEYAbwByAFcAZQBhAG4AZQBkAEQAYQBpAHIAeQBDAGEAdAB0AGwAZQBcAG4AVgBvAGwAYQB0AGkAbABlACAAcwBvAGwAaQBkAHMAIABmAG8AcgAgAHcAZQBhAG4AZQBkACAAZABhAGkAcgB5ACAAYwBhAHQAdABsAGUAXABuAFYAUwBfAGoAXABuAGsAZwAvAGgAZQBhAGQALwBkAGEAeQBcAG4AVgBTAF8AagA9ACgASQBfAGoAXABcAHQAaQBtAGUAcwAgACgAMQAtAEQATQBEAF8AagApACsAKAAwAC4AMAA0AFwAXAB0AGkAbQBlAHMAIABJAF8AagApACkAXABcAHQAaQBtAGUAcwAgACgAMQAtAEEAKQBcAG4ASQBfAGoAIAA9ACAAZAByAHkAIABtAGEAdAB0AGUAcgAgAGYAZQBlAGQAIABpAG4AdABhAGsAZQAgACgAawBnAEQATQAvAGgAZQBhAGQALwBkAGEAeQApAFwAbgBEAE0ARABfAGoAIAA9ACAAZAByAHkAIABtAGEAdAB0AGUAcgAgAGQAaQBnAGUAcwB0AGkAYgBpAGwAaQB0AHkAXABuAEEAIAA9ACAAYQBzAGgAIABjAG8AbgB0AGUAbgB0ACAAbwBmACAAZgBlAGUAZAAgAGkAbgB0AGEAawBlAFwAbgAtAC0ALQAtAC0ALQAtAC0ALQAtAC0ALQAtAC0ALQAtAC0ALQAtAC0ALQAtAC0ALQAtAC0ALQAtAC0ALQAtAC0ALQAtAC0ALQAtAC0AXABuACoALwBcAG4AXABuAFYARQBFAFIARwBfADQAXwAzAF8AMQBfADEAXwBfADMAXwBWAG8AbABhAHQAaQBsAGUAUwBvAGwAaQBkAHMARgBvAHIAVwBlAGEAbgBlAGQARABhAGkAcgB5AEMAYQB0AHQAbABlAFwAbgAgACAAPQBMAEEATQBCAEQAQQAoAFwAbgAgACAAIAAgAEkAXwBqACwAIABEAE0ARABfAGoALAAgAEEALABcAG4AIAAgACAAIAAoAEkAXwBqACAAKgAgACgAMQAgAC0AIABEAE0ARABfAGoAKQAgACsAIAAoADAALgAwADQAIAAqACAASQBfAGoAKQApACAAKgAgACgAMQAgAC0AIABBACkAXABuACAAIAApADsAXABuAFwAbgBWAEUARQBSAEcAXwA0AF8AMwBfADEAXwAxAF8AXwAzAF8AVgBvAGwAYQB0AGkAbABlAFMAbwBsAGkAZABzAEYAbwByAFcAZQBhAG4AZQBkAEQAYQBpAHIAeQBDAGEAdAB0AGwAZQBfAFQAaQB0AGwAZQBcAG4AIAAgAD0ATABBAE0AQgBEAEEAKABcACIAVgBvAGwAYQB0AGkAbABlACAAcwBvAGwAaQBkAHMAIABmAG8AcgAgAHcAZQBhAG4AZQBkACAAZABhAGkAcgB5ACAAYwBhAHQAdABsAGUAXAAiACkAOwBcAG4AXABuAFYARQBFAFIARwBfADQAXwAzAF8AMQBfADEAXwBfADMAXwBWAG8AbABhAHQAaQBsAGUAUwBvAGwAaQBkAHMARgBvAHIAVwBlAGEAbgBlAGQARABhAGkAcgB5AEMAYQB0AHQAbABlAF8AVgBhAHIAaQBhAGIAbABlAFwAbgAgACAAPQBMAEEATQBCAEQAQQAoAFwAIgBWAFMAXwBqAFwAIgApADsAXABuAFwAbgBWAEUARQBSAEcAXwA0AF8AMwBfADEAXwAxAF8AXwAzAF8AVgBvAGwAYQB0AGkAbABlAFMAbwBsAGkAZABzAEYAbwByAFcAZQBhAG4AZQBkAEQAYQBpAHIAeQBDAGEAdAB0AGwAZQBfAFUAbgBpAHQAXABuACAAIAA9AEwAQQBNAEIARABBACgAXAAiAGsAZwAvAGgAZQBhAGQALwBkAGEAeQBcACIAKQA7AFwAbgBcAG4AVgBFAEUAUgBHAF8ANABfADMAXwAxAF8AMQBfAF8AMwBfAFYAbwBsAGEAdABpAGwAZQBTAG8AbABpAGQAcwBGAG8AcgBXAGUAYQBuAGUAZABEAGEAaQByAHkAQwBhAHQAdABsAGUAXwBTAG8AdQByAGMAZQBcAG4AIAAgAD0ATABBAE0AQgBEAEEAKABcACIAVgBFAEUAUgBHACAAMgAwADIANgA6ACAANAAuADMALgAxAC4AMQAsACAARQBxAHUAYQB0AGkAbwBuACAAKAAzACkAXAAiACkAOwBcAG4AXABuAFYARQBFAFIARwBfADQAXwAzAF8AMQBfADEAXwBfADMAXwBWAG8AbABhAHQAaQBsAGUAUwBvAGwAaQBkAHMARgBvAHIAVwBlAGEAbgBlAGQARABhAGkAcgB5AEMAYQB0AHQAbABlAF8ATgBJAFIAUgBlAGYAZQByAGUAbgBjAGUAXABuACAAIAA9AEwAQQBNAEIARABBACgAXAAiAFwAIgApADsAXABuAFwAbgBWAEUARQBSAEcAXwA0AF8AMwBfADEAXwAxAF8AXwAzAF8AVgBvAGwAYQB0AGkAbABlAFMAbwBsAGkAZABzAEYAbwByAFcAZQBhAG4AZQBkAEQAYQBpAHIAeQBDAGEAdAB0AGwAZQBfAEwAYQB0AGUAeABFAHEAdQBhAHQAaQBvAG4AXABuACAAIAA9AEwAQQBNAEIARABBACgAXAAiAFYAUwBfAGoAPQAoAEkAXwBqAFwAXAB0AGkAbQBlAHMAIAAoADEALQBEAE0ARABfAGoAKQArACgAMAAuADAANABcAFwAdABpAG0AZQBzACAASQBfAGoAKQApAFwAXAB0AGkAbQBlAHMAIAAoADEALQBBACkAXAAiACkAOwBcAG4AXABuAFYARQBFAFIARwBfADQAXwAzAF8AMQBfADEAXwBfADMAXwBWAG8AbABhAHQAaQBsAGUAUwBvAGwAaQBkAHMARgBvAHIAVwBlAGEAbgBlAGQARABhAGkAcgB5AEMAYQB0AHQAbABl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mAGUAZQBkACAAaQBuAHQAYQBrAGUAIAAoAGsAZwBEAE0ALwBoAGUAYQBkAC8AZABhAHkAKQBcACIALAAgAFwAIgBrAGcARABNAC8AaABlAGEAZAAvAGQAYQB5AFwAIgAsACAAXAAiAEMAYQBsAGMAdQBsAGEAdABlAGQAIABmAHIAbwBtACAAMwAuADMALgAxAC4AMQAgACgAMwApAFwAIgA7AFwAbgAgACAAIAAgACAAIAAgACAAIAAgAFwAIgBEAE0ARABfAGoAXAAiACwAIABcACIAZAByAHkAIABtAGEAdAB0AGUAcgAgAGQAaQBnAGUAcwB0AGkAYgBpAGwAaQB0AHkAXAAiACwAIABcACIAZgByAGEAYwB0AGkAbwBuAFwAIgAsACAAXAAiAEkAbgBwAHUAdABcACIAOwBcAG4AIAAgACAAIAAgACAAIAAgACAAIABcACIAQQBcACIALAAgAFwAIgBhAHMAaAAgAGMAbwBuAHQAZQBuAHQAIABvAGYAIABmAGUAZQBk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0AF8ARgByAGEAYwB0AGkAbwBuAFYAbwBsAGEAdABpAGwAZQBTAG8AbABpAGQAcwBOAG8AdABTAG8AbABpAGQAUwB0AG8AcgBhAGcAZQBcAG4ARgByAGEAYwB0AGkAbwBuACAAbwBmACAAdgBvAGwAYQB0AGkAbABlACAAcwBvAGwAaQBkAHMAIABpAG4AIABlAGEAYwBoACAAcwB5AHMAdABlAG0AIABvAHQAaABlAHIAIAB0AGgAYQBuACAAcwBvAGwAaQBkACAAcwB0AG8AcgBhAGcAZQBcAG4ARgBWAFMAXwBqAG0AXABuAGYAcgBhAGMAdABpAG8AbgBcAG4ARgBWAFMAXwB7AGoAbQB9AD0ATQBNAFMAXwB7AGoAbQB9AFwAXAB0AGkAbQBlAHMAIAAoADEALQBTAFMAXwBtACkAXABuAFMAUwBfAG0AIAA9ACAAZgByAGEAYwB0AGkAbwBuACAAbwBmACAAdgBvAGwAYQB0AGkAbABlACAAcwBvAGwAaQBkAHMAIABzAGUAcABhAHIAYQB0AGUAZAAgAHQAbwAgAHMAbwBsAGkAZAAgAHMAdABvAHIAYQBnAGUAIABmAG8AcgAgAGUAYQBjAGgAIABNAE0AUwBcAG4ATQBNAFMAXwBqAG0AIAA9ACAAZgByAGEAYwB0AGkAbwBuACAAbwBmACAAbQBhAG4AdQByAGUAIAB0AG8AIABlAGEAYwBoACAAcAByAGkAbQBhAHIAeQAgAE0ATQBTACAAZgBvAHIAIABlAGEAYwBoACAAYwBsAGEAcwBzACAAcAByAGkAbwByACAAdABvACAAcwBvAGwAaQBkACAAcwBlAHAAYQByAGEAdABpAG8AbgBcAG4ALQAtAC0ALQAtAC0ALQAtAC0ALQAtAC0ALQAtAC0ALQAtAC0ALQAtAC0ALQAtAC0ALQAtAC0ALQAtAC0ALQAtAC0ALQAtAC0ALQAtAFwAbgAqAC8AXABuAFwAbgBWAEUARQBSAEcAXwA0AF8AMwBfADEAXwAxAF8AXwA0AF8ARgByAGEAYwB0AGkAbwBuAFYAbwBsAGEAdABpAGwAZQBTAG8AbABpAGQAcwBOAG8AdABTAG8AbABpAGQAUwB0AG8AcgBhAGcAZQBcAG4AIAAgAD0ATABBAE0AQgBEAEEAKABcAG4AIAAgACAAIABNAE0AUwBfAGoAbQAsACAAUwBTAF8AbQAsAFwAbgAgACAAIAAgAE0ATQBTAF8AagBtACAAKgAgACgAMQAgAC0AIABTAFMAXwBtACkAXABuACAAIAApADsAXABuAFwAbgBWAEUARQBSAEcAXwA0AF8AMwBfADEAXwAxAF8AXwA0AF8ARgByAGEAYwB0AGkAbwBuAFYAbwBsAGEAdABpAGwAZQBTAG8AbABpAGQAcwBOAG8AdABTAG8AbABpAGQAUwB0AG8AcgBhAGcAZQBfAFQAaQB0AGwAZQBcAG4AIAAgAD0ATABBAE0AQgBEAEEAKABcACIARgByAGEAYwB0AGkAbwBuACAAbwBmACAAdgBvAGwAYQB0AGkAbABlACAAcwBvAGwAaQBkAHMAIABpAG4AIABlAGEAYwBoACAAcwB5AHMAdABlAG0AIABvAHQAaABlAHIAIAB0AGgAYQBuACAAcwBvAGwAaQBkACAAcwB0AG8AcgBhAGcAZQBcACIAKQA7AFwAbgBcAG4AVgBFAEUAUgBHAF8ANABfADMAXwAxAF8AMQBfAF8ANABfAEYAcgBhAGMAdABpAG8AbgBWAG8AbABhAHQAaQBsAGUAUwBvAGwAaQBkAHMATgBvAHQAUwBvAGwAaQBkAFMAdABvAHIAYQBnAGUAXwBWAGEAcgBpAGEAYgBsAGUAXABuACAAIAA9AEwAQQBNAEIARABBACgAXAAiAEYAVgBTAF8AagBtAFwAIgApADsAXABuAFwAbgBWAEUARQBSAEcAXwA0AF8AMwBfADEAXwAxAF8AXwA0AF8ARgByAGEAYwB0AGkAbwBuAFYAbwBsAGEAdABpAGwAZQBTAG8AbABpAGQAcwBOAG8AdABTAG8AbABpAGQAUwB0AG8AcgBhAGcAZQBfAFUAbgBpAHQAXABuACAAIAA9AEwAQQBNAEIARABBACgAXAAiAGYAcgBhAGMAdABpAG8AbgBcACIAKQA7AFwAbgBcAG4AVgBFAEUAUgBHAF8ANABfADMAXwAxAF8AMQBfAF8ANABfAEYAcgBhAGMAdABpAG8AbgBWAG8AbABhAHQAaQBsAGUAUwBvAGwAaQBkAHMATgBvAHQAUwBvAGwAaQBkAFMAdABvAHIAYQBnAGUAXwBTAG8AdQByAGMAZQBcAG4AIAAgAD0ATABBAE0AQgBEAEEAKABcACIAVgBFAEUAUgBHACAAMgAwADIANgA6ACAANAAuADMALgAxAC4AMQAsACAARQBxAHUAYQB0AGkAbwBuACAAKAA0ACkAXAAiACkAOwBcAG4AXABuAFYARQBFAFIARwBfADQAXwAzAF8AMQBfADEAXwBfADQAXwBGAHIAYQBjAHQAaQBvAG4AVgBvAGwAYQB0AGkAbABlAFMAbwBsAGkAZABzAE4AbwB0AFMAbwBsAGkAZABTAHQAbwByAGEAZwBlAF8ATgBJAFIAUgBlAGYAZQByAGUAbgBjAGUAXABuACAAIAA9AEwAQQBNAEIARABBACgAXAAiAFwAIgApADsAXABuAFwAbgBWAEUARQBSAEcAXwA0AF8AMwBfADEAXwAxAF8AXwA0AF8ARgByAGEAYwB0AGkAbwBuAFYAbwBsAGEAdABpAGwAZQBTAG8AbABpAGQAcwBOAG8AdABTAG8AbABpAGQAUwB0AG8AcgBhAGcAZQBfAEwAYQB0AGUAeABFAHEAdQBhAHQAaQBvAG4AXABuACAAIAA9AEwAQQBNAEIARABBACgAXAAiAEYAVgBTAF8AewBqAG0AfQA9AE0ATQBTAF8AewBqAG0AfQBcAFwAdABpAG0AZQBzACAAKAAxAC0AUwBTAF8AbQApAFwAIgApADsAXABuAFwAbgBWAEUARQBSAEcAXwA0AF8AMwBfADEAXwAxAF8AXwA0AF8ARgByAGEAYwB0AGkAbwBuAFYAbwBsAGEAdABpAGwAZQBTAG8AbABpAGQAcwBOAG8AdABTAG8AbABpAGQAUwB0AG8AcgBhAGcAZQBfAEEAcgBnAHUAbQBlAG4AdABzAFwAbgAgACAAPQBMAEEATQBCAEQAQQAoAFwAbgAgACAAIAAgAE0AQQBLAEUAQQBSAFIAQQBZACgAMgAsACAANAAsAFwAbgAgACAAIAAgACAAIABMAEEATQBCAEQAQQAoAHIALABjACwAXABuACAAIAAgACAAIAAgACAAIABJAE4ARABFAFgAKAB7AFwAbgAgACAAIAAgACAAIAAgACAAIAAgAFwAIgBNAE0AUwBfAGoAbQBcACIALAAg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UAXwBGAHIAYQBjAHQAaQBvAG4AVgBvAGwAYQB0AGkAbABlAFMAbwBsAGkAZABzAFMAbwBsAGkAZABTAHQAbwByAGEAZwBlAFwAbgBGAHIAYQBjAHQAaQBvAG4AIABvAGYAIAB2AG8AbABhAHQAaQBsAGUAIABzAG8AbABpAGQAcwAgAGkAbgAgAHMAbwBsAGkAZAAgAHMAdABvAHIAYQBnAGUAXABuAEYAVgBTAF8AagBtADQAXABuAGYAcgBhAGMAdABpAG8AbgBcAG4ARgBWAFMAXwB7AGoAbQA9ADQAfQA9AE0ATQBTAF8AewBqAG0APQA0AH0AKwAoAE0ATQBTAF8AewBqAG0APQAxACwANwAsADkAfQBcAFwAdABpAG0AZQBzACAAUwBTAF8AbQApAFwAbgBNAE0AUwBfAGoAbQA0ACAAPQAgAGYAcgBhAGMAdABpAG8AbgAgAG8AZgAgAHYAbwBsAGEAdABpAGwAZQAgAHMAbwBsAGkAZABzACAAaQBuACAAcwBvAGwAaQBkACAAcwB0AG8AcgBhAGcAZQAgAGIAZQBmAG8AcgBlACAAdAByAGEAbgBzAGYAZQByAFwAbgBNAE0AUwBfAGoAbQAxADcAOQAgAD0AIABmAHIAYQBjAHQAaQBvAG4AIABvAGYAIAB2AG8AbABhAHQAaQBsAGUAIABzAG8AbABpAGQAcwAgAGkAbgAgAE0ATQBTACAAbQA9ADEALAA3ACwAOQAgAGIAZQBmAG8AcgBlACAAdAByAGEAbgBzAGYAZQByAFwAbgBTAFMAXwBtACAAPQAgAGYAcgBhAGMAdABpAG8AbgAgAG8AZgAgAHYAbwBsAGEAdABpAGwAZQAgAHMAbwBsAGkAZABzACAAcwBlAHAAYQByAGEAdABlAGQAIAB0AG8AIABzAG8AbABpAGQAIABzAHQAbwByAGEAZwBlACAAZgBvAHIAIABlAGEAYwBoACAATQBNAFMAXABuAC0ALQAtAC0ALQAtAC0ALQAtAC0ALQAtAC0ALQAtAC0ALQAtAC0ALQAtAC0ALQAtAC0ALQAtAC0ALQAtAC0ALQAtAC0ALQAtAC0ALQBcAG4AKgAvAFwAbgBcAG4AVgBFAEUAUgBHAF8ANABfADMAXwAxAF8AMQBfAF8ANQBfAEYAcgBhAGMAdABpAG8AbgBWAG8AbABhAHQAaQBsAGUAUwBvAGwAaQBkAHMAUwBvAGwAaQBkAFMAdABvAHIAYQBnAGUAXABuACAAIAA9AEwAQQBNAEIARABBACgAXABuACAAIAAgACAATQBNAFMAXwBqAG0ANAAsACAATQBNAFMAXwBqAG0AMQA3ADkALAAgAFMAUwBfAG0ALABcAG4AIAAgACAAIABNAE0AUwBfAGoAbQA0ACAAKwAgACgATQBNAFMAXwBqAG0AMQA3ADkAIAAqACAAUwBTAF8AbQApAFwAbgAgACAAKQA7AFwAbgBcAG4AVgBFAEUAUgBHAF8ANABfADMAXwAxAF8AMQBfAF8ANQBfAEYAcgBhAGMAdABpAG8AbgBWAG8AbABhAHQAaQBsAGUAUwBvAGwAaQBkAHMAUwBvAGwAaQBkAFMAdABvAHIAYQBnAGUAVgBhAHIAaQBhAHQAaQBvAG4AXABuACAAIAA9AEwAQQBNAEIARABBACgAXABuACAAIAAgACAATQBNAFMAXwBqAG0ANAAsACAATQBNAFMAXwBqAG0AMQAsACAATQBNAFMAXwBqAG0ANwAsACAATQBNAFMAXwBqAG0AOQAsACAAUwBTAF8AbQAxACwAIABTAFMAXwBtADcALAAgAFMAUwBfAG0AOQAsAFwAbgAgACAAIAAgAE0ATQBTAF8AagBtADQAIAArACAAKABNAE0AUwBfAGoAbQAxACAAKgAgAFMAUwBfAG0AMQApACAAKwAgACgATQBNAFMAXwBqAG0ANwAgACoAIABTAFMAXwBtADcAKQAgACsAIAAoAE0ATQBTAF8AagBtADkAIAAqACAAUwBTAF8AbQA5ACkAXABuACAAIAApADsAXABuAFwAbgBcAG4AVgBFAEUAUgBHAF8ANABfADM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MAXwAxAF8AMQBfAF8ANQBfAEYAcgBhAGMAdABpAG8AbgBWAG8AbABhAHQAaQBsAGUAUwBvAGwAaQBkAHMAUwBvAGwAaQBkAFMAdABvAHIAYQBnAGUAXwBWAGEAcgBpAGEAYgBsAGUAXABuACAAIAA9AEwAQQBNAEIARABBACgAXAAiAEYAVgBTAF8AagBtADQAXAAiACkAOwBcAG4AXABuAFYARQBFAFIARwBfADQAXwAzAF8AMQBfADEAXwBfADUAXwBGAHIAYQBjAHQAaQBvAG4AVgBvAGwAYQB0AGkAbABlAFMAbwBsAGkAZABzAFMAbwBsAGkAZABTAHQAbwByAGEAZwBlAF8AVQBuAGkAdABcAG4AIAAgAD0ATABBAE0AQgBEAEEAKABcACIAZgByAGEAYwB0AGkAbwBuAFwAIgApADsAXABuAFwAbgBWAEUARQBSAEcAXwA0AF8AMwBfADEAXwAxAF8AXwA1AF8ARgByAGEAYwB0AGkAbwBuAFYAbwBsAGEAdABpAGwAZQBTAG8AbABpAGQAcwBTAG8AbABpAGQAUwB0AG8AcgBhAGcAZQBfAFMAbwB1AHIAYwBlAFwAbgAgACAAPQBMAEEATQBCAEQAQQAoAFwAIgBWAEUARQBSAEcAIAAyADAAMgA2ADoAIAA0AC4AMwAuADEALgAxACwAIABFAHEAdQBhAHQAaQBvAG4AIAAoADUAKQBcACIAKQA7AFwAbgBcAG4AVgBFAEUAUgBHAF8ANABfADMAXwAxAF8AMQBfAF8ANQBfAEYAcgBhAGMAdABpAG8AbgBWAG8AbABhAHQAaQBsAGUAUwBvAGwAaQBkAHMAUwBvAGwAaQBkAFMAdABvAHIAYQBnAGUAXwBOAEkAUgBSAGUAZgBlAHIAZQBuAGMAZQBcAG4AIAAgAD0ATABBAE0AQgBEAEEAKABcACIAXAAiACkAOwBcAG4AXABuAFYARQBFAFIARwBfADQAXwAzAF8AMQBfADEAXwBfADUAXwBGAHIAYQBjAHQAaQBvAG4AVgBvAGwAYQB0AGkAbABlAFMAbwBsAGkAZABzAFMAbwBsAGkAZABTAHQAbwByAGEAZwBlAF8ATABhAHQAZQB4AEUAcQB1AGEAdABpAG8AbgBcAG4AIAAgAD0ATABBAE0AQgBEAEEAKABcACIARgBWAFMAXwB7AGoAbQA9ADQAfQA9AE0ATQBTAF8AewBqAG0APQA0AH0AKwAoAE0ATQBTAF8AewBqAG0APQAxACwANwAsADkAfQBcAFwAdABpAG0AZQBzACAAUwBTAF8AbQApAFwAIgApADsAXABuAFwAbgBWAEUARQBSAEcAXwA0AF8AMwBfADEAXwAxAF8AXwA1AF8ARgByAGEAYwB0AGkAbwBuAFYAbwBsAGEAdABpAGwAZQBTAG8AbABpAGQAcwBTAG8AbABpAGQAUwB0AG8AcgBhAGcAZQBfAEwAYQB0AGUAeABFAHEAdQBhAHQAaQBvAG4AVgBhAHIAaQBhAHQAaQBvAG4AXABuACAAIAA9AEwAQQBNAEIARABBACgAXAAiAEYAVgBTAF8AewBqAG0APQA0AH0APQBNAE0AUwBfAHsAagBtAD0ANAB9ACsAKABNAE0AUwBfAHsAagBtAD0AMQB9AFwAXAB0AGkAbQBlAHMAIABTAFMAXwB7AG0APQAxAH0AKQArACgATQBNAFMAXwB7AGoAbQA9ADcAfQBcAFwAdABpAG0AZQBzACAAUwBTAF8AewBtAD0ANwB9ACkAKwAoAE0ATQBTAF8AewBqAG0APQA5AH0AXABcAHQAaQBtAGUAcwAgAFMAUwBfAHsAbQA9ADkAfQApAFwAIgApADsAXABuAFwAbgBWAEUARQBSAEcAXwA0AF8AMw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wAIgAsACAAXAAiAGYAcgBhAGMAdABpAG8AbgAgAG8AZgAgAHYAbwBsAGEAdABpAGwAZQAgAHMAbwBsAGkAZABzACAAaQBuACAAcwBvAGwAaQBkACAAcwB0AG8AcgBhAGcAZQAgAGIAZQBmAG8AcgBlACAAdAByAGEAbgBzAGYAZQByAFwAIgAsACAAXAAiAGYAcgBhAGMAdABpAG8AbgBcACIALAAgAFwAIgBJAG4AcAB1AHQAXAAiADsAXABuACAAIAAgACAAIAAgACAAIAAgACAAXAAiAE0ATQBTAF8AagBtADEANwA5AFwAIgAsACAAXAAiAGYAcgBhAGMAdABpAG8AbgAgAG8AZgAgAHYAbwBsAGEAdABpAGwAZQAgAHMAbwBsAGkAZABzACAAaQBuACAATQBNAFMAIABtAD0AMQAsADcALAA5ACAAYgBlAGYAbwByAGUAIAB0AHIAYQBuAHMAZgBlAHI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MwBfADEAXwAxAF8AXwA1AF8ARgByAGEAYwB0AGkAbwBuAFYAbwBsAGEAdABpAGwAZQBTAG8AbABpAGQAcwBTAG8AbABpAGQAUwB0AG8AcgBhAGcAZQBfAFYAYQByAGkAYQB0AGkAbwBuAFwAbgAgACAAPQBMAEEATQBCAEQAQQAoAFwAIgBVAHMAZQBkACAAcwBlAHAAYQByAGEAdABlACAAdgBhAHIAaQBhAGIAbABlAHMAIABmAG8AcgAgAE0ATQBTACAAYQBuAGQAIABTAFMAIABtACAAMQAsACAANwAgAGEAbgBkACAAOQAuAFwAIgApADsAXABuAFwAbgAiAH0ALAB7ACIAcABhAHQAaAAiADoAIgAvAHAAcgBvAGoAZQBjAHQAcwAvAE0ATQBTAF8ARABhAGk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wAgAE0AZQB0AGgAbwBkACAAMQAgAC0AIABNAGEAbgB1AHIAZQ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E0ATgBfAHsAagBtAH0AXABcAHQAaQBtAGUAcwAgAEUARgBfAG0AXABcAHQAaQBtAGUAcwAgAEMAXwB7AE4AMgBPAH0AXABcAHQAaQBtAGUAcwAgADEAMABeAHsALQAzAH0AXABuAE0ATgBfAGoAbQAgAD0AIAB0AG8AdABhAGwAIABuAGkAdAByAG8AZwBlAG4AIABpAG4AIABlAGEAYwBoACAATQBNAFMAIABmAG8AcgAgAGQAYQBpAHIAeQAgAGMAYQB0AHQAbABlACAAYwBsAGEAcwBzAGUAcwAgACgAawBnACAATgApAFwAbgBFAEYAXwBtACAAPQAgAG4AaQB0AHIAbwB1AHMAIABvAHgAaQBkAGUAIABlAG0AaQBzAHMAaQBvAG4AIABmAGEAYwB0AG8AcgAgAGYAbwByACAAZQBhAGMAaAAgAE0ATQBT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MAXwBfADEAXwBUAG8AdABhAGwAQQBuAG4AdQBhAGwARABpAHIAZQBjAHQATgBpAHQAcgBvAHUAcwBPAHgAaQBkAGUARQBtAGkAcwBzAGkAbwBuAHMARgByAG8AbQBNAE0AUwBcAG4AIAAgAD0ATABBAE0AQgBEAEEAKABcAG4AIAAgACAAIABNAE4AXwBqAG0ALAAgAEUARgBfAG0ALAAgAEMAXwBOADIATwAsAFwAbgAgACAAIAAgAE0ATgBfAGoAbQAgACoAIABFAEYAXwBtACAAKgAgAEMAXwBOADIATwAgACoAIAAxADAAIABeACAALQAzAFwAbgAgACAAKQA7AFwAbgBcAG4AVgBFAEUAUgBHAF8ANABfADM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zAF8AMQBfADMAXwBfADEAXwBUAG8AdABhAGwAQQBuAG4AdQBhAGwARABpAHIAZQBjAHQATgBpAHQAcgBvAHUAcwBPAHgAaQBkAGUARQBtAGkAcwBzAGkAbwBuAHMARgByAG8AbQBNAE0AUwBfAFYAYQByAGkAYQBiAGwAZQBcAG4AIAAgAD0ATABBAE0AQgBEAEEAKABcACIARQBfAE4AMgBPAGQAaQByAFwAIgApADsAXABuAFwAbgBWAEUARQBSAEcAXwA0AF8AMwBfADEAXwAzAF8AXwAxAF8AVABvAHQAYQBsAEEAbgBuAHUAYQBsAEQAaQByAGUAYwB0AE4AaQB0AHIAbwB1AHMATwB4AGkAZABlAEUAbQBpAHMAcwBpAG8AbgBzAEYAcgBvAG0ATQBNAFMAXwBVAG4AaQB0AFwAbgAgACAAPQBMAEEATQBCAEQAQQAoAFwAIgB0ACAATgAyAE8AXAAiACkAOwBcAG4AXABuAFYARQBFAFIARwBfADQAXwAzAF8AMQBfADMAXwBfADEAXwBUAG8AdABhAGwAQQBuAG4AdQBhAGwARABpAHIAZQBjAHQATgBpAHQAcgBvAHUAcwBPAHgAaQBkAGUARQBtAGkAcwBzAGkAbwBuAHMARgByAG8AbQBNAE0AUwBfAFMAbwB1AHIAYwBlAFwAbgAgACAAPQBMAEEATQBCAEQAQQAoAFwAIgBWAEUARQBSAEcAIAAyADAAMgA2ADoAIAA0AC4AMwAuADEALgAzACwAIABFAHEAdQBhAHQAaQBvAG4AIAAoADEAKQBcACIAKQA7AFwAbgBcAG4AVgBFAEUAUgBHAF8ANABfADMAXwAxAF8AMwBfAF8AMQBfAFQAbwB0AGEAbABBAG4AbgB1AGEAbABEAGkAcgBlAGMAdABOAGkAdAByAG8AdQBzAE8AeABpAGQAZQBFAG0AaQBzAHMAaQBvAG4AcwBGAHIAbwBtAE0ATQBTAF8ATgBJAFIAUgBlAGYAZQByAGUAbgBjAGUAXABuACAAIAA9AEwAQQBNAEIARABBACgAXAAiAFwAIgApADsAXABuAFwAbgBWAEUARQBSAEcAXwA0AF8AMwBfADEAXwAzAF8AXwAxAF8AVABvAHQAYQBsAEEAbgBuAHUAYQBsAEQAaQByAGUAYwB0AE4AaQB0AHIAbwB1AHMATwB4AGkAZABlAEUAbQBpAHMAcwBpAG8AbgBzAEYAcgBvAG0ATQBNAFMAXwBMAGEAdABlAHgARQBxAHUAYQB0AGkAbwBuAFwAbgAgACAAPQBMAEEATQBCAEQAQQAoAFwAIgBFAF8AewBOADIATwAsAGQAaQByAH0APQBcAFwAcwB1AG0AXABcAG4AbwBsAGkAbQBpAHQAcwBfAHsAagB9AFwAXABzAHUAbQBcAFwAbgBvAGwAaQBtAGkAdABzAF8AewBtAH0AKABNAE4AXwB7AGoAbQB9AFwAXAB0AGkAbQBlAHMAIABFAEYAXwBtAFwAXAB0AGkAbQBlAHMAIABDAF8AewBOADIATwB9AFwAXAB0AGkAbQBlAHMAIAAxADAAXgB7AC0AMwB9ACkAXAAiACkAOwBcAG4AXABuAFYARQBFAFIARwBfADQAXwAz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uAGkAdAByAG8AdQBzACAAbwB4AGkAZABlACAAZQBtAGkAcwBzAGkAbwBuACAAZgBhAGMAdABvAHIAIABmAG8AcgAgAGUAYQBjAGgAIABNAE0AUwAgACgAawBnACAATgAyAE8ALQBOAC8AawBnACAATgAgAGQAZQBwAG8AcwBpAHQAZQBk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IAXwBUAG8AdABhAGwATgBpAHQAcgBvAGcAZQBuAEkAbgBFAGEAYwBoAE0ATQBTAFwAbgBUAG8AdABhAGwAIABuAGkAdAByAG8AZwBlAG4AIABpAG4AIABlAGEAYwBoACAATQBNAFMAXABuAE0ATgBfAGoAbQBcAG4AawBnACAATgBcAG4ATQBOAF8AewBqAG0AfQA9AEEARQBfAGoAXABcAHQAaQBtAGUAcwAgAE0ATQBTAF8AewBqAG0AfQBcAG4AQQBFAF8AagAgAD0AIAB0AG8AdABhAGwAIABuAGkAdAByAG8AZwBlAG4AIABlAHgAYwByAGUAdABlAGQAIABiAHkAIABlAGEAYwBoACAAZABhAGkAcgB5ACAAYwBsAGEAcwBzACAAKABrAGcAIABOACkAXABuAE0ATQBTAF8AagBtACAAPQAgAG0AYQBuAHUAcgBlACAAbQBhAG4AYQBnAGUAbQBlAG4AdAAgAHMAeQBzAHQAZQBtACAAZgByAGEAYwB0AGkAbwBuACAAZgBvAHIAIABjAGwAYQBzAHMAIABqACAAYQBuAGQAIABzAHkAcwB0AGUAbQAgAG0AXABuAC0ALQAtAC0ALQAtAC0ALQAtAC0ALQAtAC0ALQAtAC0ALQAtAC0ALQAtAC0ALQAtAC0ALQAtAC0ALQAtAC0ALQAtAC0ALQAtAC0ALQBcAG4AKgAvAFwAbgBcAG4AVgBFAEUAUgBHAF8ANABfADMAXwAxAF8AMwBfAF8AMgBfAFQAbwB0AGEAbABOAGkAdAByAG8AZwBlAG4ASQBuAEUAYQBjAGgATQBNAFMAXABuACAAIAA9AEwAQQBNAEIARABBACgAXABuACAAIAAgACAAQQBFAF8AagAsACAATQBNAFMAXwBqAG0ALABcAG4AIAAgACAAIABBAEUAXwBqACAAKgAgAE0ATQBTAF8AagBtAFwAbgAgACAAKQA7AFwAbgBcAG4AVgBFAEUAUgBHAF8ANABfADMAXwAxAF8AMwBfAF8AMgBfAFQAbwB0AGEAbABOAGkAdAByAG8AZwBlAG4ASQBuAEUAYQBjAGgATQBNAFMAXwBUAGkAdABsAGUAXABuACAAIAA9AEwAQQBNAEIARABBACgAXAAiAFQAbwB0AGEAbAAgAG4AaQB0AHIAbwBnAGUAbgAgAGkAbgAgAGUAYQBjAGgAIABNAE0AUwBcACIAKQA7AFwAbgBcAG4AVgBFAEUAUgBHAF8ANABfADMAXwAxAF8AMwBfAF8AMgBfAFQAbwB0AGEAbABOAGkAdAByAG8AZwBlAG4ASQBuAEUAYQBjAGgATQBNAFMAXwBWAGEAcgBpAGEAYgBsAGUAXABuACAAIAA9AEwAQQBNAEIARABBACgAXAAiAE0ATgBfAGoAbQBcACIAKQA7AFwAbgBcAG4AVgBFAEUAUgBHAF8ANABfADMAXwAxAF8AMwBfAF8AMgBfAFQAbwB0AGEAbABOAGkAdAByAG8AZwBlAG4ASQBuAEUAYQBjAGgATQBNAFMAXwBVAG4AaQB0AFwAbgAgACAAPQBMAEEATQBCAEQAQQAoAFwAIgBrAGcAIABOAFwAIgApADsAXABuAFwAbgBWAEUARQBSAEcAXwA0AF8AMwBfADEAXwAzAF8AXwAyAF8AVABvAHQAYQBsAE4AaQB0AHIAbwBnAGUAbgBJAG4ARQBhAGMAaABNAE0AUwBfAFMAbwB1AHIAYwBlAFwAbgAgACAAPQBMAEEATQBCAEQAQQAoAFwAIgBWAEUARQBSAEcAIAAyADAAMgA2ADoAIAA0AC4AMwAuADEALgAzACwAIABFAHEAdQBhAHQAaQBvAG4AIAAoADIAKQBcACIAKQA7AFwAbgBcAG4AVgBFAEUAUgBHAF8ANABfADMAXwAxAF8AMwBfAF8AMgBfAFQAbwB0AGEAbABOAGkAdAByAG8AZwBlAG4ASQBuAEUAYQBjAGgATQBNAFMAXwBOAEkAUgBSAGUAZgBlAHIAZQBuAGMAZQBcAG4AIAAgAD0ATABBAE0AQgBEAEEAKABcACIAXAAiACkAOwBcAG4AXABuAFYARQBFAFIARwBfADQAXwAzAF8AMQBfADMAXwBfADIAXwBUAG8AdABhAGwATgBpAHQAcgBvAGcAZQBuAEkAbgBFAGEAYwBoAE0ATQBTAF8ATABhAHQAZQB4AEUAcQB1AGEAdABpAG8AbgBcAG4AIAAgAD0ATABBAE0AQgBEAEEAKABcACIATQBOAF8AewBqAG0AfQA9AEEARQBfAGoAXABcAHQAaQBtAGUAcwAgAE0ATQBTAF8AewBqAG0AfQBcACIAKQA7AFwAbgBcAG4AVgBFAEUAUgBHAF8ANABfADMAXwAxAF8AMwBfAF8AMgBfAFQAbwB0AGEAbABOAGkAdAByAG8AZwBlAG4ASQBuAEUAYQBjAGg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ZABhAGkAcgB5ACAAYwBsAGEAcwBzAFwAIgAsACAAXAAiAGsAZwAgAE4AXAAiACwAIABcACIAQwBhAGwAYwB1AGwAYQB0AGUAZAAgAGYAcgBvAG0AIAA0AC4AMwAuADEALgAzACAAKAAzAGEAKQAgAGEAbgBkACAAKAAzAGIAKQBcACIAOwBcAG4AIAAgACAAIAAgACAAIAAgACAAIABcACIATQBNAFMAXwBqAG0AXAAiACwAIABcACIAbQBhAG4AdQByAGUAIABtAGEAbgBhAGcAZQBtAGUAbgB0ACAAcwB5AHMAdABlAG0AIABmAHIAYQBjAHQAaQBvAG4AIABmAG8AcgAgAGMAbABhAHMAcwAgAGoAIABhAG4AZAAgAHMAeQBzAHQAZQBtACA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MAYQBfAFQAbwB0AGEAbABBAG4AbgB1AGEAbABOAGkAdAByAG8AZwBlAG4ARQB4AGMAcgBlAHQAZQBkAEcAcgBlAGEAdABlAHIAVABoAGEAbgBPAG4AZQBZAGUAYQByAFwAbgBUAG8AdABhAGwAIABhAG4AbgB1AGEAbAAgAG4AaQB0AHIAbwBnAGUAbgAgAGUAeABjAHIAZQB0AGUAZAAgAGIAeQAgAGQAYQBpAHIAeQAgAGMAYQB0AHQAbABlACAAXAB1ADAAMAAzAGUAMQAgAHkAZQBhAHIAIABvAGwAZABcAG4AQQBFAF8AagAxADIANABcAG4AawBnACAATgBcAG4AQQBFAF8AewBqAD0AMQAsADIALAA0AH0APQBOAF8AewBqAD0AMQAsADIALAA0AH0AXABcAHQAaQBtAGUAcwAgAE4ARQBfAHsAagA9ADEALAAyACwANAB9AFwAXAB0AGkAbQBlAHMAIAAzADYANQBcAG4ATgBfAGoAMQAyADQAIAA9ACAAbgB1AG0AYgBlAHIAIABvAGYAIABkAGEAaQByAHkAIABjAGEAdAB0AGwAZQAgAGkAbgAgAGMAbABhAHMAcwBlAHMAIABqAD0AMQAsADIALAA0AFwAbgBOAEUAXwBqADEAMgA0ACAAPQAgAG4AaQB0AHIAbwBnAGUAbgAgAGUAeABjAHIAZQB0AGUAZAAgAGIAeQAgAGQAYQBpAHIAeQAgAGMAYQB0AHQAbABlACAAXAB1ADAAMAAzAGUAMQAgAHkAZQBhAHIAIABvAGwAZAAgACgAawBnACAATgAvAGgAZQBhAGQALwBkAGEAeQApAFwAbgAtAC0ALQAtAC0ALQAtAC0ALQAtAC0ALQAtAC0ALQAtAC0ALQAtAC0ALQAtAC0ALQAtAC0ALQAtAC0ALQAtAC0ALQAtAC0ALQAtAC0AXABuACoALwBcAG4AXABuAFYARQBFAFIARwBfADQAXwAzAF8AMQBfADMAXwBfADMAYQBfAFQAbwB0AGEAbABBAG4AbgB1AGEAbABOAGkAdAByAG8AZwBlAG4ARQB4AGMAcgBlAHQAZQBkAEcAcgBlAGEAdABlAHIAVABoAGEAbgBPAG4AZQBZAGUAYQByAFwAbgAgACAAPQBMAEEATQBCAEQAQQAoAFwAbgAgACAAIAAgAE4AXwBqADEAMgA0ACwAIABOAEUAXwBqADEAMgA0ACwAXABuACAAIAAgACAATgBfAGoAMQAyADQAIAAqACAATgBFAF8AagAxADIANAAgACoAIAAzADYANQBcAG4AIAAgACkAOwBcAG4AXABuAFYARQBFAFIARwBfADQAXwAzAF8AMQBfADMAXwBfADMAYQBfAFQAbwB0AGEAbABBAG4AbgB1AGEAbABOAGkAdAByAG8AZwBlAG4ARQB4AGMAcgBlAHQAZQBkAEcAcgBlAGEAdABlAHIAVABoAGEAbgBPAG4AZQBZAGUAYQByAFYAYQByAGkAYQB0AGkAbwBuAFwAbgAgACAAPQBMAEEATQBCAEQAQQAoAFwAbgAgACAAIAAgAE4AXwBqADEAMgA0ACwAIABOAEUAXwBqADEAMgA0ACwAIABEAF8AagAxADIANAAsAFwAbgAgACAAIAAgAE4AXwBqADEAMgA0ACAAKgAgAE4ARQBfAGoAMQAyADQAIAAqACAARABfAGoAMQAyADQAXABuACAAIAApADsAXABuAFwAbgBWAEUARQBSAEcAXwA0AF8AMwBfADEAXwAzAF8AXwAzAGEAXwBUAG8AdABhAGwAQQBuAG4AdQBhAGwATgBpAHQAcgBvAGcAZQBuAEUAeABjAHIAZQB0AGUAZABHAHIAZQBhAHQAZQByAFQAaABhAG4ATwBuAGUAWQBlAGEAcgBfAFQAaQB0AGwAZQBcAG4AIAAgAD0ATABBAE0AQgBEAEEAKABcACIAVABvAHQAYQBsACAAYQBuAG4AdQBhAGwAIABuAGkAdAByAG8AZwBlAG4AIABlAHgAYwByAGUAdABlAGQAIABiAHkAIABkAGEAaQByAHkAIABjAGEAdAB0AGwAZQAgAGcAcgBlAGEAdABlAHIAIAB0AGgAYQBuACAAbwBuAGUAIAB5AGUAYQByACAAbwBsAGQAXAAiACkAOwBcAG4AXABuAFYARQBFAFIARwBfADQAXwAzAF8AMQBfADMAXwBfADMAYQBfAFQAbwB0AGEAbABBAG4AbgB1AGEAbABOAGkAdAByAG8AZwBlAG4ARQB4AGMAcgBlAHQAZQBkAEcAcgBlAGEAdABlAHIAVABoAGEAbgBPAG4AZQBZAGUAYQByAF8AVgBhAHIAaQBhAGIAbABlAFwAbgAgACAAPQBMAEEATQBCAEQAQQAoAFwAIgBBAEUAXwBqADEAMgA0AFwAIgApADsAXABuAFwAbgBWAEUARQBSAEcAXwA0AF8AMwBfADEAXwAzAF8AXwAzAGEAXwBUAG8AdABhAGwAQQBuAG4AdQBhAGwATgBpAHQAcgBvAGcAZQBuAEUAeABjAHIAZQB0AGUAZABHAHIAZQBhAHQAZQByAFQAaABhAG4ATwBuAGUAWQBlAGEAcgBfAFUAbgBpAHQAXABuACAAIAA9AEwAQQBNAEIARABBACgAXAAiAGsAZwAgAE4AXAAiACkAOwBcAG4AXABuAFYARQBFAFIARwBfADQAXwAzAF8AMQBfADMAXwBfADMAYQBfAFQAbwB0AGEAbABBAG4AbgB1AGEAbABOAGkAdAByAG8AZwBlAG4ARQB4AGMAcgBlAHQAZQBkAEcAcgBlAGEAdABlAHIAVABoAGEAbgBPAG4AZQBZAGUAYQByAF8AUwBvAHUAcgBjAGUAXABuACAAIAA9AEwAQQBNAEIARABBACgAXAAiAFYARQBFAFIARwAgADIAMAAyADYAOgAgADQALgAzAC4AMQAuADMALAAgAEUAcQB1AGEAdABpAG8AbgAgACgAMwBhACkAXAAiACkAOwBcAG4AXABuAFYARQBFAFIARwBfADQAXwAzAF8AMQBfADMAXwBfADMAYQBfAFQAbwB0AGEAbABBAG4AbgB1AGEAbABOAGkAdAByAG8AZwBlAG4ARQB4AGMAcgBlAHQAZQBkAEcAcgBlAGEAdABlAHIAVABoAGEAbgBPAG4AZQBZAGUAYQByAF8ATgBJAFIAUgBlAGYAZQByAGUAbgBjAGUAXABuACAAIAA9AEwAQQBNAEIARABBACgAXAAiAFwAIgApADsAXABuAFwAbgBWAEUARQBSAEcAXwA0AF8AMwBfADEAXwAzAF8AXwAzAGEAXwBUAG8AdABhAGwAQQBuAG4AdQBhAGwATgBpAHQAcgBvAGcAZQBuAEUAeABjAHIAZQB0AGUAZABHAHIAZQBhAHQAZQByAFQAaABhAG4ATwBuAGUAWQBlAGEAcgBfAEwAYQB0AGUAeABFAHEAdQBhAHQAaQBvAG4AXABuACAAIAA9AEwAQQBNAEIARABBACgAXAAiAEEARQBfAHsAagA9ADEALAAyACwANAB9AD0ATgBfAHsAagA9ADEALAAyACwANAB9AFwAXAB0AGkAbQBlAHMAIABOAEUAXwB7AGoAPQAxACwAMgAsADQAfQBcAFwAdABpAG0AZQBzACAAMwA2ADUAXAAiACkAOwBcAG4AXABuAFYARQBFAFIARwBfADQAXwAzAF8AMQBfADMAXwBfADMAYQBfAFQAbwB0AGEAbABBAG4AbgB1AGEAbABOAGkAdAByAG8AZwBlAG4ARQB4AGMAcgBlAHQAZQBkAEcAcgBlAGEAdABlAHIAVABoAGEAbgBPAG4AZQBZAGUAYQByAF8ATABhAHQAZQB4AEUAcQB1AGEAdABpAG8AbgBWAGEAcgBpAGEAdABpAG8AbgBcAG4AIAAgAD0ATABBAE0AQgBEAEEAKABcACIAQQBFAF8AewBqAD0AMQAsADIALAA0AH0APQBOAF8AewBqAD0AMQAsADIALAA0AH0AXABcAHQAaQBtAGUAcwAgAE4ARQBfAHsAagA9ADEALAAyACwANAB9AFwAXAB0AGkAbQBlAHMAIABEAF8AewBqAD0AMQAsADIALAA0AH0AXAAiACkAOwBcAG4AXABuAFYARQBFAFIARwBfADQAXwAzAF8AMQBfADMAXwBfADMAYQBfAFQAbwB0AGEAbABBAG4AbgB1AGEAbABOAGkAdAByAG8AZwBlAG4ARQB4AGMAcgBlAHQAZQBk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gBFAF8AagAxADIANABcACIALAAgAFwAIgBuAGkAdAByAG8AZwBlAG4AIABlAHgAYwByAGUAdABlAGQAIABiAHkAIABkAGEAaQByAHkAIABjAGEAdAB0AGwAZQAgAGcAcgBlAGEAdABlAHIAIAB0AGgAYQBuACAAbwBuAGUAIAB5AGUAYQByACAAbwBsAGQAIAAoAGsAZwAgAE4ALwBoAGUAYQBkAC8AZABhAHkAKQBcACIALAAgAFwAIgBrAGcAIABOAC8AaABlAGEAZAAvAGQAYQB5AFwAIgAsACAAXAAiAEMAYQBsAGMAdQBsAGEAdABlAGQAIABmAHIAbwBtACAANAAuADMALgAxAC4AMwAgACgANAApAFwAIgA7AFwAbgAgACAAIAAgACAAIAAgACAAIAAgAFwAIgBEAF8AagAxADIANABcACIALAAgAFwAIgBkAHUAcgBhAHQAaQBvAG4AIABvAGYAIABzAHQAYQB5ACAAbwBuACAAZgBhAHIAbQAgAGYAbwByACAAYwBsAGEAcwBzAGUAcwAgAGoAPQAxACwAMgAsADQAIAAoAGQAYQB5AHMAKQBcACIALAAgAFwAIgBkAGEAeQBzAFwAIgAsACAAXAAiAEkAbgBwAHUAdA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FwAdQAwADAAMwBjADEAIAB5AGUAYQByACAAbwBsAGQAXABuAEEARQBfAGoAMwA1AFwAbgBrAGcAIABOAFwAbgBBAEUAXwB7AGoAPQAzACwANQB9AD0AKABOAF8AewBqAD0AMwAsADUAfQBcAFwAdABpAG0AZQBzACAATgBFAF8AewBqAD0AMwAsADUAfQBcAFwAdABpAG0AZQBzACAAMgA4ADEAKQArACgATgBfAHsAagA9ADMALAA1AH0AXABcAHQAaQBtAGUAcwAgAE4AUABXAF8AewBqAD0AMwAsADUAfQBcAFwAdABpAG0AZQBzACAAOAA0ACkAXABuAE4AXwBqADMANQAgAD0AIABuAHUAbQBiAGUAcgAgAG8AZgAgAGQAYQBpAHIAeQAgAGMAYQB0AHQAbABlACAAaQBuACAAYwBsAGEAcwBzAGUAcwAgAGoAPQAzACwANQBcAG4ATgBFAF8AagAzADUAIAA9ACAAbgBpAHQAcgBvAGcAZQBuACAAZQB4AGMAcgBlAHQAZQBkACAAYgB5ACAAdwBlAGEAbgBlAGQAIABkAGEAaQByAHkAIABjAGEAdAB0AGwAZQAgAFwAdQAwADAAMwBjADEAIAB5AGUAYQByACAAbwBsAGQAIAAoAGsAZwAgAE4ALwBoAGUAYQBkAC8AZABhAHkAKQBcAG4ATgBQAFcAXwBqADMANQAgAD0AIABuAGkAdAByAG8AZwBlAG4AIABlAHgAYwByAGUAdABlAGQAIABiAHkAIABwAHIAZQAtAHcAZQBhAG4AZQBkACAAYwBhAGwAdgBlAHMAIAAoAGsAZwAgAE4ALwBoAGUAYQBkAC8AZABhAHkAKQBcAG4ALQAtAC0ALQAtAC0ALQAtAC0ALQAtAC0ALQAtAC0ALQAtAC0ALQAtAC0ALQAtAC0ALQAtAC0ALQAtAC0ALQAtAC0ALQAtAC0ALQAtAFwAbgAqAC8AXABuAFwAbgBWAEUARQBSAEcAXwA0AF8AMwBfADEAXwAzAF8AXwAzAGIAXwBUAG8AdABhAGwAQQBuAG4AdQBhAGwATgBpAHQAcgBvAGcAZQBuAEUAeABjAHIAZQB0AGUAZABMAGUAcwBzAFQAaABhAG4ATwBuAGUAWQBlAGEAcgBcAG4AIAAgAD0ATABBAE0AQgBEAEEAKABcAG4AIAAgACAAIABOAF8AagAzADUALAAgAE4ARQBfAGoAMwA1ACwAIABOAFAAVwBfAGoAMwA1ACwAXABuACAAIAAgACAAKABOAF8AagAzADUAIAAqACAATgBFAF8AagAzADUAIAAqACAAMgA4ADEAKQAgACsAIAAoAE4AXwBqADMANQAgACoAIABOAFAAVwBfAGoAMwA1ACAAKgAgADgANAApAFwAbgAgACAAKQA7AFwAbgBcAG4AVgBFAEUAUgBHAF8ANABfADMAXwAxAF8AMwBfAF8AMwBiAF8AVABvAHQAYQBsAEEAbgBuAHUAYQBsAE4AaQB0AHIAbwBnAGUAbgBFAHgAYwByAGUAdABlAGQATABlAHMAcwBUAGgAYQBuAE8AbgBlAFkAZQBhAHIAVgBhAHIAaQBhAHQAaQBvAG4AXABuACAAIAA9AEwAQQBNAEIARABBACgAXABuACAAIAAgACAATgBfAGoAMwA1ACwAIABOAEUAXwBqADMANQAsACAATgBQAFcAXwBqADMANQAsACAARABfAGoAMwA1ACwAIABEAFAAVwBfAGoAMwA1ACwAXABuACAAIAAgACAAKABOAF8AagAzADUAIAAqACAATgBFAF8AagAzADUAIAAqACAARABfAGoAMwA1ACkAIAArACAAKABOAF8AagAzADUAIAAqACAATgBQAFcAXwBqADMANQAgACoAIABEAFAAVwBfAGoAMwA1ACkAXABuACAAIAApADsAXABuAFwAbgBWAEUARQBSAEcAXwA0AF8AMwBfADEAXwAzAF8AXwAzAGIAXwBUAG8AdABhAGwAQQBuAG4AdQBhAGwATgBpAHQAcgBvAGcAZQBuAEUAeABjAHIAZQB0AGUAZABMAGUAcwBzAFQAaABhAG4ATwBuAGUAWQBlAGEAcgBfAFQAaQB0AGwAZQBcAG4AIAAgAD0ATABBAE0AQgBEAEEAKABcACIAVABvAHQAYQBsACAAYQBuAG4AdQBhAGwAIABuAGkAdAByAG8AZwBlAG4AIABlAHgAYwByAGUAdABlAGQAIABiAHkAIABkAGEAaQByAHkAIABjAGEAdAB0AGwAZQAgAGwAZQBzAHMAIAB0AGgAYQBuACAAbwBuAGUAIAB5AGUAYQByACAAbwBsAGQAXAAiACkAOwBcAG4AXABuAFYARQBFAFIARwBfADQAXwAzAF8AMQBfADMAXwBfADMAYgBfAFQAbwB0AGEAbABBAG4AbgB1AGEAbABOAGkAdAByAG8AZwBlAG4ARQB4AGMAcgBlAHQAZQBkAEwAZQBzAHMAVABoAGEAbgBPAG4AZQBZAGUAYQByAF8AVgBhAHIAaQBhAGIAbABlAFwAbgAgACAAPQBMAEEATQBCAEQAQQAoAFwAIgBBAEUAXwBqADMANQBcACIAKQA7AFwAbgBcAG4AVgBFAEUAUgBHAF8ANABfADMAXwAxAF8AMwBfAF8AMwBiAF8AVABvAHQAYQBsAEEAbgBuAHUAYQBsAE4AaQB0AHIAbwBnAGUAbgBFAHgAYwByAGUAdABlAGQATABlAHMAcwBUAGgAYQBuAE8AbgBlAFkAZQBhAHIAXwBVAG4AaQB0AFwAbgAgACAAPQBMAEEATQBCAEQAQQAoAFwAIgBrAGcAIABOAFwAIgApADsAXABuAFwAbgBWAEUARQBSAEcAXwA0AF8AMwBfADEAXwAzAF8AXwAzAGIAXwBUAG8AdABhAGwAQQBuAG4AdQBhAGwATgBpAHQAcgBvAGcAZQBuAEUAeABjAHIAZQB0AGUAZABMAGUAcwBzAFQAaABhAG4ATwBuAGUAWQBlAGEAcgBfAFMAbwB1AHIAYwBlAFwAbgAgACAAPQBMAEEATQBCAEQAQQAoAFwAIgBWAEUARQBSAEcAIAAyADAAMgA2ADoAIAA0AC4AMwAuADEALgAzACwAIABFAHEAdQBhAHQAaQBvAG4AIAAoADMAYgApAFwAIgApADsAXABuAFwAbgBWAEUARQBSAEcAXwA0AF8AMwBfADEAXwAzAF8AXwAzAGIAXwBUAG8AdABhAGwAQQBuAG4AdQBhAGwATgBpAHQAcgBvAGcAZQBuAEUAeABjAHIAZQB0AGUAZABMAGUAcwBzAFQAaABhAG4ATwBuAGUAWQBlAGEAcgBfAE4ASQBSAFIAZQBmAGUAcgBlAG4AYwBlAFwAbgAgACAAPQBMAEEATQBCAEQAQQAoAFwAIgBcACIAKQA7AFwAbgBcAG4AVgBFAEUAUgBHAF8ANABfADMAXwAxAF8AMwBfAF8AMwBiAF8AVABvAHQAYQBsAEEAbgBuAHUAYQBsAE4AaQB0AHIAbwBnAGUAbgBFAHgAYwByAGUAdABlAGQATABlAHMAcwBUAGgAYQBuAE8AbgBlAFkAZQBhAHIAXwBMAGEAdABlAHgARQBxAHUAYQB0AGkAbwBuAFwAbgAgACAAPQBMAEEATQBCAEQAQQAoAFwAIgBBAEUAXwB7AGoAPQAzACwANQB9AD0AKABOAF8AewBqAD0AMwAsADUAfQBcAFwAdABpAG0AZQBzACAATgBFAF8AewBqAD0AMwAsADUAfQBcAFwAdABpAG0AZQBzACAAMgA4ADEAKQArACgATgBfAHsAagA9ADMALAA1AH0AXABcAHQAaQBtAGUAcwAgAE4AUABXAF8AewBqAD0AMwAsADUAfQBcAFwAdABpAG0AZQBzACAAOAA0ACkAXAAiACkAOwBcAG4AXABuAFYARQBFAFIARwBfADQAXwAzAF8AMQBfADMAXwBfADMAYgBfAFQAbwB0AGEAbABBAG4AbgB1AGEAbABOAGkAdAByAG8AZwBlAG4ARQB4AGMAcgBlAHQAZQBkAEwAZQBzAHMAVABoAGEAbgBPAG4AZQBZAGUAYQByAF8ATABhAHQAZQB4AEUAcQB1AGEAdABpAG8AbgBWAGEAcgBpAGEAdABpAG8AbgBcAG4AIAAgAD0ATABBAE0AQgBEAEEAKABcACIAQQBFAF8AewBqAD0AMwAsADUAfQA9ACgATgBfAHsAagA9ADMALAA1AH0AXABcAHQAaQBtAGUAcwAgAE4ARQBfAHsAagA9ADMALAA1AH0AXABcAHQAaQBtAGUAcwAgAEQAXwB7AGoAPQAzACwANQB9ACkAKwAoAE4AXwB7AGoAPQAzACwANQB9AFwAXAB0AGkAbQBlAHMAIABOAFAAVwBfAHsAagA9ADMALAA1AH0AXABcAHQAaQBtAGUAcwAgAEQAUABXAF8AewBqAD0AMwAsADUAfQApAFwAIgApADsAXABuAFwAbgBWAEUARQBSAEcAXwA0AF8AMwBfADEAXwAzAF8AXwAzAGIAXwBUAG8AdABhAGwAQQBuAG4AdQBhAGwATgBpAHQAcgBvAGcAZQBuAEUAeABjAHIAZQB0AGUAZABMAGUAcwBzAFQAaABhAG4ATwBuAGUAWQBlAGEAcgBfAEEAcgBnAHUAbQBlAG4AdABzAFwAbgAgACAAPQBMAEEATQBCAEQAQQAoAFwAbgAgACAAIAAgAE0AQQBLAEUAQQBSAFIAQQBZACgANQAsACAANAAsAFwAbgAgACAAIAAgACAAIABMAEEATQBCAEQAQQAoAHIALABjACwAXABuACAAIAAgACAAIAAgACAAIABJAE4ARABFAFgAKAB7AFwAbgAgACAAIAAgACAAIAAgACAAIAAgAFwAIgBOAF8AagAzADUAXAAiACwAIABcACIAbgB1AG0AYgBlAHIAIABvAGYAIABkAGEAaQByAHkAIABjAGEAdAB0AGwAZQAgAGkAbgAgAGMAbABhAHMAcwBlAHMAIABqAD0AMwAsADUAXAAiACwAIABcACIAaABlAGEAZABcACIALAAgAFwAIgBJAG4AcAB1AHQAXAAiADsAXABuACAAIAAgACAAIAAgACAAIAAgACAAXAAiAE4ARQBfAGoAMwA1AFwAIgAsACAAXAAiAG4AaQB0AHIAbwBnAGUAbgAgAGUAeABjAHIAZQB0AGUAZAAgAGIAeQAgAHcAZQBhAG4AZQBkACAAZABhAGkAcgB5ACAAYwBhAHQAdABsAGUAIABsAGUAcwBzACAAdABoAGEAbgAgAG8AbgBlACAAeQBlAGEAcgAgAG8AbABkACAAKABrAGcAIABOAC8AaABlAGEAZAAvAGQAYQB5ACkAXAAiACwAIABcACIAawBnACAATgAvAGgAZQBhAGQALwBkAGEAeQBcACIALAAgAFwAIgBDAGEAbABjAHUAbABhAHQAZQBkACAAZgByAG8AbQAgADQALgAzAC4AMQAuADMAIAAoADQAKQBcACIAOwBcAG4AIAAgACAAIAAgACAAIAAgACAAIABcACIATgBQAFcAXwBqADMANQBcACIALAAgAFwAIgBuAGkAdAByAG8AZwBlAG4AIABlAHgAYwByAGUAdABlAGQAIABiAHkAIABwAHIAZQAtAHcAZQBhAG4AZQBkACAAYwBhAGwAdgBlAHMAIAAoAGsAZwAgAE4ALwBoAGUAYQBkAC8AZABhAHkAKQBcACIALAAgAFwAIgBrAGcAIABOAC8AaABlAGEAZAAvAGQAYQB5AFwAIgAsACAAXAAiAEMAbwBuAHMAdABhAG4AdABcACIAOwBcAG4AIAAgACAAIAAgACAAIAAgACAAIABcACIARABfAGoAMwA1AFwAIgAsACAAXAAiAGQAdQByAGEAdABpAG8AbgAgAG8AZgAgAHMAdABhAHkAIABvAG4AIABmAGEAcgBtACAAZgBvAHIAIAB3AGUAYQBuAGUAZAAgAGQAYQBpAHIAeQAgAGMAYQB0AHQAbABlACAAbABlAHMAcwAgAHQAaABhAG4AIABvAG4AZQAgAHkAZQBhAHIAIABvAGwAZAAgACgAZABhAHkAcwApAFwAIgAsACAAXAAiAGQAYQB5AHMAXAAiACwAIABcACIASQBuAHAAdQB0AFwAIgA7AFwAbgAgACAAIAAgACAAIAAgACAAIAAgAFwAIgBEAFAAVwBfAGoAMwA1AFwAIgAsACAAXAAiAGQAdQByAGEAdABpAG8AbgAgAG8AZgAgAHMAdABhAHkAIABvAG4AIABmAGEAcgBtACAAZgBvAHIAIABwAHIAZQAtAHcAZQBhAG4AZQBkACAAYwBhAGwAdgBlAHMAIAAoAGQAYQB5AHMAKQBcACIALAAgAFwAIgBkAGEAeQBzAFwAIgAsACAAXAAiAEkAbgBwAHUAdABcACIAXABuACAAIAAgACAAIAAgACAAIAB9ACwAIAByACwAIABjACkAXABuACAAIAAgACAAIAAgACkAXABuACAAIAAgACAAKQBcAG4AIAAgACkAOwBcAG4AXABuAFYARQBFAFIARwBfADQAXwAzAF8AMQBfADMAXwBfADMAYgBfAFQAbwB0AGEAbABBAG4AbgB1AGEAbABOAGkAdAByAG8AZwBlAG4ARQB4AGMAcgBlAHQAZQBkAEwAZQBzAHMAVABoAGEAbgBPAG4AZQBZAGUAYQByAF8AVgBhAHIAaQBhAHQAaQBvAG4AXABuACAAIAA9AEwAQQBNAEIARABBACgAXAAiAFYAQQBSAEkAQQBUAEkATwBOADoAIABVAHMAZQBkACAARAB1AHIAYQB0AGkAbwBuACAAdgBhAHIAaQBhAGIAbABlAHMAIABpAG4AcwB0AGUAYQBkACAAbwBmACAAaABhAHIAZAAtAGMAbwBkAGUAZAAgADIAOAAxACAAYQBuAGQAIAA4ADQAIAB2AGEAbAB1AGUAcwAuAFwAIgApADsAXABuAFwAbgAvACoAXABuAC0ALQAtAC0ALQAtAC0ALQAtAC0ALQAtAC0ALQAtAC0ALQAtAC0ALQAtAC0ALQAtAC0ALQAtAC0ALQAtAC0ALQAtAC0ALQAtAC0ALQBcAG4AVgBFAEUAUgBHAF8ANABfADMAXwAxAF8AMwBfAF8ANABfAE4AaQB0AHIAbwBnAGUAbgBFAHgAYwByAGUAdABlAGQAQgB5AEQAYQBpAHIAeQBDAGEAdAB0AGwAZQBHAHIAZQBhAHQAZQByAFQAaABhAG4ATwBuAGUAWQBlAGEAcgBcAG4ATgBpAHQAcgBvAGcAZQBuACAAZQB4AGMAcgBlAHQAZQBkACAAYgB5ACAAZABhAGkAcgB5ACAAYwBhAHQAdABsAGUAIABcAHUAMAAwADMAZQAxACAAeQBlAGEAcgAgAG8AbABkAFwAbgBOAEUAXwBqAFwAbgBrAGcAIABOAC8AaABlAGEAZAAvAGQAYQB5AFwAbgBOAEUAXwBqAD0AKABDAFAASQBfAGoALwA2AC4AMgA1ACkALQBOAFIAXwBqAC0AKAAoADEALgAxAFwAXAB0AGkAbQBlAHMAIAAxADAAXgB7AC0ANAB9AFwAXAB0AGkAbQBlAHMAIABXAF8AagBeAHsAMAAuADcANQB9ACkALwA2AC4AMgA1ACkAXABuAEMAUABJAF8AagAgAD0AIABjAHIAdQBkAGUAIABwAHIAbwB0AGUAaQBuACAAaQBuAHQAYQBrAGUAIAAoAGsAZwAvAGgAZQBhAGQALwBkAGEAeQApAFwAbgBOAFIAXwBqACAAPQAgAGEAbQBvAHUAbgB0ACAAbwBmACAAbgBpAHQAcgBvAGcAZQBuACAAcgBlAHQAYQBpAG4AZQBkACAAYgB5ACAAdABoAGUAIABiAG8AZAB5ACAAKABrAGcAIABOAC8AaABlAGEAZAAvAGQAYQB5ACkAXABuAFcAXwBqACAAPQAgAGwAaQB2AGUAdwBlAGkAZwBoAHQAIAAoAGsAZwApAFwAbgAtAC0ALQAtAC0ALQAtAC0ALQAtAC0ALQAtAC0ALQAtAC0ALQAtAC0ALQAtAC0ALQAtAC0ALQAtAC0ALQAtAC0ALQAtAC0ALQAtAC0AXABuACoALwBcAG4AXABuAFYARQBFAFIARwBfADQAXwAzAF8AMQBfADMAXwBfADQAXwBOAGkAdAByAG8AZwBlAG4ARQB4AGMAcgBlAHQAZQBkAEIAeQBEAGEAaQByAHkAQwBhAHQAdABsAGUARwByAGUAYQB0AGUAcgBUAGgAYQBuAE8AbgBlAFkAZQBhAHIAXABuACAAIAA9AEwAQQBNAEIARABBACgAXABuACAAIAAgACAAQwBQAEkAXwBqACwAIABOAFIAXwBqACwAIABXAF8AagAsAFwAbgAgACAAIAAgACgAQwBQAEkAXwBqACAALwAgADYALgAyADUAKQAgAC0AIABOAFIAXwBqACAALQAgACgAKAAxAC4AMQAgACoAIAAxADAAIABeACAALQA0ACAAKgAgAFcAXwBqACAAXgAgADAALgA3ADUAKQAgAC8AIAA2AC4AMgA1ACkAXABuACAAIAApADsAXABuAFwAbgBWAEUARQBSAEcAXwA0AF8AMwBfADEAXwAzAF8AXwA0AF8ATgBpAHQAcgBvAGcAZQBuAEUAeABjAHIAZQB0AGUAZABCAHkARABhAGkAcgB5AEMAYQB0AHQAbABlAEcAcgBlAGEAdABlAHIAVABoAGEAbgBPAG4AZQBZAGUAYQByAF8AVABpAHQAbABlAFwAbgAgACAAPQBMAEEATQBCAEQAQQAoAFwAIgBOAGkAdAByAG8AZwBlAG4AIABlAHgAYwByAGUAdABlAGQAIABiAHkAIABkAGEAaQByAHkAIABjAGEAdAB0AGwAZQAgAGcAcgBlAGEAdABlAHIAIAB0AGgAYQBuACAAbwBuAGUAIAB5AGUAYQByACAAbwBsAGQAXAAiACkAOwBcAG4AXABuAFYARQBFAFIARwBfADQAXwAzAF8AMQBfADMAXwBfADQAXwBOAGkAdAByAG8AZwBlAG4ARQB4AGMAcgBlAHQAZQBkAEIAeQBEAGEAaQByAHkAQwBhAHQAdABsAGUARwByAGUAYQB0AGUAcgBUAGgAYQBuAE8AbgBlAFkAZQBhAHIAXwBWAGEAcgBpAGEAYgBsAGUAXABuACAAIAA9AEwAQQBNAEIARABBACgAXAAiAE4ARQBfAGoAXAAiACkAOwBcAG4AXABuAFYARQBFAFIARwBfADQAXwAzAF8AMQBfADMAXwBfADQAXwBOAGkAdAByAG8AZwBlAG4ARQB4AGMAcgBlAHQAZQBkAEIAeQBEAGEAaQByAHkAQwBhAHQAdABsAGUARwByAGUAYQB0AGUAcgBUAGgAYQBuAE8AbgBlAFkAZQBhAHIAXwBVAG4AaQB0AFwAbgAgACAAPQBMAEEATQBCAEQAQQAoAFwAIgBrAGcAIABOAC8AaABlAGEAZAAvAGQAYQB5AFwAIgApADsAXABuAFwAbgBWAEUARQBSAEcAXwA0AF8AMwBfADEAXwAzAF8AXwA0AF8ATgBpAHQAcgBvAGcAZQBuAEUAeABjAHIAZQB0AGUAZABCAHkARABhAGkAcgB5AEMAYQB0AHQAbABlAEcAcgBlAGEAdABlAHIAVABoAGEAbgBPAG4AZQBZAGUAYQByAF8AUwBvAHUAcgBjAGUAXABuACAAIAA9AEwAQQBNAEIARABBACgAXAAiAFYARQBFAFIARwAgADIAMAAyADYAOgAgADQALgAzAC4AMQAuADMALAAgAEUAcQB1AGEAdABpAG8AbgAgACgANAApAFwAIgApADsAXABuAFwAbgBWAEUARQBSAEcAXwA0AF8AMwBfADEAXwAzAF8AXwA0AF8ATgBpAHQAcgBvAGcAZQBuAEUAeABjAHIAZQB0AGUAZABCAHkARABhAGkAcgB5AEMAYQB0AHQAbABlAEcAcgBlAGEAdABlAHIAVABoAGEAbgBPAG4AZQBZAGUAYQByAF8ATgBJAFIAUgBlAGYAZQByAGUAbgBjAGUAXABuACAAIAA9AEwAQQBNAEIARABBACgAXAAiAFwAIgApADsAXABuAFwAbgBWAEUARQBSAEcAXwA0AF8AMwBfADEAXwAzAF8AXwA0AF8ATgBpAHQAcgBvAGcAZQBuAEUAeABjAHIAZQB0AGUAZABCAHkARABhAGkAcgB5AEMAYQB0AHQAbABlAEcAcgBlAGEAdABlAHIAVABoAGEAbgBPAG4AZQBZAGUAYQByAF8ATABhAHQAZQB4AEUAcQB1AGEAdABpAG8AbgBcAG4AIAAgAD0ATABBAE0AQgBEAEEAKABcACIATgBFAF8AagA9ACgAXABcAGYAcgBhAGMAewBDAFAASQBfAGoAfQB7ADYALgAyADUAfQApAC0ATgBSAF8AagAtAFwAXABsAGUAZgB0AFsAXABcAGYAcgBhAGMAewAxAC4AMQBcAFwAdABpAG0AZQBzADEAMABeAHsALQA0AH0AIABcAFwAdABpAG0AZQBzACAAVwBfAGoAXgB7ADAALgA3ADUAfQB9AHsANgAuADIANQB9AFwAXAByAGkAZwBoAHQAXQBcACIAKQA7AFwAbgBcAG4AVgBFAEUAUgBHAF8ANABfADMAXwAxAF8AMwBfAF8ANABfAE4AaQB0AHIAbwBnAGUAbgBFAHgAYwByAGUAdABlAGQAQgB5AEQAYQBpAHIAeQBDAGEAdAB0AGwAZQ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DAFAASQBfAGoAXAAiACwAIABcACIAYwByAHUAZABlACAAcAByAG8AdABlAGkAbgAgAGkAbgB0AGEAawBlACAAKABrAGcALwBoAGUAYQBkAC8AZABhAHkAKQBcACIALAAgAFwAIgBrAGcALwBoAGUAYQBkAC8AZABhAHkAXAAiACwAIABcACIAQwBhAGwAYwB1AGwAYQB0AGUAZAAgAGYAcgBvAG0AIAA0AC4AMwAuADEALgAzACAAKAA1ACkAXAAiADsAXABuACAAIAAgACAAIAAgACAAIAAgACAAXAAiAE4AUgBfAGoAXAAiACwAIABcACIAYQBtAG8AdQBuAHQAIABvAGYAIABuAGkAdAByAG8AZwBlAG4AIAByAGUAdABhAGkAbgBlAGQAIABiAHkAIAB0AGgAZQAgAGIAbwBkAHkAXAAiACwAIABcACIAawBnACAATgAvAGgAZQBhAGQALwBkAGEAeQBcACIALAAgAFwAIgBDAGEAbABjAHUAbABhAHQAZQBkACAAZgByAG8AbQAgADQALgAzAC4AMQAuADMAIAAoADYAKQBcACIAOwBcAG4AIAAgACAAIAAgACAAIAAgACAAIABcACIAVwBfAGoAXAAiACwAIABcACIAbABpAHYAZQB3AGUAaQBnAGgAdAAgACgAawBnACkAXAAiACwAIABcACIAawBn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1AF8AQwByAHUAZABlAFAAcgBvAHQAZQBpAG4ASQBuAHQAYQBrAGUATwBmAEQAYQBpAHIAeQBDAGEAdAB0AGwAZQBcAG4AQwByAHUAZABlACAAcAByAG8AdABlAGkAbgAgAGkAbgB0AGEAawBlACAAbwBmACAAZABhAGkAcgB5ACAAYwBhAHQAdABsAGUAXABuAEMAUABJAF8AagBcAG4AawBnAC8AaABlAGEAZAAvAGQAYQB5AFwAbgBDAFAASQBfAGoAPQBJAF8AagBcAFwAdABpAG0AZQBzACAAQwBQAF8AagBcAG4ASQBfAGoAIAA9ACAAZAByAHkAIABtAGEAdAB0AGUAcgAgAGkAbgB0AGEAawBlACAAKABrAGcARABNAC8AaABlAGEAZAAvAGQAYQB5ACkAXABuAEMAUABfAGoAIAA9ACAAYwByAHUAZABlACAAcAByAG8AdABlAGkAbgAgAGMAbwBuAHQAZQBuAHQAIABvAGYAIABmAGUAZQBkACAAaQBuAHQAYQBrAGUAIAAoAGYAcgBhAGMAdABpAG8AbgApAFwAbgAtAC0ALQAtAC0ALQAtAC0ALQAtAC0ALQAtAC0ALQAtAC0ALQAtAC0ALQAtAC0ALQAtAC0ALQAtAC0ALQAtAC0ALQAtAC0ALQAtAC0AXABuACoALwBcAG4AXABuAFYARQBFAFIARwBfADQAXwAzAF8AMQBfADMAXwBfADUAXwBDAHIAdQBkAGUAUAByAG8AdABlAGkAbgBJAG4AdABhAGsAZQBPAGYARABhAGkAcgB5AEMAYQB0AHQAbABlAFwAbgAgACAAPQBMAEEATQBCAEQAQQAoAFwAbgAgACAAIAAgAEkAXwBqACwAIABDAFAAXwBqACwAXABuACAAIAAgACAASQBfAGoAIAAqACAAQwBQAF8AagBcAG4AIAAgACkAOwBcAG4AXABuAFYARQBFAFIARwBfADQAXwAzAF8AMQBfADMAXwBfADUAXwBDAHIAdQBkAGUAUAByAG8AdABlAGkAbgBJAG4AdABhAGsAZQBPAGYARABhAGkAcgB5AEMAYQB0AHQAbABlAF8AVABpAHQAbABlAFwAbgAgACAAPQBMAEEATQBCAEQAQQAoAFwAIgBDAHIAdQBkAGUAIABwAHIAbwB0AGUAaQBuACAAaQBuAHQAYQBrAGUAIABvAGYAIABkAGEAaQByAHkAIABjAGEAdAB0AGwAZQBcACIAKQA7AFwAbgBcAG4AVgBFAEUAUgBHAF8ANABfADMAXwAxAF8AMwBfAF8ANQBfAEMAcgB1AGQAZQBQAHIAbwB0AGUAaQBuAEkAbgB0AGEAawBlAE8AZgBEAGEAaQByAHkAQwBhAHQAdABsAGUAXwBWAGEAcgBpAGEAYgBsAGUAXABuACAAIAA9AEwAQQBNAEIARABBACgAXAAiAEMAUABJAF8AagBcACIAKQA7AFwAbgBcAG4AVgBFAEUAUgBHAF8ANABfADMAXwAxAF8AMwBfAF8ANQBfAEMAcgB1AGQAZQBQAHIAbwB0AGUAaQBuAEkAbgB0AGEAawBlAE8AZgBEAGEAaQByAHkAQwBhAHQAdABsAGUAXwBVAG4AaQB0AFwAbgAgACAAPQBMAEEATQBCAEQAQQAoAFwAIgBrAGcALwBoAGUAYQBkAC8AZABhAHkAXAAiACkAOwBcAG4AXABuAFYARQBFAFIARwBfADQAXwAzAF8AMQBfADMAXwBfADUAXwBDAHIAdQBkAGUAUAByAG8AdABlAGkAbgBJAG4AdABhAGsAZQBPAGYARABhAGkAcgB5AEMAYQB0AHQAbABlAF8AUwBvAHUAcgBjAGUAXABuACAAIAA9AEwAQQBNAEIARABBACgAXAAiAFYARQBFAFIARwAgADIAMAAyADYAOgAgADQALgAzAC4AMQAuADMALAAgAEUAcQB1AGEAdABpAG8AbgAgACgANQApAFwAIgApADsAXABuAFwAbgBWAEUARQBSAEcAXwA0AF8AMwBfADEAXwAzAF8AXwA1AF8AQwByAHUAZABlAFAAcgBvAHQAZQBpAG4ASQBuAHQAYQBrAGUATwBmAEQAYQBpAHIAeQBDAGEAdAB0AGwAZQBfAE4ASQBSAFIAZQBmAGUAcgBlAG4AYwBlAFwAbgAgACAAPQBMAEEATQBCAEQAQQAoAFwAIgBcACIAKQA7AFwAbgBcAG4AVgBFAEUAUgBHAF8ANABfADMAXwAxAF8AMwBfAF8ANQBfAEMAcgB1AGQAZQBQAHIAbwB0AGUAaQBuAEkAbgB0AGEAawBlAE8AZgBEAGEAaQByAHkAQwBhAHQAdABsAGUAXwBMAGEAdABlAHgARQBxAHUAYQB0AGkAbwBuAFwAbgAgACAAPQBMAEEATQBCAEQAQQAoAFwAIgBDAFAASQBfAGoAPQBJAF8AagBcAFwAdABpAG0AZQBzACAAQwBQAF8AagBcACIAKQA7AFwAbgBcAG4AVgBFAEUAUgBHAF8ANABfADMAXwAxAF8AMwBfAF8ANQBfAEMAcgB1AGQAZQBQAHIAbwB0AGUAaQBuAEkAbgB0AGEAawBlAE8AZgBEAGEAaQByAHkAQwBhAHQAdABsAGUAXwBBAHIAZwB1AG0AZQBuAHQAcwBcAG4AIAAgAD0ATABBAE0AQgBEAEEAKABcAG4AIAAgACAAIABNAEEASwBFAEEAUgBSAEEAWQAoADI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EMAUABfAGoAXAAiACwAIABcACIAYwByAHUAZABlACAAcAByAG8AdABlAGkAbgAgAGMAbwBuAHQAZQBuAHQAIABvAGYAIABmAGUAZQBk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5ACAATQBlAHQAaABvAGQAIAAxACAALQAgAFMAbwBpAGw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QBfAF8AMQBfAEQAaQByAGUAYwB0AE4AaQB0AHIAbwB1AHMATwB4AGkAZABlAEUAbQBpAHMAcwBpAG8AbgBzAE8AbgBQAGEAcwB0AHUAcgBlAFwAbgBEAGkAcgBlAGMAdAAgAG4AaQB0AHIAbwB1AHMAIABvAHgAaQBkAGUAIABlAG0AaQBzAHMAaQBvAG4AcwAgAG8AbgAgAHAAYQBzAHQAdQByAGUAXABuAEUAXwBOADIATwBkAGkAcgBcAG4AdAAgAE4AMgBPAFwAbgBFAF8AewBOADIATwAsAGQAaQByAH0APQBNAE4AXwB7AGoAbQA9ADEANAB9AFwAXAB0AGkAbQBlAHMAIABFAEYAXwB7AFAAUgBQAH0AXABcAHQAaQBtAGUAcwAgAEMAXwB7AE4AMgBPAH0AXABcAHQAaQBtAGUAcwAgADEAMABeAHsALQAzAH0AXABuAE0ATgBfAGoAbQAxADQAIAA9ACAAbQBhAHMAcwAgAG8AZgAgAG4AaQB0AHIAbwBnAGUAbgAgAGUAeABjAHIAZQB0AGUAZAAgAG8AbgAgAHAAYQBzAHQAdQByAGUALAAgAHIAYQBuAGcAZQAsACAAYQBuAGQAIABwAGEAZABkAG8AYwBrACAAZgBvAHIAIABlAGEAYwBoACAAZABhAGkAcgB5ACAAYwBhAHQAdABsAGUAIABjAGwAYQBzAHMAIAAoAGsAZwAgAE4AKQBcAG4ARQBGAF8AUABSAFAAIAA9ACA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5AF8AXwAxAF8ARABpAHIAZQBjAHQATgBpAHQAcgBvAHUAcwBPAHgAaQBkAGUARQBtAGkAcwBzAGkAbwBuAHMATwBuAFAAYQBzAHQAdQByAGUAXABuACAAIAA9AEwAQQBNAEIARABBACgAXABuACAAIAAgACAATQBOAF8AagBtADEANAAsACAARQBGAF8AUABSAFAALAAgAEMAXwBOADIATwAsAFwAbgAgACAAIAAgAE0ATgBfAGoAbQAxADQAIAAqACAARQBGAF8AUABSAFAAIAAqACAAQwBfAE4AMgBPACAAKgAgADEAMAAgAF4AIAAtADMAXABuACAAIAApADsAXABuAFwAbgBWAEUARQBSAEcAXwA0AF8AMwBfADEAXwA5AF8AXwAxAF8ARABpAHIAZQBjAHQATgBpAHQAcgBvAHUAcwBPAHgAaQBkAGUARQBtAGkAcwBzAGkAbwBuAHMATwBuAFAAYQBzAHQAdQByAGUAXwBUAGkAdABsAGUAXABuACAAIAA9AEwAQQBNAEIARABBACgAXAAiAEQAaQByAGUAYwB0ACAAbgBpAHQAcgBvAHUAcwAgAG8AeABpAGQAZQAgAGUAbQBpAHMAcwBpAG8AbgBzACAAbwBuACAAcABhAHMAdAB1AHIAZQBcACIAKQA7AFwAbgBcAG4AVgBFAEUAUgBHAF8ANABfADMAXwAxAF8AOQBfAF8AMQBfAEQAaQByAGUAYwB0AE4AaQB0AHIAbwB1AHMATwB4AGkAZABlAEUAbQBpAHMAcwBpAG8AbgBzAE8AbgBQAGEAcwB0AHUAcgBlAF8AVgBhAHIAaQBhAGIAbABlAFwAbgAgACAAPQBMAEEATQBCAEQAQQAoAFwAIgBFAF8ATgAyAE8AZABpAHIAXAAiACkAOwBcAG4AXABuAFYARQBFAFIARwBfADQAXwAzAF8AMQBfADkAXwBfADEAXwBEAGkAcgBlAGMAdABOAGkAdAByAG8AdQBzAE8AeABpAGQAZQBFAG0AaQBzAHMAaQBvAG4AcwBPAG4AUABhAHMAdAB1AHIAZQBfAFUAbgBpAHQAXABuACAAIAA9AEwAQQBNAEIARABBACgAXAAiAHQAIABOADIATwBcACIAKQA7AFwAbgBcAG4AVgBFAEUAUgBHAF8ANABfADMAXwAxAF8AOQBfAF8AMQBfAEQAaQByAGUAYwB0AE4AaQB0AHIAbwB1AHMATwB4AGkAZABlAEUAbQBpAHMAcwBpAG8AbgBzAE8AbgBQAGEAcwB0AHUAcgBlAF8AUwBvAHUAcgBjAGUAXABuACAAIAA9AEwAQQBNAEIARABBACgAXAAiAFYARQBFAFIARwAgADIAMAAyADYAOgAgADQALgAzAC4AMQAuADkALAAgAEUAcQB1AGEAdABpAG8AbgAgACgAMQApAFwAIgApADsAXABuAFwAbgBWAEUARQBSAEcAXwA0AF8AMwBfADEAXwA5AF8AXwAxAF8ARABpAHIAZQBjAHQATgBpAHQAcgBvAHUAcwBPAHgAaQBkAGUARQBtAGkAcwBzAGkAbwBuAHMATwBuAFAAYQBzAHQAdQByAGUAXwBOAEkAUgBSAGUAZgBlAHIAZQBuAGMAZQBcAG4AIAAgAD0ATABBAE0AQgBEAEEAKABcACIAXAAiACkAOwBcAG4AXABuAFYARQBFAFIARwBfADQAXwAzAF8AMQBfADkAXwBfADEAXwBEAGkAcgBlAGMAdABOAGkAdAByAG8AdQBzAE8AeABpAGQAZQBFAG0AaQBzAHMAaQBvAG4AcwBPAG4AUABhAHMAdAB1AHIAZQBfAEwAYQB0AGUAeABFAHEAdQBhAHQAaQBvAG4AXABuACAAIAA9AEwAQQBNAEIARABBACgAXAAiAEUAXwB7AE4AMgBPACwAZABpAHIAfQA9AFwAXABzAHUAbQBcAFwAbgBvAGwAaQBtAGkAdABzAF8AewBqAH0AKABNAE4AXwB7AGoAbQA9ADEANAB9AFwAXAB0AGkAbQBlAHMAIABFAEYAXwB7AFAAUgBQAH0AXABcAHQAaQBtAGUAcwAgAEMAXwB7AE4AMgBPAH0AXABcAHQAaQBtAGUAcwAgADEAMABeAHsALQAzAH0AKQBcACIAKQA7AFwAbgBcAG4AVgBFAEUAUgBHAF8ANABfADMAXwAxAF8AOQ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sACAAYQBuAGQAIABwAGEAZABkAG8AYwBrACAAZgBvAHIAIABlAGEAYwBoACAAZABhAGkAcgB5ACAAYwBhAHQAdABsAGUAIABjAGwAYQBzAHMAXAAiACwAIABcACIAawBnACAATgBcACIALAAgAFwAIgBDAGEAbABjAHUAbABhAHQAZQBkACAAZgByAG8AbQAgADQALgAzAC4AMQAuADMAIAAoADIAKQBcACIAOwBcAG4AIAAgACAAIAAgACAAIAAgACAAIABcACIARQBGAF8AUABSAFAAXAAiACwAIABcACIAZQBtAGkAcwBzAGkAbwBuACAAZgBhAGMAdABvAHIAIABmAG8AcgAgAG4AaQB0AHIAbwB1AHMAIABvAHgAaQBkAGUAIABlAG0AaQBzAHMAaQBvAG4AcwAgAGYAbwByACAAdQByAGkAbgBlACAAYQBuAGQAIABkAHUAbgBnACAAZABlAHAAbwBzAGkAdABlAGQAIABvAG4AIABQAFIAU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6AFwAIgAsAFwAIgBXAGUAdAAgAG8AcgAgAGQAcgB5ACAAYwBsAGkAbQBhAHQAZQAgAHoAbwBuAGUAXAAiACwAIABcACIAXAAiACwAIABcACIASQBuAHAAdQB0AFwAIgBcAG4AIAAgACAAIAAgACAAIAAgAH0ALAAgAHIALAAgAGMAKQBcAG4AIAAgACAAIAAgACAAKQBcAG4AIAAgACAAIAApAFwAbgAgACAAKQA7AFwAbgAiAH0ALAB7ACIAcABhAHQAaAAiADoAIgAvAHAAcgBvAGoAZQBjAHQAcwAvAE0ATQBTAF8ARABhAGk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AAgAE0AZQB0AGgAbwBkACAAMQAgAC0AIABTAG8AaQBsACAAQQB0AG0AbwBzAHAAaABlAHIAaQBjACAARABlAHAAbwBzAGkAdABpAG8Ab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w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wAF8AXwAxAF8AQQB0AG0AbwBzAHAAaABlAHIAaQBjAEQAZQBwAG8AcwBpAHQAaQBvAG4ARQBtAGkAcwBzAGkAbwBuAHMARgByAG8AbQBVAHIAaQBuAGUAQQBuAGQARAB1AG4AZw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MAXwAxAF8AMQAw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MAXwAxAF8AMQAw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MAXwAxAF8AMQAwAF8AXwAxAF8AQQB0AG0AbwBzAHAAaABlAHIAaQBjAEQAZQBwAG8AcwBpAHQAaQBvAG4ARQBtAGkAcwBzAGkAbwBuAHMARgByAG8AbQBVAHIAaQBuAGUAQQBuAGQARAB1AG4AZwBPAG4AUABhAHMAdAB1AHIAZQBfAFUAbgBpAHQAXABuACAAIAA9AEwAQQBNAEIARABBACgAXAAiAHQAIABOADIATwBcACIAKQA7AFwAbgBcAG4AVgBFAEUAUgBHAF8ANABfADMAXwAxAF8AMQAwAF8AXwAxAF8AQQB0AG0AbwBzAHAAaABlAHIAaQBjAEQAZQBwAG8AcwBpAHQAaQBvAG4ARQBtAGkAcwBzAGkAbwBuAHMARgByAG8AbQBVAHIAaQBuAGUAQQBuAGQARAB1AG4AZwBPAG4AUABhAHMAdAB1AHIAZQBfAFMAbwB1AHIAYwBlAFwAbgAgACAAPQBMAEEATQBCAEQAQQAoAFwAIgBWAEUARQBSAEcAIAAyADAAMgA2ADoAIAA0AC4AMwAuADEALgAxADAALAAgAEUAcQB1AGEAdABpAG8AbgAgACgAMQApAFwAIgApADsAXABuAFwAbgBWAEUARQBSAEcAXwA0AF8AMwBfADEAXwAxADAAXwBfADEAXwBBAHQAbQBvAHMAcABoAGUAcgBpAGMARABlAHAAbwBzAGkAdABpAG8AbgBFAG0AaQBzAHMAaQBvAG4AcwBGAHIAbwBtAFUAcgBpAG4AZQBBAG4AZABEAHUAbgBnAE8AbgBQAGEAcwB0AHUAcgBlAF8ATgBJAFIAUgBlAGYAZQByAGUAbgBjAGUAXABuACAAIAA9AEwAQQBNAEIARABBACgAXAAiAFwAIgApADsAXABuAFwAbgBWAEUARQBSAEcAXwA0AF8AMwBfADEAXwAxADAAXwBfADEAXwBBAHQAbQBvAHMAcABoAGUAcgBpAGMARABlAHAAbwBzAGkAdABpAG8AbgBFAG0AaQBzAHMAaQBvAG4AcwBGAHIAbwBtAFUAcgBpAG4AZQBBAG4AZABEAHUAbgBn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zAF8AMQBfADEAMA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wAuADEALgAxADA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DAAXwBfADIAXwBNAGEAcwBzAE8AZgBOAGkAdAByAG8AZwBlAG4AVgBvAGwAYQB0AGkAbABpAHMAZQBkAE8AbgBQAGEAcwB0AHUAcgBlAFwAbgBNAGEAcwBzACAAbwBmACAAbgBpAHQAcgBvAGcAZQBuACAAdgBvAGwAYQB0AGkAbABpAHMAZQBkACAAZgByAG8AbQAgAHUAcgBpAG4AZQAgAGEAbgBkACAAZgBhAGUAYwBlAHMAIABkAGUAcABvAHMAaQB0AGUAZAAgAG8AbgAgAHAAYQBzAHQAdQByAGUAXABuAE0AXwB2AG8AbABfAG0AMQA0AFwAbgBrAGcAIABOAFwAbgBNAF8AewB2AG8AbAAsAG0APQAxADQAfQA9AE0ATgBfAHsAagBtAD0AMQA0AH0AXABcAHQAaQBtAGUAcwAgAEYAcgBhAGMARwBBAFMATQBzAG8AaQBsAFwAbgBNAE4AXwBqAG0AMQA0ACAAPQAgAG0AYQBzAHMAIABvAGYAIABuAGkAdAByAG8AZwBlAG4AIABlAHgAYwByAGUAdABlAGQAIABvAG4AIABwAGEAcwB0AHUAcgBlACwAIAByAGEAbgBnAGUAIABhAG4AZAAgAHAAYQBkAGQAbwBjAGsAIABmAG8AcgAgAGUAYQBjAGgAIABkAGEAaQByAHkAIABjAGwAYQBzAHM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zAF8AMQBfADEAMABfAF8AMgBfAE0AYQBzAHMATwBmAE4AaQB0AHIAbwBnAGUAbgBWAG8AbABhAHQAaQBsAGkAcwBlAGQATwBuAFAAYQBzAHQAdQByAGUAXABuACAAIAA9AEwAQQBNAEIARABBACgAXABuACAAIAAgACAATQBOAF8AagBtADEANAAsACAARgByAGEAYwBHAEEAUwBNAHMAbwBpAGwALABcAG4AIAAgACAAIABNAE4AXwBqAG0AMQA0ACAAKgAgAEYAcgBhAGMARwBBAFMATQBzAG8AaQBsAFwAbgAgACAAKQA7AFwAbgBcAG4AVgBFAEUAUgBHAF8ANABfADMAXwAxAF8AMQAwAF8AXwAyAF8ATQBhAHMAcwBPAGYATgBpAHQAcgBvAGcAZQBuAFYAbwBsAGEAdABpAGwAaQBzAGUAZABPAG4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MwBfADEAXwAxADAAXwBfADIAXwBNAGEAcwBzAE8AZgBOAGkAdAByAG8AZwBlAG4AVgBvAGwAYQB0AGkAbABpAHMAZQBkAE8AbgBQAGEAcwB0AHUAcgBlAF8AVgBhAHIAaQBhAGIAbABlAFwAbgAgACAAPQBMAEEATQBCAEQAQQAoAFwAIgBNAF8AdgBvAGwAXwBtADEANABcACIAKQA7AFwAbgBcAG4AVgBFAEUAUgBHAF8ANABfADMAXwAxAF8AMQAwAF8AXwAyAF8ATQBhAHMAcwBPAGYATgBpAHQAcgBvAGcAZQBuAFYAbwBsAGEAdABpAGwAaQBzAGUAZABPAG4AUABhAHMAdAB1AHIAZQBfAFUAbgBpAHQAXABuACAAIAA9AEwAQQBNAEIARABBACgAXAAiAGsAZwAgAE4AXAAiACkAOwBcAG4AXABuAFYARQBFAFIARwBfADQAXwAzAF8AMQBfADEAMABfAF8AMgBfAE0AYQBzAHMATwBmAE4AaQB0AHIAbwBnAGUAbgBWAG8AbABhAHQAaQBsAGkAcwBlAGQATwBuAFAAYQBzAHQAdQByAGUAXwBTAG8AdQByAGMAZQBcAG4AIAAgAD0ATABBAE0AQgBEAEEAKABcACIAVgBFAEUAUgBHACAAMgAwADIANgA6ACAANAAuADMALgAxAC4AMQAwACwAIABFAHEAdQBhAHQAaQBvAG4AIAAoADIAKQBcACIAKQA7AFwAbgBcAG4AVgBFAEUAUgBHAF8ANABfADMAXwAxAF8AMQAwAF8AXwAyAF8ATQBhAHMAcwBPAGYATgBpAHQAcgBvAGcAZQBuAFYAbwBsAGEAdABpAGwAaQBzAGUAZABPAG4AUABhAHMAdAB1AHIAZQBfAE4ASQBSAFIAZQBmAGUAcgBlAG4AYwBlAFwAbgAgACAAPQBMAEEATQBCAEQAQQAoAFwAIgBcACIAKQA7AFwAbgBcAG4AVgBFAEUAUgBHAF8ANABfADMAXwAxAF8AMQAwAF8AXwAyAF8ATQBhAHMAcwBPAGYATgBpAHQAcgBvAGcAZQBuAFYAbwBsAGEAdABpAGwAaQBzAGUAZABPAG4AUABhAHMAdAB1AHIAZQBfAEwAYQB0AGUAeABFAHEAdQBhAHQAaQBvAG4AXABuACAAIAA9AEwAQQBNAEIARABBACgAXAAiAE0AXwB7AHYAbwBsACwAbQA9ADEANAB9AD0AXABcAHMAdQBtAFwAXABuAG8AbABpAG0AaQB0AHMAXwB7AGoAfQAoAE0ATgBfAHsAagBtAD0AMQA0AH0AXABcAHQAaQBtAGUAcwAgAEYAcgBhAGMARwBBAFMATQBzAG8AaQBsACkAXAAiACkAOwBcAG4AXABuAFYARQBFAFIARwBfADQAXwAzAF8AMQBfADEAMA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ApAFwAIgAsACAAXAAiAEMAbwBuAHMAdABhAG4AdABcACIAXABuACAAIAAgACAAIAAgACAAIAB9ACwAIAByACwAIABjACkAXABuACAAIAAgACAAIAAgACkAXABuACAAIAAgACAAKQBcAG4AIAAgACkAOwBcAG4AIgB9ACwAewAiAHAAYQB0AGgAIgA6ACIALwBwAHIAbwBqAGUAYwB0AHMALwBNAE0AUwBfAEQAYQBpAHIAeQ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gAgAE0AZQB0AGgAbwBkACAAMQAgAC0AIABTAG8AaQBs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y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1AHIAaQBuAGUAIABhAG4AZAAgAGYAYQBlAGMAZQBzACAAZABlAHAAbwBzAGkAdABlAGQAIABvAG4AIABwAGEAcwB0AHUAcgBl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gBfAF8AMQBfAEwAZQBhAGMAaABpAG4AZwBBAG4AZABSAHUAbgBvAGYAZgBFAG0AaQBzAHMAaQBvAG4AcwBGAHIAbwBtAFUAcgBpAG4AZQBBAG4AZABEAHUAbgBn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MAXwAxAF8AMQAy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zAF8AMQBfADEAMgBfAF8AMQBfAEwAZQBhAGMAaABpAG4AZwBBAG4AZABSAHUAbgBvAGYAZgBFAG0AaQBzAHMAaQBvAG4AcwBGAHIAbwBtAFUAcgBpAG4AZQBBAG4AZABEAHUAbgBnAE8AbgBQAGEAcwB0AHUAcgBlAF8AVgBhAHIAaQBhAGIAbABlAFwAbgAgACAAPQBMAEEATQBCAEQAQQAoAFwAIgBFAF8ATgAyAE8AbABlAGEAYwBoAFwAIgApADsAXABuAFwAbgBWAEUARQBSAEcAXwA0AF8AMwBfADEAXwAxADIAXwBfADEAXwBMAGUAYQBjAGgAaQBuAGcAQQBuAGQAUgB1AG4AbwBmAGYARQBtAGkAcwBzAGkAbwBuAHMARgByAG8AbQBVAHIAaQBuAGUAQQBuAGQARAB1AG4AZwBPAG4AUABhAHMAdAB1AHIAZQBfAFUAbgBpAHQAXABuACAAIAA9AEwAQQBNAEIARABBACgAXAAiAHQAIABOADIATwBcACIAKQA7AFwAbgBcAG4AVgBFAEUAUgBHAF8ANABfADMAXwAxAF8AMQAyAF8AXwAxAF8ATABlAGEAYwBoAGkAbgBnAEEAbgBkAFIAdQBuAG8AZgBmAEUAbQBpAHMAcwBpAG8AbgBzAEYAcgBvAG0AVQByAGkAbgBlAEEAbgBkAEQAdQBuAGcATwBuAFAAYQBzAHQAdQByAGUAXwBTAG8AdQByAGMAZQBcAG4AIAAgAD0ATABBAE0AQgBEAEEAKABcACIAVgBFAEUAUgBHACAAMgAwADIANgA6ACAANAAuADMALgAxAC4AMQAyACwAIABFAHEAdQBhAHQAaQBvAG4AIAAoADEAKQBcACIAKQA7AFwAbgBcAG4AVgBFAEUAUgBHAF8ANABfADMAXwAxAF8AMQAyAF8AXwAxAF8ATABlAGEAYwBoAGkAbgBnAEEAbgBkAFIAdQBuAG8AZgBmAEUAbQBpAHMAcwBpAG8AbgBzAEYAcgBvAG0AVQByAGkAbgBlAEEAbgBkAEQAdQBuAGcATwBuAFAAYQBzAHQAdQByAGUAXwBOAEkAUgBSAGUAZgBlAHIAZQBuAGMAZQBcAG4AIAAgAD0ATABBAE0AQgBEAEEAKABcACIAXAAiACkAOwBcAG4AXABuAFYARQBFAFIARwBfADQAXwAzAF8AMQBfADEAMg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MAXwAxAF8AMQAy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1AHIAaQBuAGUAIABhAG4AZAAgAGYAYQBlAGMAZQBzACAAZABlAHAAbwBzAGkAdABlAGQAIABvAG4AIABwAGEAcwB0AHUAcgBlAFwAIgAsACAAXAAiAGsAZwAgAE4AXAAiACwAIABcACIAQwBhAGwAYwB1AGwAYQB0AGUAZAAgAGYAcgBvAG0AIAA0AC4AMwAuADEALgAxADI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DIAXwBfADIAXwBNAGEAcwBzAE8AZgBOAGkAdAByAG8AZwBlAG4ATABvAHMAdABUAG8ATABlAGEAYwBoAGkAbgBnAEEAbgBkAFIAdQBuAG8AZgBmAE8AbgBQAGEAcwB0AHUAcgBlAFwAbgBNAGEAcwBzACAAbwBmACAAbgBpAHQAcgBvAGcAZQBuACAAbABvAHMAdAAgAHQAbwAgAGwAZQBhAGMAaABpAG4AZwAgAGEAbgBkACAAcgB1AG4AbwBmAGYAIABmAHIAbwBtACAAdQByAGkAbgBlACAAYQBuAGQAIABmAGEAZQBjAGUAcwAgAG8AbgAgAHAAYQBzAHQAdQByAGUAXABuAE0AXwBsAGUAYQBjAGgAXwBtADEANABcAG4AawBnACAATgBcAG4ATQBfAHsAbABlAGEAYwBoACwAbQA9ADEANAB9AD0ATQBOAF8AewBqAG0APQAxADQAfQBcAFwAdABpAG0AZQBzACAARgByAGEAYwBXAGUAdABcAFwAdABpAG0AZQBzACAARgByAGEAYwBMAEUAQQBDAEgAXABuAE0ATgBfAGoAbQAxADQAIAA9ACAAbQBhAHMAcwAgAG8AZgAgAG4AaQB0AHIAbwBnAGUAbgAgAGUAeABjAHIAZQB0AGUAZAAgAG8AbgAgAHAAYQBzAHQAdQByAGUALAAgAHIAYQBuAGcAZQAgAGEAbgBkACAAcABhAGQAZABvAGMAawAgAGYAbwByACAAZQBhAGMAaAAgAGQAYQBpAHIAeQAgAGMAbABhAHMAcwAgACgAawBnACAATgApAFwAbgBGAHIAYQBjAFcAZQB0ACAAPQAgAGYAcgBhAGMAdABpAG8AbgAgAG8AZgAgAE4AIABhAHYAYQBpAGwAYQBiAGwAZQAgAGYAbwByACAAbABlAGEAYwBoAGkAbgBnACAAYQBuAGQAIAByAHUAbgBvAGYAZgBcAG4ARgByAGEAYwBMAEUAQQBDAEg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xADIAXwBfADIAXwBNAGEAcwBzAE8AZgBOAGkAdAByAG8AZwBlAG4ATABvAHMAdABUAG8ATABlAGEAYwBoAGkAbgBnAEEAbgBkAFIAdQBuAG8AZgBmAE8AbgBQAGEAcwB0AHUAcgBlAFwAbgAgACAAPQBMAEEATQBCAEQAQQAoAFwAbgAgACAAIAAgAE0ATgBfAGoAbQAxADQALAAgAEYAcgBhAGMAVwBlAHQALAAgAEYAcgBhAGMATABFAEEAQwBIACwAXABuACAAIAAgACAATQBOAF8AagBtADEANAAgACoAIABGAHIAYQBjAFcAZQB0ACAAKgAgAEYAcgBhAGMATABFAEEAQwBIAFwAbgAgACAAKQA7AFwAbgBcAG4AVgBFAEUAUgBHAF8ANABfADMAXwAxAF8AMQAy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CAAZgByAG8AbQAgAHUAcgBpAG4AZQAgAGEAbgBkACAAZgBhAGUAYwBlAHMAIABvAG4AIABwAGEAcwB0AHUAcgBlAFwAIgApADsAXABuAFwAbgBWAEUARQBSAEcAXwA0AF8AMwBfADEAXwAxADIAXwBfADIAXwBNAGEAcwBzAE8AZgBOAGkAdAByAG8AZwBlAG4ATABvAHMAdABUAG8ATABlAGEAYwBoAGkAbgBnAEEAbgBkAFIAdQBuAG8AZgBmAE8AbgBQAGEAcwB0AHUAcgBlAF8AVgBhAHIAaQBhAGIAbABlAFwAbgAgACAAPQBMAEEATQBCAEQAQQAoAFwAIgBNAF8AbABlAGEAYwBoAF8AbQAxADQAXAAiACkAOwBcAG4AXABuAFYARQBFAFIARwBfADQAXwAzAF8AMQBfADEAMgBfAF8AMgBfAE0AYQBzAHMATwBmAE4AaQB0AHIAbwBnAGUAbgBMAG8AcwB0AFQAbwBMAGUAYQBjAGgAaQBuAGcAQQBuAGQAUgB1AG4AbwBmAGYATwBuAFAAYQBzAHQAdQByAGUAXwBVAG4AaQB0AFwAbgAgACAAPQBMAEEATQBCAEQAQQAoAFwAIgBrAGcAIABOAFwAIgApADsAXABuAFwAbgBWAEUARQBSAEcAXwA0AF8AMwBfADEAXwAxADIAXwBfADIAXwBNAGEAcwBzAE8AZgBOAGkAdAByAG8AZwBlAG4ATABvAHMAdABUAG8ATABlAGEAYwBoAGkAbgBnAEEAbgBkAFIAdQBuAG8AZgBmAE8AbgBQAGEAcwB0AHUAcgBlAF8AUwBvAHUAcgBjAGUAXABuACAAIAA9AEwAQQBNAEIARABBACgAXAAiAFYARQBFAFIARwAgADIAMAAyADYAOgAgADQALgAzAC4AMQAuADEAMgAsACAARQBxAHUAYQB0AGkAbwBuACAAKAAyACkAXAAiACkAOwBcAG4AXABuAFYARQBFAFIARwBfADQAXwAzAF8AMQBfADEAMgBfAF8AMgBfAE0AYQBzAHMATwBmAE4AaQB0AHIAbwBnAGUAbgBMAG8AcwB0AFQAbwBMAGUAYQBjAGgAaQBuAGcAQQBuAGQAUgB1AG4AbwBmAGYATwBuAFAAYQBzAHQAdQByAGUAXwBOAEkAUgBSAGUAZgBlAHIAZQBuAGMAZQBcAG4AIAAgAD0ATABBAE0AQgBEAEEAKABcACIAXAAiACkAOwBcAG4AXABuAFYARQBFAFIARwBfADQAXwAzAF8AMQBfADEAMgBfAF8AMgBfAE0AYQBzAHMATwBmAE4AaQB0AHIAbwBnAGUAbgBMAG8AcwB0AFQAbwBMAGUAYQBjAGgAaQBuAGcAQQBuAGQAUgB1AG4AbwBmAGYATwBuAFAAYQBzAHQAdQByAGUAXwBMAGEAdABlAHgARQBxAHUAYQB0AGkAbwBuAFwAbgAgACAAPQBMAEEATQBCAEQAQQAoAFwAIgBNAF8AewBsAGUAYQBjAGgALABtAD0AMQA0AH0APQBcAFwAcwB1AG0AXABcAG4AbwBsAGkAbQBpAHQAcwBfAHsAagB9ACgATQBOAF8AewBqAG0APQAxADQAfQBcAFwAdABpAG0AZQBzACAARgByAGEAYwBXAGUAdABcAFwAdABpAG0AZQBzACAARgByAGEAYwBMAEUAQQBDAEgAKQBcACIAKQA7AFwAbgBcAG4AVgBFAEUAUgBHAF8ANABfADMAXwAxAF8AMQAy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XAGUAdABcACIALAAgAFwAIgBmAHIAYQBjAHQAaQBvAG4AIABvAGYAIABOACAAYQB2AGEAaQBsAGEAYgBsAGUAIABmAG8AcgAgAGwAZQBhAGMAaABpAG4AZwAgAGEAbgBkACAAcgB1AG4AbwBmAGYAXAAiACwAIABcACIAXAAiACwAIABcACIAQwBvAG4AcwB0AGEAbgB0AFwAIgA7AFwAbgAgACAAIAAgACAAIAAgACAAIAAgAFwAIgBGAHIAYQBjAEwARQBBAEMASABcACIALAAgAFwAIgBmAHIAYQBjAHQAaQBvAG4AIABvAGYAIABO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FAG4AdABlAHIAaQBjAE0AZQB0AGgAYQBuAGUAXwBTAHcAa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wAuADUAOgAgAEUAbgB0AGUAcgBpAGMAIABNAGUAdABoAGEAbgBlACAALQAgAFMAdwBpAG4AZQBcAG4APQA9AD0APQA9AD0APQA9AD0APQA9AD0APQA9AD0APQA9AD0APQA9AD0APQA9AD0APQA9AD0APQA9AD0APQA9AD0APQA9AD0APQA9AD0APQA9AD0APQA9AD0APQA9AD0APQA9AD0APQA9AD0APQA9AD0APQA9AD0APQA9AD0APQA9AD0APQA9AD0APQA9AD0APQA9AD0APQBcAG4AMwAuADUALgAxAC4AMQAgAE0AZQB0AGgAbwBkACAAMQAgAC0AIABFAG4AdABlAHIAaQBj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U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zAHcAaQBuAGUAXABuAEUAXwBlAG4AdABlAHIAaQBjAFwAbgB0ACAAQwBIADQAXABuAEUAXwB7AGUAbgB0AGUAcgBpAGMAfQA9AFwAXABzAHUAbQBfAHsAagB9ACgATgBfAGoAXABcAHQAaQBtAGUAcwAgAE0AXwBqAFwAXAB0AGkAbQBlAHMAIABEAF8AagApAFwAXAB0AGkAbQBlAHMAIAAxADAAXgB7AC0AMwB9AFwAbgBOAF8AagAgAD0AIABuAHUAbQBiAGUAcgBzACAAbwBmACAAcwB3AGkAbgBlACAAbwBmACAAZQBhAGMAaAAgAGMAbABhAHMAcwAgACgAaABlAGEAZAApAFwAbgBNAF8AagAgAD0AIABtAGUAdABoAGEAbgBlACAAcAByAG8AZAB1AGMAdABpAG8AbgAgACgAawBnACAAQwBIADQALwBoAGUAYQBkAC8AZABhAHkAKQBcAG4ARABfAGoAIAA9ACAAdABoAGUAIABhAHYAZQByAGEAZwBlACAAbgB1AG0AYgBlAHIAIABvAGYAIABkAGEAeQBzACAAbwBuACAAZgBhAHIAbQAgAGYAbwByACAAZQBhAGMAaAAgAHMAdwBpAG4AZQAgAGMAbABhAHMAcwAgACgAZABhAHkAcwApAFwAbgAtAC0ALQAtAC0ALQAtAC0ALQAtAC0ALQAtAC0ALQAtAC0ALQAtAC0ALQAtAC0ALQAtAC0ALQAtAC0ALQAtAC0ALQAtAC0ALQAtAC0AXABuACoALwBcAG4AXABuAFYARQBFAFIARwBfADMAXwA1AF8AMQBfADEAXwBfADEAXwBUAG8AdABhAGwAQQBuAG4AdQBhAGwATQBlAHQAaABhAG4AZQBGAHIAbwBtAEUAbgB0AGUAcgBpAGMARgBlAHIAbQBlAG4AdABhAHQAaQBvAG4AXABuACAAIAA9AEwAQQBNAEIARABBACgAXABuACAAIAAgACAATgBfAGoALAAgAE0AXwBqACwAIABEAF8AagAsAFwAbgAgACAAIAAgACgATgBfAGoAIAAqACAATQBfAGoAIAAqACAARABfAGoAKQAgACoAIAAxADAAIABeACAALQAzAFwAbgAgACAAKQA7AFwAbgBcAG4AVgBFAEUAUgBHAF8AMwBfADU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zAHcAaQBuAGUAXAAiACkAOwBcAG4AXABuAFYARQBFAFIARwBfADMAXwA1AF8AMQBfADEAXwBfADEAXwBUAG8AdABhAGwAQQBuAG4AdQBhAGwATQBlAHQAaABhAG4AZQBGAHIAbwBtAEUAbgB0AGUAcgBpAGMARgBlAHIAbQBlAG4AdABhAHQAaQBvAG4AXwBWAGEAcgBpAGEAYgBsAGUAXABuACAAIAA9AEwAQQBNAEIARABBACgAXAAiAEUAXwBlAG4AdABlAHIAaQBjAFwAIgApADsAXABuAFwAbgBWAEUARQBSAEcAXwAzAF8ANQBfADEAXwAxAF8AXwAxAF8AVABvAHQAYQBsAEEAbgBuAHUAYQBsAE0AZQB0AGgAYQBuAGUARgByAG8AbQBFAG4AdABlAHIAaQBjAEYAZQByAG0AZQBuAHQAYQB0AGkAbwBuAF8AVQBuAGkAdABcAG4AIAAgAD0ATABBAE0AQgBEAEEAKABcACIAdAAgAEMASAA0AFwAIgApADsAXABuAFwAbgBWAEUARQBSAEcAXwAzAF8ANQBfADEAXwAxAF8AXwAxAF8AVABvAHQAYQBsAEEAbgBuAHUAYQBsAE0AZQB0AGgAYQBuAGUARgByAG8AbQBFAG4AdABlAHIAaQBjAEYAZQByAG0AZQBuAHQAYQB0AGkAbwBuAF8AUwBvAHUAcgBjAGUAXABuACAAIAA9AEwAQQBNAEIARABBACgAXAAiAFYARQBFAFIARwAgADIAMAAyADYAOgAgADMALgA1AC4AMQAuADEALAAgAEUAcQB1AGEAdABpAG8AbgAgACgAMQApAFwAIgApADsAXABuAFwAbgBWAEUARQBSAEcAXwAzAF8ANQBfADEAXwAxAF8AXwAxAF8AVABvAHQAYQBsAEEAbgBuAHUAYQBsAE0AZQB0AGgAYQBuAGUARgByAG8AbQBFAG4AdABlAHIAaQBjAEYAZQByAG0AZQBuAHQAYQB0AGkAbwBuAF8ATgBJAFIAUgBlAGYAZQByAGUAbgBjAGUAXABuACAAIAA9AEwAQQBNAEIARABBACgAXAAiAFwAIgApADsAXABuAFwAbgBWAEUARQBSAEcAXwAzAF8AN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TgBfAGoAXABcAHQAaQBtAGUAcwAgAE0AXwBqAFwAXAB0AGkAbQBlAHMAIABEAF8AagApAFwAXAB0AGkAbQBlAHMAIAAxADAAXgB7AC0AMwB9AFwAIgApADsAXABuAFwAbgBWAEUARQBSAEcAXwAzAF8AN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HMAIABvAGYAIABzAHcAaQBuAGUAIABvAGYAIABlAGEAYwBoACAAYwBsAGEAcwBzAFwAIgAsACAAXAAiAGgAZQBhAGQAXAAiACwAIABcACIASQBuAHAAdQB0AFwAIgA7AFwAbgAgACAAIAAgACAAIAAgACAAIAAgAFwAIgBNAF8AagBcACIALAAgAFwAIgBtAGUAdABoAGEAbgBlACAAcAByAG8AZAB1AGMAdABpAG8AbgBcACIALAAgAFwAIgBrAGcAIABDAEgANAAvAGgAZQBhAGQALwBkAGEAeQBcACIALAAgAFwAIgBDAGEAbABjAHUAbABhAHQAZQBkACAAZgByAG8AbQAgADMALgA1AC4AMQAuADEALAAgACgAMgApAFwAIgA7AFwAbgAgACAAIAAgACAAIAAgACAAIAAgAFwAIgBEAF8AagBcACIALAAgAFwAIgB0AGgAZQAgAGEAdgBlAHIAYQBnAGUAIABuAHUAbQBiAGUAcgAgAG8AZgAgAGQAYQB5AHMAIABvAG4AIABmAGEAcgBtACAAZgBvAHIAIABlAGEAYwBoACAAcwB3AGkAbgBl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1AF8AMQBfADEAXwBfADIAXwBEAGEAaQBsAHkARQBuAHQAZQByAGkAYwBNAGUAdABoAGEAbgBlAFAAcgBvAGQAdQBjAHQAaQBvAG4AXABuAFQAbwB0AGEAbAAgAGQAYQBpAGwAeQAgAHAAcgBvAGQAdQBjAHQAaQBvAG4AIABvAGYAIABlAG4AdABlAHIAaQBjACAAbQBlAHQAaABhAG4AZQAgAG8AZgAgAHMAdwBpAG4AZQBcAG4ATQBfAGoAXABuAGsAZwAgAEMASAA0AC8AaABlAGEAZAAvAGQAYQB5AFwAbgBNAF8AagA9AFwAXABmAHIAYQBjAHsASQBfAGoAXABcAHQAaQBtAGUAcwAgADEAOAAuADYAXABcAHQAaQBtAGUAcwAgADAALgAwADAANwB9AHsARgB9AFwAbgBJAF8AagAgAD0AIABkAGEAaQBsAHkAIABmAGUAZQBkACAAaQBuAGcAZQBzAHQAZQBkACAAYgB5ACAAZQBhAGMAaAAgAHMAdwBpAG4AZQAgAGMAbABhAHMAcwAgACgAawBnAC8AaABlAGEAZAAvAGQAYQB5ACkAXABuAEYAIAA9ACAAbQBlAGcAYQBqAG8AdQBsAGUAcwAgAHAAZQByACAAawBpAGwAbwBnAHIAYQBtACAAbwBmACAAbQBlAHQAaABhAG4AZQAgACgATQBKAC8AawBnACAAQwBIADQAKQBcAG4ALQAtAC0ALQAtAC0ALQAtAC0ALQAtAC0ALQAtAC0ALQAtAC0ALQAtAC0ALQAtAC0ALQAtAC0ALQAtAC0ALQAtAC0ALQAtAC0ALQAtAFwAbgAqAC8AXABuAFwAbgBWAEUARQBSAEcAXwAzAF8ANQBfADEAXwAxAF8AXwAyAF8ARABhAGkAbAB5AEUAbgB0AGUAcgBpAGMATQBlAHQAaABhAG4AZQBQAHIAbwBkAHUAYwB0AGkAbwBuAFwAbgAgACAAPQBMAEEATQBCAEQAQQAoAFwAbgAgACAAIAAgAEkAXwBqACwAIABGACwAXABuACAAIAAgACAAKABJAF8AagAgACoAIAAxADgALgA2ACAAKgAgADAALgAwADAANwApACAALwAgAEYAXABuACAAIAApADsAXABuAFwAbgBWAEUARQBSAEcAXwAzAF8ANQBfADEAXwAxAF8AXwAyAF8ARABhAGkAbAB5AEUAbgB0AGUAcgBpAGMATQBlAHQAaABhAG4AZQBQAHIAbwBkAHUAYwB0AGkAbwBuAF8AVABpAHQAbABlAFwAbgAgACAAPQBMAEEATQBCAEQAQQAoAFwAIgBUAG8AdABhAGwAIABkAGEAaQBsAHkAIABwAHIAbwBkAHUAYwB0AGkAbwBuACAAbwBmACAAZQBuAHQAZQByAGkAYwAgAG0AZQB0AGgAYQBuAGUAIABvAGYAIABzAHcAaQBuAGUAXAAiACkAOwBcAG4AXABuAFYARQBFAFIARwBfADMAXwA1AF8AMQBfADEAXwBfADIAXwBEAGEAaQBsAHkARQBuAHQAZQByAGkAYwBNAGUAdABoAGEAbgBlAFAAcgBvAGQAdQBjAHQAaQBvAG4AXwBWAGEAcgBpAGEAYgBsAGUAXABuACAAIAA9AEwAQQBNAEIARABBACgAXAAiAE0AXwBqAFwAIgApADsAXABuAFwAbgBWAEUARQBSAEcAXwAzAF8ANQBfADEAXwAxAF8AXwAyAF8ARABhAGkAbAB5AEUAbgB0AGUAcgBpAGMATQBlAHQAaABhAG4AZQBQAHIAbwBkAHUAYwB0AGkAbwBuAF8AVQBuAGkAdABcAG4AIAAgAD0ATABBAE0AQgBEAEEAKABcACIAawBnACAAQwBIADQALwBoAGUAYQBkAC8AZABhAHkAXAAiACkAOwBcAG4AXABuAFYARQBFAFIARwBfADMAXwA1AF8AMQBfADEAXwBfADIAXwBEAGEAaQBsAHkARQBuAHQAZQByAGkAYwBNAGUAdABoAGEAbgBlAFAAcgBvAGQAdQBjAHQAaQBvAG4AXwBTAG8AdQByAGMAZQBcAG4AIAAgAD0ATABBAE0AQgBEAEEAKABcACIAVgBFAEUAUgBHACAAMgAwADIANgA6ACAAMwAuADUALgAxAC4AMQAsACAARQBxAHUAYQB0AGkAbwBuACAAKAAyACkAXAAiACkAOwBcAG4AXABuAFYARQBFAFIARwBfADMAXwA1AF8AMQBfADEAXwBfADIAXwBEAGEAaQBsAHkARQBuAHQAZQByAGkAYwBNAGUAdABoAGEAbgBlAFAAcgBvAGQAdQBjAHQAaQBvAG4AXwBOAEkAUgBSAGUAZgBlAHIAZQBuAGMAZQBcAG4AIAAgAD0ATABBAE0AQgBEAEEAKABcACIAXAAiACkAOwBcAG4AXABuAFYARQBFAFIARwBfADMAXwA1AF8AMQBfADEAXwBfADIAXwBEAGEAaQBsAHkARQBuAHQAZQByAGkAYwBNAGUAdABoAGEAbgBlAFAAcgBvAGQAdQBjAHQAaQBvAG4AXwBMAGEAdABlAHgARQBxAHUAYQB0AGkAbwBuAFwAbgAgACAAPQBMAEEATQBCAEQAQQAoAFwAIgBNAF8AagA9AFwAXABmAHIAYQBjAHsASQBfAGoAXABcAHQAaQBtAGUAcwAgADEAOAAuADYAXABcAHQAaQBtAGUAcwAgADAALgAwADAANwB9AHsARgB9AFwAIgApADsAXABuAFwAbgBWAEUARQBSAEcAXwAzAF8ANQBfADEAXwAxAF8AXwAyAF8ARABhAGkAbAB5AEUAbgB0AGUAcgBpAGMATQBlAHQAaABhAG4AZQBQAHIAbwBkAHUAYwB0AGkAbwBuAF8AQQByAGcAdQBtAGUAbgB0AHMAXABuACAAIAA9AEwAQQBNAEIARABBACgAXABuACAAIAAgACAATQBBAEsARQBBAFIAUgBBAFkAKAA0ACwAIAA0ACwAXABuACAAIAAgACAAIAAgAEwAQQBNAEIARABBACgAcgAsAGMALABcAG4AIAAgACAAIAAgACAAIAAgAEkATgBEAEUAWAAoAHsAXABuACAAIAAgACAAIAAgACAAIAAgACAAXAAiAEkAXwBqAFwAIgAsACAAXAAiAGQAYQBpAGwAeQAgAGYAZQBlAGQAIABpAG4AZwBlAHMAdABlAGQAIABiAHkAIABlAGEAYwBoACAAcwB3AGkAbgBlACAAYwBsAGEAcwBzAFwAIgAsACAAXAAiAGsAZwAvAGgAZQBhAGQALwBkAGEAeQBcACIALAAgAFwAIgBJAG4AcAB1AHQAXAAiADsAXABuACAAIAAgACAAIAAgACAAIAAgACAAXAAiADEAOAAuADYAXAAiACwAIABcACIAZwByAG8AcwBzACAAZQBuAGUAcgBnAHkAIAAoAEcARQApACAAYwBvAG4AdABlAG4AdAAgAG8AZgAgAGYAZQBlAGQAXAAiACwAIABcACIATQBKACAARwBFAC8AawBnACAAZgBlAGUAZABcACIALAAgAFwAIgBDAG8AbgBzAHQAYQBuAHQAXAAiADsAXABuACAAIAAgACAAIAAgACAAIAAgACAAXAAiADAALgAwADAANwBcACIALAAgAFwAIgBmAHIAYQBjAHQAaQBvAG4AIABvAGYAIABHAEUAIABpAG4AdABhAGsAZQAgAGMAbwBuAHYAZQByAHQAZQBkACAAdABvACAAbQBlAHQAaABhAG4AZQAgAGIAeQAgAHMAdwBpAG4AZQBcACIALAAgAFwAIgBmAHIAYQBjAHQAaQBvAG4AXAAiACwAIABcACIAQwBvAG4AcwB0AGEAbgB0AFwAIgA7AFwAbgAgACAAIAAgACAAIAAgACAAIAAgAFwAIgBGAFwAIgAsACAAXAAiAG0AZQBnAGEAagBvAHUAbABlAHMAIABwAGUAcgAgAGsAaQBsAG8AZwByAGEAbQAgAG8AZgAgAG0AZQB0AGgAYQBuAGUAXAAiACwAIABcACIATQBKAC8AawBnACAAQwBIADQAXAAiACwAIABcACIAQwBvAG4AcwB0AGEAbgB0AFwAIgBcAG4AIAAgACAAIAAgACAAIAAgAH0ALAAgAHIALAAgAGMAKQBcAG4AIAAgACAAIAAgACAAKQBcAG4AIAAgACAAIAApAFwAbgAgACAAKQA7AFwAbgBcAG4AXABu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zACAATQBlAHQAaABvAGQAIAAxACAALQAgAE0AYQBuAHUAcgBl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awB9AFwAXABzAHUAbQBfAHsAbQB9AFwAXABzAHUAbQBfAHsAVAB9ACgATQBOAF8AewBqAGsAbQBUAH0AXABcAHQAaQBtAGUAcwAgAEUARgBfAHsAagBtAH0AXABcAHQAaQBtAGUAcwAgAEMAXwB7AE4AMgBPAH0AKQBcAFwAdABpAG0AZQBzADEAMABeAHsALQAzAH0AXABuAE0ATgBfAGoAawBtAFQAIAA9ACAAbgBpAHQAcgBvAGcAZQBuACAAcABlAHIAIABwAG8AdQBsAHQAcgB5ACAAYwBsAGEAcwBzACwAIABzAHUAYgBjAGwAYQBzAHM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MwBfAF8AMQBfAFQAbwB0AGEAbABBAG4AbgB1AGEAbABEAGkAcgBlAGMAdABOAGkAdAByAG8AdQBzAE8AeABpAGQAZQBFAG0AaQBzAHMAaQBvAG4AcwBGAHIAbwBtAE0ATQBTAFwAbgAgACAAPQBMAEEATQBCAEQAQQAoAFwAbgAgACAAIAAgAE0ATgBfAGoAawBtAFQALAAgAEUARgBfAGoAbQAsACAAQwBfAE4AMgBPACwAXABuACAAIAAgACAATQBOAF8AagBrAG0AVAAgACoAIABFAEYAXwBqAG0AIAAqACAAQwBfAE4AMgBPACAAKgAgADEAMAAgAF4AIAAtADMAXABuACAAIAApADsAXABuAFwAbgBWAEUARQBSAEcAXwA0AF8ANg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YAXwAxAF8AMwBfAF8AMQBfAFQAbwB0AGEAbABBAG4AbgB1AGEAbABEAGkAcgBlAGMAdABOAGkAdAByAG8AdQBzAE8AeABpAGQAZQBFAG0AaQBzAHMAaQBvAG4AcwBGAHIAbwBtAE0ATQBTAF8AVgBhAHIAaQBhAGIAbABlAFwAbgAgACAAPQBMAEEATQBCAEQAQQAoAFwAIgBFAF8ATgAyAE8AZABpAHIAXAAiACkAOwBcAG4AXABuAFYARQBFAFIARwBfADQAXwA2AF8AMQBfADMAXwBfADEAXwBUAG8AdABhAGwAQQBuAG4AdQBhAGwARABpAHIAZQBjAHQATgBpAHQAcgBvAHUAcwBPAHgAaQBkAGUARQBtAGkAcwBzAGkAbwBuAHMARgByAG8AbQBNAE0AUwBfAFUAbgBpAHQAXABuACAAIAA9AEwAQQBNAEIARABBACgAXAAiAHQAIABOADIATwBcACIAKQA7AFwAbgBcAG4AVgBFAEUAUgBHAF8ANABfADYAXwAxAF8AMwBfAF8AMQBfAFQAbwB0AGEAbABBAG4AbgB1AGEAbABEAGkAcgBlAGMAdABOAGkAdAByAG8AdQBzAE8AeABpAGQAZQBFAG0AaQBzAHMAaQBvAG4AcwBGAHIAbwBtAE0ATQBTAF8AUwBvAHUAcgBjAGUAXABuACAAIAA9AEwAQQBNAEIARABBACgAXAAiAFYARQBFAFIARwAgADIAMAAyADYAOgAgADQALgA2AC4AMQAuADMALAAgAEUAcQB1AGEAdABpAG8AbgAgACgAMQApAFwAIgApADsAXABuAFwAbgBWAEUARQBSAEcAXwA0AF8ANgBfADEAXwAzAF8AXwAxAF8AVABvAHQAYQBsAEEAbgBuAHUAYQBsAEQAaQByAGUAYwB0AE4AaQB0AHIAbwB1AHMATwB4AGkAZABlAEUAbQBpAHMAcwBpAG8AbgBzAEYAcgBvAG0ATQBNAFMAXwBOAEkAUgBSAGUAZgBlAHIAZQBuAGMAZQBcAG4AIAAgAD0ATABBAE0AQgBEAEEAKABcACIAXAAiACkAOwBcAG4AXABuAFYARQBFAFIARwBfADQAXwA2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awB9AFwAXABzAHUAbQBfAHsAbQB9AFwAXABzAHUAbQBfAHsAVAB9ACgATQBOAF8AewBqAGsAbQBUAH0AXABcAHQAaQBtAGUAcwAgAEUARgBfAHsAagBtAH0AXABcAHQAaQBtAGUAcwAgAEMAXwB7AE4AMgBPAH0AKQBcAFwAdABpAG0AZQBzADEAMABeAHsALQAzAH0AXAAiACkAOwBcAG4AXABuAFYARQBFAFIARwBfADQAXwA2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sAbQBUAFwAIgAsAFwAIgBuAGkAdAByAG8AZwBlAG4AIABwAGUAcgAgAHAAbwB1AGwAdAByAHkAIABjAGwAYQBzAHMALAAgAHMAdQBiAGMAbABhAHMAcwAsACAATQBNAFMAIABhAG4AZAAgAHQAcgBlAGEAdABtAGUAbgB0ACAAcwB0AGEAZwBlAFwAIgAsACAAXAAiAGsAZwAgAE4AXAAiACwAIABcACIAQwBhAGwAYwB1AGwAYQB0AGUAZAAgAGYAcgBvAG0AIAA0AC4ANgAuADEALgAzACAAKAAyACkAKAA2ACkAXAAiADsAXABuACAAIAAgACAAIAAgACAAIAAgACAAXAAiAEUARgBfAGoAbQBcACIALABcACIAbgBpAHQAcgBvAHUAcwAgAG8AeABpAGQAZQAgAGUAbQBpAHMAcwBpAG8AbgAgAGYAYQBjAHQAbwByACAAZgBvAHIAIABNAE0AUw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gBfAFMAdABhAGcAZQAxAE4AaQB0AHIAbwBnAGUAbgBJAG4ATQBNAFMAXABuAE4AaQB0AHIAbwBnAGUAbgAgAGkAbgAgAHQAcgBlAGEAdABtAGUAbgB0ACAAcwB0AGEAZwBlACAAMQAgAE0ATQBTAFwAbgBNAE4AXwBqAGsAbQBUADEAXABuAGsAZwAgAE4AXABuAE0ATgBfAHsAagBrAG0ALABUAD0AMQB9AD0AQQBFAF8AewBqAGsAfQBcAFwAdABpAG0AZQBzACAATQBNAFMAXwB7AGoAbQAsAFQAPQAxAH0AXABuAEEARQBfAGoAawAgAD0AIAB0AG8AdABhAGwAIABuAGkAdAByAG8AZwBlAG4AIABlAHgAYwByAGUAdABlAGQAIABiAHkAIABlAGEAYwBoACAAcABvAHUAbAB0AHIAeQAgAGMAbABhAHMAcwAgAGEAbgBkACAAcwB1AGIAYwBsAGEAcwBzACAAOgAgAGsAZwAgAE4AXABuAE0ATQBTAF8AagBtAFQAMQAgAD0AIABmAHIAYQBjAHQAaQBvAG4AIABvAGYAIABtAGEAbgB1AHIAZQAgAGkAbgAgAGUAYQBjAGgAIABwAHIAaQBtAGEAcgB5ACAAcwB5AHMAdABlAG0AIAA6ACAAZgByAGEAYwB0AGkAbwBuAFwAbgAtAC0ALQAtAC0ALQAtAC0ALQAtAC0ALQAtAC0ALQAtAC0ALQAtAC0ALQAtAC0ALQAtAC0ALQAtAC0ALQAtAC0ALQAtAC0ALQAtAC0AXABuACoALwBcAG4AXABuAFYARQBFAFIARwBfADQAXwA2AF8AMQBfADMAXwBfADIAXwBTAHQAYQBnAGUAMQBOAGkAdAByAG8AZwBlAG4ASQBuAE0ATQBTAFwAbgAgACAAPQBMAEEATQBCAEQAQQAoAFwAbgAgACAAIAAgAEEARQBfAGoAawAsACAATQBNAFMAXwBqAG0AVAAxACwAXABuACAAIAAgACAAQQBFAF8AagBrACAAKgAgAE0ATQBTAF8AagBtAFQAMQBcAG4AIAAgACkAOwBcAG4AXABuAFYARQBFAFIARwBfADQAXwA2AF8AMQBfADMAXwBfADIAXwBTAHQAYQBnAGUAMQBOAGkAdAByAG8AZwBlAG4ASQBuAE0ATQBTAF8AVABpAHQAbABlAFwAbgAgACAAPQBMAEEATQBCAEQAQQAoAFwAIgBOAGkAdAByAG8AZwBlAG4AIABpAG4AIAB0AHIAZQBhAHQAbQBlAG4AdAAgAHMAdABhAGcAZQAgADEAIABNAE0AUwBcACIAKQA7AFwAbgBcAG4AVgBFAEUAUgBHAF8ANABfADYAXwAxAF8AMwBfAF8AMgBfAFMAdABhAGcAZQAxAE4AaQB0AHIAbwBnAGUAbgBJAG4ATQBNAFMAXwBWAGEAcgBpAGEAYgBsAGUAXABuACAAIAA9AEwAQQBNAEIARABBACgAXAAiAE0ATgBfAGoAawBtAFQAMQBcACIAKQA7AFwAbgBcAG4AVgBFAEUAUgBHAF8ANABfADYAXwAxAF8AMwBfAF8AMgBfAFMAdABhAGcAZQAxAE4AaQB0AHIAbwBnAGUAbgBJAG4ATQBNAFMAXwBVAG4AaQB0AFwAbgAgACAAPQBMAEEATQBCAEQAQQAoAFwAIgBrAGcAIABOAFwAIgApADsAXABuAFwAbgBWAEUARQBSAEcAXwA0AF8ANgBfADEAXwAzAF8AXwAyAF8AUwB0AGEAZwBlADEATgBpAHQAcgBvAGcAZQBuAEkAbgBNAE0AUwBfAFMAbwB1AHIAYwBlAFwAbgAgACAAPQBMAEEATQBCAEQAQQAoAFwAIgBWAEUARQBSAEcAIAAyADAAMgA2ADoAIAA0AC4ANgAuADEALgAzACwAIABFAHEAdQBhAHQAaQBvAG4AIAAoADIAKQBcACIAKQA7AFwAbgBcAG4AVgBFAEUAUgBHAF8ANABfADYAXwAxAF8AMwBfAF8AMgBfAFMAdABhAGcAZQAxAE4AaQB0AHIAbwBnAGUAbgBJAG4ATQBNAFMAXwBOAEkAUgBSAGUAZgBlAHIAZQBuAGMAZQBcAG4AIAAgAD0ATABBAE0AQgBEAEEAKABcACIAXAAiACkAOwBcAG4AXABuAFYARQBFAFIARwBfADQAXwA2AF8AMQBfADMAXwBfADIAXwBTAHQAYQBnAGUAMQBOAGkAdAByAG8AZwBlAG4ASQBuAE0ATQBTAF8ATABhAHQAZQB4AEUAcQB1AGEAdABpAG8AbgBcAG4AIAAgAD0ATABBAE0AQgBEAEEAKABcACIATQBOAF8AewBqAGsAbQAsAFQAPQAxAH0APQBBAEUAXwB7AGoAawB9AFwAXAB0AGkAbQBlAHMAIABNAE0AUwBfAHsAagBtACwAVAA9ADEAfQBcACIAKQA7AFwAbgBcAG4AVgBFAEUAUgBHAF8ANABfADY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rAFwAIgAsAFwAIgB0AG8AdABhAGwAIABuAGkAdAByAG8AZwBlAG4AIABlAHgAYwByAGUAdABlAGQAIABiAHkAIABlAGEAYwBoACAAcABvAHUAbAB0AHIAeQAgAGMAbABhAHMAcwAgAGEAbgBkACAAcwB1AGIAYwBsAGEAcwBzAFwAIgAsACAAXAAiAGsAZwAgAE4AXAAiACwAIABcACIAQwBhAGwAYwB1AGwAYQB0AGUAZAAgAGYAcgBvAG0AIAA0AC4ANgAuADEALgAzACAAKAAzACkAXAAiADsAXABuACAAIAAgACAAIAAgACAAIAAgACAAXAAiAE0ATQBTAF8AagBtAFQAMQBcACIALABcACIAZgByAGEAYwB0AGkAbwBuACAAbwBmACAAbQBhAG4AdQByAGUAIABpAG4AIABlAGEAYwBoACAAcAByAGkAbQ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wBfAEEAbgBuAHUAYQBsAE4AaQB0AHIAbwBnAGUAbgBFAHgAYwByAGUAdABpAG8AbgBcAG4AQQBuAG4AdQBhAGwAIABuAGkAdAByAG8AZwBlAG4AIABlAHgAYwByAGUAdABpAG8AbgAgAGYAbwByACAAZQBhAGMAaAAgAHAAbwB1AGwAdAByAHkAIABjAGwAYQBzAHMAIABhAG4AZAAgAHMAdQBiAGMAbABhAHMAcwBcAG4AQQBFAF8AagBrAFwAbgBrAGcAIABOAFwAbgBBAEUAXwB7AGoAawB9AD0ATgBfAHsAagBrAH0AXABcAHQAaQBtAGUAcwAgAE4ARQBfAHsAagBrAH0AXABcAHQAaQBtAGUAcwAgAEQAXwB7AGoAawB9AFwAbgBOAF8AagBrACAAPQAgAG4AdQBtAGIAZQByACAAbwBmACAAcABvAHUAbAB0AHIAeQAgAGkAbgAgAGUAYQBjAGgAIABjAGwAYQBzAHMAIABhAG4AZAAgAHMAdQBiAGMAbABhAHMAcwAgADoAIABiAGkAcgBkAFwAbgBOAEUAXwBqAGsAIAA9ACAAbgBpAHQAcgBvAGcAZQBuACAAZQB4AGMAcgBlAHQAaQBvAG4AIAA6ACAAawBnACAATgAvAGIAaQByAGQALwBkAGEAeQBcAG4ARABfAGoAawAgAD0AIABkAHUAcgBhAHQAaQBvAG4AIABvAGYAIABzAHQAYQB5ACAAbwBmACAAZQBhAGMAaAAgAGMAbABhAHMAcwAgAGEAbgBkACAAcwB1AGIAYwBsAGEAcwBzACAAOgAgAGQAYQB5AHMAXABuAC0ALQAtAC0ALQAtAC0ALQAtAC0ALQAtAC0ALQAtAC0ALQAtAC0ALQAtAC0ALQAtAC0ALQAtAC0ALQAtAC0ALQAtAC0ALQAtAC0ALQBcAG4AKgAvAFwAbgBcAG4AVgBFAEUAUgBHAF8ANABfADYAXwAxAF8AMwBfAF8AMwBfAEEAbgBuAHUAYQBsAE4AaQB0AHIAbwBnAGUAbgBFAHgAYwByAGUAdABpAG8AbgBcAG4AIAAgAD0ATABBAE0AQgBEAEEAKABcAG4AIAAgACAAIABOAF8AagBrACwAIABOAEUAXwBqAGsALAAgAEQAXwBqAGsALABcAG4AIAAgACAAIABOAF8AagBrACAAKgAgAE4ARQBfAGoAawAgACoAIABEAF8AagBrAFwAbgAgACAAKQA7AFwAbgBcAG4AVgBFAEUAUgBHAF8ANABfADYAXwAxAF8AMwBfAF8AMwBfAEEAbgBuAHUAYQBsAE4AaQB0AHIAbwBnAGUAbgBFAHgAYwByAGUAdABpAG8AbgBfAFQAaQB0AGwAZQBcAG4AIAAgAD0ATABBAE0AQgBEAEEAKABcACIAQQBuAG4AdQBhAGwAIABuAGkAdAByAG8AZwBlAG4AIABlAHgAYwByAGUAdABpAG8AbgAgAGYAbwByACAAZQBhAGMAaAAgAHAAbwB1AGwAdAByAHkAIABjAGwAYQBzAHMAIABhAG4AZAAgAHMAdQBiAGMAbABhAHMAcwBcACIAKQA7AFwAbgBcAG4AVgBFAEUAUgBHAF8ANABfADYAXwAxAF8AMwBfAF8AMwBfAEEAbgBuAHUAYQBsAE4AaQB0AHIAbwBnAGUAbgBFAHgAYwByAGUAdABpAG8AbgBfAFYAYQByAGkAYQBiAGwAZQBcAG4AIAAgAD0ATABBAE0AQgBEAEEAKABcACIAQQBFAF8AagBrAFwAIgApADsAXABuAFwAbgBWAEUARQBSAEcAXwA0AF8ANgBfADEAXwAzAF8AXwAzAF8AQQBuAG4AdQBhAGwATgBpAHQAcgBvAGcAZQBuAEUAeABjAHIAZQB0AGkAbwBuAF8AVQBuAGkAdABcAG4AIAAgAD0ATABBAE0AQgBEAEEAKABcACIAawBnACAATgBcACIAKQA7AFwAbgBcAG4AVgBFAEUAUgBHAF8ANABfADYAXwAxAF8AMwBfAF8AMwBfAEEAbgBuAHUAYQBsAE4AaQB0AHIAbwBnAGUAbgBFAHgAYwByAGUAdABpAG8AbgBfAFMAbwB1AHIAYwBlAFwAbgAgACAAPQBMAEEATQBCAEQAQQAoAFwAIgBWAEUARQBSAEcAIAAyADAAMgA2ADoAIAA0AC4ANgAuADEALgAzACwAIABFAHEAdQBhAHQAaQBvAG4AIAAoADMAKQBcACIAKQA7AFwAbgBcAG4AVgBFAEUAUgBHAF8ANABfADYAXwAxAF8AMwBfAF8AMwBfAEEAbgBuAHUAYQBsAE4AaQB0AHIAbwBnAGUAbgBFAHgAYwByAGUAdABpAG8AbgBfAE4ASQBSAFIAZQBmAGUAcgBlAG4AYwBlAFwAbgAgACAAPQBMAEEATQBCAEQAQQAoAFwAIgBcACIAKQA7AFwAbgBcAG4AVgBFAEUAUgBHAF8ANABfADYAXwAxAF8AMwBfAF8AMwBfAEEAbgBuAHUAYQBsAE4AaQB0AHIAbwBnAGUAbgBFAHgAYwByAGUAdABpAG8AbgBfAEwAYQB0AGUAeABFAHEAdQBhAHQAaQBvAG4AXABuACAAIAA9AEwAQQBNAEIARABBACgAXAAiAEEARQBfAHsAagBrAH0APQBOAF8AewBqAGsAfQBcAFwAdABpAG0AZQBzACAATgBFAF8AewBqAGsAfQBcAFwAdABpAG0AZQBzACAARABfAHsAagBrAH0AXAAiACkAOwBcAG4AXABuAFYARQBFAFIARwBfADQAXwA2AF8AMQBfADMAXwBfADM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awBcACIALABcACIAbgB1AG0AYgBlAHIAIABvAGYAIABwAG8AdQBsAHQAcgB5ACAAaQBuACAAZQBhAGMAaAAgAGMAbABhAHMAcwAgAGEAbgBkACAAcwB1AGIAYwBsAGEAcwBzAFwAIgAsACAAXAAiAGIAaQByAGQAXAAiACwAIABcACIASQBuAHAAdQB0AFwAIgA7AFwAbgAgACAAIAAgACAAIAAgACAAIAAgAFwAIgBOAEUAXwBqAGsAXAAiACwAXAAiAG4AaQB0AHIAbwBnAGUAbgAgAGUAeABjAHIAZQB0AGkAbwBuAFwAIgAsACAAXAAiAGsAZwAgAE4ALwBiAGkAcgBkAC8AZABhAHkAXAAiACwAIABcACIAQwBhAGwAYwB1AGwAYQB0AGUAZAAgAGYAcgBvAG0AIAA0AC4ANgAuADEALgAzACAAKAA0ACkAXAAiADsAXABuACAAIAAgACAAIAAgACAAIAAgACAAXAAiAEQAXwBqAGsAXAAiACwAXAAiAGQAdQByAGEAdABpAG8AbgAgAG8AZgAgAHMAdABhAHkAIABvAGYAIABlAGEAYwBoACAAYwBsAGEAcwBzACAAYQBuAGQAIABzAHUAYg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ABfAE4AaQB0AHIAbwBnAGUAbgBFAHgAYwByAGUAdABpAG8AbgBQAGUAcgBCAGkAcgBkAFwAbgBOAGkAdAByAG8AZwBlAG4AIABlAHgAYwByAGUAdABpAG8AbgAgAHAAZQByACAAYgBpAHIAZAAgAHAAZQByACAAZABhAHkAXABuAE4ARQBfAGoAawBcAG4AawBnACAATgAvAGIAaQByAGQALwBkAGEAeQBcAG4ATgBFAF8AewBqAGsAfQA9AE4ASQBfAHsAagBrAH0AXABcAHQAaQBtAGUAcwAoADEALQBOAFIAXwB7AGoAawB9ACkAXABuAE4ASQBfAGoAawAgAD0AIABuAGkAdAByAG8AZwBlAG4AIABpAG4AdABhAGsAZQAgADoAIABrAGcAIABOAC8AYgBpAHIAZAAvAGQAYQB5AFwAbgBOAFIAXwBqAGs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YAXwAxAF8AMwBfAF8ANABfAE4AaQB0AHIAbwBnAGUAbgBFAHgAYwByAGUAdABpAG8AbgBQAGUAcgBCAGkAcgBkAFwAbgAgACAAPQBMAEEATQBCAEQAQQAoAFwAbgAgACAAIAAgAE4ASQBfAGoAawAsACAATgBSAF8AagBrACwAXABuACAAIAAgACAATgBJAF8AagBrACAAKgAgACgAMQAgAC0AIABOAFIAXwBqAGsAKQBcAG4AIAAgACkAOwBcAG4AXABuAFYARQBFAFIARwBfADQAXwA2AF8AMQBfADMAXwBfADQAXwBOAGkAdAByAG8AZwBlAG4ARQB4AGMAcgBlAHQAaQBvAG4AUABlAHIAQgBpAHIAZABfAFQAaQB0AGwAZQBcAG4AIAAgAD0ATABBAE0AQgBEAEEAKABcACIATgBpAHQAcgBvAGcAZQBuACAAZQB4AGMAcgBlAHQAaQBvAG4AIABwAGUAcgAgAGIAaQByAGQAIABwAGUAcgAgAGQAYQB5AFwAIgApADsAXABuAFwAbgBWAEUARQBSAEcAXwA0AF8ANgBfADEAXwAzAF8AXwA0AF8ATgBpAHQAcgBvAGcAZQBuAEUAeABjAHIAZQB0AGkAbwBuAFAAZQByAEIAaQByAGQAXwBWAGEAcgBpAGEAYgBsAGUAXABuACAAIAA9AEwAQQBNAEIARABBACgAXAAiAE4ARQBfAGoAawBcACIAKQA7AFwAbgBcAG4AVgBFAEUAUgBHAF8ANABfADYAXwAxAF8AMwBfAF8ANABfAE4AaQB0AHIAbwBnAGUAbgBFAHgAYwByAGUAdABpAG8AbgBQAGUAcgBCAGkAcgBkAF8AVQBuAGkAdABcAG4AIAAgAD0ATABBAE0AQgBEAEEAKABcACIAawBnACAATgAvAGIAaQByAGQALwBkAGEAeQBcACIAKQA7AFwAbgBcAG4AVgBFAEUAUgBHAF8ANABfADYAXwAxAF8AMwBfAF8ANABfAE4AaQB0AHIAbwBnAGUAbgBFAHgAYwByAGUAdABpAG8AbgBQAGUAcgBCAGkAcgBkAF8AUwBvAHUAcgBjAGUAXABuACAAIAA9AEwAQQBNAEIARABBACgAXAAiAFYARQBFAFIARwAgADIAMAAyADYAOgAgADQALgA2AC4AMQAuADMALAAgAEUAcQB1AGEAdABpAG8AbgAgACgANAApAFwAIgApADsAXABuAFwAbgBWAEUARQBSAEcAXwA0AF8ANgBfADEAXwAzAF8AXwA0AF8ATgBpAHQAcgBvAGcAZQBuAEUAeABjAHIAZQB0AGkAbwBuAFAAZQByAEIAaQByAGQAXwBOAEkAUgBSAGUAZgBlAHIAZQBuAGMAZQBcAG4AIAAgAD0ATABBAE0AQgBEAEEAKABcACIAXAAiACkAOwBcAG4AXABuAFYARQBFAFIARwBfADQAXwA2AF8AMQBfADMAXwBfADQAXwBOAGkAdAByAG8AZwBlAG4ARQB4AGMAcgBlAHQAaQBvAG4AUABlAHIAQgBpAHIAZABfAEwAYQB0AGUAeABFAHEAdQBhAHQAaQBvAG4AXABuACAAIAA9AEwAQQBNAEIARABBACgAXAAiAE4ARQBfAHsAagBrAH0APQBOAEkAXwB7AGoAawB9AFwAXAB0AGkAbQBlAHMAKAAxAC0ATgBSAF8AewBqAGsAfQApAFwAIgApADsAXABuAFwAbgBWAEUARQBSAEcAXwA0AF8ANgBfADEAXwAzAF8AXwA0AF8ATgBpAHQAcgBvAGcAZQBuAEUAeABjAHIAZQB0AGkAbwBuAFAAZQByAEIAaQByAGQAXwBBAHIAZwB1AG0AZQBuAHQAcwBcAG4AIAAgAD0ATABBAE0AQgBEAEEAKABcAG4AIAAgACAAIABNAEEASwBFAEEAUgBSAEEAWQAoADIALAAgADQALABcAG4AIAAgACAAIAAgACAATABBAE0AQgBEAEEAKAByACwAYwAsAFwAbgAgACAAIAAgACAAIAAgACAASQBOAEQARQBYACgAewBcAG4AIAAgACAAIAAgACAAIAAgACAAIABcACIATgBJAF8AagBrAFwAIgAsAFwAIgBuAGkAdAByAG8AZwBlAG4AIABpAG4AdABhAGsAZQBcACIALABcACIAawBnACAATgAvAGIAaQByAGQALwBkAGEAeQBcACIALAAgAFwAIgBDAGEAbABjAHUAbABhAHQAZQBkACAAZgByAG8AbQAgADQALgA2AC4AMQAuADMAIAAoADUAKQBcACIAOwBcAG4AIAAgACAAIAAgACAAIAAgACAAIABcACIATgBSAF8AagBrAFwAIgAsAFwAIgBuAGkAdAByAG8AZwBlAG4AIAByAGUAdABlAG4AdABpAG8AbgAgAGUAeABwAHIAZQBzAHMAZQBkACAAYQBzACAAYQAgAGYAcgBhAGMAdABpAG8AbgAgAG8AZg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QBfAE4AaQB0AHIAbwBnAGUAbgBJAG4AdABhAGsAZQBcAG4ATgBpAHQAcgBvAGcAZQBuACAAaQBuAHQAYQBrAGUAIABvAGYAIABwAG8AdQBsAHQAcgB5AFwAbgBOAEkAXwBqAGsAXABuAGsAZwAgAE4ALwBiAGkAcgBkAC8AZABhAHkAXABuAE4ASQBfAHsAagBrAH0APQBJAF8AewBqAGsAfQBcAFwAdABpAG0AZQBzACAAQwBQAF8AewBqAGsAfQBcAFwAZABpAHYAIAA2AC4AMgA1AFwAbgBJAF8AagBrACAAPQAgAGQAcgB5ACAAbQBhAHQAdABlAHIAIABpAG4AdABhAGsAZQAgAGYAbwByACAAZQBhAGMAaAAgAGMAbABhAHMAcwAgAGEAbgBkACAAcwB1AGIAYwBsAGEAcwBzACAAOgAgAGsAZwAgAEQATQAvAGIAaQByAGQALwBkAGEAeQBcAG4AQwBQAF8AagBrACAAPQAgAGMAcgB1AGQAZQAgAHAAcgBvAHQAZQBpAG4AIABjAG8AbgB0AGUAbgB0ACAAbwBmACAAZgBlAGUAZAAgADoAIABmAHIAYQBjAHQAaQBvAG4AXABuADYALgAyADUAIAA9ACAAZgBhAGMAdABvAHIAIABmAG8AcgAgAGMAbwBuAHYAZQByAHQAaQBuAGcAIABjAHIAdQBkAGUAIABwAHIAbwB0AGUAaQBuACAAaQBuAHQAbwAgAG4AaQB0AHIAbwBnAGUAbgAgADoAIAByAGEAdABpAG8AXABuAC0ALQAtAC0ALQAtAC0ALQAtAC0ALQAtAC0ALQAtAC0ALQAtAC0ALQAtAC0ALQAtAC0ALQAtAC0ALQAtAC0ALQAtAC0ALQAtAC0ALQBcAG4AKgAvAFwAbgBcAG4AVgBFAEUAUgBHAF8ANABfADYAXwAxAF8AMwBfAF8ANQBfAE4AaQB0AHIAbwBnAGUAbgBJAG4AdABhAGsAZQBcAG4AIAAgAD0ATABBAE0AQgBEAEEAKABcAG4AIAAgACAAIABJAF8AagBrACwAIABDAFAAXwBqAGsALABcAG4AIAAgACAAIABJAF8AagBrACAAKgAgAEMAUABfAGoAawAgAC8AIAA2AC4AMgA1AFwAbgAgACAAKQA7AFwAbgBcAG4AVgBFAEUAUgBHAF8ANABfADYAXwAxAF8AMwBfAF8ANQBfAE4AaQB0AHIAbwBnAGUAbgBJAG4AdABhAGsAZQBfAFQAaQB0AGwAZQBcAG4AIAAgAD0ATABBAE0AQgBEAEEAKABcACIATgBpAHQAcgBvAGcAZQBuACAAaQBuAHQAYQBrAGUAIABvAGYAIABwAG8AdQBsAHQAcgB5AFwAIgApADsAXABuAFwAbgBWAEUARQBSAEcAXwA0AF8ANgBfADEAXwAzAF8AXwA1AF8ATgBpAHQAcgBvAGcAZQBuAEkAbgB0AGEAawBlAF8AVgBhAHIAaQBhAGIAbABlAFwAbgAgACAAPQBMAEEATQBCAEQAQQAoAFwAIgBOAEkAXwBqAGsAXAAiACkAOwBcAG4AXABuAFYARQBFAFIARwBfADQAXwA2AF8AMQBfADMAXwBfADUAXwBOAGkAdAByAG8AZwBlAG4ASQBuAHQAYQBrAGUAXwBVAG4AaQB0AFwAbgAgACAAPQBMAEEATQBCAEQAQQAoAFwAIgBrAGcAIABOAC8AYgBpAHIAZAAvAGQAYQB5AFwAIgApADsAXABuAFwAbgBWAEUARQBSAEcAXwA0AF8ANgBfADEAXwAzAF8AXwA1AF8ATgBpAHQAcgBvAGcAZQBuAEkAbgB0AGEAawBlAF8AUwBvAHUAcgBjAGUAXABuACAAIAA9AEwAQQBNAEIARABBACgAXAAiAFYARQBFAFIARwAgADIAMAAyADYAOgAgADQALgA2AC4AMQAuADMALAAgAEUAcQB1AGEAdABpAG8AbgAgACgANQApAFwAIgApADsAXABuAFwAbgBWAEUARQBSAEcAXwA0AF8ANgBfADEAXwAzAF8AXwA1AF8ATgBpAHQAcgBvAGcAZQBuAEkAbgB0AGEAawBlAF8ATgBJAFIAUgBlAGYAZQByAGUAbgBjAGUAXABuACAAIAA9AEwAQQBNAEIARABBACgAXAAiAFwAIgApADsAXABuAFwAbgBWAEUARQBSAEcAXwA0AF8ANgBfADEAXwAzAF8AXwA1AF8ATgBpAHQAcgBvAGcAZQBuAEkAbgB0AGEAawBlAF8ATABhAHQAZQB4AEUAcQB1AGEAdABpAG8AbgBcAG4AIAAgAD0ATABBAE0AQgBEAEEAKABcACIATgBJAF8AewBqAGsAfQA9AEkAXwB7AGoAawB9AFwAXAB0AGkAbQBlAHMAIABDAFAAXwB7AGoAawB9AFwAXABkAGkAdgAgADYALgAyADUAXAAiACkAOwBcAG4AXABuAFYARQBFAFIARwBfADQAXwA2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QwBQAF8AagBr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YAXwBTAHQAYQBnAGUAMgBOAGkAdAByAG8AZwBlAG4ASQBuAE0ATQBTAFwAbgBOAGkAdAByAG8AZwBlAG4AIABpAG4AIAB0AHIAZQBhAHQAbQBlAG4AdAAgAHMAdABhAGcAZQAgADIAIABNAE0AUwBcAG4ATQBOAF8AagBrAG0AVAAyAFwAbgBrAGcAIABOAFwAbgBNAE4AXwB7AGoAawBtACwAVAA9ADIAfQA9AE4AVABfAHsAagBrAG0ALABUAD0AMgB9AFwAXAB0AGkAbQBlAHMAIABNAE0AUwBfAHsAbQAsAFQAPQAyAH0AXABuAE4AVABfAGoAawBtAFQAMgAgAD0AIABuAGkAdAByAG8AZwBlAG4AIAB0AHIAYQBuAHMAZgBlAHIAcgBlAGQAIAB0AG8AIABzAGUAYwBvAG4AZABhAHIAeQAgAHQAcgBlAGEAdABtAGUAbgB0ACAATQBNAFMAIAA6ACAAawBnACAATgBcAG4ATQBNAFMAXwBtAFQAMgAgAD0AIABmAHIAYQBjAHQAaQBvAG4AIABvAGYAIABtAGEAbgB1AHIAZQAgAGkAbgAgAGUAYQBjAGgAIABzAGUAYwBvAG4AZABhAHIAeQAgAHMAeQBzAHQAZQBtACAAOgAgAGYAcgBhAGMAdABpAG8AbgBcAG4ATgBvAHQAZQAgAD0AIABkAGkAcgBlAGMAdAAgAGEAcABwAGwAaQBjAGEAdABpAG8AbgAgAGEAdAAgAG0APQAxADMALAB0AD0AMgAgAGkAcwAgAG0AbwB2AGUAZAAgAHQAbwAgAG0AYQBuAHUAcgBlACAAYQBwAHAAbABpAGUAZAAgAHQAbwAgAHMAbwBpAGwAcwAgAGEAbgBkACAAZQB4AGMAbAB1AGQAZQBkACAAZgByAG8AbQAgAHQAaABpAHMAIABlAHEAdQBhAHQAaQBvAG4AXABuAC0ALQAtAC0ALQAtAC0ALQAtAC0ALQAtAC0ALQAtAC0ALQAtAC0ALQAtAC0ALQAtAC0ALQAtAC0ALQAtAC0ALQAtAC0ALQAtAC0ALQBcAG4AKgAvAFwAbgBcAG4AVgBFAEUAUgBHAF8ANABfADYAXwAxAF8AMwBfAF8ANgBfAFMAdABhAGcAZQAyAE4AaQB0AHIAbwBnAGUAbgBJAG4ATQBNAFMAXABuACAAIAA9AEwAQQBNAEIARABBACgAXABuACAAIAAgACAATgBUAF8AagBrAG0AVAAyACwAIABNAE0AUwBfAG0AVAAyACwAXABuACAAIAAgACAATgBUAF8AagBrAG0AVAAyACAAKgAgAE0ATQBTAF8AbQBUADIAXABuACAAIAApADsAXABuAFwAbgBWAEUARQBSAEcAXwA0AF8ANgBfADEAXwAzAF8AXwA2AF8AUwB0AGEAZwBlADIATgBpAHQAcgBvAGcAZQBuAEkAbgBNAE0AUwBfAFQAaQB0AGwAZQBcAG4AIAAgAD0ATABBAE0AQgBEAEEAKABcACIATgBpAHQAcgBvAGcAZQBuACAAaQBuACAAdAByAGUAYQB0AG0AZQBuAHQAIABzAHQAYQBnAGUAIAAyACAATQBNAFMAXAAiACkAOwBcAG4AXABuAFYARQBFAFIARwBfADQAXwA2AF8AMQBfADMAXwBfADYAXwBTAHQAYQBnAGUAMgBOAGkAdAByAG8AZwBlAG4ASQBuAE0ATQBTAF8AVgBhAHIAaQBhAGIAbABlAFwAbgAgACAAPQBMAEEATQBCAEQAQQAoAFwAIgBNAE4AXwBqAGsAbQBUADIAXAAiACkAOwBcAG4AXABuAFYARQBFAFIARwBfADQAXwA2AF8AMQBfADMAXwBfADYAXwBTAHQAYQBnAGUAMgBOAGkAdAByAG8AZwBlAG4ASQBuAE0ATQBTAF8AVQBuAGkAdABcAG4AIAAgAD0ATABBAE0AQgBEAEEAKABcACIAawBnACAATgBcACIAKQA7AFwAbgBcAG4AVgBFAEUAUgBHAF8ANABfADYAXwAxAF8AMwBfAF8ANgBfAFMAdABhAGcAZQAyAE4AaQB0AHIAbwBnAGUAbgBJAG4ATQBNAFMAXwBTAG8AdQByAGMAZQBcAG4AIAAgAD0ATABBAE0AQgBEAEEAKABcACIAVgBFAEUAUgBHACAAMgAwADIANgA6ACAANAAuADYALgAxAC4AMwAsACAARQBxAHUAYQB0AGkAbwBuACAAKAA2ACkAXAAiACkAOwBcAG4AXABuAFYARQBFAFIARwBfADQAXwA2AF8AMQBfADMAXwBfADYAXwBTAHQAYQBnAGUAMgBOAGkAdAByAG8AZwBlAG4ASQBuAE0ATQBTAF8ATgBJAFIAUgBlAGYAZQByAGUAbgBjAGUAXABuACAAIAA9AEwAQQBNAEIARABBACgAXAAiAFwAIgApADsAXABuAFwAbgBWAEUARQBSAEcAXwA0AF8ANgBfADEAXwAzAF8AXwA2AF8AUwB0AGEAZwBlADIATgBpAHQAcgBvAGcAZQBuAEkAbgBNAE0AUwBfAEwAYQB0AGUAeABFAHEAdQBhAHQAaQBvAG4AXABuACAAIAA9AEwAQQBNAEIARABBACgAXAAiAE0ATgBfAHsAagBrAG0ALABUAD0AMgB9AD0ATgBUAF8AewBqAGsAbQAsAFQAPQAyAH0AXABcAHQAaQBtAGUAcwAgAE0ATQBTAF8AewBtACwAVAA9ADIAfQBcACIAKQA7AFwAbgBcAG4AVgBFAEUAUgBHAF8ANABfADY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rAG0AVAAyAFwAIgAsAFwAIgBuAGkAdAByAG8AZwBlAG4AIAB0AHIAYQBuAHMAZgBlAHIAcgBlAGQAIAB0AG8AIABzAGUAYwBvAG4AZABhAHIAeQAgAHQAcgBlAGEAdABtAGUAbgB0ACAATQBNAFMAXAAiACwAIABcACIAawBnACAATgBcACIALAAgAFwAIgBDAGEAbABjAHUAbABhAHQAZQBkACAAZgByAG8AbQAgADQALgA2AC4AMQAuADMAIAAoADcAKQBcACIAOwBcAG4AIAAgACAAIAAgACAAIAAgACAAIABcACIATQBNAFMAXw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cAXwBOAGkAdAByAG8AZwBlAG4AVAByAGEAbgBzAGYAZQByAHIAZQBkAFQAbwBTAHQAYQBnAGUAMgBNAE0AUwBcAG4ATgBpAHQAcgBvAGcAZQBuACAAdAByAGEAbgBzAGYAZQByAHIAZQBkACAAdABvACAAdAByAGUAYQB0AG0AZQBuAHQAIABzAHQAYQBnAGUAIAAyACAATQBNAFMAXABuAE4AVABfAGoAawBtAFQAMgBcAG4AawBnACAATgBcAG4ATgBUAF8AewBqAGsAbQAsAFQAPQAyAH0APQBNAE4AXwB7AGoAawBtACwAVAA9ADEAfQBcAFwAdABpAG0AZQBzACgAMQAtAEYAcgBhAGMARwBBAFMATQBfAHsAbQAsAFQAPQAxAH0ALQBFAEYAXwB7AG0ALABUAD0AMQB9ACkAXABuAE0ATgBfAGoAawBtAFQAMQAgAD0AIABuAGkAdAByAG8AZwBlAG4AIABpAG4AIABNAE0AUwAgAHQAcgBlAGEAdABtAGUAbgB0ACAAcwB0AGEAZwBlACAAMQAgADoAIABrAGcAIABOAFwAbgBGAHIAYQBjAEcAQQBTAE0AXwBtAFQAMQAgAD0AIABmAHIAYQBjAHQAaQBvAG4AIABvAGYAIABOACAAdgBvAGwAYQB0AGkAbABpAHMAZQBkACAAZgByAG8AbQAgAE0ATQBTACAAdAByAGUAYQB0AG0AZQBuAHQAIABhAHQAIABzAHQAYQBnAGUAIAAxACAAOgAgAGYAcgBhAGMAdABpAG8AbgBcAG4ARQBGAF8AbQBUADEAIAA9ACAAbgBpAHQAcgBvAHUAcwAgAG8AeABpAGQAZQAgAGUAbQBpAHMAcwBpAG8AbgAgAGYAYQBjAHQAbwByACAAZgBvAHIAIABNAE0AUwAgAHQAcgBlAGEAdABtAGUAbgB0ACAAYQB0ACAAcwB0AGEAZwBlACAAMQAgADoAIABrAGcAIABOADIATwAtAE4ALwBrAGcAIABOAFwAbgAtAC0ALQAtAC0ALQAtAC0ALQAtAC0ALQAtAC0ALQAtAC0ALQAtAC0ALQAtAC0ALQAtAC0ALQAtAC0ALQAtAC0ALQAtAC0ALQAtAC0AXABuACoALwBcAG4AXABuAFYARQBFAFIARwBfADQAXwA2AF8AMQBfADMAXwBfADcAXwBOAGkAdAByAG8AZwBlAG4AVAByAGEAbgBzAGYAZQByAHIAZQBkAFQAbwBTAHQAYQBnAGUAMgBNAE0AUwBcAG4AIAAgAD0ATABBAE0AQgBEAEEAKABcAG4AIAAgACAAIABNAE4AXwBqAGsAbQBUADEALAAgAEYAcgBhAGMARwBBAFMATQBfAG0AVAAxACwAIABFAEYAXwBtAFQAMQAsAFwAbgAgACAAIAAgAE0ATgBfAGoAawBtAFQAMQAgACoAIAAoADEAIAAtACAARgByAGEAYwBHAEEAUwBNAF8AbQBUADEAIAAtACAARQBGAF8AbQBUADEAKQBcAG4AIAAgACkAOwBcAG4AXABuAFYARQBFAFIARwBfADQAXwA2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2AF8AMQBfADMAXwBfADcAXwBOAGkAdAByAG8AZwBlAG4AVAByAGEAbgBzAGYAZQByAHIAZQBkAFQAbwBTAHQAYQBnAGUAMgBNAE0AUwBfAFYAYQByAGkAYQBiAGwAZQBcAG4AIAAgAD0ATABBAE0AQgBEAEEAKABcACIATgBUAF8AagBrAG0AVAAyAFwAIgApADsAXABuAFwAbgBWAEUARQBSAEcAXwA0AF8ANgBfADEAXwAzAF8AXwA3AF8ATgBpAHQAcgBvAGcAZQBuAFQAcgBhAG4AcwBmAGUAcgByAGUAZABUAG8AUwB0AGEAZwBlADIATQBNAFMAXwBVAG4AaQB0AFwAbgAgACAAPQBMAEEATQBCAEQAQQAoAFwAIgBrAGcAIABOAFwAIgApADsAXABuAFwAbgBWAEUARQBSAEcAXwA0AF8ANgBfADEAXwAzAF8AXwA3AF8ATgBpAHQAcgBvAGcAZQBuAFQAcgBhAG4AcwBmAGUAcgByAGUAZABUAG8AUwB0AGEAZwBlADIATQBNAFMAXwBTAG8AdQByAGMAZQBcAG4AIAAgAD0ATABBAE0AQgBEAEEAKABcACIAVgBFAEUAUgBHACAAMgAwADIANgA6ACAANAAuADYALgAxAC4AMwAsACAARQBxAHUAYQB0AGkAbwBuACAAKAA3ACkAXAAiACkAOwBcAG4AXABuAFYARQBFAFIARwBfADQAXwA2AF8AMQBfADMAXwBfADcAXwBOAGkAdAByAG8AZwBlAG4AVAByAGEAbgBzAGYAZQByAHIAZQBkAFQAbwBTAHQAYQBnAGUAMgBNAE0AUwBfAE4ASQBSAFIAZQBmAGUAcgBlAG4AYwBlAFwAbgAgACAAPQBMAEEATQBCAEQAQQAoAFwAIgBcACIAKQA7AFwAbgBcAG4AVgBFAEUAUgBHAF8ANABfADYAXwAxAF8AMwBfAF8ANwBfAE4AaQB0AHIAbwBnAGUAbgBUAHIAYQBuAHMAZgBlAHIAcgBlAGQAVABvAFMAdABhAGcAZQAyAE0ATQBTAF8ATABhAHQAZQB4AEUAcQB1AGEAdABpAG8AbgBcAG4AIAAgAD0ATABBAE0AQgBEAEEAKABcACIATgBUAF8AewBqAGsAbQAsAFQAPQAyAH0APQBNAE4AXwB7AGoAawBtACwAVAA9ADEAfQBcAFwAdABpAG0AZQBzACgAMQAtAEYAcgBhAGMARwBBAFMATQBfAHsAbQAsAFQAPQAxAH0ALQBFAEYAXwB7AG0ALABUAD0AMQB9ACkAXAAiACkAOwBcAG4AXABuAFYARQBFAFIARwBfADQAXwA2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sAbQBUADEAXAAiACwAXAAiAG4AaQB0AHIAbwBnAGUAbgAgAGkAbgAgAE0ATQBTACAAdAByAGUAYQB0AG0AZQBuAHQAIABzAHQAYQBnAGUAIAAxAFwAIgAsACAAXAAiAGsAZwAgAE4AXAAiACwAIABcACIAQwBhAGwAYwB1AGwAYQB0AGUAZAAgAGYAcgBvAG0AIAA0AC4ANgAuADEALgAzACAAKAA2ACkAXAAiADsAXABuACAAIAAgACAAIAAgACAAIAAgACAAXAAiAEYAcgBhAGMARwBBAFMATQBfAG0AVAAxAFwAIgAsAFwAIgBmAHIAYQBjAHQAaQBvAG4AIABvAGYAIABOACAAdgBvAGwAYQB0AGkAbABpAHMAZQBkACAAZgByAG8AbQAgAE0ATQBTACAAdAByAGUAYQB0AG0AZQBuAHQAIABhAHQAIABzAHQAYQBnAGUAIAAxAFwAIgAsACAAXAAiAGYAcgBhAGMAdABpAG8AbgBcACIALAAgAFwAIgBDAG8AbgBzAHQAYQBuAHQAXAAiADsAXABuACAAIAAgACAAIAAgACAAIAAgACAAXAAiAEUARgBfAG0AVAAxAFwAIgAsAFwAIgBuAGkAdAByAG8AdQBzACAAbwB4AGkAZABlACAAZQBtAGkAcwBzAGkAbwBuACAAZgBhAGMAdABvAHIAIABmAG8AcgAgAE0ATQBTACAAdAByAGUAYQB0AG0AZQBuAHQAIABhAHQAIABzAHQAYQBnAGUAIAAxAFwAIgAsACAAXAAiAGsAZwAgAE4AMgBPAC0ATgAvAGsAZwAgAE4AXAAiACwAIABcACIAQwBvAG4AcwB0AGEAbgB0AFwAIgBcAG4AIAAgACAAIAAgACAAIAAgAH0ALAAgAHIALAAgAGMAKQBcAG4AIAAgACAAIAAgACAAKQBcAG4AIAAgACAAIAApAFwAbgAgACAAKQA7AFwAbgBcAG4AIgB9ACwAewAiAHAAYQB0AGgAIgA6ACIALwBwAHIAbwBqAGUAYwB0AHMALwBNAE0AUwBfAFAAbwB1AGwAdA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NQAgAE0AZQB0AGgAbwBkACAAMQAgAC0AIABNAGEAbgB1AHIAZQAgAEEAdABtAG8AcwBwAGgAZQByAGkAYwAgAEQAZQBwAG8AcwBpAHQAaQBvAG4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QBfAF8AMQBfAFQAbwB0AGEAbABBAG4AbgB1AGEAbABBAHQAbQBvAHMAcABoAGUAcgBpAGMARABlAHAAbwBzAGkAdABpAG8AbgBFAG0AaQBzAHMAaQBvAG4AcwBGAHIAbwBtAE0ATQBTAFwAbgBUAG8AdABhAGwAIABhAG4AbgB1AGEAbAAgAGEAdABtAG8AcwBwAGgAZQByAGkAYwAgAGQAZQBwAG8AcwBpAHQAaQBvAG4AIABlAG0AaQBzAHMAaQBvAG4AcwAgAGYAcgBvAG0AIABtAGEAbgB1AHIAZQAgAG0AYQBuAGEAZwBlAG0AZQBuAHQAXABuAEUAXwBOADIATwBhAGQAXABuAHQAIABOADIATwBcAG4ARQBfAHsATgAyAE8ALABhAGQAfQA9ACgATQBNAFMAXwB7AEEAVABNAE8AUwB9AFwAXAB0AGkAbQBlAHMAIABFAEYAXwB7AE4AMgBPAH0AXABcAHQAaQBtAGUAcwAgAEMAXwB7AE4AMgBPAH0AKQBcAFwAdABpAG0AZQBzADEAMABeAHsALQAzAH0AXABuAE0ATQBTAF8AQQBUAE0ATwBTACAAPQAgAG0AYQBzAHMAIABvAGYAIABOACAAdgBvAGwAYQB0AGkAbABpAHMAZQBkACAAZgByAG8AbQAgAE0ATQBTACAAOgAgAGsAZwAgAE4AXABuAEUARgBfAE4AMgBPACAAPQAgAG4AaQB0AHIAbwB1AHMAIABvAHgAaQBkAGUAIABlAG0AaQBzAHMAaQBvAG4AIABmAGEAYwB0AG8AcgAgAGYAbwByACAAYQB0AG0AbwBzAHAAaABlAHIAaQBjACAAZABlAHAAbwBzAGkAdABpAG8Abg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NQBfAF8AMQBfAFQAbwB0AGEAbABBAG4AbgB1AGEAbABBAHQAbQBvAHMAcABoAGUAcgBpAGMARABlAHAAbwBzAGkAdABpAG8AbgBFAG0AaQBzAHMAaQBvAG4AcwBGAHIAbwBtAE0ATQBT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YAXwAxAF8ANQBfAF8AMQBfAFQAbwB0AGEAbABBAG4AbgB1AGEAbABBAHQAbQBvAHMAcABoAGUAcgBpAGMARABlAHAAbwBzAGkAdABpAG8AbgBFAG0AaQBzAHMAaQBvAG4AcwBGAHIAbwBtAE0ATQBTAF8AVABpAHQAbABlAFwAbgAgACAAPQBMAEEATQBCAEQAQQAoAFwAIgBUAG8AdABhAGwAIABhAG4AbgB1AGEAbAAgAGEAdABtAG8AcwBwAGgAZQByAGkAYwAgAGQAZQBwAG8AcwBpAHQAaQBvAG4AIABlAG0AaQBzAHMAaQBvAG4AcwAgAGYAcgBvAG0AIABtAGEAbgB1AHIAZQAgAG0AYQBuAGEAZwBlAG0AZQBuAHQAXAAiACkAOwBcAG4AXABuAFYARQBFAFIARwBfADQAXwA2AF8AMQBfADUAXwBfADEAXwBUAG8AdABhAGwAQQBuAG4AdQBhAGwAQQB0AG0AbwBzAHAAaABlAHIAaQBjAEQAZQBwAG8AcwBpAHQAaQBvAG4ARQBtAGkAcwBzAGkAbwBuAHMARgByAG8AbQBNAE0AUwBfAFYAYQByAGkAYQBiAGwAZQBcAG4AIAAgAD0ATABBAE0AQgBEAEEAKABcACIARQBfAE4AMgBPAGEAZABcACIAKQA7AFwAbgBcAG4AVgBFAEUAUgBHAF8ANABfADYAXwAxAF8ANQBfAF8AMQBfAFQAbwB0AGEAbABBAG4AbgB1AGEAbABBAHQAbQBvAHMAcABoAGUAcgBpAGMARABlAHAAbwBzAGkAdABpAG8AbgBFAG0AaQBzAHMAaQBvAG4AcwBGAHIAbwBtAE0ATQBTAF8AVQBuAGkAdABcAG4AIAAgAD0ATABBAE0AQgBEAEEAKABcACIAdAAgAE4AMgBPAFwAIgApADsAXABuAFwAbgBWAEUARQBSAEcAXwA0AF8ANgBfADEAXwA1AF8AXwAxAF8AVABvAHQAYQBsAEEAbgBuAHUAYQBsAEEAdABtAG8AcwBwAGgAZQByAGkAYwBEAGUAcABvAHMAaQB0AGkAbwBuAEUAbQBpAHMAcwBpAG8AbgBzAEYAcgBvAG0ATQBNAFMAXwBTAG8AdQByAGMAZQBcAG4AIAAgAD0ATABBAE0AQgBEAEEAKABcACIAVgBFAEUAUgBHACAAMgAwADIANgA6ACAANAAuADYALgAxAC4ANQAsACAARQBxAHUAYQB0AGkAbwBuACAAKAAxACkAXAAiACkAOwBcAG4AXABuAFYARQBFAFIARwBfADQAXwA2AF8AMQBfADUAXwBfADEAXwBUAG8AdABhAGwAQQBuAG4AdQBhAGwAQQB0AG0AbwBzAHAAaABlAHIAaQBjAEQAZQBwAG8AcwBpAHQAaQBvAG4ARQBtAGkAcwBzAGkAbwBuAHMARgByAG8AbQBNAE0AUwBfAE4ASQBSAFIAZQBmAGUAcgBlAG4AYwBlAFwAbgAgACAAPQBMAEEATQBCAEQAQQAoAFwAIgBcACIAKQA7AFwAbgBcAG4AVgBFAEUAUgBHAF8ANABfADYAXwAxAF8ANQBfAF8AMQBfAFQAbwB0AGEAbABBAG4AbgB1AGEAbABBAHQAbQBvAHMAcABoAGUAcgBpAGMARABlAHAAbwBzAGkAdABpAG8AbgBFAG0AaQBzAHMAaQBvAG4AcwBGAHIAbwBtAE0ATQBT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2AF8AMQBfADUAXwBfADEAXwBUAG8AdABhAGw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2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UAXwBfADIAXwBUAG8AdABhAGwATgBpAHQAcgBvAGcAZQBuAFYAbwBsAGEAdABpAGwAaQBzAGUAZABGAHIAbwBtAE0ATQBTAFwAbgBUAG8AdABhAGwAIABuAGkAdAByAG8AZwBlAG4AIAB2AG8AbABhAHQAaQBsAGkAcwBlAGQAIABmAHIAbwBtACAAbQBhAG4AdQByAGUAIABtAGEAbgBhAGcAZQBtAGUAbgB0ACAAcwB5AHMAdABlAG0AcwBcAG4ATQBNAFMAXwBBAFQATQBPAFMAXABuAGsAZwAgAE4AXABuAE0ATQBTAF8AewBBAFQATQBPAFMAfQA9AFwAXABzAHUAbQBfAHsAagB9AFwAXABzAHUAbQBfAHsAawB9AFwAXABzAHUAbQBfAHsAbQB9AFwAXABzAHUAbQBfAHsAVAB9ACgATQBOAF8AewBqAGsAbQBUAH0AXABcAHQAaQBtAGUAcwAgAEYAcgBhAGMARwBBAFMATQBfAHsAbQBUAH0AKQBcAG4ATQBOAF8AagBrAG0AVAAgAD0AIABuAGkAdAByAG8AZwBlAG4AIABpAG4AIABlAGEAYwBoACAAdAByAGUAYQB0AG0AZQBuAHQAIABzAHQAYQBnAGUAIABNAE0AUwAgACgAZQB4AGMAbAB1AGQAaQBuAGcAIABNAE4AXwBqAGsAbQAxADMAVAAyACkAIAA6ACAAawBnACAATgBcAG4ARgByAGEAYwBHAEEAUwBNAF8AbQBUACAAPQAgAGYAcgBhAGMAdABpAG8AbgAgAG8AZgAgAE4AIAB2AG8AbABhAHQAaQBsAGkAcwBlAGQAIABpAG4AIABlAGEAYwBoACAATQBNAFMAIAA6ACAAKABrAGcAIABOAEgAMwAtAE4AIAArACAATgBPAHgALQBOACkALwBrAGcAIABOAFwAbgAtAC0ALQAtAC0ALQAtAC0ALQAtAC0ALQAtAC0ALQAtAC0ALQAtAC0ALQAtAC0ALQAtAC0ALQAtAC0ALQAtAC0ALQAtAC0ALQAtAC0AXABuACoALwBcAG4AXABuAFYARQBFAFIARwBfADQAXwA2AF8AMQBfADUAXwBfADIAXwBUAG8AdABhAGwATgBpAHQAcgBvAGcAZQBuAFYAbwBsAGEAdABpAGwAaQBzAGUAZABGAHIAbwBtAE0ATQBTAFwAbgAgACAAPQBMAEEATQBCAEQAQQAoAFwAbgAgACAAIAAgAE0ATgBfAGoAawBtAFQALAAgAEYAcgBhAGMARwBBAFMATQBfAG0AVAAsAFwAbgAgACAAIAAgAE0ATgBfAGoAawBtAFQAIAAqACAARgByAGEAYwBHAEEAUwBNAF8AbQBUAFwAbgAgACAAKQA7AFwAbgBcAG4AVgBFAEUAUgBHAF8ANABfADYAXwAxAF8ANQBfAF8AMgBfAFQAbwB0AGEAbABOAGkAdAByAG8AZwBlAG4AVgBvAGwAYQB0AGkAbABpAHMAZQBkAEYAcgBvAG0ATQBNAFMAXwBUAGkAdABsAGUAXABuACAAIAA9AEwAQQBNAEIARABBACgAXAAiAFQAbwB0AGEAbAAgAG4AaQB0AHIAbwBnAGUAbgAgAHYAbwBsAGEAdABpAGwAaQBzAGUAZAAgAGYAcgBvAG0AIABtAGEAbgB1AHIAZQAgAG0AYQBuAGEAZwBlAG0AZQBuAHQAIABzAHkAcwB0AGUAbQBzAFwAIgApADsAXABuAFwAbgBWAEUARQBSAEcAXwA0AF8ANgBfADEAXwA1AF8AXwAyAF8AVABvAHQAYQBsAE4AaQB0AHIAbwBnAGUAbgBWAG8AbABhAHQAaQBsAGkAcwBlAGQARgByAG8AbQBNAE0AUwBfAFYAYQByAGkAYQBiAGwAZQBcAG4AIAAgAD0ATABBAE0AQgBEAEEAKABcACIATQBNAFMAXwBBAFQATQBPAFMAXAAiACkAOwBcAG4AXABuAFYARQBFAFIARwBfADQAXwA2AF8AMQBfADUAXwBfADIAXwBUAG8AdABhAGwATgBpAHQAcgBvAGcAZQBuAFYAbwBsAGEAdABpAGwAaQBzAGUAZABGAHIAbwBtAE0ATQBTAF8AVQBuAGkAdABcAG4AIAAgAD0ATABBAE0AQgBEAEEAKABcACIAawBnACAATgBcACIAKQA7AFwAbgBcAG4AVgBFAEUAUgBHAF8ANABfADYAXwAxAF8ANQBfAF8AMgBfAFQAbwB0AGEAbABOAGkAdAByAG8AZwBlAG4AVgBvAGwAYQB0AGkAbABpAHMAZQBkAEYAcgBvAG0ATQBNAFMAXwBTAG8AdQByAGMAZQBcAG4AIAAgAD0ATABBAE0AQgBEAEEAKABcACIAVgBFAEUAUgBHACAAMgAwADIANgA6ACAANAAuADYALgAxAC4ANQAsACAARQBxAHUAYQB0AGkAbwBuACAAKAAyACkAXAAiACkAOwBcAG4AXABuAFYARQBFAFIARwBfADQAXwA2AF8AMQBfADUAXwBfADIAXwBUAG8AdABhAGwATgBpAHQAcgBvAGcAZQBuAFYAbwBsAGEAdABpAGwAaQBzAGUAZABGAHIAbwBtAE0ATQBTAF8ATgBJAFIAUgBlAGYAZQByAGUAbgBjAGUAXABuACAAIAA9AEwAQQBNAEIARABBACgAXAAiAFwAIgApADsAXABuAFwAbgBWAEUARQBSAEcAXwA0AF8ANgBfADEAXwA1AF8AXwAyAF8AVABvAHQAYQBsAE4AaQB0AHIAbwBnAGUAbgBWAG8AbABhAHQAaQBsAGkAcwBlAGQARgByAG8AbQBNAE0AUwBfAEwAYQB0AGUAeABFAHEAdQBhAHQAaQBvAG4AXABuACAAIAA9AEwAQQBNAEIARABBACgAXAAiAE0ATQBTAF8AewBBAFQATQBPAFMAfQA9AFwAXABzAHUAbQBfAHsAagB9AFwAXABzAHUAbQBfAHsAawB9AFwAXABzAHUAbQBfAHsAbQB9AFwAXABzAHUAbQBfAHsAVAB9ACgATQBOAF8AewBqAGsAbQBUAH0AXABcAHQAaQBtAGUAcwAgAEYAcgBhAGMARwBBAFMATQBfAHsAbQBUAH0AKQBcACIAKQA7AFwAbgBcAG4AVgBFAEUAUgBHAF8ANABfADY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rAG0AVABcACIALABcACIAbgBpAHQAcgBvAGcAZQBuACAAaQBuACAAZQBhAGMAaAAgAHQAcgBlAGEAdABtAGUAbgB0ACAAcwB0AGEAZwBlACAATQBNAFMAIAAoAGUAeABjAGwAdQBkAGkAbgBnACAATQBOAF8AagBrAG0AMQAzAFQAMgApAFwAIgAsACAAXAAiAGsAZwAgAE4AXAAiACwAIABcACIAQwBhAGwAYwB1AGwAYQB0AGUAZAAgAGYAcgBvAG0AIAA0AC4ANgAuADEALgAzACAAKAAyACkAKAA2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NwAgAE0AZQB0AGgAbwBkACAAMQAgAC0AIABNAGEAbgB1AHIAZQAgAEwAZQBhAGMAaABpAG4AZwAgAG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rAG0APQA0AH0AXABcAHQAaQBtAGUAcwAgAEUARgBfAHsAbABlAGEAYwBoAH0AXABcAHQAaQBtAGUAcwAgAEMAXwB7AE4AMgBPAH0AXABcAHQAaQBtAGUAcwAxADAAXgB7AC0AMwB9AFwAbgBNAE4ATABlAGEAYwBoAF8AagBrAG0ANAAgAD0AIABtAGEAcwBzACAAbwBmACAATgAgAGwAbwBzAHQAIAB0AGgAcgBvAHUAZwBoACAAbABlAGEAYwBoAGkAbgBnACAAYQBuAGQAIAByAHUAbgBvAGYAZgAgAGYAcgBvAG0AIABlAGEAYwBoACAATQBNAFMAIAA6ACAAawBnACAATgBcAG4ARQBGAF8AbABlAGEAYwBoACAAPQAgAGUAbQBpAHMAcwBpAG8AbgAgAGYAYQBjAHQAbwByACAAZgBvAHIAIABsAGUAYQBjAGgAaQBuAGcAIABhAG4AZAAgAHIAdQBuAG8AZgBmACAAOgAgAGsAZwAgAE4AMgBPAC0ATgAvAGsAZwAgAE4AXABuAEMAXwBOADIATwAgAD0AIABmAGEAYwB0AG8AcgAgAHQAbwAgAGMAbwBuAHYAZQByAHQAIABlAGwAZQBtAGUAbgB0AGEAbAAgAG0AYQBzAHMAIABvAGYAIABOADIATwAgAHQAbwAgAG0AbwBsAGUAYwB1AGwAYQByACAAbQBhAHMAcwAgADoAIAByAGEAdABpAG8AXABuAFYAQQBSAEkAQQBUAEkATwBOACAATwBGACAAUwBPAFUAUgBDAEUAOgAgAEYAbwByACAATQBlAHQAaABvAGQAIAAxACwAIABlAG0AaQBzAHMAaQBvAG4AcwAgAGEAcgBlACAAZQBzAHQAaQBtAGEAdABlAGQAIABmAG8AcgAgAHMAbwBsAGkAZAAgAHMAdABvAHIAYQBnAGUAIAAoAG0APQA0ACkALgBcAG4ALQAtAC0ALQAtAC0ALQAtAC0ALQAtAC0ALQAtAC0ALQAtAC0ALQAtAC0ALQAtAC0ALQAtAC0ALQAtAC0ALQAtAC0ALQAtAC0ALQAtAFwAbgAqAC8AXABuAFwAbgBWAEUARQBSAEcAXwA0AF8ANgBfADEAXwA3AF8AXwAxAF8AQQBuAG4AdQBhAGwARQBtAGkAcwBzAGkAbwBuAHMARgByAG8AbQBMAGUAYQBjAGgAaQBuAGcAQQBuAGQAUgB1AG4AbwBmAGYARgByAG8AbQBNAE0AUwBcAG4AIAAgAD0ATABBAE0AQgBEAEEAKABcAG4AIAAgACAAIABNAE4ATABlAGEAYwBoAF8AagBrAG0ANAAsACAARQBGAF8AbABlAGEAYwBoACwAIABDAF8ATgAyAE8ALABcAG4AIAAgACAAIAAoAE0ATgBMAGUAYQBjAGgAXwBqAGsAbQA0ACAAKgAgAEUARgBfAGwAZQBhAGMAaAAgACoAIABDAF8ATgAyAE8AKQAgACoAIAAxADAAIABeACAALQAzAFwAbgAgACAAKQA7AFwAbgBcAG4AVgBFAEUAUgBHAF8ANABfADY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2AF8AMQBfADcAXwBfADEAXwBBAG4AbgB1AGEAbABFAG0AaQBzAHMAaQBvAG4AcwBGAHIAbwBtAEwAZQBhAGMAaABpAG4AZwBBAG4AZABSAHUAbgBvAGYAZgBGAHIAbwBtAE0ATQBTAF8AVgBhAHIAaQBhAGIAbABlAFwAbgAgACAAPQBMAEEATQBCAEQAQQAoAFwAIgBFAF8ATgAyAE8AbABlAGEAYwBoAFwAIgApADsAXABuAFwAbgBWAEUARQBSAEcAXwA0AF8ANgBfADEAXwA3AF8AXwAxAF8AQQBuAG4AdQBhAGwARQBtAGkAcwBzAGkAbwBuAHMARgByAG8AbQBMAGUAYQBjAGgAaQBuAGcAQQBuAGQAUgB1AG4AbwBmAGYARgByAG8AbQBNAE0AUwBfAFUAbgBpAHQAXABuACAAIAA9AEwAQQBNAEIARABBACgAXAAiAHQAIABOADIATwBcACIAKQA7AFwAbgBcAG4AVgBFAEUAUgBHAF8ANABfADYAXwAxAF8ANwBfAF8AMQBfAEEAbgBuAHUAYQBsAEUAbQBpAHMAcwBpAG8AbgBzAEYAcgBvAG0ATABlAGEAYwBoAGkAbgBnAEEAbgBkAFIAdQBuAG8AZgBmAEYAcgBvAG0ATQBNAFMAXwBTAG8AdQByAGMAZQBcAG4AIAAgAD0ATABBAE0AQgBEAEEAKABcACIAVgBFAEUAUgBHACAAMgAwADIANgA6ACAANAAuADYALgAxAC4ANwAsACAARQBxAHUAYQB0AGkAbwBuACAAKAAxACkAXAAiACkAOwBcAG4AXABuAFYARQBFAFIARwBfADQAXwA2AF8AMQBfADcAXwBfADEAXwBBAG4AbgB1AGEAbABFAG0AaQBzAHMAaQBvAG4AcwBGAHIAbwBtAEwAZQBhAGMAaABpAG4AZwBBAG4AZABSAHUAbgBvAGYAZgBGAHIAbwBtAE0ATQBTAF8ATgBJAFIAUgBlAGYAZQByAGUAbgBjAGUAXABuACAAIAA9AEwAQQBNAEIARABBACgAXAAiAFwAIgApADsAXABuAFwAbgBWAEUARQBSAEcAXwA0AF8ANgBfADEAXwA3AF8AXwAxAF8AQQBuAG4AdQBhAGwARQBtAGkAcwBzAGkAbwBuAHMARgByAG8AbQBMAGUAYQBjAGgAaQBuAGcAQQBuAGQAUgB1AG4AbwBmAGYARgByAG8AbQBNAE0AUwBfAEwAYQB0AGUAeABFAHEAdQBhAHQAaQBvAG4AXABuACAAIAA9AEwAQQBNAEIARABBACgAXAAiAEUAXwB7AE4AMgBPACwAbABlAGEAYwBoAH0APQBNAE4ATABlAGEAYwBoAF8AewBqAGsAbQA9ADQAfQBcAFwAdABpAG0AZQBzACAARQBGAF8AewBsAGUAYQBjAGgAfQBcAFwAdABpAG0AZQBzACAAQwBfAHsATgAyAE8AfQBcAFwAdABpAG0AZQBzADEAMABeAHsALQAzAH0AXAAiACkAOwBcAG4AXABuAFYARQBFAFIARwBfADQAXwA2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sAbQA0AFwAIgAsAFwAIgBtAGEAcwBzACAAbwBmACAATgAgAGwAbwBzAHQAIAB0AGgAcgBvAHUAZwBoACAAbABlAGEAYwBoAGkAbgBnACAAYQBuAGQAIAByAHUAbgBvAGYAZgAgAGYAcgBvAG0AIABlAGEAYwBoACAATQBNAFMAXAAiACwAIABcACIAawBnACAATgBcACIALAAgAFwAIgBDAGEAbABjAHUAbABhAHQAZQBkACAAZgByAG8AbQAgADQALgA2AC4AMQAuADc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c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awBtADQAXABuAGsAZwAgAE4AXABuAE0ATgBMAGUAYQBjAGgAXwB7AGoAawBtAD0ANAB9AD0ATQBOAF8AewBqAGsAbQA9ADQALABUAD0AMQB9AFwAXAB0AGkAbQBlAHMAIABGAHIAYQBjAFcARQBUAFwAXAB0AGkAbQBlAHMAIABGAHIAYQBjAEwARQBBAEMASABfAHsATQBTAH0AXABuAE0ATgBfAGoAawBtADQAVAAxACAAPQAgAG4AaQB0AHIAbwBnAGUAbgAgAGkAbgAgAHMAbwBsAGkAZAAgAHMAdABvAHIAYQBnAGUAIABNAE0AUwAgAHQAcgBlAGEAdABtAGUAbgB0ACAAcwB0AGEAZwBlACAAMQAgADoAIABrAGcAIABOAFwAbgBGAHIAYQBjAFcARQBUACAAPQAgAGYAcgBhAGMAdABpAG8AbgAgAG8AZgAgAE4AIABhAHYAYQBpAGwAYQBiAGwAZQAgAGYAbwByACAAbABlAGEAYwBoAGkAbgBnACAAYQBuAGQAIAByAHUAbgBvAGYAZgAgADoAIABmAHIAYQBjAHQAaQBvAG4AXABuAEYAcgBhAGMATABFAEEAQwBIAF8ATQBTACAAPQAgAGYAcgBhAGMAdABpAG8AbgAgAG8AZgAgAE4AIABsAG8AcwB0ACAAdABoAHIAbwB1AGcAaAAgAGwAZQBhAGMAaABpAG4AZwAgAGEAbgBkACAAcgB1AG4AbwBmAGYAIAA6ACAAZgByAGEAYwB0AGkAbwBuAFwAbgAtAC0ALQAtAC0ALQAtAC0ALQAtAC0ALQAtAC0ALQAtAC0ALQAtAC0ALQAtAC0ALQAtAC0ALQAtAC0ALQAtAC0ALQAtAC0ALQAtAC0AXABuACoALwBcAG4AXABuAFYARQBFAFIARwBfADQAXwA2AF8AMQBfADcAXwBfADIAXwBNAGEAcwBzAE8AZgBOAGkAdAByAG8AZwBlAG4ATABvAHMAdABUAG8ATABlAGEAYwBoAGkAbgBnAEEAbgBkAFIAdQBuAG8AZgBmAEYAcgBvAG0AUwBvAGwAaQBkAFMAdABvAHIAYQBnAGUAXABuACAAIAA9AEwAQQBNAEIARABBACgAXABuACAAIAAgACAATQBOAF8AagBrAG0ANABUADIALAAgAEYAcgBhAGMAVwBFAFQALAAgAEYAcgBhAGMATABFAEEAQwBIAF8ATQBTACwAXABuACAAIAAgACAATQBOAF8AagBrAG0ANABUADIAIAAqACAARgByAGEAYwBXAEUAVAAgACoAIABGAHIAYQBjAEwARQBBAEMASABfAE0AUwBcAG4AIAAgACkAOwBcAG4AXABuAFYARQBFAFIARwBfADQAXwA2AF8AMQBfADc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YAXwAxAF8ANwBfAF8AMgBfAE0AYQBzAHMATwBmAE4AaQB0AHIAbwBnAGUAbgBMAG8AcwB0AFQAbwBMAGUAYQBjAGgAaQBuAGcAQQBuAGQAUgB1AG4AbwBmAGYARgByAG8AbQBTAG8AbABpAGQAUwB0AG8AcgBhAGcAZQBfAFYAYQByAGkAYQBiAGwAZQBcAG4AIAAgAD0ATABBAE0AQgBEAEEAKABcACIATQBOAEwAZQBhAGMAaABfAGoAawBtADQAXAAiACkAOwBcAG4AXABuAFYARQBFAFIARwBfADQAXwA2AF8AMQBfADcAXwBfADIAXwBNAGEAcwBzAE8AZgBOAGkAdAByAG8AZwBlAG4ATABvAHMAdABUAG8ATABlAGEAYwBoAGkAbgBnAEEAbgBkAFIAdQBuAG8AZgBmAEYAcgBvAG0AUwBvAGwAaQBkAFMAdABvAHIAYQBnAGUAXwBVAG4AaQB0AFwAbgAgACAAPQBMAEEATQBCAEQAQQAoAFwAIgBrAGcAIABOAFwAIgApADsAXABuAFwAbgBWAEUARQBSAEcAXwA0AF8ANgBfADEAXwA3AF8AXwAyAF8ATQBhAHMAcwBPAGYATgBpAHQAcgBvAGcAZQBuAEwAbwBzAHQAVABvAEwAZQBhAGMAaABpAG4AZwBBAG4AZABSAHUAbgBvAGYAZgBGAHIAbwBtAFMAbwBsAGkAZABTAHQAbwByAGEAZwBlAF8AUwBvAHUAcgBjAGUAXABuACAAIAA9AEwAQQBNAEIARABBACgAXAAiAFYARQBFAFIARwAgADIAMAAyADYAOgAgADQALgA2AC4AMQAuADcALAAgAEUAcQB1AGEAdABpAG8AbgAgACgAMgApAFwAIgApADsAXABuAFwAbgBWAEUARQBSAEcAXwA0AF8ANgBfADEAXwA3AF8AXwAyAF8ATQBhAHMAcwBPAGYATgBpAHQAcgBvAGcAZQBuAEwAbwBzAHQAVABvAEwAZQBhAGMAaABpAG4AZwBBAG4AZABSAHUAbgBvAGYAZgBGAHIAbwBtAFMAbwBsAGkAZABTAHQAbwByAGEAZwBlAF8ATgBJAFIAUgBlAGYAZQByAGUAbgBjAGUAXABuACAAIAA9AEwAQQBNAEIARABBACgAXAAiAFwAIgApADsAXABuAFwAbgBWAEUARQBSAEcAXwA0AF8ANgBfADEAXwA3AF8AXwAyAF8ATQBhAHMAcwBPAGYATgBpAHQAcgBvAGcAZQBuAEwAbwBzAHQAVABvAEwAZQBhAGMAaABpAG4AZwBBAG4AZABSAHUAbgBvAGYAZgBGAHIAbwBtAFMAbwBsAGkAZABTAHQAbwByAGEAZwBlAF8ATABhAHQAZQB4AEUAcQB1AGEAdABpAG8AbgBcAG4AIAAgAD0ATABBAE0AQgBEAEEAKABcACIATQBOAEwAZQBhAGMAaABfAHsAagBrAG0APQA0AH0APQBNAE4AXwB7AGoAawBtAD0ANAAsAFQAPQAyAH0AXABcAHQAaQBtAGUAcwAgAEYAcgBhAGMAVwBFAFQAXABcAHQAaQBtAGUAcwAgAEYAcgBhAGMATABFAEEAQwBIAF8AewBNAFMAfQBcACIAKQA7AFwAbgBcAG4AVgBFAEUAUgBHAF8ANABfADYAXwAxAF8ANw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sAbQA0AFQAMgBcACIALABcACIAbgBpAHQAcgBvAGcAZQBuACAAaQBuACAAcwBvAGwAaQBkACAAcwB0AG8AcgBhAGcAZQAgAE0ATQBTACAAdAByAGUAYQB0AG0AZQBuAHQAIABzAHQAYQBnAGUAIAAyAFwAIgAsACAAXAAiAGsAZwAgAE4AXAAiACwAIABcACIAQwBhAGwAYwB1AGwAYQB0AGUAZAAgAGYAcgBvAG0AIAA0AC4ANgAuADEALgAzACAAKAA2ACkAXAAiADsAXABuACAAIAAgACAAIAAgACAAIAAgACAAXAAiAEYAcgBhAGMAVwBFAFQ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UABvAHUAbAB0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IABNAGUAdABoAG8AZAAgADEAIAAtACAATQBhAG4AdQByAGUAIABNAGUAdABoAGEAbgBl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XwBfADEAXwBUAG8AdABhAGwAQQBuAG4AdQBhAGwATQBlAHQAaABhAG4AZQBFAG0AaQBzAHMAaQBvAG4AcwBcAG4AVABvAHQAYQBsACAAYQBuAG4AdQBhAGwAIABtAGUAdABoAGEAbgBlACAAZQBtAGkAcwBzAGkAbwBuAHMAIABmAHIAbwBtACAAbQBhAG4AdQByAGUAIABtAGEAbgBhAGcAZQBtAGUAbgB0AFwAbgBFAF8AQwBIADQAXABuAHQAIABDAEgANABcAG4ARQBfAHsAQwBIADQAfQA9AFwAXABzAHUAbQBfAHsAagB9AFwAXABzAHUAbQBfAHsAawB9AFwAXABzAHUAbQBfAHsAbQB9AFwAXABzAHUAbQBfAHsAVAB9ACgARABfAHsAagBrAH0AXABcAHQAaQBtAGUAcwAgAE0AXwB7AGoAawBtAFQAfQBcAFwAdABpAG0AZQBzACAATgBfAHsAagBrAH0AKQBcAFwAdABpAG0AZQBzADEAMABeAHsALQAzAH0AXABuAEQAXwBqAGsAIAA9ACAAZAB1AHIAYQB0AGkAbwBuACAAbwBmACAAcwB0AGEAeQAgAG8AZgAgAGUAYQBjAGgAIABjAGwAYQBzAHMAIABhAG4AZAAgAHMAdQBiAGMAbABhAHMAcwAgAG8AZgAgAHAAbwB1AGwAdAByAHkAIAA6ACAAZABhAHkAcwBcAG4ATQBfAGoAawBtAFQAIAA9ACAAbQBlAHQAaABhAG4AZQAgAHAAcgBvAGQAdQBjAHQAaQBvAG4AIABmAHIAbwBtACAAbQBhAG4AdQByAGUAIABwAGUAcgAgAGMAbABhAHMAcwAsACAAcwB1AGIAYwBsAGEAcwBzACwAIABNAE0AUwAsACAAYQBuAGQAIAB0AHIAZQBhAHQAbQBlAG4AdAAgAHMAdABhAGcAZQAgADoAIABrAGcAIABDAEgANAAvAGIAaQByAGQALwBkAGEAeQBcAG4ATgBfAGoAawAgAD0AIABuAHUAbQBiAGUAcgBzACAAbwBmACAAcABvAHUAbAB0AHIAeQAgAGkAbgAgAGUAYQBjAGgAIABjAGwAYQBzAHMAIABhAG4AZAAgAHMAdQBiAGMAbABhAHMAcwAgADoAIABiAGkAcgBkAFwAbgAtAC0ALQAtAC0ALQAtAC0ALQAtAC0ALQAtAC0ALQAtAC0ALQAtAC0ALQAtAC0ALQAtAC0ALQAtAC0ALQAtAC0ALQAtAC0ALQAtAC0AXABuACoALwBcAG4AXABuAFYARQBFAFIARwBfADQAXwA2AF8AMQBfADEAXwBfADEAXwBUAG8AdABhAGwAQQBuAG4AdQBhAGwATQBlAHQAaABhAG4AZQBFAG0AaQBzAHMAaQBvAG4AcwBcAG4AIAAgAD0ATABBAE0AQgBEAEEAKABcAG4AIAAgACAAIABEAF8AagBrACwAIABNAF8AagBrAG0AVAAsACAATgBfAGoAawAsAFwAbgAgACAAIAAgACgARABfAGoAawAgACoAIABNAF8AagBrAG0AVAAgACoAIABOAF8AagBrACkAIAAqACAAMQAwACAAXgAgAC0AMwBcAG4AIAAgACkAOwBcAG4AXABuAFYARQBFAFIARwBfADQAXwA2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NgBfADEAXwAxAF8AXwAxAF8AVABvAHQAYQBsAEEAbgBuAHUAYQBsAE0AZQB0AGgAYQBuAGUARQBtAGkAcwBzAGkAbwBuAHMAXwBWAGEAcgBpAGEAYgBsAGUAXABuACAAIAA9AEwAQQBNAEIARABBACgAXAAiAEUAXwBDAEgANABcACIAKQA7AFwAbgBcAG4AVgBFAEUAUgBHAF8ANABfADYAXwAxAF8AMQBfAF8AMQBfAFQAbwB0AGEAbABBAG4AbgB1AGEAbABNAGUAdABoAGEAbgBlAEUAbQBpAHMAcwBpAG8AbgBzAF8AVQBuAGkAdABcAG4AIAAgAD0ATABBAE0AQgBEAEEAKABcACIAdAAgAEMASAA0AFwAIgApADsAXABuAFwAbgBWAEUARQBSAEcAXwA0AF8ANgBfADEAXwAxAF8AXwAxAF8AVABvAHQAYQBsAEEAbgBuAHUAYQBsAE0AZQB0AGgAYQBuAGUARQBtAGkAcwBzAGkAbwBuAHMAXwBTAG8AdQByAGMAZQBcAG4AIAAgAD0ATABBAE0AQgBEAEEAKABcACIAVgBFAEUAUgBHACAAMgAwADIANgA6ACAANAAuADQALgAxAC4AMQAsACAARQBxAHUAYQB0AGkAbwBuACAAKAAxACkAXAAiACkAOwBcAG4AXABuAFYARQBFAFIARwBfADQAXwA2AF8AMQBfADEAXwBfADEAXwBUAG8AdABhAGwAQQBuAG4AdQBhAGwATQBlAHQAaABhAG4AZQBFAG0AaQBzAHMAaQBvAG4AcwBfAE4ASQBSAFIAZQBmAGUAcgBlAG4AYwBlAFwAbgAgACAAPQBMAEEATQBCAEQAQQAoAFwAIgBcACIAKQA7AFwAbgBcAG4AVgBFAEUAUgBHAF8ANABfADYAXwAxAF8AMQBfAF8AMQBfAFQAbwB0AGEAbABBAG4AbgB1AGEAbABNAGUAdABoAGEAbgBlAEUAbQBpAHMAcwBpAG8AbgBzAF8ATABhAHQAZQB4AEUAcQB1AGEAdABpAG8AbgBcAG4AIAAgAD0ATABBAE0AQgBEAEEAKABcACIARQBfAHsAQwBIADQAfQA9AFwAXABzAHUAbQBfAHsAagB9AFwAXABzAHUAbQBfAHsAawB9AFwAXABzAHUAbQBfAHsAbQB9AFwAXABzAHUAbQBfAHsAVAB9ACgARABfAHsAagBrAH0AXABcAHQAaQBtAGUAcwAgAE0AXwB7AGoAawBtAFQAfQBcAFwAdABpAG0AZQBzACAATgBfAHsAagBrAH0AKQBcAFwAdABpAG0AZQBzADEAMABeAHsALQAzAH0AXAAiACkAOwBcAG4AXABuAFYARQBFAFIARwBfADQAXwA2AF8AMQBfADEAXwBfADEAXwBUAG8AdABhAGwAQQBuAG4AdQBhAGwATQBlAHQAaABhAG4AZQBFAG0AaQBzAHMAaQBvAG4AcwBfAEEAcgBnAHUAbQBlAG4AdABzAFwAbgAgACAAPQBMAEEATQBCAEQAQQAoAFwAbgAgACAAIAAgAE0AQQBLAEUAQQBSAFIAQQBZACgAMwAsACAANAAsAFwAbgAgACAAIAAgACAAIABMAEEATQBCAEQAQQAoAHIALABjACwAXABuACAAIAAgACAAIAAgACAAIABJAE4ARABFAFgAKAB7AFwAbgAgACAAIAAgACAAIAAgACAAIAAgAFwAIgBEAF8AagBrAFwAIgAsAFwAIgBkAHUAcgBhAHQAaQBvAG4AIABvAGYAIABzAHQAYQB5ACAAbwBmACAAZQBhAGMAaAAgAGMAbABhAHMAcwAgAGEAbgBkACAAcwB1AGIAYwBsAGEAcwBzACAAbwBmACAAcABvAHUAbAB0AHIAeQBcACIALAAgAFwAIgBkAGEAeQBzAFwAIgAsACAAXAAiAEkAbgBwAHUAdABcACIAOwBcAG4AIAAgACAAIAAgACAAIAAgACAAIABcACIATQBfAGoAawBtAFQAXAAiACwAXAAiAG0AZQB0AGgAYQBuAGUAIABwAHIAbwBkAHUAYwB0AGkAbwBuACAAZgByAG8AbQAgAG0AYQBuAHUAcgBlACAAcABlAHIAIABjAGwAYQBzAHMALAAgAHMAdQBiAGMAbABhAHMAcwAsACAATQBNAFMALAAgAGEAbgBkACAAdAByAGUAYQB0AG0AZQBuAHQAIABzAHQAYQBnAGUAXAAiACwAIABcACIAawBnACAAQwBIADQALwBiAGkAcgBkAC8AZABhAHkAXAAiACwAIABcACIAQwBhAGwAYwB1AGwAYQB0AGUAZAAgAGYAcgBvAG0AIAA0AC4ANgAuADEALgAxACAAKAAyACkAKAAzACkAXAAiADsAXABuACAAIAAgACAAIAAgACAAIAAgACAAXAAiAE4AXwBqAGsAXAAiACwAXAAiAG4AdQBtAGIAZQByAHMAIABvAGYAIABwAG8AdQBsAHQAcgB5ACAAaQBuACAAZQBhAGMAaAAgAGMAbABhAHMAcwAgAGEAbgBkACAAcwB1AGIAYwBsAGEAcwBzAFwAIgAsACAAXAAiAGIAaQByAGQ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gBfAFMAdABhAGcAZQAxAE0AZQB0AGgAYQBuAGUAUAByAG8AZAB1AGMAdABpAG8AbgBcAG4AUAByAG8AZAB1AGMAdABpAG8AbgAgAG8AZgAgAG0AZQB0AGgAYQBuAGUAIABpAG4AIAB0AHIAZQBhAHQAbQBlAG4AdAAgAHMAdABhAGcAZQAgADEAIABNAE0AUwBcAG4ATQBfAGoAawBtAFQAMQBcAG4AawBnACAAQwBIADQALwBiAGkAcgBkAC8AZABhAHkAXABuAE0AXwB7AGoAawBtAFQAPQAxAH0APQBWAFMAXwB7AGoAawB9AFwAXAB0AGkAbQBlAHMAIABCAE8AXwB7AGoAfQBcAFwAdABpAG0AZQBzACAATQBNAFMAXwB7AGoAbQBUAD0AMQB9AFwAXAB0AGkAbQBlAHMAIABNAEMARgBfAHsAaQBtAH0AXABcAHQAaQBtAGUAcwAgAFwAXAByAGgAbwBcAG4AVgBTAF8AagBrACAAPQAgAHYAbwBsAGEAdABpAGwAZQAgAHMAbwBsAGkAZAAgAHAAcgBvAGQAdQBjAHQAaQBvAG4AIABwAG8AdQBsAHQAcgB5ACAAYwBsAGEAcwBzAGUAcwAgADoAIABrAGcAIABWAFMALwBiAGkAcgBkAC8AZABhAHkAXABuAEIATwBfAGoAIAA9ACAAZQBtAGkAcwBzAGkAbwBuAHMAIABwAG8AdABlAG4AdABpAGEAbAAgAHAAZQByACAAYwBsAGEAcwBzACAAOgAgAG0AMwAgAEMASAA0AC8AawBnACAAVgBTAFwAbgBNAE0AUwBfAGoAbQBUADEAIAA9ACAAZgByAGEAYwB0AGkAbwBuACAAbwBmACAAbQBhAG4AdQByAGUAIABpAG4AIABlAGEAYwBoACAAcAByAGkAbQ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gBfAFMAdABhAGcAZQAxAE0AZQB0AGgAYQBuAGUAUAByAG8AZAB1AGMAdABpAG8AbgBcAG4AIAAgAD0ATABBAE0AQgBEAEEAKABcAG4AIAAgACAAIABWAFMAXwBqAGsALAAgAEIATwBfAGoALAAgAE0ATQBTAF8AagBtAFQAMQAsACAATQBDAEYAXwBpAG0ALAAgAHIAaABvACwAXABuACAAIAAgACAAVgBTAF8AagBrACAAKgAgAEIATwBfAGoAIAAqACAATQBNAFMAXwBqAG0AVAAxACAAKgAgAE0AQwBGAF8AaQBtACAAKgAgAHIAaABvAFwAbgAgACAAKQA7AFwAbgBcAG4AVgBFAEUAUgBHAF8ANABfADYAXwAxAF8AMQBfAF8AMg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YAXwAxAF8AMQBfAF8AMgBfAFMAdABhAGcAZQAxAE0AZQB0AGgAYQBuAGUAUAByAG8AZAB1AGMAdABpAG8AbgBfAFYAYQByAGkAYQBiAGwAZQBcAG4AIAAgAD0ATABBAE0AQgBEAEEAKABcACIATQBfAGoAawBtAFQAMQBcACIAKQA7AFwAbgBcAG4AVgBFAEUAUgBHAF8ANABfADYAXwAxAF8AMQBfAF8AMgBfAFMAdABhAGcAZQAxAE0AZQB0AGgAYQBuAGUAUAByAG8AZAB1AGMAdABpAG8AbgBfAFUAbgBpAHQAXABuACAAIAA9AEwAQQBNAEIARABBACgAXAAiAGsAZwAgAEMASAA0AC8AYgBpAHIAZAAvAGQAYQB5AFwAIgApADsAXABuAFwAbgBWAEUARQBSAEcAXwA0AF8ANgBfADEAXwAxAF8AXwAyAF8AUwB0AGEAZwBlADEATQBlAHQAaABhAG4AZQBQAHIAbwBkAHUAYwB0AGkAbwBuAF8AUwBvAHUAcgBjAGUAXABuACAAIAA9AEwAQQBNAEIARABBACgAXAAiAFYARQBFAFIARwAgADIAMAAyADYAOgAgADQALgA0AC4AMQAuADEALAAgAEUAcQB1AGEAdABpAG8AbgAgACgAMgApAFwAIgApADsAXABuAFwAbgBWAEUARQBSAEcAXwA0AF8ANgBfADEAXwAxAF8AXwAyAF8AUwB0AGEAZwBlADEATQBlAHQAaABhAG4AZQBQAHIAbwBkAHUAYwB0AGkAbwBuAF8ATgBJAFIAUgBlAGYAZQByAGUAbgBjAGUAXABuACAAIAA9AEwAQQBNAEIARABBACgAXAAiAFwAIgApADsAXABuAFwAbgBWAEUARQBSAEcAXwA0AF8ANgBfADEAXwAxAF8AXwAyAF8AUwB0AGEAZwBlADEATQBlAHQAaABhAG4AZQBQAHIAbwBkAHUAYwB0AGkAbwBuAF8ATABhAHQAZQB4AEUAcQB1AGEAdABpAG8AbgBcAG4AIAAgAD0ATABBAE0AQgBEAEEAKABcACIATQBfAHsAagBrAG0AVAA9ADEAfQA9AFYAUwBfAHsAagBrAH0AXABcAHQAaQBtAGUAcwAgAEIATwBfAHsAagB9AFwAXAB0AGkAbQBlAHMAIABNAE0AUwBfAHsAagBtAFQAPQAxAH0AXABcAHQAaQBtAGUAcwAgAE0AQwBGAF8AewBpAG0AfQBcAFwAdABpAG0AZQBzACAAXABcAHIAaABvAFwAIgApADsAXABuAFwAbgBWAEUARQBSAEcAXwA0AF8ANgBfADEAXwAxAF8AXwAyAF8AUwB0AGEAZwBlADE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gBfADEAXwAxAF8AXwAyAF8AUwB0AGEAZwBlADE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IATwBfAGoAXAAiACwAXAAiAGUAbQBpAHMAcwBpAG8AbgBzACAAcABvAHQAZQBuAHQAaQBhAGwAIABwAGUAcgAgAGMAbABhAHMAcwBcACIALAAgAFwAIgBtADMAIABDAEgANAAvAGsAZwAgAFYAUwBcACIALAAgAFwAIgBDAG8AbgBzAHQAYQBuAHQ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IAXwBTAHQAYQBnAGUAMQBNAGUAdABoAGEAbgBlAFAAcgBvAGQAdQBjAHQAaQBvAG4AXwBWAGEAcgBpAGEAdABpAG8AbgBcAG4AIAAgACAAPQBMAEEATQBCAEQAQQAoAFwAbgAgACAAIAAgAE0AQQBLAEUAQQBSAFIAQQBZACgAMwAsACAAMQAsAFwAbgAgACAAIAAgACAAIABMAEEATQBCAEQAQQAoAHIALABjACwAXABuACAAIAAgACAAIAAgACAAIABJAE4ARABFAFgAKAB7AFwAbgAgACAAIAAgACAAIAAgACAAIAAgAFwAIgBWAEEAUgBJAEEAVABJAE8ATgAgAE8ATgAgAFMATwBVAFIAQwBFADoAXAAiADsAXABuACAAIAAgACAAIAAgACAAIAAgACAAXAAi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DsAXABuACAAIAAgACAAIAAgACAAIAAgACAAXAAiAE0AZQB0AGgAbwBkACAAMgA6ACAAVQBzAGUAZAAgAHMAdABhAHQAZQAgAGIAYQBzAGUAZAAgAE0AQwBGACAAdgBhAGwAdQBlAHMAIABmAG8AcgAgAFwAdQAwADAAMgA3AEIAZQBsAHQAIABtAGEAbgB1AHIAZQAgAHIAZQBtAG8AdgBhAGwAXAB1ADAAMAAyADcAIABhAG4AZAAgAFwAdQAwADAAMgA3AE0AYQBuAHUAcgBlACAAcwB0AG8AcgBlAGQAIABpAG4AIABoAG8AdQBzAGUAXAB1ADAAMAAyADcAIABNAE0AUwAgAGEAcwAgAG4AbwAgAHQAZQBtAHAAZQByAGEAdAB1AHIAZQAgAHYAYQBsAHUAZQBzACAAZQB4AGkAcwB0ACAAaQBuACAAVABhAGIAbABlACAAQQAuADEALgA4AC4AMQ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zAF8AUwB0AGEAZwBlADIATQBlAHQAaABhAG4AZQBQAHIAbwBkAHUAYwB0AGkAbwBuAFwAbgBQAHIAbwBkAHUAYwB0AGkAbwBuACAAbwBmACAAbQBlAHQAaABhAG4AZQAgAGkAbgAgAHQAcgBlAGEAdABtAGUAbgB0ACAAcwB0AGEAZwBlACAAMgAgAE0ATQBTAFwAbgBNAF8AagBrAG0AVAAyAFwAbgBrAGcAIABDAEgANAAvAGIAaQByAGQALwBkAGEAeQBcAG4ATQBfAHsAagBrAG0AVAA9ADIAfQA9AFYAUwBUAF8AewBqAGsAfQBcAFwAdABpAG0AZQBzACAAQgBPAFwAXAB0AGkAbQBlAHMAIABNAE0AUwBfAHsAagBtAFQAPQAyAH0AXABcAHQAaQBtAGUAcwAgAE0AQwBGAF8AewBpAG0AfQBcAFwAdABpAG0AZQBzACAAXABcAHIAaABvAFwAbgBWAFMAVABfAGoAawAgAD0AIAB2AG8AbABhAHQAaQBsAGUAIABzAG8AbABpAGQAcwAgAHQAcgBhAG4AcwBmAGUAcgByAGUAZAAgAHQAbwAgAHQAcgBlAGEAdABtAGUAbgB0ACAAcwB0AGEAZwBlACAAMgAgAE0ATQBTACAAOgAgAGsAZwAgAFYAUwAvAGIAaQByAGQALwBkAGEAeQBcAG4AQgBPACAAPQAgAGUAbQBpAHMAcwBpAG8AbgBzACAAcABvAHQAZQBuAHQAaQBhAGwAIAA6ACAAbQAzACAAQwBIADQALwBrAGcAIABWAFMAXABuAE0ATQBTAF8AagBtAFQAMgAgAD0AIABmAHIAYQBjAHQAaQBvAG4AIABvAGYAIABtAGEAbgB1AHIAZQAgAGkAbgAgAGUAYQBjAGgAIABzAGUAYwBvAG4AZA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wBfAFMAdABhAGcAZQAyAE0AZQB0AGgAYQBuAGUAUAByAG8AZAB1AGMAdABpAG8AbgBcAG4AIAAgAD0ATABBAE0AQgBEAEEAKABcAG4AIAAgACAAIABWAFMAVABfAGoAawAsACAAQgBPACwAIABNAE0AUwBfAGoAbQBUADIALAAgAE0AQwBGAF8AaQBtACwAIAByAGgAbwAsAFwAbgAgACAAIAAgAFYAUwBUAF8AagBrACAAKgAgAEIATwAgACoAIABNAE0AUwBfAGoAbQBUADIAIAAqACAATQBDAEYAXwBpAG0AIAAqACAAcgBoAG8AXABuACAAIAApADsAXABuAFwAbgBWAEUARQBSAEcAXwA0AF8ANg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NgBfADEAXwAxAF8AXwAzAF8AUwB0AGEAZwBlADIATQBlAHQAaABhAG4AZQBQAHIAbwBkAHUAYwB0AGkAbwBuAF8AVgBhAHIAaQBhAGIAbABlAFwAbgAgACAAPQBMAEEATQBCAEQAQQAoAFwAIgBNAF8AagBrAG0AVAAyAFwAIgApADsAXABuAFwAbgBWAEUARQBSAEcAXwA0AF8ANgBfADEAXwAxAF8AXwAzAF8AUwB0AGEAZwBlADIATQBlAHQAaABhAG4AZQBQAHIAbwBkAHUAYwB0AGkAbwBuAF8AVQBuAGkAdABcAG4AIAAgAD0ATABBAE0AQgBEAEEAKABcACIAawBnACAAQwBIADQALwBiAGkAcgBkAC8AZABhAHkAXAAiACkAOwBcAG4AXABuAFYARQBFAFIARwBfADQAXwA2AF8AMQBfADEAXwBfADMAXwBTAHQAYQBnAGUAMgBNAGUAdABoAGEAbgBlAFAAcgBvAGQAdQBjAHQAaQBvAG4AXwBTAG8AdQByAGMAZQBcAG4AIAAgAD0ATABBAE0AQgBEAEEAKABcACIAVgBFAEUAUgBHACAAMgAwADIANgA6ACAANAAuADQALgAxAC4AMQAsACAARQBxAHUAYQB0AGkAbwBuACAAKAAzACkAXAAiACkAOwBcAG4AXABuAFYARQBFAFIARwBfADQAXwA2AF8AMQBfADEAXwBfADMAXwBTAHQAYQBnAGUAMgBNAGUAdABoAGEAbgBlAFAAcgBvAGQAdQBjAHQAaQBvAG4AXwBOAEkAUgBSAGUAZgBlAHIAZQBuAGMAZQBcAG4AIAAgAD0ATABBAE0AQgBEAEEAKABcACIAXAAiACkAOwBcAG4AXABuAFYARQBFAFIARwBfADQAXwA2AF8AMQBfADEAXwBfADMAXwBTAHQAYQBnAGUAMgBNAGUAdABoAGEAbgBlAFAAcgBvAGQAdQBjAHQAaQBvAG4AXwBMAGEAdABlAHgARQBxAHUAYQB0AGkAbwBuAFwAbgAgACAAPQBMAEEATQBCAEQAQQAoAFwAIgBNAF8AewBqAGsAbQBUAD0AMgB9AD0AVgBTAFQAXwB7AGoAawB9AFwAXAB0AGkAbQBlAHMAIABCAE8AXABcAHQAaQBtAGUAcwAgAE0ATQBTAF8AewBqAG0AVAA9ADIAfQBcAFwAdABpAG0AZQBzACAATQBDAEYAXwB7AGkAbQB9AFwAXAB0AGkAbQBlAHMAIABcAFwAcgBoAG8AXAAiACkAOwBcAG4AXABuAFYARQBFAFIARwBfADQAXwA2AF8AMQBfADEAXwBfADM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gBfADEAXwAxAF8AXwAz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bQBlAGEAbgAgAGEAbgBuAHUAYQBsACAAdABlAG0AcABlAHIAYQB0AHUAcgBlAFwAIgAsACAAXAAiALAAQwBcACIALAAgAFwAIgBJAG4AcAB1AHQAXAAiAFwAbgAgACAAIAAgACAAIAAgACAAfQAsACAAcgAsACAAYwApAFwAbgAgACAAIAAgACAAIAApAFwAbgAgACAAIAAgACkAXABuACAAIAApADsAXABuAFwAbgBWAEUARQBSAEcAXwA0AF8ANgBfADEAXwAxAF8AXwAzAF8AUwB0AGEAZwBlADIATQBlAHQAaABhAG4AZQBQAHIAbwBkAHUAYwB0AGkAbwBuAF8AVgBhAHIAaQBhAHQAaQBvAG4AXABuACAAIAAgAD0ATABBAE0AQgBEAEEAKABcACIAVgBBAFIASQBBAFQASQBPAE4AIABPAE4AIABTAE8AVQBSAEMARQA6ACA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KQA7AFwAbgBcAG4ALwAqAFwAbgAtAC0ALQAtAC0ALQAtAC0ALQAtAC0ALQAtAC0ALQAtAC0ALQAtAC0ALQAtAC0ALQAtAC0ALQAtAC0ALQAtAC0ALQAtAC0ALQAtAC0AXABuAFYARQBFAFIARwBfADQAXwA2AF8AMQBfADEAXwBfADQAXwBWAG8AbABhAHQAaQBsAGUAUwBvAGwAaQBkAHMAVAByAGEAbgBzAGYAZQByAHIAZQBkAFwAbgBWAG8AbABhAHQAaQBsAGUAIABzAG8AbABpAGQAcwAgAHQAcgBhAG4AcwBmAGUAcgByAGUAZAAgAHQAbwAgAHQAcgBlAGEAdABtAGUAbgB0ACAAcwB0AGEAZwBlACAAMgAgAE0ATQBTAFwAbgBWAFMAVABfAGoAawBcAG4AawBnACAAVgBTAC8AYgBpAHIAZAAvAGQAYQB5AFwAbgBWAFMAVABfAHsAagBrAH0APQBWAFMAXwB7AGoAawB9AFwAXAB0AGkAbQBlAHMAIABNAE0AUwBfAHsAagBtAFQAPQAxAH0AXABcAHQAaQBtAGUAcwAgACgAMQAtAFYAUwBMAF8AewBtAFQAPQAxAH0AKQBcAG4AVgBTAF8AagBrACAAPQAgAHYAbwBsAGEAdABpAGwAZQAgAHMAbwBsAGkAZAAgAHAAcgBvAGQAdQBjAHQAaQBvAG4AIABwAG8AdQBsAHQAcgB5ACAAYwBsAGEAcwBzAGUAcwAgADoAIABrAGcAIABWAFMALwBiAGkAcgBkAC8AZABhAHkAXABuAE0ATQBTAF8AagBtAFQAMQAgAD0AIABmAHIAYQBjAHQAaQBvAG4AIABvAGYAIABtAGEAbgB1AHIAZQAgAGkAbgAgAGUAYQBjAGgAIABwAHIAaQBtAGEAcgB5ACAAcwB5AHMAdABlAG0AIAA6ACAAZgByAGEAYwB0AGkAbwBuAFwAbgBWAFMATABf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gBfADEAXwAxAF8AXwA0AF8AVgBvAGwAYQB0AGkAbABlAFMAbwBsAGkAZABzAFQAcgBhAG4AcwBmAGUAcgByAGUAZABcAG4AIAAgAD0ATABBAE0AQgBEAEEAKABcAG4AIAAgACAAIABWAFMAXwBqAGsALAAgAE0ATQBTAF8AagBtAFQAMQAsACAAVgBTAEwAXwBtAFQAMQAsAFwAbgAgACAAIAAgAFYAUwBfAGoAawAgACoAIABNAE0AUwBfAGoAbQBUADEAIAAqACAAKAAxACAALQAgAFYAUwBMAF8AbQBUADEAKQBcAG4AIAAgACkAOwBcAG4AXABuAFYARQBFAFIARwBfADQAXwA2AF8AMQBfADEAXwBfADQAXwBWAG8AbABhAHQAaQBsAGUAUwBvAGwAaQBkAHMAVAByAGEAbgBzAGYAZQByAHIAZQBkAF8AVABpAHQAbABlAFwAbgAgACAAPQBMAEEATQBCAEQAQQAoAFwAIgBWAG8AbABhAHQAaQBsAGUAIABzAG8AbABpAGQAcwAgAHQAcgBhAG4AcwBmAGUAcgByAGUAZAAgAHQAbwAgAHQAcgBlAGEAdABtAGUAbgB0ACAAcwB0AGEAZwBlACAAMgAgAE0ATQBTAFwAIgApADsAXABuAFwAbgBWAEUARQBSAEcAXwA0AF8ANgBfADEAXwAxAF8AXwA0AF8AVgBvAGwAYQB0AGkAbABlAFMAbwBsAGkAZABzAFQAcgBhAG4AcwBmAGUAcgByAGUAZABfAFYAYQByAGkAYQBiAGwAZQBcAG4AIAAgAD0ATABBAE0AQgBEAEEAKABcACIAVgBTAFQAXwBqAGsAXAAiACkAOwBcAG4AXABuAFYARQBFAFIARwBfADQAXwA2AF8AMQBfADEAXwBfADQAXwBWAG8AbABhAHQAaQBsAGUAUwBvAGwAaQBkAHMAVAByAGEAbgBzAGYAZQByAHIAZQBkAF8AVQBuAGkAdABcAG4AIAAgAD0ATABBAE0AQgBEAEEAKABcACIAawBnACAAVgBTAC8AYgBpAHIAZAAvAGQAYQB5AFwAIgApADsAXABuAFwAbgBWAEUARQBSAEcAXwA0AF8ANgBfADEAXwAxAF8AXwA0AF8AVgBvAGwAYQB0AGkAbABlAFMAbwBsAGkAZABzAFQAcgBhAG4AcwBmAGUAcgByAGUAZABfAFMAbwB1AHIAYwBlAFwAbgAgACAAPQBMAEEATQBCAEQAQQAoAFwAIgBWAEUARQBSAEcAIAAyADAAMgA2ADoAIAA0AC4ANAAuADEALgAxACwAIABFAHEAdQBhAHQAaQBvAG4AIAAoADQAKQBcACIAKQA7AFwAbgBcAG4AVgBFAEUAUgBHAF8ANABfADYAXwAxAF8AMQBfAF8ANABfAFYAbwBsAGEAdABpAGwAZQBTAG8AbABpAGQAcwBUAHIAYQBuAHMAZgBlAHIAcgBlAGQAXwBOAEkAUgBSAGUAZgBlAHIAZQBuAGMAZQBcAG4AIAAgAD0ATABBAE0AQgBEAEEAKABcACIAXAAiACkAOwBcAG4AXABuAFYARQBFAFIARwBfADQAXwA2AF8AMQBfADEAXwBfADQAXwBWAG8AbABhAHQAaQBsAGUAUwBvAGwAaQBkAHMAVAByAGEAbgBzAGYAZQByAHIAZQBkAF8ATABhAHQAZQB4AEUAcQB1AGEAdABpAG8AbgBcAG4AIAAgAD0ATABBAE0AQgBEAEEAKABcACIAVgBTAFQAXwB7AGoAawB9AD0AVgBTAF8AewBqAGsAfQBcAFwAdABpAG0AZQBzACAATQBNAFMAXwB7AGoAbQBUAD0AMQB9AFwAXAB0AGkAbQBlAHMAIAAoADEALQBWAFMATABfAHsAbQBUAD0AMQB9ACkAXAAiACkAOwBcAG4AXABuAFYARQBFAFIARwBfADQAXwA2AF8AMQBfADEAXwBfADQAXwBWAG8AbABhAHQAaQBsAGUAUwBvAGwAaQBkAHMAVAByAGEAbgBzAGYAZQByAHIAZQBkAF8AQQByAGcAdQBtAGUAbgB0AHMAXABuACAAIAA9AEwAQQBNAEIARABBACgAXABuACAAIAAgACAATQBBAEsARQBBAFIAUgBBAFkAKAAz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VgBTAEwAXwBtAFQAMQBcACIALABcACIAZgByAGEAYwB0AGkAbwBuACAAbwBmACAAdgBvAGwAYQB0AGkAbABlACAAcwBvAGwAaQBkAHMAIABsAG8AcwB0ACAAZAB1AHIAaQBuAGcAIABzAHQAbwByAGEAZwBlACAAaQBuACAAdABoAGUAIABwAHIAaQBtAGEAcgB5ACAAcwB5AHMAdABlAG0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1AF8AVgBvAGwAYQB0AGkAbABlAFMAbwBsAGkAZABQAHIAbwBkAHUAYwB0AGkAbwBuAFwAbgBWAG8AbABhAHQAaQBsAGUAIABzAG8AbABpAGQAIABwAHIAbwBkAHUAYwB0AGkAbwBuACAAcABvAHUAbAB0AHIAeQAgAGMAbABhAHMAcwBlAHMAXABuAFYAUwBfAGoAawBcAG4AawBnACAAVgBTAC8AYgBpAHIAZAAvAGQAYQB5AFwAbgBWAFMAXwB7AGoAawB9AD0ASQBfAHsAagBrAH0AXABcAHQAaQBtAGUAcwAgACgAMQAtAEQATQBEAF8AewBqAGsAfQApAFwAXAB0AGkAbQBlAHMAIAAoADEALQBBAF8AewBqAH0AKQBcAG4ASQBfAGoAawAgAD0AIABkAHIAeQAgAG0AYQB0AHQAZQByACAAaQBuAHQAYQBrAGUAIABmAG8AcgAgAGUAYQBjAGgAIABjAGwAYQBzAHMAIABhAG4AZAAgAHMAdQBiAGMAbABhAHMAcwAgADoAIABrAGcAIABEAE0ALwBiAGkAcgBkAC8AZABhAHkAXABuAEQATQBEAF8AagBrACAAPQAgAGQAcgB5ACAAbQBhAHQAdABlAHIAIABkAGkAZwBlAHMAdABpAGIAaQBsAGkAdAB5ACAAZgBvAHIAIABlAGEAYwBoACAAYwBsAGEAcwBzACAAYQBuAGQAIABzAHUAYgBjAGwAYQBzAHMAIAA6ACAAZgByAGEAYwB0AGkAbwBuAFwAbgBBAF8AagAgAD0AIABhAHMAaAAgAGMAbwBuAHQAZQBuAHQAIABvAGYAIABtAGEAbgB1AHIAZQAgAGYAbwByACAAZQBhAGMAaAAgAGMAbABhAHMAcwAgAGEAbgBkACAAcwB1AGIAYwBsAGEAcwBzACAAOgAgAGYAcgBhAGMAdABpAG8AbgBcAG4ALQAtAC0ALQAtAC0ALQAtAC0ALQAtAC0ALQAtAC0ALQAtAC0ALQAtAC0ALQAtAC0ALQAtAC0ALQAtAC0ALQAtAC0ALQAtAC0ALQAtAFwAbgAqAC8AXABuAFwAbgBWAEUARQBSAEcAXwA0AF8ANgBfADEAXwAxAF8AXwA1AF8AVgBvAGwAYQB0AGkAbABlAFMAbwBsAGkAZABQAHIAbwBkAHUAYwB0AGkAbwBuAFwAbgAgACAAPQBMAEEATQBCAEQAQQAoAFwAbgAgACAAIAAgAEkAXwBqAGsALAAgAEQATQBEAF8AagBrACwAIABBAF8AagAsAFwAbgAgACAAIAAgAEkAXwBqAGsAIAAqACAAKAAxACAALQAgAEQATQBEAF8AagBrACkAIAAqACAAKAAxACAALQAgAEEAXwBqACkAXABuACAAIAApADsAXABuAFwAbgBWAEUARQBSAEcAXwA0AF8ANgBfADEAXwAxAF8AXwA1AF8AVgBvAGwAYQB0AGkAbABlAFMAbwBsAGkAZABQAHIAbwBkAHUAYwB0AGkAbwBuAF8AVABpAHQAbABlAFwAbgAgACAAPQBMAEEATQBCAEQAQQAoAFwAIgBWAG8AbABhAHQAaQBsAGUAIABzAG8AbABpAGQAIABwAHIAbwBkAHUAYwB0AGkAbwBuACAAcABvAHUAbAB0AHIAeQAgAGMAbABhAHMAcwBlAHMAXAAiACkAOwBcAG4AXABuAFYARQBFAFIARwBfADQAXwA2AF8AMQBfADEAXwBfADUAXwBWAG8AbABhAHQAaQBsAGUAUwBvAGwAaQBkAFAAcgBvAGQAdQBjAHQAaQBvAG4AXwBWAGEAcgBpAGEAYgBsAGUAXABuACAAIAA9AEwAQQBNAEIARABBACgAXAAiAFYAUwBfAGoAawBcACIAKQA7AFwAbgBcAG4AVgBFAEUAUgBHAF8ANABfADYAXwAxAF8AMQBfAF8ANQBfAFYAbwBsAGEAdABpAGwAZQBTAG8AbABpAGQAUAByAG8AZAB1AGMAdABpAG8AbgBfAFUAbgBpAHQAXABuACAAIAA9AEwAQQBNAEIARABBACgAXAAiAGsAZwAgAFYAUwAvAGIAaQByAGQALwBkAGEAeQBcACIAKQA7AFwAbgBcAG4AVgBFAEUAUgBHAF8ANABfADYAXwAxAF8AMQBfAF8ANQBfAFYAbwBsAGEAdABpAGwAZQBTAG8AbABpAGQAUAByAG8AZAB1AGMAdABpAG8AbgBfAFMAbwB1AHIAYwBlAFwAbgAgACAAPQBMAEEATQBCAEQAQQAoAFwAIgBWAEUARQBSAEcAIAAyADAAMgA2ADoAIAA0AC4ANAAuADEALgAxACwAIABFAHEAdQBhAHQAaQBvAG4AIAAoADUAKQBcACIAKQA7AFwAbgBcAG4AVgBFAEUAUgBHAF8ANABfADYAXwAxAF8AMQBfAF8ANQBfAFYAbwBsAGEAdABpAGwAZQBTAG8AbABpAGQAUAByAG8AZAB1AGMAdABpAG8AbgBfAE4ASQBSAFIAZQBmAGUAcgBlAG4AYwBlAFwAbgAgACAAPQBMAEEATQBCAEQAQQAoAFwAIgBcACIAKQA7AFwAbgBcAG4AVgBFAEUAUgBHAF8ANABfADYAXwAxAF8AMQBfAF8ANQBfAFYAbwBsAGEAdABpAGwAZQBTAG8AbABpAGQAUAByAG8AZAB1AGMAdABpAG8AbgBfAEwAYQB0AGUAeABFAHEAdQBhAHQAaQBvAG4AXABuACAAIAA9AEwAQQBNAEIARABBACgAXAAiAFYAUwBfAHsAagBrAH0APQBJAF8AewBqAGsAfQBcAFwAdABpAG0AZQBzACAAKAAxAC0ARABNAEQAXwB7AGoAawB9ACkAXABcAHQAaQBtAGUAcwAgACgAMQAtAEEAXwB7AGoAfQApAFwAIgApADsAXABuAFwAbgBWAEUARQBSAEcAXwA0AF8ANg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QATQBEAF8AagBrAFwAIgAsAFwAIgBkAHIAeQAgAG0AYQB0AHQAZQByACAAZABpAGcAZQBzAHQAaQBiAGkAbABpAHQAeQAgAGYAbwByACAAZQBhAGMAaAAgAGMAbABhAHMAcwAgAGEAbgBkACAAcwB1AGIAYwBsAGEAcwBzAFwAIgAsACAAXAAiAGYAcgBhAGMAdABpAG8AbgBcACIALAAgAFwAIgBJAG4AcAB1AHQAXAAiADsAXABuACAAIAAgACAAIAAgACAAIAAgACAAXAAiAEEAXwBqAFwAIgAsAFwAIgBhAHMAaAAgAGMAbwBuAHQAZQBuAHQAIABvAGYAIABtAGEAbgB1AHIAZQAgAGYAbwByACAAZQBhAGMAaAAgAGMAbABhAHMAcwAgAGEAbgBkACAAcwB1AGIAYwBsAGEAcwBzAFwAIgAsACAAXAAiAGYAcgBhAGMAdABpAG8AbgBcACIALAAgAFwAIgBDAG8AbgBzAHQAYQBuAHQAXAAiAFwAbgAgACAAIAAgACAAIAAgACAAfQAsACAAcgAsACAAYwApAFwAbgAgACAAIAAgACAAIAApAFwAbgAgACAAIAAgACkAXABuACAAIAApADsAXABuACIAfQAsAHsAIgBwAGEAdABoACIAOgAiAC8AcAByAG8AagBlAGMAdABzAC8ATQBNAFMAXwBQAG8AdQBsAHQ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EAXwBNAGEAcwBzAE8AZgBOAGkAdAByAG8AZwBlAG4AQQBwAHAAbABpAGUAZABUAG8AUwBvAGkAbABzAFMAYwBvAHAAZQAx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UABGAFwAbgAgACAAKQA7AFwAbgBcAG4AVgBFAEUAUgBHAF8ANABfADY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2AF8AMQBfADkAXwBfADEAXwBNAGEAcwBzAE8AZgBOAGkAdAByAG8AZwBlAG4AQQBwAHAAbABpAGUAZABUAG8AUwBvAGkAbABzAFMAYwBvAHAAZQAxAF8AVgBhAHIAaQBhAGIAbABlAFwAbgAgACAAPQBMAEEATQBCAEQAQQAoAFwAIgBNAE4AUwBvAGkAbABfAHMAYwBvAHAAZQAxAFwAIgApADsAXABuAFwAbgBWAEUARQBSAEcAXwA0AF8ANgBfADEAXwA5AF8AXwAxAF8ATQBhAHMAcwBPAGYATgBpAHQAcgBvAGcAZQBuAEEAcABwAGwAaQBlAGQAVABvAFMAbwBpAGwAcwBTAGMAbwBwAGUAMQBfAFUAbgBpAHQAXABuACAAIAA9AEwAQQBNAEIARABBACgAXAAiAGsAZwAgAE4AXAAiACkAOwBcAG4AXABuAFYARQBFAFIARwBfADQAXwA2AF8AMQBfADkAXwBfADEAXwBNAGEAcwBzAE8AZgBOAGkAdAByAG8AZwBlAG4AQQBwAHAAbABpAGUAZABUAG8AUwBvAGkAbABzAFMAYwBvAHAAZQAxAF8AUwBvAHUAcgBjAGUAXABuACAAIAA9AEwAQQBNAEIARABBACgAXAAiAFYARQBFAFIARwAgADIAMAAyADYAOgAgADQALgA2AC4AMQAuADkALAAgAEUAcQB1AGEAdABpAG8AbgAgACgAMQApAFwAIgApADsAXABuAFwAbgBWAEUARQBSAEcAXwA0AF8ANgBfADEAXwA5AF8AXwAxAF8ATQBhAHMAcwBPAGYATgBpAHQAcgBvAGcAZQBuAEEAcABwAGwAaQBlAGQAVABvAFMAbwBpAGwAcwBTAGMAbwBwAGUAMQBfAE4ASQBSAFIAZQBmAGUAcgBlAG4AYwBlAFwAbgAgACAAPQBMAEEATQBCAEQAQQAoAFwAIgBcACIAKQA7AFwAbgBcAG4AVgBFAEUAUgBHAF8ANABfADY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AiACkAOwBcAG4AXABuAFYARQBFAFIARwBfADQAXwA2AF8AMQBfADk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yAF8ATQBhAHMAcwBPAGYATgBpAHQAcgBvAGcAZQBuAEEAcABwAGwAaQBlAGQAVABvAFMAbwBpAGwAcwBTAGMAbwBwAGUAMw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CgAMQAgAC0AIABQAEYAKQBcAG4AIAAgACkAOwBcAG4AXABuAFYARQBFAFIARwBfADQAXwA2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gBfADEAXwA5AF8AXwAyAF8ATQBhAHMAcwBPAGYATgBpAHQAcgBvAGcAZQBuAEEAcABwAGwAaQBlAGQAVABvAFMAbwBpAGwAcwBTAGMAbwBwAGUAMwBfAFYAYQByAGkAYQBiAGwAZQBcAG4AIAAgAD0ATABBAE0AQgBEAEEAKABcACIATQBOAFMAbwBpAGwAXwBzAGMAbwBwAGUAMwBcACIAKQA7AFwAbgBcAG4AVgBFAEUAUgBHAF8ANABfADYAXwAxAF8AOQBfAF8AMgBfAE0AYQBzAHMATwBmAE4AaQB0AHIAbwBnAGUAbgBBAHAAcABsAGkAZQBkAFQAbwBTAG8AaQBsAHMAUwBjAG8AcABlADMAXwBVAG4AaQB0AFwAbgAgACAAPQBMAEEATQBCAEQAQQAoAFwAIgBrAGcAIABOAFwAIgApADsAXABuAFwAbgBWAEUARQBSAEcAXwA0AF8ANgBfADEAXwA5AF8AXwAyAF8ATQBhAHMAcwBPAGYATgBpAHQAcgBvAGcAZQBuAEEAcABwAGwAaQBlAGQAVABvAFMAbwBpAGwAcwBTAGMAbwBwAGUAMwBfAFMAbwB1AHIAYwBlAFwAbgAgACAAPQBMAEEATQBCAEQAQQAoAFwAIgBWAEUARQBSAEcAIAAyADAAMgA2ADoAIAA0AC4ANgAuADEALgA5ACwAIABFAHEAdQBhAHQAaQBvAG4AIAAoADIAKQBcACIAKQA7AFwAbgBcAG4AVgBFAEUAUgBHAF8ANABfADYAXwAxAF8AOQBfAF8AMgBfAE0AYQBzAHMATwBmAE4AaQB0AHIAbwBnAGUAbgBBAHAAcABsAGkAZQBkAFQAbwBTAG8AaQBsAHMAUwBjAG8AcABlADMAXwBOAEkAUgBSAGUAZgBlAHIAZQBuAGMAZQBcAG4AIAAgAD0ATABBAE0AQgBEAEEAKABcACIAXAAiACkAOwBcAG4AXABuAFYARQBFAFIARwBfADQAXwA2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IgApADsAXABuAFwAbgBWAEUARQBSAEcAXwA0AF8ANg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FAAbwB1AGwAdA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AAgAE0AZQB0AGgAbwBkACAAMQAgAC0AIABTAG8AaQBs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AAXwBfADEAXwBEAGkAcgBlAGMAdABOAGkAdAByAG8AdQBzAE8AeABpAGQAZQBFAG0AaQBzAHMAaQBvAG4AcwBGAHIAbwBtAFAAbwB1AGwAdAByAHkATQBhAG4AdQByAGUAXABuAEQAaQByAGUAYwB0ACAAbgBpAHQAcgBvAHUAcwAgAG8AeABpAGQAZQAgAGUAbQBpAHMAcwBpAG8AbgBzACAAZgByAG8AbQAgAHAAbwB1AGwAdAByAHkAIABtAGEAbgB1AHIAZQAgAG8AbgAgAHAAYQBzAHQAdQByAGUAXABuAEUATQBfAE4AMgBPAFAAUgBQAGQAaQByAFwAbgB0ACAATgAyAE8AXABuAEUATQBfAHsATgAyAE8ALABQAFIAUAAsAGQAaQByAH0APQBcAFwAcwB1AG0AXwB7AGoAfQBcAFwAcwB1AG0AXwB7AGsAfQAoAE0ATgBfAHsAagBrAG0APQAxADQALABUAD0AMQB9AFwAXAB0AGkAbQBlAHMAIABFAEYAXwB7AFAAUgBQAH0AXABcAHQAaQBtAGUAcwAgAEMAXwB7AE4AMgBPAH0AKQBcAFwAdABpAG0AZQBzACAAMQAwAF4AewAtADMAfQBcAG4ATQBOAF8AagBrAG0AMQA0AFQAMQAgAD0AIABtAGEAcwBzACAAbwBmACAAbgBpAHQAcgBvAGcAZQBuACAAZQB4AGMAcgBlAHQAZQBkACAAZABpAHIAZQBjAHQAbAB5ACAAbwBuACAAcABhAHMAdAB1AHIAZQAgAGIAeQAgAHAAbwB1AGwAdAByAHkAIABjAGwAYQBzAHMAIABhAG4AZAAgAHMAdQBiAGMAbABhAHMAcwAgACgAawBnACAATgApAFwAbgBFAEYAXwBQAFIAUAAgAD0AIABuAGkAdAByAG8AdQBzACAAbwB4AGkAZABlACAAZQBtAGkAcwBzAGkAbwBuACAAZgBhAGMAdABvAHIAIABmAG8AcgAgAG0AYQBuAHUAcgBlACAAZABlAHAAbwBzAGkAdABlAGQAIABvAG4AIABwAGEAcwB0AHUAcgBl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ABfAF8AMQBfAEQAaQByAGUAYwB0AE4AaQB0AHIAbwB1AHMATwB4AGkAZABlAEUAbQBpAHMAcwBpAG8AbgBzAEYAcgBvAG0AUABvAHUAbAB0AHIAeQBNAGEAbgB1AHIAZQBcAG4AIAAgAD0ATABBAE0AQgBEAEEAKABcAG4AIAAgACAAIABNAE4AXwBqAGsAbQAxADQAVAAxACwAIABFAEYAXwBQAFIAUAAsACAAQwBfAE4AMgBPACwAXABuACAAIAAgACAATQBOAF8AagBrAG0AMQA0AFQAMQAgACoAIABFAEYAXwBQAFIAUAAgACoAIABDAF8ATgAyAE8AIAAqACAAMQAwACAAXgAgAC0AMwBcAG4AIAAgACkAOwBcAG4AXABuAFYARQBFAFIARwBfADQAXwA2AF8AMQBfADEAMABfAF8AMQBfAEQAaQByAGUAYwB0AE4AaQB0AHIAbwB1AHMATwB4AGkAZABlAEUAbQBpAHMAcwBpAG8AbgBzAEYAcgBvAG0AUABvAHUAbAB0AHIAeQBNAGEAbgB1AHIAZQBfAFQAaQB0AGwAZQBcAG4AIAAgAD0ATABBAE0AQgBEAEEAKABcACIARABpAHIAZQBjAHQAIABuAGkAdAByAG8AdQBzACAAbwB4AGkAZABlACAAZQBtAGkAcwBzAGkAbwBuAHMAIABmAHIAbwBtACAAcABvAHUAbAB0AHIAeQAgAG0AYQBuAHUAcgBlACAAbwBuACAAcABhAHMAdAB1AHIAZQBcACIAKQA7AFwAbgBcAG4AVgBFAEUAUgBHAF8ANABfADYAXwAxAF8AMQAwAF8AXwAxAF8ARABpAHIAZQBjAHQATgBpAHQAcgBvAHUAcwBPAHgAaQBkAGUARQBtAGkAcwBzAGkAbwBuAHMARgByAG8AbQBQAG8AdQBsAHQAcgB5AE0AYQBuAHUAcgBlAF8AVgBhAHIAaQBhAGIAbABlAFwAbgAgACAAPQBMAEEATQBCAEQAQQAoAFwAIgBFAE0AXwBOADIATwBQAFIAUABkAGkAcgBcACIAKQA7AFwAbgBcAG4AVgBFAEUAUgBHAF8ANABfADYAXwAxAF8AMQAwAF8AXwAxAF8ARABpAHIAZQBjAHQATgBpAHQAcgBvAHUAcwBPAHgAaQBkAGUARQBtAGkAcwBzAGkAbwBuAHMARgByAG8AbQBQAG8AdQBsAHQAcgB5AE0AYQBuAHUAcgBlAF8AVQBuAGkAdABcAG4AIAAgAD0ATABBAE0AQgBEAEEAKABcACIAdAAgAE4AMgBPAFwAIgApADsAXABuAFwAbgBWAEUARQBSAEcAXwA0AF8ANgBfADEAXwAxADAAXwBfADEAXwBEAGkAcgBlAGMAdABOAGkAdAByAG8AdQBzAE8AeABpAGQAZQBFAG0AaQBzAHMAaQBvAG4AcwBGAHIAbwBtAFAAbwB1AGwAdAByAHkATQBhAG4AdQByAGUAXwBTAG8AdQByAGMAZQBcAG4AIAAgAD0ATABBAE0AQgBEAEEAKABcACIAVgBFAEUAUgBHACAAMgAwADIANgA6ACAANAAuADYALgAxAC4AMQAwACwAIABFAHEAdQBhAHQAaQBvAG4AIAAoADEAKQBcACIAKQA7AFwAbgBcAG4AVgBFAEUAUgBHAF8ANABfADYAXwAxAF8AMQAwAF8AXwAxAF8ARABpAHIAZQBjAHQATgBpAHQAcgBvAHUAcwBPAHgAaQBkAGUARQBtAGkAcwBzAGkAbwBuAHMARgByAG8AbQBQAG8AdQBsAHQAcgB5AE0AYQBuAHUAcgBlAF8ATgBJAFIAUgBlAGYAZQByAGUAbgBjAGUAXABuACAAIAA9AEwAQQBNAEIARABBACgAXAAiAFwAIgApADsAXABuAFwAbgBWAEUARQBSAEcAXwA0AF8ANgBfADEAXwAxADAAXwBfADEAXwBEAGkAcgBlAGMAdABOAGkAdAByAG8AdQBzAE8AeABpAGQAZQBFAG0AaQBzAHMAaQBvAG4AcwBGAHIAbwBtAFAAbwB1AGwAdAByAHkATQBhAG4AdQByAGUAXwBMAGEAdABlAHgARQBxAHUAYQB0AGkAbwBuAFwAbgAgACAAPQBMAEEATQBCAEQAQQAoAFwAIgBFAE0AXwB7AE4AMgBPACwAUABSAFAALABkAGkAcgB9AD0AXABcAHMAdQBtAF8AewBqAH0AXABcAHMAdQBtAF8AewBrAH0AKABNAE4AXwB7AGoAawBtAD0AMQA0ACwAVAA9ADEAfQBcAFwAdABpAG0AZQBzACAARQBGAF8AewBQAFIAUAB9AFwAXAB0AGkAbQBlAHMAIABDAF8AewBOADIATwB9ACkAXABcAHQAaQBtAGUAcwAgADEAMABeAHsALQAzAH0AXAAiACkAOwBcAG4AXABuAFYARQBFAFIARwBfADQAXwA2AF8AMQBfADEAMABfAF8AMQBfAEQAaQByAGUAYwB0AE4AaQB0AHIAbwB1AHMATwB4AGkAZABlAEUAbQBpAHMAcwBpAG8AbgBzAEYAcgBvAG0AUABvAHUAbAB0AHIAeQBNAGEAbgB1AHIAZQBfAEEAcgBnAHUAbQBlAG4AdABzAFwAbgAgACAAPQBMAEEATQBCAEQAQQAoAFwAbgAgACAAIAAgAE0AQQBLAEUAQQBSAFIAQQBZACgAMw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UARgBfAFAAUgBQAFwAIgAsACAAXAAiAG4AaQB0AHIAbwB1AHMAIABvAHgAaQBkAGUAIABlAG0AaQBzAHMAaQBvAG4AIABmAGEAYwB0AG8AcgAgAGYAbwByACAAbQBhAG4AdQByAGUAIABkAGUAcABvAHMAaQB0AGUAZAAgAG8AbgAgAHAAYQBzAHQAdQByAGU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CIAfQAsAHsAIgBwAGEAdABoACIAOgAiAC8AcAByAG8AagBlAGMAdABzAC8ATQBNAFMAXwBQAG8AdQBsAHQ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IAIABNAGUAdABoAG8AZAAgADEAIAAtACAAUwBvAGkAbAAgAEEAdABtAG8AcwBwAGgAZQByAGkAYwAgAEQAZQBwAG8AcwBpAHQAaQBvAG4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IAXwBfADEAXwBBAHQAbQBvAHMAcABoAGUAcgBpAGMARABlAHAAbwBzAGkAdABpAG8AbgBFAG0AaQBzAHMAaQBvAG4AcwBGAHIAbwBtAFAAbwB1AGwAdAByAHkATQBhAG4AdQByAGUATwBuAFAAYQBzAHQAdQByAGUAXABuAEEAdABtAG8AcwBwAGgAZQByAGkAYwAgAGQAZQBwAG8AcwBpAHQAaQBvAG4AIABlAG0AaQBzAHMAaQBvAG4AcwAgAGYAcgBvAG0AIABwAG8AdQBsAHQAcgB5ACAAbQBhAG4AdQByAGU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bQBhAG4AdQByAGU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gBfAF8AMQBfAEEAdABtAG8AcwBwAGgAZQByAGkAYwBEAGUAcABvAHMAaQB0AGkAbwBuAEUAbQBpAHMAcwBpAG8AbgBzAEYAcgBvAG0AUABvAHUAbAB0AHIAeQBNAGEAbgB1AHIAZQ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YAXwAxAF8AMQAyAF8AXwAxAF8AQQB0AG0AbwBzAHAAaABlAHIAaQBjAEQAZQBwAG8AcwBpAHQAaQBvAG4ARQBtAGkAcwBzAGkAbwBuAHMARgByAG8AbQBQAG8AdQBsAHQAcgB5AE0AYQBuAHUAcgBlAE8AbgBQAGEAcwB0AHUAcgBlAF8AVABpAHQAbABlAFwAbgAgACAAPQBMAEEATQBCAEQAQQAoAFwAIgBBAHQAbQBvAHMAcABoAGUAcgBpAGMAIABkAGUAcABvAHMAaQB0AGkAbwBuACAAZQBtAGkAcwBzAGkAbwBuAHMAIABmAHIAbwBtACAAcABvAHUAbAB0AHIAeQAgAG0AYQBuAHUAcgBlACAAZABlAHAAbwBzAGkAdABlAGQAIABvAG4AIABwAGEAcwB0AHUAcgBlAFwAIgApADsAXABuAFwAbgBWAEUARQBSAEcAXwA0AF8ANgBfADEAXwAxADIAXwBfADEAXwBBAHQAbQBvAHMAcABoAGUAcgBpAGMARABlAHAAbwBzAGkAdABpAG8AbgBFAG0AaQBzAHMAaQBvAG4AcwBGAHIAbwBtAFAAbwB1AGwAdAByAHkATQBhAG4AdQByAGUATwBuAFAAYQBzAHQAdQByAGUAXwBWAGEAcgBpAGEAYgBsAGUAXABuACAAIAA9AEwAQQBNAEIARABBACgAXAAiAEUAXwBOADIATwBhAGQAXAAiACkAOwBcAG4AXABuAFYARQBFAFIARwBfADQAXwA2AF8AMQBfADEAMgBfAF8AMQBfAEEAdABtAG8AcwBwAGgAZQByAGkAYwBEAGUAcABvAHMAaQB0AGkAbwBuAEUAbQBpAHMAcwBpAG8AbgBzAEYAcgBvAG0AUABvAHUAbAB0AHIAeQBNAGEAbgB1AHIAZQBPAG4AUABhAHMAdAB1AHIAZQBfAFUAbgBpAHQAXABuACAAIAA9AEwAQQBNAEIARABBACgAXAAiAHQAIABOADIATwBcACIAKQA7AFwAbgBcAG4AVgBFAEUAUgBHAF8ANABfADYAXwAxAF8AMQAyAF8AXwAxAF8AQQB0AG0AbwBzAHAAaABlAHIAaQBjAEQAZQBwAG8AcwBpAHQAaQBvAG4ARQBtAGkAcwBzAGkAbwBuAHMARgByAG8AbQBQAG8AdQBsAHQAcgB5AE0AYQBuAHUAcgBlAE8AbgBQAGEAcwB0AHUAcgBlAF8AUwBvAHUAcgBjAGUAXABuACAAIAA9AEwAQQBNAEIARABBACgAXAAiAFYARQBFAFIARwAgADIAMAAyADYAOgAgADQALgA2AC4AMQAuADEAMgAsACAARQBxAHUAYQB0AGkAbwBuACAAKAAxACkAXAAiACkAOwBcAG4AXABuAFYARQBFAFIARwBfADQAXwA2AF8AMQBfADEAMgBfAF8AMQBfAEEAdABtAG8AcwBwAGgAZQByAGkAYwBEAGUAcABvAHMAaQB0AGkAbwBuAEUAbQBpAHMAcwBpAG8AbgBzAEYAcgBvAG0AUABvAHUAbAB0AHIAeQBNAGEAbgB1AHIAZQBPAG4AUABhAHMAdAB1AHIAZQBfAE4ASQBSAFIAZQBmAGUAcgBlAG4AYwBlAFwAbgAgACAAPQBMAEEATQBCAEQAQQAoAFwAIgBcACIAKQA7AFwAbgBcAG4AVgBFAEUAUgBHAF8ANABfADYAXwAxAF8AMQAyAF8AXwAxAF8AQQB0AG0AbwBzAHAAaABlAHIAaQBjAEQAZQBwAG8AcwBpAHQAaQBvAG4ARQBtAGkAcwBzAGkAbwBuAHMARgByAG8AbQBQAG8AdQBsAHQAcgB5AE0AYQBuAHUAcgBl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2AF8AMQBfADEAMgBfAF8AMQBfAEEAdABtAG8AcwBwAGgAZQByAGkAYwBEAGUAcABvAHMAaQB0AGkAbwBuAEUAbQBpAHMAcwBpAG8AbgBzAEYAcgBvAG0AUABvAHUAbAB0AHIAeQBNAGEAbgB1AHIAZQ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G0AYQBuAHUAcgBlACAAZABlAHAAbwBzAGkAdABlAGQAIABvAG4AIABwAGEAcwB0AHUAcgBlAFwAIgAsAFwAIgBrAGcAIABOAFwAIgAsACAAXAAiAEMAYQBsAGMAdQBsAGEAdABlAGQAIABmAHIAbwBtACAANAAuADYALgAxAC4AMQAyACAAKAAyACkAXAAiADsAXABuACAAIAAgACAAIAAgACAAIAAgACAAXAAiAEUARgBfAE4AMgBPAFwAIgAsACAAXAAiAGUAbQBpAHMAcwBpAG8AbgAgAGYAYQBjAHQAbwByACAAZgBvAHIAIABhAHQAbQBvAHMAcABoAGUAcgBpAGMAIABkAGUAcABvAHMAaQB0AGkAbwBuACAAKABrAGcAIABOADIATwAtAE4ALwBrAGcAIABO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DIAXwBfADIAXwBNAGEAcwBzAE8AZgBOAGkAdAByAG8AZwBlAG4AVgBvAGwAYQB0AGkAbABpAHMAZQBkAEYAcgBvAG0AUABvAHUAbAB0AHIAeQBNAGEAbgB1AHIAZQBPAG4AUABhAHMAdAB1AHIAZQBcAG4ATQBhAHMAcwAgAG8AZgAgAG4AaQB0AHIAbwBnAGUAbgAgAHYAbwBsAGEAdABpAGwAaQBzAGUAZAAgAGYAcgBvAG0AIABwAG8AdQBsAHQAcgB5ACAAbQBhAG4AdQByAGUAIABkAGUAcABvAHMAaQB0AGUAZAAgAG8AbgAgAHAAYQBzAHQAdQByAGUAXABuAE0AXwB2AG8AbABfAG0AMQA0AFwAbgBrAGcAIABOAFwAbgBNAF8AewB2AG8AbAAsAG0APQAxADQAfQA9AE0ATgBfAHsAagBrAG0APQAxADQALABUAD0AMQB9AFwAXAB0AGkAbQBlAHMAIABGAHIAYQBjAEcAQQBTAE0AcwBvAGkAbABcAG4ATQBOAF8AagBrAG0AMQA0AFQAMQAgAD0AIABtAGEAcwBzACAAbwBmACAAbgBpAHQAcgBvAGcAZQBuACAAZQB4AGMAcgBlAHQAZQBkACAAZABpAHIAZQBjAHQAbAB5ACAAbwBuACAAcABhAHMAdAB1AHIAZQAgAGIAeQAgAHAAbwB1AGwAdAByAHkAIABjAGwAYQBzAHMAIABhAG4AZAAgAHMAdQBiAGMAbABhAHMAcwAgACgAawBnACAATgApAFwAbgBGAHIAYQBjAEcAQQBTAE0AcwBvAGkAbAAgAD0AIABmAHIAYQBjAHQAaQBvAG4AIABvAGYAIABuAGkAdAByAG8AZwBlAG4AIAB2AG8AbABhAHQAaQBsAGkAcwBlAGQAIABmAHIAbwBtACAAbQBhAG4AdQByAGUAIABkAGUAcABvAHMAaQB0AGUAZAAgAG8AbgAgAHAAYQBzAHQAdQByAGUAIAAoACgAawBnACAATgBIADMALQBOACAAKwAgAE4ATwB4AC0ATgApAC8AawBnACAATgApAFwAbgAtAC0ALQAtAC0ALQAtAC0ALQAtAC0ALQAtAC0ALQAtAC0ALQAtAC0ALQAtAC0ALQAtAC0ALQAtAC0ALQAtAC0ALQAtAC0ALQAtAC0AXABuACoALwBcAG4AXABuAFYARQBFAFIARwBfADQAXwA2AF8AMQBfADEAMgBfAF8AMgBfAE0AYQBzAHMATwBmAE4AaQB0AHIAbwBnAGUAbgBWAG8AbABhAHQAaQBsAGkAcwBlAGQARgByAG8AbQBQAG8AdQBsAHQAcgB5AE0AYQBuAHUAcgBlAE8AbgBQAGEAcwB0AHUAcgBlAFwAbgAgACAAPQBMAEEATQBCAEQAQQAoAFwAbgAgACAAIAAgAE0ATgBfAGoAawBtADEANABUADEALAAgAEYAcgBhAGMARwBBAFMATQBzAG8AaQBsACwAXABuACAAIAAgACAATQBOAF8AagBrAG0AMQA0AFQAMQAgACoAIABGAHIAYQBjAEcAQQBTAE0AcwBvAGkAbABcAG4AIAAgACkAOwBcAG4AXABuAFYARQBFAFIARwBfADQAXwA2AF8AMQBfADEAMgBfAF8AMgBfAE0AYQBzAHMATwBmAE4AaQB0AHIAbwBnAGUAbgBWAG8AbABhAHQAaQBsAGkAcwBlAGQARgByAG8AbQBQAG8AdQBsAHQAcgB5AE0AYQBuAHUAcgBlAE8AbgBQAGEAcwB0AHUAcgBlAF8AVABpAHQAbABlAFwAbgAgACAAPQBMAEEATQBCAEQAQQAoAFwAIgBNAGEAcwBzACAAbwBmACAAbgBpAHQAcgBvAGcAZQBuACAAdgBvAGwAYQB0AGkAbABpAHMAZQBkACAAZgByAG8AbQAgAHAAbwB1AGwAdAByAHkAIABtAGEAbgB1AHIAZQAgAGQAZQBwAG8AcwBpAHQAZQBkACAAbwBuACAAcABhAHMAdAB1AHIAZQBcACIAKQA7AFwAbgBcAG4AVgBFAEUAUgBHAF8ANABfADYAXwAxAF8AMQAyAF8AXwAyAF8ATQBhAHMAcwBPAGYATgBpAHQAcgBvAGcAZQBuAFYAbwBsAGEAdABpAGwAaQBzAGUAZABGAHIAbwBtAFAAbwB1AGwAdAByAHkATQBhAG4AdQByAGUATwBuAFAAYQBzAHQAdQByAGUAXwBWAGEAcgBpAGEAYgBsAGUAXABuACAAIAA9AEwAQQBNAEIARABBACgAXAAiAE0AXwB2AG8AbABfAG0AMQA0AFwAIgApADsAXABuAFwAbgBWAEUARQBSAEcAXwA0AF8ANgBfADEAXwAxADIAXwBfADIAXwBNAGEAcwBzAE8AZgBOAGkAdAByAG8AZwBlAG4AVgBvAGwAYQB0AGkAbABpAHMAZQBkAEYAcgBvAG0AUABvAHUAbAB0AHIAeQBNAGEAbgB1AHIAZQBPAG4AUABhAHMAdAB1AHIAZQBfAFUAbgBpAHQAXABuACAAIAA9AEwAQQBNAEIARABBACgAXAAiAGsAZwAgAE4AXAAiACkAOwBcAG4AXABuAFYARQBFAFIARwBfADQAXwA2AF8AMQBfADEAMgBfAF8AMgBfAE0AYQBzAHMATwBmAE4AaQB0AHIAbwBnAGUAbgBWAG8AbABhAHQAaQBsAGkAcwBlAGQARgByAG8AbQBQAG8AdQBsAHQAcgB5AE0AYQBuAHUAcgBlAE8AbgBQAGEAcwB0AHUAcgBlAF8AUwBvAHUAcgBjAGUAXABuACAAIAA9AEwAQQBNAEIARABBACgAXAAiAFYARQBFAFIARwAgADIAMAAyADYAOgAgADQALgA2AC4AMQAuADEAMgAsACAARQBxAHUAYQB0AGkAbwBuACAAKAAyACkAXAAiACkAOwBcAG4AXABuAFYARQBFAFIARwBfADQAXwA2AF8AMQBfADEAMgBfAF8AMgBfAE0AYQBzAHMATwBmAE4AaQB0AHIAbwBnAGUAbgBWAG8AbABhAHQAaQBsAGkAcwBlAGQARgByAG8AbQBQAG8AdQBsAHQAcgB5AE0AYQBuAHUAcgBlAE8AbgBQAGEAcwB0AHUAcgBlAF8ATgBJAFIAUgBlAGYAZQByAGUAbgBjAGUAXABuACAAIAA9AEwAQQBNAEIARABBACgAXAAiAFwAIgApADsAXABuAFwAbgBWAEUARQBSAEcAXwA0AF8ANgBfADEAXwAxADIAXwBfADIAXwBNAGEAcwBzAE8AZgBOAGkAdAByAG8AZwBlAG4AVgBvAGwAYQB0AGkAbABpAHMAZQBkAEYAcgBvAG0AUABvAHUAbAB0AHIAeQBNAGEAbgB1AHIAZQBPAG4AUABhAHMAdAB1AHIAZQBfAEwAYQB0AGUAeABFAHEAdQBhAHQAaQBvAG4AXABuACAAIAA9AEwAQQBNAEIARABBACgAXAAiAE0AXwB7AHYAbwBsACwAbQA9ADEANAB9AD0AXABcAHMAdQBtAF8AewBqAH0AXABcAHMAdQBtAF8AewBrAH0AKABNAE4AXwB7AGoAawBtAD0AMQA0ACwAVAA9ADEAfQBcAFwAdABpAG0AZQBzACAARgByAGEAYwBHAEEAUwBNAHMAbwBpAGwAKQBcACIAKQA7AFwAbgBcAG4AVgBFAEUAUgBHAF8ANABfADYAXwAxAF8AMQAyAF8AXwAyAF8ATQBhAHMAcwBPAGYATgBpAHQAcgBvAGcAZQBuAFYAbwBsAGEAdABpAGwAaQBzAGUAZABGAHIAbwBtAFAAbwB1AGwAdAByAHkATQBhAG4AdQByAGU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EcAQQBTAE0AcwBvAGkAbABcACIALAAgAFwAIgBmAHIAYQBjAHQAaQBvAG4AIABvAGYAIABuAGkAdAByAG8AZwBlAG4AIAB2AG8AbABhAHQAaQBsAGkAcwBlAGQAIABmAHIAbwBtACAAbQBhAG4AdQByAGUAIABkAGUAcABvAHMAaQB0AGUAZAAgAG8AbgAgAHAAYQBzAHQAdQByAGU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TAG8AaQBs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QAIABNAGUAdABoAG8AZAAgADEAIAAtACAAUwBvAGkAbAAgAEwAZQBhAGMAaABpAG4AZwAgAE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QAXwBfADEAXwBMAGUAYQBjAGgAaQBuAGcAQQBuAGQAUgB1AG4AbwBmAGYARQBtAGkAcwBzAGkAbwBuAHMARgByAG8AbQBQAG8AdQBsAHQAcgB5AE0AYQBuAHUAcgBlAE8AbgBQAGEAcwB0AHUAcgBlAFwAbgBMAGUAYQBjAGgAaQBuAGcAIABhAG4AZAAgAHIAdQBuAG8AZgBmACAAZQBtAGkAcwBzAGkAbwBuAHMAIABmAHIAbwBtACAAcABvAHUAbAB0AHIAeQAgAG0AYQBuAHUAcgBl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cABvAHUAbAB0AHIAeQAgAG0AYQBuAHUAcgBlACAAZABlAHAAbwBzAGkAdABlAGQAIABvAG4AIABwAGEAcwB0AHUAcgBl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0AF8AXwAxAF8ATABlAGEAYwBoAGkAbgBnAEEAbgBkAFIAdQBuAG8AZgBmAEUAbQBpAHMAcwBpAG8AbgBzAEYAcgBvAG0AUABvAHUAbAB0AHIAeQBNAGEAbgB1AHIAZQ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2AF8AMQBfADEANABfAF8AMQBfAEwAZQBhAGMAaABpAG4AZwBBAG4AZABSAHUAbgBvAGYAZgBFAG0AaQBzAHMAaQBvAG4AcwBGAHIAbwBtAFAAbwB1AGwAdAByAHkATQBhAG4AdQByAGUATwBuAFAAYQBzAHQAdQByAGUAXwBUAGkAdABsAGUAXABuACAAIAA9AEwAQQBNAEIARABBACgAXAAiAEwAZQBhAGMAaABpAG4AZwAgAGEAbgBkACAAcgB1AG4AbwBmAGYAIABlAG0AaQBzAHMAaQBvAG4AcwAgAGYAcgBvAG0AIABwAG8AdQBsAHQAcgB5ACAAbQBhAG4AdQByAGUAIABkAGUAcABvAHMAaQB0AGUAZAAgAG8AbgAgAHAAYQBzAHQAdQByAGUAXAAiACkAOwBcAG4AXABuAFYARQBFAFIARwBfADQAXwA2AF8AMQBfADEANABfAF8AMQBfAEwAZQBhAGMAaABpAG4AZwBBAG4AZABSAHUAbgBvAGYAZgBFAG0AaQBzAHMAaQBvAG4AcwBGAHIAbwBtAFAAbwB1AGwAdAByAHkATQBhAG4AdQByAGUATwBuAFAAYQBzAHQAdQByAGUAXwBWAGEAcgBpAGEAYgBsAGUAXABuACAAIAA9AEwAQQBNAEIARABBACgAXAAiAEUAXwBOADIATwBsAGUAYQBjAGgAXAAiACkAOwBcAG4AXABuAFYARQBFAFIARwBfADQAXwA2AF8AMQBfADEANABfAF8AMQBfAEwAZQBhAGMAaABpAG4AZwBBAG4AZABSAHUAbgBvAGYAZgBFAG0AaQBzAHMAaQBvAG4AcwBGAHIAbwBtAFAAbwB1AGwAdAByAHkATQBhAG4AdQByAGUATwBuAFAAYQBzAHQAdQByAGUAXwBVAG4AaQB0AFwAbgAgACAAPQBMAEEATQBCAEQAQQAoAFwAIgB0ACAATgAyAE8AXAAiACkAOwBcAG4AXABuAFYARQBFAFIARwBfADQAXwA2AF8AMQBfADEANABfAF8AMQBfAEwAZQBhAGMAaABpAG4AZwBBAG4AZABSAHUAbgBvAGYAZgBFAG0AaQBzAHMAaQBvAG4AcwBGAHIAbwBtAFAAbwB1AGwAdAByAHkATQBhAG4AdQByAGUATwBuAFAAYQBzAHQAdQByAGUAXwBTAG8AdQByAGMAZQBcAG4AIAAgAD0ATABBAE0AQgBEAEEAKABcACIAVgBFAEUAUgBHACAAMgAwADIANgA6ACAANAAuADYALgAxAC4AMQA0ACwAIABFAHEAdQBhAHQAaQBvAG4AIAAoADEAKQBcACIAKQA7AFwAbgBcAG4AVgBFAEUAUgBHAF8ANABfADYAXwAxAF8AMQA0AF8AXwAxAF8ATABlAGEAYwBoAGkAbgBnAEEAbgBkAFIAdQBuAG8AZgBmAEUAbQBpAHMAcwBpAG8AbgBzAEYAcgBvAG0AUABvAHUAbAB0AHIAeQBNAGEAbgB1AHIAZQBPAG4AUABhAHMAdAB1AHIAZQBfAE4ASQBSAFIAZQBmAGUAcgBlAG4AYwBlAFwAbgAgACAAPQBMAEEATQBCAEQAQQAoAFwAIgBcACIAKQA7AFwAbgBcAG4AVgBFAEUAUgBHAF8ANABfADYAXwAxAF8AMQA0AF8AXwAxAF8ATABlAGEAYwBoAGkAbgBnAEEAbgBkAFIAdQBuAG8AZgBmAEUAbQBpAHMAcwBpAG8AbgBzAEYAcgBvAG0AUABvAHUAbAB0AHIAeQBNAGEAbgB1AHIAZQ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2AF8AMQBfADEANABfAF8AMQBfAEwAZQBhAGMAaABpAG4AZwBBAG4AZABSAHUAbgBvAGYAZgBFAG0AaQBzAHMAaQBvAG4AcwBGAHIAbwBtAFAAbwB1AGwAdAByAHkATQBhAG4AdQByAGU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wAG8AdQBsAHQAcgB5ACAAbQBhAG4AdQByAGUAIABkAGUAcABvAHMAaQB0AGUAZAAgAG8AbgAgAHAAYQBzAHQAdQByAGUAXAAiACwAXAAiAGsAZwAgAE4AXAAiACwAIABcACIAQwBhAGwAYwB1AGwAYQB0AGUAZAAgAGYAcgBvAG0AIAA0AC4ANgAuADEALgAxADQAIAAoADIAKQBcACIAOwBcAG4AIAAgACAAIAAgACAAIAAgACAAIABcACIARQBGAF8AbABlAGEAYwBoAFwAIgAsACAAXAAiAGUAbQBpAHMAcwBpAG8AbgAgAGYAYQBjAHQAbwByACAAZgBvAHIAIABsAGUAYQBjAGgAaQBuAGcAIABhAG4AZAAgAHIAdQBuAG8AZgBmACAAKABrAGcAIABOADIATwAtAE4ALwBrAGcAIABO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NABfAF8AMgBfAE0AYQBzAHMATwBmAE4AaQB0AHIAbwBnAGUAbgBMAG8AcwB0AFQAbwBMAGUAYQBjAGgAaQBuAGcAQQBuAGQAUgB1AG4AbwBmAGYARgByAG8AbQBQAG8AdQBsAHQAcgB5AE0AYQBuAHUAcgBlAE8AbgBQAGEAcwB0AHUAcgBlAFwAbgBNAGEAcwBzACAAbwBmACAAbgBpAHQAcgBvAGcAZQBuACAAbABvAHMAdAAgAHQAbwAgAGwAZQBhAGMAaABpAG4AZwAgAGEAbgBkACAAcgB1AG4AbwBmAGYAIABmAHIAbwBtACAAcABvAHUAbAB0AHIAeQAgAG0AYQBuAHUAcgBlACAAZABlAHAAbwBzAGkAdABlAGQAIABvAG4AIABwAGEAcwB0AHUAcgBlAFwAbgBNAF8AbABlAGEAYwBoAF8AbQAxADQAXABuAGsAZwAgAE4AXABuAE0AXwB7AGwAZQBhAGMAaAAsAG0APQAxADQAfQA9AE0ATgBfAHsAagBrAG0APQAxADQALABUAD0AMQB9AFwAXAB0AGkAbQBlAHMAIABGAHIAYQBjAFcAZQB0AFwAXAB0AGkAbQBlAHMAIABGAHIAYQBjAEwARQBBAEMASABfAE0AUwBcAG4ATQBOAF8AagBrAG0AMQA0AFQAMQAgAD0AIABtAGEAcwBzACAAbwBmACAAbgBpAHQAcgBvAGcAZQBuACAAZQB4AGMAcgBlAHQAZQBkACAAZABpAHIAZQBjAHQAbAB5ACAAbwBuACAAcABhAHMAdAB1AHIAZQAgAGIAeQAgAHAAbwB1AGwAdAByAHkAIABjAGwAYQBzAHMAIABhAG4AZAAgAHMAdQBiAGMAbABhAHMAcwAgACgAawBnACAATgApAFwAbgBGAHIAYQBjAFcAZQB0ACAAPQAgAGYAcgBhAGMAdABpAG8AbgAgAG8AZgAgAE4AIABhAHYAYQBpAGwAYQBiAGwAZQAgAGYAbwByACAAbABlAGEAYwBoAGkAbgBnACAAYQBuAGQAIAByAHUAbgBvAGYAZgBcAG4ARgByAGEAYwBMAEUAQQBDAEgAXwBNAFMAIAA9ACAAZgByAGEAYwB0AGkAbwBuACAAbwBmACAATgAgAHQAaABhAHQAIABpAHMAIABsAG8AcwB0ACAAdABoAHIAbwB1AGcAaAAgAGwAZQBhAGMAaABpAG4AZwAgAGEAbgBkACAAcgB1AG4AbwBmAGYAXABuAC0ALQAtAC0ALQAtAC0ALQAtAC0ALQAtAC0ALQAtAC0ALQAtAC0ALQAtAC0ALQAtAC0ALQAtAC0ALQAtAC0ALQAtAC0ALQAtAC0ALQBcAG4AKgAvAFwAbgBcAG4AVgBFAEUAUgBHAF8ANABfADYAXwAxAF8AMQA0AF8AXwAyAF8ATQBhAHMAcwBPAGYATgBpAHQAcgBvAGcAZQBuAEwAbwBzAHQAVABvAEwAZQBhAGMAaABpAG4AZwBBAG4AZABSAHUAbgBvAGYAZgBGAHIAbwBtAFAAbwB1AGwAdAByAHkATQBhAG4AdQByAGUATwBuAFAAYQBzAHQAdQByAGUAXABuACAAIAA9AEwAQQBNAEIARABBACgAXABuACAAIAAgACAATQBOAF8AagBrAG0AMQA0AFQAMQAsACAARgByAGEAYwBXAGUAdAAsACAARgByAGEAYwBMAEUAQQBDAEgAXwBNAFMALABcAG4AIAAgACAAIABNAE4AXwBqAGsAbQAxADQAVAAxACAAKgAgAEYAcgBhAGMAVwBlAHQAIAAqACAARgByAGEAYwBMAEUAQQBDAEgAXwBNAFMAXABuACAAIAApADsAXABuAFwAbgBWAEUARQBSAEcAXwA0AF8ANgBfADEAXwAxADQAXwBfADIAXwBNAGEAcwBzAE8AZgBOAGkAdAByAG8AZwBlAG4ATABvAHMAdABUAG8ATABlAGEAYwBoAGkAbgBnAEEAbgBkAFIAdQBuAG8AZgBmAEYAcgBvAG0AUABvAHUAbAB0AHIAeQBNAGEAbgB1AHIAZQBPAG4AUABhAHMAdAB1AHIAZQBfAFQAaQB0AGwAZQBcAG4AIAAgAD0ATABBAE0AQgBEAEEAKABcACIATQBhAHMAcwAgAG8AZgAgAG4AaQB0AHIAbwBnAGUAbgAgAGwAbwBzAHQAIAB0AG8AIABsAGUAYQBjAGgAaQBuAGcAIABhAG4AZAAgAHIAdQBuAG8AZgBmACAAZgByAG8AbQAgAHAAbwB1AGwAdAByAHkAIABtAGEAbgB1AHIAZQAgAGQAZQBwAG8AcwBpAHQAZQBkACAAbwBuACAAcABhAHMAdAB1AHIAZQBcACIAKQA7AFwAbgBcAG4AVgBFAEUAUgBHAF8ANABfADYAXwAxAF8AMQA0AF8AXwAyAF8ATQBhAHMAcwBPAGYATgBpAHQAcgBvAGcAZQBuAEwAbwBzAHQAVABvAEwAZQBhAGMAaABpAG4AZwBBAG4AZABSAHUAbgBvAGYAZgBGAHIAbwBtAFAAbwB1AGwAdAByAHkATQBhAG4AdQByAGUATwBuAFAAYQBzAHQAdQByAGUAXwBWAGEAcgBpAGEAYgBsAGUAXABuACAAIAA9AEwAQQBNAEIARABBACgAXAAiAE0AXwBsAGUAYQBjAGgAXwBtADEANABcACIAKQA7AFwAbgBcAG4AVgBFAEUAUgBHAF8ANABfADYAXwAxAF8AMQA0AF8AXwAyAF8ATQBhAHMAcwBPAGYATgBpAHQAcgBvAGcAZQBuAEwAbwBzAHQAVABvAEwAZQBhAGMAaABpAG4AZwBBAG4AZABSAHUAbgBvAGYAZgBGAHIAbwBtAFAAbwB1AGwAdAByAHkATQBhAG4AdQByAGUATwBuAFAAYQBzAHQAdQByAGUAXwBVAG4AaQB0AFwAbgAgACAAPQBMAEEATQBCAEQAQQAoAFwAIgBrAGcAIABOAFwAIgApADsAXABuAFwAbgBWAEUARQBSAEcAXwA0AF8ANgBfADEAXwAxADQAXwBfADIAXwBNAGEAcwBzAE8AZgBOAGkAdAByAG8AZwBlAG4ATABvAHMAdABUAG8ATABlAGEAYwBoAGkAbgBnAEEAbgBkAFIAdQBuAG8AZgBmAEYAcgBvAG0AUABvAHUAbAB0AHIAeQBNAGEAbgB1AHIAZQBPAG4AUABhAHMAdAB1AHIAZQBfAFMAbwB1AHIAYwBlAFwAbgAgACAAPQBMAEEATQBCAEQAQQAoAFwAIgBWAEUARQBSAEcAIAAyADAAMgA2ADoAIAA0AC4ANgAuADEALgAxADQALAAgAEUAcQB1AGEAdABpAG8AbgAgACgAMgApAFwAIgApADsAXABuAFwAbgBWAEUARQBSAEcAXwA0AF8ANgBfADEAXwAxADQAXwBfADIAXwBNAGEAcwBzAE8AZgBOAGkAdAByAG8AZwBlAG4ATABvAHMAdABUAG8ATABlAGEAYwBoAGkAbgBnAEEAbgBkAFIAdQBuAG8AZgBmAEYAcgBvAG0AUABvAHUAbAB0AHIAeQBNAGEAbgB1AHIAZQBPAG4AUABhAHMAdAB1AHIAZQBfAE4ASQBSAFIAZQBmAGUAcgBlAG4AYwBlAFwAbgAgACAAPQBMAEEATQBCAEQAQQAoAFwAIgBcACIAKQA7AFwAbgBcAG4AVgBFAEUAUgBHAF8ANABfADYAXwAxAF8AMQA0AF8AXwAyAF8ATQBhAHMAcwBPAGYATgBpAHQAcgBvAGcAZQBuAEwAbwBzAHQAVABvAEwAZQBhAGMAaABpAG4AZwBBAG4AZABSAHUAbgBvAGYAZgBGAHIAbwBtAFAAbwB1AGwAdAByAHkATQBhAG4AdQByAGUATwBuAFAAYQBzAHQAdQByAGUAXwBMAGEAdABlAHgARQBxAHUAYQB0AGkAbwBuAFwAbgAgACAAPQBMAEEATQBCAEQAQQAoAFwAIgBNAF8AewBsAGUAYQBjAGgALABtAD0AMQA0AH0APQBcAFwAcwB1AG0AXwB7AGoAfQBcAFwAcwB1AG0AXwB7AGsAfQAoAE0ATgBfAHsAagBrAG0APQAxADQALABUAD0AMQB9AFwAXAB0AGkAbQBlAHMAIABGAHIAYQBjAFcAZQB0AFwAXAB0AGkAbQBlAHMAIABGAHIAYQBjAEwARQBBAEMASABfAE0AUwApAFwAIgApADsAXABuAFwAbgBWAEUARQBSAEcAXwA0AF8ANgBfADEAXwAxADQAXwBfADIAXwBNAGEAcwBzAE8AZgBOAGkAdAByAG8AZwBlAG4ATABvAHMAdABUAG8ATABlAGEAYwBoAGkAbgBnAEEAbgBkAFIAdQBuAG8AZgBmAEYAcgBvAG0AUABvAHUAbAB0AHIAeQBNAGEAbgB1AHIAZQ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VwBlAH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FAG4AdABlAHIAaQBjAE0AZQB0AGgAYQBuAGUAXwBQAGEAcwB0AHUAcgBlAEIAZQBlAGYAXwBFAHEAdQBhAHQAaQBvAG4AcwAiACwAIgB0AGUAeAB0ACIAOgAiAC8AKgBcAG4APQA9AD0APQA9AD0APQA9AD0APQA9AD0APQA9AD0APQA9AD0APQA9AD0APQA9AD0APQA9AD0APQA9AD0APQA9AD0APQA9AD0APQA9AD0APQA9AD0APQA9AD0APQA9AD0APQA9AD0APQA9AD0APQA9AD0APQA9AD0APQA9AD0APQA9AD0APQA9AD0APQA9AD0APQA9AD0APQBcAG4AMwAuADIAOgAgAEUAbgB0AGUAcgBpAGMAIABNAGUAdABoAGEAbgBlACAALQAgAFAAYQBzAHQAdQByAGUAIABCAGUAZQBmAFwAbgA9AD0APQA9AD0APQA9AD0APQA9AD0APQA9AD0APQA9AD0APQA9AD0APQA9AD0APQA9AD0APQA9AD0APQA9AD0APQA9AD0APQA9AD0APQA9AD0APQA9AD0APQA9AD0APQA9AD0APQA9AD0APQA9AD0APQA9AD0APQA9AD0APQA9AD0APQA9AD0APQA9AD0APQA9AD0APQA9AFwAbgAzAC4AMgAuADEALgAxACAATQBlAHQAaABvAGQAIAAxACAALQAgAEUAbgB0AGUAcgBpAGM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y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wByAGEAegBpAG4AZwAgAGIAZQBlAGYAIABjAGEAdAB0AGwAZQBcAG4ARQBfAGUAbgB0AGUAcgBpAGMAXABuAHQAIABDAEgANABcAG4ARQBfAHsAZQBuAHQAZQByAGkAYwB9AD0AXABcAHMAdQBtAF8AewBqAH0AXABcAHMAdQBtAF8AewBrAH0AXABcAHMAdQBtAF8AewBsAH0AKABEAF8AagBcAFwAdABpAG0AZQBzACAATQBfAHsAagBrAGwAfQBcAFwAdABpAG0AZQBzACAATgBfAHsAagBrAGwAfQApAFwAXAB0AGkAbQBlAHMAIAAxADAAXgB7AC0AMwB9AFwAbgBEAF8AagAgAD0AIABuAHUAbQBiAGUAcgAgAG8AZgAgAGQAYQB5AHMAIAB0AGgAZQAgAGEAbgBpAG0AYQBsACAAaQBzACAAbwBuACAAdABoAGUAIABmAGEAcgBtACAAaQBuACAAZQBhAGMAaAAgAHQAaQBtAGUALQBwAGUAcgBpAG8AZAAgACgAZABhAHkAcwApAFwAbgBNAF8AagBrAGwAIAA9ACAAZABhAGkAbAB5ACAAcAByAG8AZAB1AGMAdABpAG8AbgAgAG8AZgAgAGUAbgB0AGUAcgBpAGMAIABtAGUAdABoAGEAbgBlACAAaQBuACAAZQBhAGMAaAAgAHQAaQBtAGUALQBwAGUAcgBpAG8AZAAsACAAYwBsAGEAcwBzACAAYQBuAGQAIABzAHUAYgBjAGwAYQBzAHMAIAAoAGsAZwAgAEMASAA0AC8AaABlAGEAZAAvAGQAYQB5ACkAXABuAE4AXwBqAGsAbAAgAD0AIABuAHUAbQBiAGUAcgAgAG8AZgAgAGIAZQBlAGYAIABjAGEAdAB0AGwAZQAgAGkAbgAgAGUAYQBjAGgAIAB0AGkAbQBlAC0AcABlAHIAaQBvAGQALAAgAGMAbABhAHMAcwAgAGEAbgBkACAAcwB1AGIAYwBsAGEAcwBzACAAKABoAGUAYQBkACkAXABuAC0ALQAtAC0ALQAtAC0ALQAtAC0ALQAtAC0ALQAtAC0ALQAtAC0ALQAtAC0ALQAtAC0ALQAtAC0ALQAtAC0ALQAtAC0ALQAtAC0ALQBcAG4AKgAvAFwAbgBcAG4AVgBFAEUAUgBHAF8AMwBfADIAXwAxAF8AMQBfAF8AMQBfAFQAbwB0AGEAbABBAG4AbgB1AGEAbABNAGUAdABoAGEAbgBlAEYAcgBvAG0ARQBuAHQAZQByAGkAYwBGAGUAcgBtAGUAbgB0AGEAdABpAG8AbgBcAG4AIAAgAD0ATABBAE0AQgBEAEEAKABcAG4AIAAgACAAIABEAF8AagAsACAATQBfAGoAawBsACwAIABOAF8AagBrAGwALABcAG4AIAAgACAAIAAoAEQAXwBqACAAKgAgAE0AXwBqAGsAbAAgACoAIABOAF8AagBrAGwAKQAgACoAIAAxADAAIABeACAALQAzAFwAbgAgACAAKQA7AFwAbgBcAG4AVgBFAEUAUgBHAF8AMwBfADI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nAHIAYQB6AGkAbgBnACAAYgBlAGUAZgAgAGMAYQB0AHQAbABlAFwAIgApADsAXABuAFwAbgBWAEUARQBSAEcAXwAzAF8AMgBfADEAXwAxAF8AXwAxAF8AVABvAHQAYQBsAEEAbgBuAHUAYQBsAE0AZQB0AGgAYQBuAGUARgByAG8AbQBFAG4AdABlAHIAaQBjAEYAZQByAG0AZQBuAHQAYQB0AGkAbwBuAF8AVgBhAHIAaQBhAGIAbABlAFwAbgAgACAAPQBMAEEATQBCAEQAQQAoAFwAIgBFAF8AZQBuAHQAZQByAGkAYwBcACIAKQA7AFwAbgBcAG4AVgBFAEUAUgBHAF8AMwBfADIAXwAxAF8AMQBfAF8AMQBfAFQAbwB0AGEAbABBAG4AbgB1AGEAbABNAGUAdABoAGEAbgBlAEYAcgBvAG0ARQBuAHQAZQByAGkAYwBGAGUAcgBtAGUAbgB0AGEAdABpAG8AbgBfAFUAbgBpAHQAXABuACAAIAA9AEwAQQBNAEIARABBACgAXAAiAHQAIABDAEgANABcACIAKQA7AFwAbgBcAG4AVgBFAEUAUgBHAF8AMwBfADIAXwAxAF8AMQBfAF8AMQBfAFQAbwB0AGEAbABBAG4AbgB1AGEAbABNAGUAdABoAGEAbgBlAEYAcgBvAG0ARQBuAHQAZQByAGkAYwBGAGUAcgBtAGUAbgB0AGEAdABpAG8AbgBfAFMAbwB1AHIAYwBlAFwAbgAgACAAPQBMAEEATQBCAEQAQQAoAFwAIgBWAEUARQBSAEcAIAAyADAAMgA2ADoAIAAzAC4AMgAuADEALgAxACwAIABFAHEAdQBhAHQAaQBvAG4AIAAoADEAKQBcACIAKQA7AFwAbgBcAG4AVgBFAEUAUgBHAF8AMwBfADIAXwAxAF8AMQBfAF8AMQBfAFQAbwB0AGEAbABBAG4AbgB1AGEAbABNAGUAdABoAGEAbgBlAEYAcgBvAG0ARQBuAHQAZQByAGkAYwBGAGUAcgBtAGUAbgB0AGEAdABpAG8AbgBfAE4ASQBSAFIAZQBmAGUAcgBlAG4AYwBlAFwAbgAgACAAPQBMAEEATQBCAEQAQQAoAFwAIgBcACIAKQA7AFwAbgBcAG4AVgBFAEUAUgBHAF8AMwBfADIAXwAxAF8AMQBfAF8AMQBfAFQAbwB0AGEAbABBAG4AbgB1AGEAbABNAGUAdABoAGEAbgBlAEYAcgBvAG0ARQBuAHQAZQByAGkAYwBGAGUAcgBtAGUAbgB0AGEAdABpAG8AbgBfAEwAYQB0AGUAeABFAHEAdQBhAHQAaQBvAG4AXABuACAAIAA9AEwAQQBNAEIARABBACgAXAAiAEUAXwB7AGUAbgB0AGUAcgBpAGMAfQA9AFwAXABzAHUAbQBfAHsAagB9AFwAXABzAHUAbQBfAHsAawB9AFwAXABzAHUAbQBfAHsAbAB9ACgARABfAGoAXABcAHQAaQBtAGUAcwAgAE0AXwB7AGoAawBsAH0AXABcAHQAaQBtAGUAcwAgAE4AXwB7AGoAawBsAH0AKQBcAFwAdABpAG0AZQBzACAAMQAwAF4AewAtADMAfQBcACIAKQA7AFwAbgBcAG4AVgBFAEUAUgBHAF8AMwBfADI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EAF8AagBcACIALAAgAFwAIgBuAHUAbQBiAGUAcgAgAG8AZgAgAGQAYQB5AHMAIAB0AGgAZQAgAGEAbgBpAG0AYQBsACAAaQBzACAAbwBuACAAdABoAGUAIABmAGEAcgBtACAAaQBuACAAZQBhAGMAaAAgAHQAaQBtAGUALQBwAGUAcgBpAG8AZABcACIALAAgAFwAIgBkAGEAeQBzAFwAIgAsACAAXAAiAEkAbgBwAHUAdABcACIAOwBcAG4AIAAgACAAIAAgACAAIAAgACAAIABcACIATQBfAGoAawBsAFwAIgAsACAAXAAiAGQAYQBpAGwAeQAgAHAAcgBvAGQAdQBjAHQAaQBvAG4AIABvAGYAIABlAG4AdABlAHIAaQBjACAAbQBlAHQAaABhAG4AZQAgAGkAbgAgAGUAYQBjAGgAIAB0AGkAbQBlAC0AcABlAHIAaQBvAGQALAAgAGMAbABhAHMAcwAgAGEAbgBkACAAcwB1AGIAYwBsAGEAcwBzAFwAIgAsACAAXAAiAGsAZwAgAEMASAA0AC8AaABlAGEAZAAvAGQAYQB5AFwAIgAsACAAXAAiAEMAYQBsAGMAdQBsAGEAdABlAGQAIABmAHIAbwBtACAAMwAuADIALgAxAC4AMQAsACAAKAAyACkAXAAiAD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IAXwBEAGEAaQBsAHkARQBuAHQAZQByAGkAYwBNAGUAdABoAGEAbgBlAFAAcgBvAGQAdQBjAHQAaQBvAG4AXABuAEQAYQBpAGwAeQAgAHAAcgBvAGQAdQBjAHQAaQBvAG4AIABvAGYAIABlAG4AdABlAHIAaQBjACAAbQBlAHQAaABhAG4AZQBcAG4ATQBfAGoAawBsAFwAbgBrAGcAIABDAEgANAAvAGgAZQBhAGQALwBkAGEAeQBcAG4ATQBfAHsAagBrAGwAfQA9ADIAMAAuADcAXABcAHQAaQBtAGUAcwAgAEkAXwB7AGoAawBsAH0AXABcAHQAaQBtAGUAcwAgADEAMABeAHsALQAzAH0AXABuAEkAXwBqAGsAbAAgAD0AIABkAHIAeQAgAG0AYQB0AHQAZQByACAAaQBuAHQAYQBrAGUAIAAoAGsAZwAgAEQATQAvAGgAZQBhAGQALwBkAGEAeQApAFwAbgAtAC0ALQAtAC0ALQAtAC0ALQAtAC0ALQAtAC0ALQAtAC0ALQAtAC0ALQAtAC0ALQAtAC0ALQAtAC0ALQAtAC0ALQAtAC0ALQAtAC0AXABuACoALwBcAG4AXABuAFYARQBFAFIARwBfADMAXwAyAF8AMQBfADEAXwBfADIAXwBEAGEAaQBsAHkARQBuAHQAZQByAGkAYwBNAGUAdABoAGEAbgBlAFAAcgBvAGQAdQBjAHQAaQBvAG4AXABuACAAIAA9AEwAQQBNAEIARABBACgAXABuACAAIAAgACAASQBfAGoAawBsACwAXABuACAAIAAgACAAMgAwAC4ANwAgACoAIABJAF8AagBrAGwAIAAqACAAMQAwACAAXgAgAC0AMwBcAG4AIAAgACkAOwBcAG4AXABuAFYARQBFAFIARwBfADMAXwAy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IAXwAxAF8AMQBfAF8AMgBfAEQAYQBpAGwAeQBFAG4AdABlAHIAaQBjAE0AZQB0AGgAYQBuAGUAUAByAG8AZAB1AGMAdABpAG8AbgBfAFYAYQByAGkAYQBiAGwAZQBcAG4AIAAgAD0ATABBAE0AQgBEAEEAKABcACIATQBfAGoAawBsAFwAIgApADsAXABuAFwAbgBWAEUARQBSAEcAXwAzAF8AMgBfADEAXwAxAF8AXwAyAF8ARABhAGkAbAB5AEUAbgB0AGUAcgBpAGMATQBlAHQAaABhAG4AZQBQAHIAbwBkAHUAYwB0AGkAbwBuAF8AVQBuAGkAdABcAG4AIAAgAD0ATABBAE0AQgBEAEEAKABcACIAawBnACAAQwBIADQALwBoAGUAYQBkAC8AZABhAHkAXAAiACkAOwBcAG4AXABuAFYARQBFAFIARwBfADMAXwAyAF8AMQBfADEAXwBfADIAXwBEAGEAaQBsAHkARQBuAHQAZQByAGkAYwBNAGUAdABoAGEAbgBlAFAAcgBvAGQAdQBjAHQAaQBvAG4AXwBTAG8AdQByAGMAZQBcAG4AIAAgAD0ATABBAE0AQgBEAEEAKABcACIAVgBFAEUAUgBHACAAMgAwADIANgA6ACAAMwAuADIALgAxAC4AMQAsACAARQBxAHUAYQB0AGkAbwBuACAAKAAyACkAXAAiACkAOwBcAG4AXABuAFYARQBFAFIARwBfADMAXwAyAF8AMQBfADEAXwBfADIAXwBEAGEAaQBsAHkARQBuAHQAZQByAGkAYwBNAGUAdABoAGEAbgBlAFAAcgBvAGQAdQBjAHQAaQBvAG4AXwBOAEkAUgBSAGUAZgBlAHIAZQBuAGMAZQBcAG4AIAAgAD0ATABBAE0AQgBEAEEAKABcACIAQwBoAGEAcgBtAGwAZQB5ACAAZQB0ACAAYQBsAC4AIAAoADIAMAAxADUAKQBcACIAKQA7AFwAbgBcAG4AVgBFAEUAUgBHAF8AMwBfADIAXwAxAF8AMQBfAF8AMgBfAEQAYQBpAGwAeQBFAG4AdABlAHIAaQBjAE0AZQB0AGgAYQBuAGUAUAByAG8AZAB1AGMAdABpAG8AbgBfAEwAYQB0AGUAeABFAHEAdQBhAHQAaQBvAG4AXABuACAAIAA9AEwAQQBNAEIARABBACgAXAAiAE0AXwB7AGoAawBsAH0APQAyADAALgA3AFwAXAB0AGkAbQBlAHMAIABJAF8AewBqAGsAbAB9AFwAXAB0AGkAbQBlAHMAIAAxADAAXgB7AC0AMwB9AFwAIgApADsAXABuAFwAbgBWAEUARQBSAEcAXwAzAF8AMg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GsAbABcACIALAAgAFwAIgBkAHIAeQAgAG0AYQB0AHQAZQByACAAaQBuAHQAYQBrAGUAXAAiACwAIABcACIAawBnACAARABNAC8AaABlAGEAZAAvAGQAYQB5AFwAIgAsACAAXAAiAEMAYQBsAGMAdQBsAGEAdABlAGQAIABmAHIAbwBtACAAMwAuADIALgAxAC4AMQAsACAAKAAzACk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wBfAEYAZQBlAGQASQBuAHQAYQBrAGUARgBvAHIARwByAGEAegBpAG4AZwBCAGUAZQBmAFwAbgBGAGUAZQBkACAAaQBuAHQAYQBrAGUAIABmAG8AcgAgAGcAcgBhAHoAaQBuAGcAIABiAGUAZQBmACAAYwBhAHQAdABsAGUAXABuAEkAXwBqAGsAbABcAG4AawBnACAARABNAC8AaABlAGEAZAAvAGQAYQB5AFwAbgBJAF8AewBqAGsAbAB9AD0AKAAxAC4AMQA4ADUAKwAwAC4AMAAwADQANQA0AFwAXAB0AGkAbQBlAHMAIABXAF8AewBqAGsAbAB9AC0AMAAuADAAMAAwADAAMAAyADYAXABcAHQAaQBtAGUAcwAgAFcAXwB7AGoAawBsAH0AXgB7ADIAfQArADAALgAzADEANQBcAFwAdABpAG0AZQBzACAATABXAEcAXwB7AGoAawBsAH0AKQBeADIAXABcAHQAaQBtAGUAcwAgAE0AQQBfAHsAagBrAD0ANAAsADUAfQBcAG4AVwBfAGoAawBsACAAPQAgAGwAaQB2AGUAdwBlAGkAZwBoAHQAIAAoAGsAZwApAFwAbgBMAFcARwBfAGoAawBsACAAPQAgAGwAaQB2AGUAIAB3AGUAaQBnAGgAdAAgAGcAYQBpAG4AIAAoAGsAZwAvAGgAZQBhAGQALwBkAGEAeQApAFwAbgBNAEEAXwBqAGsANAA1ACAAPQAgAGEAZABkAGkAdABpAG8AbgBhAGwAIABpAG4AdABhAGsAZQAgAGYAbwByACAAbQBpAGwAawAgAHAAcgBvAGQAdQBjAHQAaQBvAG4AIABpAG4AIABjAG8AdwBzACAAZwByAGUAYQB0AGUAcgAgAHQAaABhAG4AIAAyACAAeQBlAGEAcgBzACAAKABrAGcALwBoAGUAYQBkAC8AZABhAHkAKQBcAG4ALQAtAC0ALQAtAC0ALQAtAC0ALQAtAC0ALQAtAC0ALQAtAC0ALQAtAC0ALQAtAC0ALQAtAC0ALQAtAC0ALQAtAC0ALQAtAC0ALQAtAFwAbgAqAC8AXABuAFwAbgBWAEUARQBSAEcAXwAzAF8AMgBfADEAXwAxAF8AXwAzAF8ARgBlAGUAZABJAG4AdABhAGsAZQBGAG8AcgBHAHIAYQB6AGkAbgBnAEIAZQBlAGYAXABuACAAIAA9AEwAQQBNAEIARABBACgAXABuACAAIAAgACAAVwBfAGoAawBsACwAIABMAFcARwBfAGoAawBsACwAIABNAEEAXwBqAGsANAA1ACwAXABuACAAIAAgACAAKAAxAC4AMQA4ADUAIAArACAAMAAuADAAMAA0ADUANAAgACoAIABXAF8AagBrAGwAIAAtACAAMAAuADAAMAAwADAAMAAyADYAIAAqACAAVwBfAGoAawBsACAAXgAgADIAIAArACAAMAAuADMAMQA1ACAAKgAgAEwAVwBHAF8AagBrAGwAKQAgAF4AIAAyACAAKgAgAE0AQQBfAGoAawA0ADUAXABuACAAIAApADsAXABuAFwAbgBWAEUARQBSAEcAXwAzAF8AMgBfADEAXwAxAF8AXwAzAF8ARgBlAGUAZABJAG4AdABhAGsAZQBGAG8AcgBHAHIAYQB6AGkAbgBnAEIAZQBlAGYAXwBUAGkAdABsAGUAXABuACAAIAA9AEwAQQBNAEIARABBACgAXAAiAEYAZQBlAGQAIABpAG4AdABhAGsAZQAgAGYAbwByACAAZwByAGEAegBpAG4AZwAgAGIAZQBlAGYAIABjAGEAdAB0AGwAZQBcACIAKQA7AFwAbgBcAG4AVgBFAEUAUgBHAF8AMwBfADIAXwAxAF8AMQBfAF8AMwBfAEYAZQBlAGQASQBuAHQAYQBrAGUARgBvAHIARwByAGEAegBpAG4AZwBCAGUAZQBmAF8AVgBhAHIAaQBhAGIAbABlAFwAbgAgACAAPQBMAEEATQBCAEQAQQAoAFwAIgBJAF8AagBrAGwAXAAiACkAOwBcAG4AXABuAFYARQBFAFIARwBfADMAXwAyAF8AMQBfADEAXwBfADMAXwBGAGUAZQBkAEkAbgB0AGEAawBlAEYAbwByAEcAcgBhAHoAaQBuAGcAQgBlAGUAZgBfAFUAbgBpAHQAXABuACAAIAA9AEwAQQBNAEIARABBACgAXAAiAGsAZwAgAEQATQAvAGgAZQBhAGQALwBkAGEAeQBcACIAKQA7AFwAbgBcAG4AVgBFAEUAUgBHAF8AMwBfADIAXwAxAF8AMQBfAF8AMwBfAEYAZQBlAGQASQBuAHQAYQBrAGUARgBvAHIARwByAGEAegBpAG4AZwBCAGUAZQBmAF8AUwBvAHUAcgBjAGUAXABuACAAIAA9AEwAQQBNAEIARABBACgAXAAiAFYARQBFAFIARwAgADIAMAAyADYAOgAgADMALgAyAC4AMQAuADEALAAgAEUAcQB1AGEAdABpAG8AbgAgACgAMwApAFwAIgApADsAXABuAFwAbgBWAEUARQBSAEcAXwAzAF8AMgBfADEAXwAxAF8AXwAzAF8ARgBlAGUAZABJAG4AdABhAGsAZQBGAG8AcgBHAHIAYQB6AGkAbgBnAEIAZQBlAGYAXwBOAEkAUgBSAGUAZgBlAHIAZQBuAGMAZQBcAG4AIAAgAD0ATABBAE0AQgBEAEEAKABcACIATQBpAG4AcwBvAG4AIABhAG4AZAAgAE0AYwBEAG8AbgBhAGwAZAAgACgAMQA5ADgANwApAFwAIgApADsAXABuAFwAbgBWAEUARQBSAEcAXwAzAF8AMgBfADEAXwAxAF8AXwAzAF8ARgBlAGUAZABJAG4AdABhAGsAZQBGAG8AcgBHAHIAYQB6AGkAbgBnAEIAZQBlAGYAXwBMAGEAdABlAHgARQBxAHUAYQB0AGkAbwBuAFwAbgAgACAAPQBMAEEATQBCAEQAQQAoAFwAIgBJAF8AewBqAGsAbAB9AD0AKAAxAC4AMQA4ADUAKwAwAC4AMAAwADQANQA0AFwAXAB0AGkAbQBlAHMAIABXAF8AewBqAGsAbAB9AC0AMAAuADAAMAAwADAAMAAyADYAXABcAHQAaQBtAGUAcwAgAFcAXwB7AGoAawBsAH0AXgB7ADIAfQArADAALgAzADEANQBcAFwAdABpAG0AZQBzACAATABXAEcAXwB7AGoAawBsAH0AKQBeADIAXABcAHQAaQBtAGUAcwAgAE0AQQBfAHsAagBrAD0ANAAsADUAfQBcACIAKQA7AFwAbgBcAG4AVgBFAEUAUgBHAF8AMwBfADIAXwAxAF8AMQBfAF8AMwBfAEYAZQBlAGQASQBuAHQAYQBrAGUARgBvAHIARwByAGEAegBpAG4AZwBCAGUAZQBmAF8AQQByAGcAdQBtAGUAbgB0AHMAXABuACAAIAA9AEwAQQBNAEIARABBACgAXABuACAAIAAgACAATQBBAEsARQBBAFIAUgBBAFkAKAAzACwAIAA0ACwAXABuACAAIAAgACAAIAAgAEwAQQBNAEIARABBACgAcgAsAGMALABcAG4AIAAgACAAIAAgACAAIAAgAEkATgBEAEUAWAAoAHsAXABuACAAIAAgACAAIAAgACAAIAAgACAAXAAiAFcAXwBqAGsAbABcACIALAAgAFwAIgBsAGkAdgBlAHcAZQBpAGcAaAB0ACAAKABrAGcAKQBcACIALAAgAFwAIgBrAGcAXAAiACwAIABcACIASQBuAHAAdQB0AFwAIgA7AFwAbgAgACAAIAAgACAAIAAgACAAIAAgAFwAIgBMAFcARwBfAGoAawBsAFwAIgAsACAAXAAiAGwAaQB2AGUAIAB3AGUAaQBnAGgAdAAgAGcAYQBpAG4AIAAoAGsAZwAvAGgAZQBhAGQALwBkAGEAeQApAFwAIgAsACAAXAAiAGsAZwAvAGgAZQBhAGQALwBkAGEAeQBcACIALAAgAFwAIgBJAG4AcAB1AHQAXAAiADsAXABuACAAIAAgACAAIAAgACAAIAAgACAAXAAiAE0AQQBfAGoAawA0ADUAXAAiACwAIABcACIAYQBkAGQAaQB0AGkAbwBuAGEAbAAgAGkAbgB0AGEAawBlACAAZgBvAHIAIABtAGkAbABrACAAcAByAG8AZAB1AGMAdABpAG8AbgAgAGkAbgAgAGMAbwB3AHMAIABnAHIAZQBhAHQAZQByACAAdABoAGEAbgAgADIAIAB5AGUAYQByAHMAXAAiACwAIABcACIAawBnAC8AaABlAGEAZAAvAGQAYQB5AFwAIgAsACAAXAAiAEMAYQBsAGMAdQBsAGEAdABlAGQAIABmAHIAbwBtACAAMwAuADIALgAxAC4AMQAsACAAKAA0ACk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NABfAEEAZABkAGkAdABpAG8AbgBhAGwASQBuAHQAYQBrAGUARgBvAHIATQBpAGwAawBQAHIAbwBkAHUAYwB0AGkAbwBuAFwAbgBBAGQAZABpAHQAaQBvAG4AYQBsACAAaQBuAHQAYQBrAGUAIABmAG8AcgAgAG0AaQBsAGsAIABwAHIAbwBkAHUAYwB0AGkAbwBuACAAaQBuACAAdABoAGUAIABzAGUAYQBzAG8AbgAgAG8AZgAgAGMAYQBsAHYAaQBuAGcAIABhAG4AZAAgAHQAaABlACAAcwBlAGEAcwBvAG4AIABhAGYAdABlAHIAIABjAGEAbAB2AGkAbgBnAFwAbgBNAEEAXwBqAGsANAA1AFwAbgBmAHIAYQBjAHQAaQBvAG4AXABuAE0AQQBfAHsAagBrAD0ANAAsADUAfQA9ACgATABDAF8AewBqAGsAPQA0ACwANQB9AFwAXAB0AGkAbQBlAHMAIABGAEEAXwB7AGoAawA9ADQALAA1AH0AKQArACgAMQAtAEwAQwBfAHsAagBrAD0ANAAsADUAfQApAFwAbgBMAEMAXwBqAGsANAA1ACAAPQAgAHAAcgBvAHAAbwByAHQAaQBvAG4AIABvAGYAIABjAG8AdwBzACAAZwByAGUAYQB0AGUAcgAgAHQAaABhAG4AIAAxACAAeQBlAGEAcgAgAGkAbgAgAGMAYQBsAGYAIABpAG4AIAB0AGgAZQAgAHMAZQBhAHMAbwBuACAAbwBmACAAYwBhAGwAdgBpAG4AZwAgAGUAeABwAHIAZQBzAHMAZQBkACAAYQBzACAAYQAgAGYAcgBhAGMAdABpAG8AbgBcAG4ARgBBAF8AagBrADQANQAgAD0AIA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bgAtAC0ALQAtAC0ALQAtAC0ALQAtAC0ALQAtAC0ALQAtAC0ALQAtAC0ALQAtAC0ALQAtAC0ALQAtAC0ALQAtAC0ALQAtAC0ALQAtAC0AXABuACoALwBcAG4AXABuAFYARQBFAFIARwBfADMAXwAyAF8AMQBfADEAXwBfADQAXwBBAGQAZABpAHQAaQBvAG4AYQBsAEkAbgB0AGEAawBlAEYAbwByAE0AaQBsAGsAUAByAG8AZAB1AGMAdABpAG8AbgBcAG4AIAAgAD0ATABBAE0AQgBEAEEAKABcAG4AIAAgACAAIABMAEMAXwBqAGsANAA1ACwAIABGAEEAXwBqAGsANAA1ACwAXABuACAAIAAgACAAKABMAEMAXwBqAGsANAA1ACAAKgAgAEYAQQBfAGoAawA0ADUAKQAgACsAIAAoADEAIAAtACAATABDAF8AagBrADQANQApAFwAbgAgACAAKQA7AFwAbgBcAG4AXABuAFYARQBFAFIARwBfADMAXwAyAF8AMQBfADEAXwBfADQAXwBBAGQAZABpAHQAaQBvAG4AYQBsAEkAbgB0AGEAawBlAEYAbwByAE0AaQBsAGsAUAByAG8AZAB1AGMAdABpAG8AbgBWAGEAcgBpAGEAdABpAG8AbgBcAG4AIAAgAD0ATABBAE0AQgBEAEEAKABcAG4AIAAgACAAIABMAEMAXwBqAGsANAA1AGMAYQBsAHYALAAgAEwAQwBfAGoAawA0ADUAcAByAGUAdgAsACAARgBBAF8AagBrADQANQBjAGEAbAB2ACwAIABGAEEAXwBqAGsANAA1AGEAZgB0AGUAcgAsAFwAbgAgACAAIAAgACgAKABMAEMAXwBqAGsANAA1AGMAYQBsAHYAIAAqACAARgBBAF8AagBrADQANQBjAGEAbAB2ACkAIAArACAAKABMAEMAXwBqAGsANAA1AHAAcgBlAHYAIAAqACAARgBBAF8AagBrADQANQBhAGYAdABlAHIAKQApACAAKwAgACgAMQAgAC0AIAAoAEwAQwBfAGoAawA0ADUAYwBhAGwAdgAgACsAIABMAEMAXwBqAGsANAA1AHAAcgBlAHYAKQApAFwAbgAgACAAKQA7AFwAbgBcAG4AVgBFAEUAUgBHAF8AMwBfADIAXwAxAF8AMQBfAF8ANABfAEEAZABkAGkAdABpAG8AbgBhAGwASQBuAHQAYQBrAGUARgBvAHIATQBpAGwAawBQAHIAbwBkAHUAYwB0AGkAbwBuAF8AVABpAHQAbABlAFwAbgAgACAAPQBMAEEATQBCAEQAQQAoAFwAIgBBAGQAZABpAHQAaQBvAG4AYQBsACAAaQBuAHQAYQBrAGUAIABmAG8AcgAgAG0AaQBsAGsAIABwAHIAbwBkAHUAYwB0AGkAbwBuACAAaQBuACAAdABoAGUAIABzAGUAYQBzAG8AbgAgAG8AZgAgAGMAYQBsAHYAaQBuAGcAIABhAG4AZAAgAHQAaABlACAAcwBlAGEAcwBvAG4AIABhAGYAdABlAHIAIABjAGEAbAB2AGkAbgBnAFwAIgApADsAXABuAFwAbgBWAEUARQBSAEcAXwAzAF8AMgBfADEAXwAxAF8AXwA0AF8AQQBkAGQAaQB0AGkAbwBuAGEAbABJAG4AdABhAGsAZQBGAG8AcgBNAGkAbABrAFAAcgBvAGQAdQBjAHQAaQBvAG4AXwBWAGEAcgBpAGEAYgBsAGUAXABuACAAIAA9AEwAQQBNAEIARABBACgAXAAiAE0AQQBfAGoAawA0ADUAXAAiACkAOwBcAG4AXABuAFYARQBFAFIARwBfADMAXwAyAF8AMQBfADEAXwBfADQAXwBBAGQAZABpAHQAaQBvAG4AYQBsAEkAbgB0AGEAawBlAEYAbwByAE0AaQBsAGsAUAByAG8AZAB1AGMAdABpAG8AbgBfAFUAbgBpAHQAXABuACAAIAA9AEwAQQBNAEIARABBACgAXAAiAGYAcgBhAGMAdABpAG8AbgBcACIAKQA7AFwAbgBcAG4AVgBFAEUAUgBHAF8AMwBfADIAXwAxAF8AMQBfAF8ANABfAEEAZABkAGkAdABpAG8AbgBhAGwASQBuAHQAYQBrAGUARgBvAHIATQBpAGwAawBQAHIAbwBkAHUAYwB0AGkAbwBuAF8AUwBvAHUAcgBjAGUAXABuACAAIAA9AEwAQQBNAEIARABBACgAXAAiAFYARQBFAFIARwAgADIAMAAyADYAOgAgADMALgAyAC4AMQAuADEALAAgAEUAcQB1AGEAdABpAG8AbgAgACgANAApAFwAIgApADsAXABuAFwAbgBWAEUARQBSAEcAXwAzAF8AMgBfADEAXwAxAF8AXwA0AF8AQQBkAGQAaQB0AGkAbwBuAGEAbABJAG4AdABhAGsAZQBGAG8AcgBNAGkAbABrAFAAcgBvAGQAdQBjAHQAaQBvAG4AXwBOAEkAUgBSAGUAZgBlAHIAZQBuAGMAZQBcAG4AIAAgAD0ATABBAE0AQgBEAEEAKABcACIAXAAiACkAOwBcAG4AXABuAFYARQBFAFIARwBfADMAXwAyAF8AMQBfADEAXwBfADQAXwBBAGQAZABpAHQAaQBvAG4AYQBsAEkAbgB0AGEAawBlAEYAbwByAE0AaQBsAGsAUAByAG8AZAB1AGMAdABpAG8AbgBfAEwAYQB0AGUAeABFAHEAdQBhAHQAaQBvAG4AXABuACAAIAA9AEwAQQBNAEIARABBACgAXAAiAE0AQQBfAHsAagBrAD0ANAAsADUAfQA9ACgATABDAF8AewBqAGsAPQA0ACwANQB9AFwAXAB0AGkAbQBlAHMAIABGAEEAXwB7AGoAawA9ADQALAA1AH0AKQArACgAMQAtAEwAQwBfAHsAagBrAD0ANAAsADUAfQApAFwAIgApADsAXABuAFwAbgBWAEUARQBSAEcAXwAzAF8AMgBfADEAXwAxAF8AXwA0AF8AQQBkAGQAaQB0AGkAbwBuAGEAbABJAG4AdABhAGsAZQBGAG8AcgBNAGkAbABrAFAAcgBvAGQAdQBjAHQAaQBvAG4AXwBMAGEAdABlAHgARQBxAHUAYQB0AGkAbwBuAFYAYQByAGkAYQB0AGkAbwBuAFwAbgAgACAAPQBMAEEATQBCAEQAQQAoAFwAIgBNAEEAXwB7AGoAawA9ADQALAA1AH0APQAoACgATABDAF8AewBqAGsAPQA0ACwANQAsAGMAYQBsAHYAfQBcAFwAdABpAG0AZQBzACAARgBBAF8AewBqAGsAPQA0ACwANQAsAGMAYQBsAHYAfQApACsAKABMAEMAXwB7AGoAawA9ADQALAA1ACwAcAByAGUAdgB9AFwAXAB0AGkAbQBlAHMAIABGAEEAXwB7AGoAawA9ADQALAA1ACwAYQBmAHQAZQByAH0AKQApACsAKAAxAC0AKABMAEMAXwB7AGoAawA9ADQALAA1ACwAYwBhAGwAdgB9ACsATABDAF8AewBqAGsAPQA0ACwANQAsAHAAcgBlAHYAfQApACkAXAAiACkAOwBcAG4AXABuAFYARQBFAFIARwBfADMAXwAyAF8AMQBfADEAXwBfADQAXwBBAGQAZABpAHQAaQBvAG4AYQBsAEkAbgB0AGEAawBlAEYAbwByAE0AaQBsAGsAUAByAG8AZAB1AGMAdABpAG8AbgBfAEEAcgBnAHUAbQBlAG4AdABzAFwAbgAgACAAPQBMAEEATQBCAEQAQQAoAFwAbgAgACAAIAAgAE0AQQBLAEUAQQBSAFIAQQBZACgAMw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FwAIgAsACAAXAAi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AiACwAIABcACIAZgByAGEAYwB0AGkAbwBu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zAF8AMgBfADEAXwAxAF8AXwA0AF8AQQBkAGQAaQB0AGkAbwBuAGEAbABJAG4AdABhAGsAZQBGAG8AcgBNAGkAbABrAFAAcgBvAGQAdQBjAHQAaQBvAG4AXwBBAHIAZwB1AG0AZQBuAHQAcwBWAGEAcgBpAGEAdABpAG8AbgBcAG4AIAAgAD0ATABBAE0AQgBEAEEAKABcAG4AIAAgACAAIABNAEEASwBFAEEAUgBSAEEAWQAoADQ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jAGEAbAB2AFwAIgAsACAAXAAiAGYAZQBlAGQAIABhAGQAagB1AHMAdABtAGUAbgB0ACAAdgBhAGwAdQBlACAAZgBvAHIAIABsAGEAYwB0AGEAdABpAG4AZwAgAGMAbwB3AHMAIABpAG4AIAB0AGgAZQAgAHMAZQBhAHMAbwBuACAAbwBmACAAYwBhAGwAdgBpAG4AZwAgAGUAeABwAHIAZQBzAHMAZQBkACAAYQBzACAAYQAgAGYAcgBhAGMAdABpAG8AbgBcACIALAAgAFwAIgBmAHIAYQBjAHQAaQBvAG4AXAAiACwAIABcACIAQwBvAG4AcwB0AGEAbgB0AFwAIgA7AFwAbgAgACAAIAAgACAAIAAgACAAIAAgAFwAIgBGAEEAXwBqAGsANAA1AGEAZgB0AGUAcgBcACIALAAgAFwAIgBmAGUAZQBkACAAYQBkAGoAdQBzAHQAbQBlAG4AdAAgAHYAYQBsAHUAZQAgAGYAbwByACAAbABhAGMAdABhAHQAaQBuAGcAIABjAG8AdwBzACAAaQBuACAAdABoAGUAIABzAGUAYQBzAG8AbgAgAGkAbQBtAGUAZABpAGEAdABlAGwAeQAgAGEAZgB0AGUAcgAgAGMAYQBsAHYAaQBuAGcAIABlAHgAcAByAGUAcwBzAGUAZAAgAGEAcwAgAGEAIABmAHIAYQBjAHQAaQBvAG4AXAAiACwAIABcACIAZgByAGEAYwB0AGkAbwBu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zAF8AMgBfADEAXwAxAF8AXwA0AF8AQQBkAGQAaQB0AGkAbwBuAGEAbABJAG4AdABhAGsAZQBGAG8AcgBNAGkAbABrAFAAcgBvAGQAdQBjAHQAaQBvAG4AXwBWAGEAcgBpAGEAdABpAG8AbgBcAG4APQBMAEEATQBCAEQAQQAoAFwAIgBWAEEAUgBJAEEAVABJAE8ATgAgAE8ATgAgAFMATwBVAFIAQwBFADoAIABFAHgAcABhAG4AZABlAGQAIABlAHEAdQBhAHQAaQBvAG4AIAB0AG8AIABhAGMAYwBvAHUAbgB0ACAAZgBvAHIAIABzAGUAYQBzAG8AbgAgAGEAZgB0AGUAcgAgAGMAYQBsAHYAaQBuAGcALAAgAHIAYQB0AGgAZQByACAAdABoAGEAbgAgAGQAbwBpAG4AZwAgAHQAaABlACAAcwBhAG0AZQAgAGUAcQB1AGEAdABpAG8AbgAgAHQAdwBpAGMAZQAgAGYAbwByACAAYgBvAHQAaAAgAHMAZQBhAHMAbwBuAHMAXAAiACkAXABu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XQB9A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140</vt:i4>
      </vt:variant>
    </vt:vector>
  </HeadingPairs>
  <TitlesOfParts>
    <vt:vector size="167" baseType="lpstr">
      <vt:lpstr>Overview</vt:lpstr>
      <vt:lpstr>Results</vt:lpstr>
      <vt:lpstr>Input - Site</vt:lpstr>
      <vt:lpstr>Input - Fuel</vt:lpstr>
      <vt:lpstr>Input - Fertiliser</vt:lpstr>
      <vt:lpstr>Input - Farm Inputs</vt:lpstr>
      <vt:lpstr>Input - Livestock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2026-07-29T06:03:53Z</dcterms:modified>
</cp:coreProperties>
</file>