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4E42BC5-FBD8-4276-9104-00C2711EB45D}" xr6:coauthVersionLast="47" xr6:coauthVersionMax="47" xr10:uidLastSave="{00000000-0000-0000-0000-000000000000}"/>
  <bookViews>
    <workbookView xWindow="1320" yWindow="855" windowWidth="36255" windowHeight="19140" firstSheet="22" activeTab="23"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32" i="69" l="1" a="1"/>
  <c r="E132" i="69" s="1"/>
  <c r="D132" i="69" a="1"/>
  <c r="D132" i="69" s="1"/>
  <c r="E131" i="69" a="1"/>
  <c r="E131" i="69" s="1"/>
  <c r="D131" i="69" a="1"/>
  <c r="D131" i="69" s="1"/>
  <c r="E130" i="69" a="1"/>
  <c r="E130" i="69" s="1"/>
  <c r="D130" i="69" a="1"/>
  <c r="D130" i="69" s="1"/>
  <c r="E129" i="69" a="1"/>
  <c r="E129" i="69" s="1"/>
  <c r="D129" i="69" a="1"/>
  <c r="D129" i="69" s="1"/>
  <c r="E128" i="69" a="1"/>
  <c r="E128" i="69" s="1"/>
  <c r="D128" i="69" a="1"/>
  <c r="D128" i="69" s="1"/>
  <c r="D126" i="69" a="1"/>
  <c r="D126" i="69" s="1"/>
  <c r="D125" i="69" a="1"/>
  <c r="D125" i="69" s="1"/>
  <c r="F122" i="69" a="1"/>
  <c r="F122" i="69" s="1"/>
  <c r="E122" i="69" a="1"/>
  <c r="E122" i="69" s="1"/>
  <c r="D122" i="69" a="1"/>
  <c r="D122" i="69" s="1"/>
  <c r="D121" i="69" a="1"/>
  <c r="D121" i="69" s="1"/>
  <c r="D120" i="69" a="1"/>
  <c r="D120" i="69" s="1"/>
  <c r="J87" i="34" l="1"/>
  <c r="I69" i="34"/>
  <c r="I33" i="34"/>
  <c r="E642" i="19"/>
  <c r="E94" i="19"/>
  <c r="E93" i="19"/>
  <c r="E30" i="59"/>
  <c r="E29" i="59"/>
  <c r="E33" i="55"/>
  <c r="E32" i="55"/>
  <c r="E31" i="55"/>
  <c r="E30" i="55"/>
  <c r="E29" i="55"/>
  <c r="E13" i="55"/>
  <c r="A41" i="5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20" i="69" a="1"/>
  <c r="D20"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D83" i="65" a="1"/>
  <c r="D83" i="65" s="1"/>
  <c r="D82" i="65" a="1"/>
  <c r="D82" i="65" s="1"/>
  <c r="D81" i="65" a="1"/>
  <c r="D81" i="65" s="1"/>
  <c r="F78" i="65" a="1"/>
  <c r="F78" i="65" s="1"/>
  <c r="E78" i="65" a="1"/>
  <c r="E78" i="65" s="1"/>
  <c r="D78" i="65" a="1"/>
  <c r="D78" i="65" s="1"/>
  <c r="D77" i="65" a="1"/>
  <c r="D77" i="65" s="1"/>
  <c r="D76" i="65" a="1"/>
  <c r="D76" i="65" s="1"/>
  <c r="F73" i="65" a="1"/>
  <c r="F73" i="65" s="1"/>
  <c r="E73" i="65" a="1"/>
  <c r="E73" i="65"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I37" i="59"/>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540" i="19"/>
  <c r="E523" i="19"/>
  <c r="E7" i="60" a="1"/>
  <c r="O79" i="34"/>
  <c r="E7" i="34"/>
  <c r="E508" i="19"/>
  <c r="E99" i="62" a="1"/>
  <c r="E7" i="62" a="1"/>
  <c r="L7" i="60" a="1"/>
  <c r="L8" i="61" a="1"/>
  <c r="E7" i="61" a="1"/>
  <c r="O42" i="34"/>
  <c r="E42" i="34"/>
  <c r="E79" i="34"/>
  <c r="O7" i="34"/>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K26" i="60" a="1"/>
  <c r="K26" i="60" s="1"/>
  <c r="G28" i="60" a="1"/>
  <c r="G28" i="60" s="1"/>
  <c r="H31" i="60" a="1"/>
  <c r="H31" i="60" s="1"/>
  <c r="G34" i="60" a="1"/>
  <c r="G34" i="60" s="1"/>
  <c r="G37" i="60" a="1"/>
  <c r="G37" i="60" s="1"/>
  <c r="E36" i="61"/>
  <c r="G10" i="54" a="1"/>
  <c r="G10" i="54" s="1"/>
  <c r="H196" i="20"/>
  <c r="P12" i="56" a="1"/>
  <c r="P12" i="56" s="1"/>
  <c r="M13" i="56" a="1"/>
  <c r="M13" i="56" s="1"/>
  <c r="V221" i="19" s="1" a="1"/>
  <c r="V221" i="19" s="1"/>
  <c r="J14" i="56" a="1"/>
  <c r="J14" i="56" s="1"/>
  <c r="X14" i="56"/>
  <c r="U15" i="56" a="1"/>
  <c r="U15" i="56" s="1"/>
  <c r="R16" i="56" a="1"/>
  <c r="R16" i="56" s="1"/>
  <c r="J120" i="62" a="1"/>
  <c r="J120" i="62" s="1"/>
  <c r="D157" i="62" a="1"/>
  <c r="D157" i="62" s="1"/>
  <c r="H28" i="60" a="1"/>
  <c r="H28" i="60" s="1"/>
  <c r="I31" i="60" a="1"/>
  <c r="I31" i="60" s="1"/>
  <c r="H34" i="60" a="1"/>
  <c r="H34" i="60" s="1"/>
  <c r="E30" i="61"/>
  <c r="E33" i="61"/>
  <c r="G45" i="70"/>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G46" i="70"/>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J37" i="60" a="1"/>
  <c r="J37" i="60" s="1"/>
  <c r="G8" i="68"/>
  <c r="G13" i="54" a="1"/>
  <c r="G13" i="54" s="1"/>
  <c r="G176" i="20"/>
  <c r="S12" i="56" a="1"/>
  <c r="S12" i="56" s="1"/>
  <c r="P13" i="56" a="1"/>
  <c r="P13" i="56" s="1"/>
  <c r="M14" i="56" a="1"/>
  <c r="M14" i="56" s="1"/>
  <c r="J15" i="56" a="1"/>
  <c r="J15" i="56" s="1"/>
  <c r="X15" i="56"/>
  <c r="U16" i="56" a="1"/>
  <c r="U16" i="56" s="1"/>
  <c r="D116" i="62" a="1"/>
  <c r="D116" i="62" s="1"/>
  <c r="J157" i="62" a="1"/>
  <c r="J157" i="62" s="1"/>
  <c r="J164" i="62" a="1"/>
  <c r="J164" i="62"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Q13" i="56" a="1"/>
  <c r="Q13" i="56" s="1"/>
  <c r="N14" i="56" a="1"/>
  <c r="N14" i="56" s="1"/>
  <c r="K15" i="56" a="1"/>
  <c r="K15" i="56" s="1"/>
  <c r="F16" i="56"/>
  <c r="E116" i="62" a="1"/>
  <c r="E116" i="62" s="1"/>
  <c r="J116" i="62" s="1" a="1"/>
  <c r="J116" i="62" s="1"/>
  <c r="K25" i="60" a="1"/>
  <c r="K25" i="60"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J132" i="62" a="1"/>
  <c r="J132" i="62" s="1"/>
  <c r="H27" i="60" a="1"/>
  <c r="H27" i="60" s="1"/>
  <c r="I30" i="60" a="1"/>
  <c r="I30" i="60" s="1"/>
  <c r="I36" i="60" a="1"/>
  <c r="I36" i="60" s="1"/>
  <c r="O36" i="60" s="1" a="1"/>
  <c r="O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Q221" i="19" s="1" a="1"/>
  <c r="Q221" i="19" s="1"/>
  <c r="X12" i="56"/>
  <c r="U13" i="56" a="1"/>
  <c r="U13" i="56" s="1"/>
  <c r="R14" i="56" a="1"/>
  <c r="R14" i="56" s="1"/>
  <c r="O15" i="56" a="1"/>
  <c r="O15" i="56" s="1"/>
  <c r="L16" i="56" a="1"/>
  <c r="L16" i="56" s="1"/>
  <c r="P21" i="56"/>
  <c r="J124" i="62" a="1"/>
  <c r="J124" i="62" s="1"/>
  <c r="J144" i="62" a="1"/>
  <c r="J144" i="62" s="1"/>
  <c r="K27" i="60" a="1"/>
  <c r="K27" i="60" s="1"/>
  <c r="G29" i="60" a="1"/>
  <c r="G29" i="60" s="1"/>
  <c r="H32" i="60" a="1"/>
  <c r="H32" i="60" s="1"/>
  <c r="G35" i="60" a="1"/>
  <c r="G35" i="60" s="1"/>
  <c r="Q35" i="60" s="1" a="1"/>
  <c r="Q35" i="60" s="1"/>
  <c r="K12" i="56" a="1"/>
  <c r="K12" i="56" s="1"/>
  <c r="F13" i="56"/>
  <c r="S14" i="56" a="1"/>
  <c r="S14" i="56" s="1"/>
  <c r="P15" i="56" a="1"/>
  <c r="P15" i="56" s="1"/>
  <c r="D59" i="62" a="1"/>
  <c r="J160" i="62" a="1"/>
  <c r="J160" i="62" s="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J8" i="48" s="1" a="1"/>
  <c r="J8" i="48" s="1"/>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O576" i="19"/>
  <c r="I44" i="56"/>
  <c r="G576" i="19"/>
  <c r="H52" i="51"/>
  <c r="H49" i="51"/>
  <c r="H54" i="51"/>
  <c r="H48" i="51"/>
  <c r="H51" i="51"/>
  <c r="H53" i="51"/>
  <c r="H50" i="51"/>
  <c r="J88" i="34" s="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AL221" i="19" l="1" a="1"/>
  <c r="AL221" i="19" s="1"/>
  <c r="AK221" i="19" a="1"/>
  <c r="AK221" i="19" s="1"/>
  <c r="I25" i="60" a="1"/>
  <c r="I25" i="60" s="1"/>
  <c r="J9" i="48" a="1"/>
  <c r="J9" i="48" s="1"/>
  <c r="J147" i="67"/>
  <c r="P36" i="60" a="1"/>
  <c r="P36" i="60" s="1"/>
  <c r="H33" i="60" a="1"/>
  <c r="H33" i="60" s="1"/>
  <c r="O34" i="60" a="1"/>
  <c r="O34" i="60" s="1"/>
  <c r="V13" i="56"/>
  <c r="O221" i="19" a="1"/>
  <c r="O221" i="19" s="1"/>
  <c r="H25" i="60" a="1"/>
  <c r="H25" i="60" s="1"/>
  <c r="I33" i="60" a="1"/>
  <c r="I33" i="60" s="1"/>
  <c r="E41" i="59"/>
  <c r="K33" i="60" a="1"/>
  <c r="K33"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I88" i="62" s="1" a="1"/>
  <c r="I88" i="62" s="1"/>
  <c r="H186" i="62" s="1"/>
  <c r="G79" i="62" a="1"/>
  <c r="G79" i="62" s="1"/>
  <c r="G72" i="62" a="1"/>
  <c r="G72" i="62" s="1"/>
  <c r="G64" i="62" a="1"/>
  <c r="G64" i="62" s="1"/>
  <c r="I64" i="62" s="1" a="1"/>
  <c r="I64" i="62" s="1"/>
  <c r="H162" i="62" s="1"/>
  <c r="I162" i="62" s="1"/>
  <c r="K162" i="62" s="1" a="1"/>
  <c r="K162" i="62" s="1"/>
  <c r="G86" i="62" a="1"/>
  <c r="G86" i="62" s="1"/>
  <c r="I86" i="62" s="1" a="1"/>
  <c r="I86" i="62" s="1"/>
  <c r="H184" i="62" s="1"/>
  <c r="G78" i="62" a="1"/>
  <c r="G78" i="62" s="1"/>
  <c r="I78" i="62" s="1" a="1"/>
  <c r="I78" i="62" s="1"/>
  <c r="H176" i="62" s="1"/>
  <c r="I176" i="62" s="1"/>
  <c r="K176" i="62" s="1" a="1"/>
  <c r="K176" i="62" s="1"/>
  <c r="G71" i="62" a="1"/>
  <c r="G71" i="62" s="1"/>
  <c r="G63" i="62" a="1"/>
  <c r="G63" i="62" s="1"/>
  <c r="I63" i="62" s="1" a="1"/>
  <c r="I63" i="62" s="1"/>
  <c r="H161" i="62" s="1"/>
  <c r="I161" i="62" s="1"/>
  <c r="K161" i="62" s="1" a="1"/>
  <c r="K161" i="62" s="1"/>
  <c r="G85" i="62" a="1"/>
  <c r="G85" i="62" s="1"/>
  <c r="G77" i="62" a="1"/>
  <c r="G77" i="62" s="1"/>
  <c r="G69" i="62" a="1"/>
  <c r="G69" i="62" s="1"/>
  <c r="G62" i="62" a="1"/>
  <c r="G62" i="62" s="1"/>
  <c r="G92" i="62" a="1"/>
  <c r="G92" i="62" s="1"/>
  <c r="G84" i="62" a="1"/>
  <c r="G84" i="62" s="1"/>
  <c r="G76" i="62" a="1"/>
  <c r="G76" i="62" s="1"/>
  <c r="I76" i="62" s="1" a="1"/>
  <c r="I76" i="62" s="1"/>
  <c r="H174" i="62" s="1"/>
  <c r="G68" i="62" a="1"/>
  <c r="G68" i="62" s="1"/>
  <c r="G61" i="62" a="1"/>
  <c r="G61" i="62" s="1"/>
  <c r="G91" i="62" a="1"/>
  <c r="G91" i="62" s="1"/>
  <c r="G83" i="62" a="1"/>
  <c r="G83" i="62" s="1"/>
  <c r="G75" i="62" a="1"/>
  <c r="G75" i="62" s="1"/>
  <c r="I75" i="62" s="1" a="1"/>
  <c r="I75" i="62" s="1"/>
  <c r="H173" i="62" s="1"/>
  <c r="I173"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I54" i="62" s="1" a="1"/>
  <c r="I54" i="62" s="1"/>
  <c r="H149" i="62" s="1"/>
  <c r="G47" i="62" a="1"/>
  <c r="G47" i="62" s="1"/>
  <c r="G39" i="62" a="1"/>
  <c r="G39" i="62" s="1"/>
  <c r="I39" i="62" s="1" a="1"/>
  <c r="I39" i="62" s="1"/>
  <c r="H134" i="62" s="1"/>
  <c r="I134" i="62" s="1"/>
  <c r="K134" i="62" s="1" a="1"/>
  <c r="K134" i="62" s="1"/>
  <c r="G31" i="62" a="1"/>
  <c r="G31" i="62" s="1"/>
  <c r="G186" i="62" a="1"/>
  <c r="G186" i="62" s="1"/>
  <c r="G166" i="62" a="1"/>
  <c r="G166" i="62" s="1"/>
  <c r="G159" i="62" a="1"/>
  <c r="G159" i="62" s="1"/>
  <c r="G142" i="62" a="1"/>
  <c r="G142" i="62" s="1"/>
  <c r="G133" i="62" a="1"/>
  <c r="G133" i="62" s="1"/>
  <c r="G24" i="62" a="1"/>
  <c r="G24" i="62" s="1"/>
  <c r="I24" i="62" s="1" a="1"/>
  <c r="I24" i="62" s="1"/>
  <c r="H119" i="62" s="1"/>
  <c r="I119" i="62" s="1"/>
  <c r="G175" i="62" a="1"/>
  <c r="G175" i="62" s="1"/>
  <c r="G141" i="62" a="1"/>
  <c r="G141" i="62" s="1"/>
  <c r="G123" i="62" a="1"/>
  <c r="G123" i="62" s="1"/>
  <c r="G53" i="62" a="1"/>
  <c r="G53" i="62" s="1"/>
  <c r="G46" i="62" a="1"/>
  <c r="G46" i="62" s="1"/>
  <c r="I46" i="62" s="1" a="1"/>
  <c r="I46" i="62" s="1"/>
  <c r="H141" i="62" s="1"/>
  <c r="G38" i="62" a="1"/>
  <c r="G38" i="62" s="1"/>
  <c r="G30" i="62" a="1"/>
  <c r="G30" i="62" s="1"/>
  <c r="I30" i="62" s="1" a="1"/>
  <c r="I30" i="62" s="1"/>
  <c r="H125" i="62" s="1"/>
  <c r="I125" i="62" s="1"/>
  <c r="K125" i="62" s="1" a="1"/>
  <c r="K125"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I41" i="62" s="1" a="1"/>
  <c r="I41" i="62" s="1"/>
  <c r="H136" i="62" s="1"/>
  <c r="I136" i="62" s="1"/>
  <c r="K136" i="62" s="1" a="1"/>
  <c r="K136"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I69" i="62" s="1" a="1"/>
  <c r="I69" i="62" s="1"/>
  <c r="H167" i="62" s="1"/>
  <c r="I167" i="62" s="1"/>
  <c r="K167" i="62" s="1" a="1"/>
  <c r="K167" i="62" s="1"/>
  <c r="H62" i="62" a="1"/>
  <c r="H62" i="62" s="1"/>
  <c r="H92" i="62" a="1"/>
  <c r="H92" i="62" s="1"/>
  <c r="H84" i="62" a="1"/>
  <c r="H84" i="62" s="1"/>
  <c r="H76" i="62" a="1"/>
  <c r="H76" i="62" s="1"/>
  <c r="H68" i="62" a="1"/>
  <c r="H68" i="62" s="1"/>
  <c r="H61" i="62" a="1"/>
  <c r="H61" i="62" s="1"/>
  <c r="I61" i="62" s="1" a="1"/>
  <c r="I61" i="62" s="1"/>
  <c r="H159" i="62" s="1"/>
  <c r="I159" i="62" s="1"/>
  <c r="K159" i="62" s="1" a="1"/>
  <c r="K159" i="62" s="1"/>
  <c r="H91" i="62" a="1"/>
  <c r="H91" i="62" s="1"/>
  <c r="I91" i="62" s="1" a="1"/>
  <c r="I91" i="62" s="1"/>
  <c r="H189" i="62" s="1"/>
  <c r="H83" i="62" a="1"/>
  <c r="H83" i="62" s="1"/>
  <c r="H75" i="62" a="1"/>
  <c r="H75" i="62" s="1"/>
  <c r="H67" i="62" a="1"/>
  <c r="H67" i="62" s="1"/>
  <c r="I67" i="62" s="1" a="1"/>
  <c r="I67" i="62" s="1"/>
  <c r="H165" i="62" s="1"/>
  <c r="H60" i="62" a="1"/>
  <c r="H60" i="62" s="1"/>
  <c r="I60" i="62" s="1" a="1"/>
  <c r="I60" i="62" s="1"/>
  <c r="H158" i="62" s="1"/>
  <c r="I158" i="62" s="1"/>
  <c r="K158" i="62" s="1" a="1"/>
  <c r="K158" i="62" s="1"/>
  <c r="H90" i="62" a="1"/>
  <c r="H90" i="62" s="1"/>
  <c r="H82" i="62" a="1"/>
  <c r="H82" i="62" s="1"/>
  <c r="I82" i="62" s="1" a="1"/>
  <c r="I82" i="62" s="1"/>
  <c r="H180" i="62" s="1"/>
  <c r="H74" i="62" a="1"/>
  <c r="H74" i="62" s="1"/>
  <c r="I74" i="62" s="1" a="1"/>
  <c r="I74" i="62" s="1"/>
  <c r="H172" i="62" s="1"/>
  <c r="H66" i="62" a="1"/>
  <c r="H66" i="62" s="1"/>
  <c r="I66" i="62" s="1" a="1"/>
  <c r="I66" i="62" s="1"/>
  <c r="H164" i="62" s="1"/>
  <c r="H89" i="62" a="1"/>
  <c r="H89" i="62" s="1"/>
  <c r="H80" i="62" a="1"/>
  <c r="H80" i="62" s="1"/>
  <c r="H73" i="62" a="1"/>
  <c r="H73" i="62" s="1"/>
  <c r="H65" i="62" a="1"/>
  <c r="H65" i="62" s="1"/>
  <c r="H38" i="60" a="1"/>
  <c r="H38" i="60" s="1"/>
  <c r="P27" i="60" a="1"/>
  <c r="P27" i="60" s="1"/>
  <c r="E21" i="62"/>
  <c r="H21" i="62" s="1" a="1"/>
  <c r="H21" i="62" s="1"/>
  <c r="H25" i="62" a="1"/>
  <c r="H25" i="62" s="1"/>
  <c r="I25" i="62" s="1" a="1"/>
  <c r="I25" i="62" s="1"/>
  <c r="H120" i="62" s="1"/>
  <c r="I120" i="62" s="1"/>
  <c r="K120" i="62" s="1" a="1"/>
  <c r="K120" i="62" s="1"/>
  <c r="H54" i="62" a="1"/>
  <c r="H54" i="62" s="1"/>
  <c r="H47" i="62" a="1"/>
  <c r="H47" i="62" s="1"/>
  <c r="I47" i="62" s="1" a="1"/>
  <c r="I47" i="62" s="1"/>
  <c r="H142" i="62" s="1"/>
  <c r="H39" i="62" a="1"/>
  <c r="H39" i="62" s="1"/>
  <c r="H31" i="62" a="1"/>
  <c r="H31" i="62" s="1"/>
  <c r="H24" i="62" a="1"/>
  <c r="H24" i="62" s="1"/>
  <c r="H53" i="62" a="1"/>
  <c r="H53" i="62" s="1"/>
  <c r="H46" i="62" a="1"/>
  <c r="H46" i="62" s="1"/>
  <c r="H38" i="62" a="1"/>
  <c r="H38" i="62" s="1"/>
  <c r="H30" i="62" a="1"/>
  <c r="H30" i="62" s="1"/>
  <c r="H23" i="62" a="1"/>
  <c r="H23" i="62" s="1"/>
  <c r="I23" i="62" s="1" a="1"/>
  <c r="I23" i="62" s="1"/>
  <c r="H118" i="62" s="1"/>
  <c r="H52" i="62" a="1"/>
  <c r="H52" i="62" s="1"/>
  <c r="H45" i="62" a="1"/>
  <c r="H45" i="62" s="1"/>
  <c r="I45" i="62" s="1" a="1"/>
  <c r="I45" i="62" s="1"/>
  <c r="H140" i="62" s="1"/>
  <c r="H37" i="62" a="1"/>
  <c r="H37" i="62" s="1"/>
  <c r="H29" i="62" a="1"/>
  <c r="H29" i="62" s="1"/>
  <c r="H22" i="62" a="1"/>
  <c r="H22" i="62" s="1"/>
  <c r="H51" i="62" a="1"/>
  <c r="H51" i="62" s="1"/>
  <c r="H44" i="62" a="1"/>
  <c r="H44" i="62" s="1"/>
  <c r="H36" i="62" a="1"/>
  <c r="H36" i="62" s="1"/>
  <c r="H28" i="62" a="1"/>
  <c r="H28" i="62" s="1"/>
  <c r="I28" i="62" s="1" a="1"/>
  <c r="I28" i="62" s="1"/>
  <c r="H123" i="62" s="1"/>
  <c r="I123" i="62" s="1"/>
  <c r="K123" i="62" s="1" a="1"/>
  <c r="K123" i="62" s="1"/>
  <c r="H50" i="62" a="1"/>
  <c r="H50" i="62" s="1"/>
  <c r="H42" i="62" a="1"/>
  <c r="H42" i="62" s="1"/>
  <c r="I42" i="62" s="1" a="1"/>
  <c r="I42" i="62" s="1"/>
  <c r="H137" i="62" s="1"/>
  <c r="I137" i="62" s="1"/>
  <c r="K137" i="62" s="1" a="1"/>
  <c r="K137"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Q31" i="61" a="1"/>
  <c r="Q31" i="61" s="1"/>
  <c r="G38" i="60" a="1"/>
  <c r="G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O28" i="61" s="1" a="1"/>
  <c r="O28" i="61" s="1"/>
  <c r="I16" i="56"/>
  <c r="V16" i="56"/>
  <c r="J122" i="62" a="1"/>
  <c r="J122" i="62" s="1"/>
  <c r="K30" i="61"/>
  <c r="Q30" i="61" s="1" a="1"/>
  <c r="Q30" i="61" s="1"/>
  <c r="J30" i="61"/>
  <c r="I30" i="61"/>
  <c r="O30" i="61" s="1" a="1"/>
  <c r="O30" i="61" s="1"/>
  <c r="H30" i="61"/>
  <c r="G30" i="61"/>
  <c r="J178" i="62" a="1"/>
  <c r="J178" i="62" s="1"/>
  <c r="V12" i="56"/>
  <c r="J137" i="62" a="1"/>
  <c r="J137" i="62" s="1"/>
  <c r="K36" i="61"/>
  <c r="J36" i="61"/>
  <c r="I36" i="61"/>
  <c r="H36" i="61"/>
  <c r="G36" i="61"/>
  <c r="O36" i="61" s="1" a="1"/>
  <c r="O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77" i="62" a="1"/>
  <c r="I77" i="62" s="1"/>
  <c r="H175" i="62" s="1"/>
  <c r="I175" i="62" s="1"/>
  <c r="K175" i="62" s="1" a="1"/>
  <c r="K175" i="62" s="1"/>
  <c r="I53" i="62" a="1"/>
  <c r="I53" i="62" s="1"/>
  <c r="H148" i="62" s="1"/>
  <c r="I34" i="62" a="1"/>
  <c r="I34" i="62" s="1"/>
  <c r="H129"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35" i="62" a="1"/>
  <c r="I35" i="62" s="1"/>
  <c r="H130" i="62" s="1"/>
  <c r="I71" i="62" a="1"/>
  <c r="I71" i="62" s="1"/>
  <c r="H169" i="62" s="1"/>
  <c r="Q40" i="61" a="1"/>
  <c r="Q40" i="61" s="1"/>
  <c r="Q28" i="61" a="1"/>
  <c r="Q28" i="61"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N28" i="61" a="1"/>
  <c r="N28" i="61" s="1"/>
  <c r="P40" i="61" a="1"/>
  <c r="P40" i="61" s="1"/>
  <c r="P39" i="61" a="1"/>
  <c r="P39" i="61" s="1"/>
  <c r="O39" i="61" a="1"/>
  <c r="O39" i="61" s="1"/>
  <c r="N39" i="61" a="1"/>
  <c r="N39" i="61" s="1"/>
  <c r="P26" i="61" a="1"/>
  <c r="P26" i="61" s="1"/>
  <c r="O26" i="61" a="1"/>
  <c r="O26" i="61" s="1"/>
  <c r="N26" i="61" a="1"/>
  <c r="N26" i="61" s="1"/>
  <c r="P30" i="61" a="1"/>
  <c r="P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N30" i="61" l="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I127" i="62" s="1"/>
  <c r="K127" i="62" s="1" a="1"/>
  <c r="K127" i="62" s="1"/>
  <c r="Q27" i="61" a="1"/>
  <c r="Q27" i="61" s="1"/>
  <c r="I62" i="62" a="1"/>
  <c r="I62" i="62" s="1"/>
  <c r="H160" i="62" s="1"/>
  <c r="I160" i="62" s="1"/>
  <c r="K160" i="62" s="1" a="1"/>
  <c r="K160" i="62" s="1"/>
  <c r="I89" i="62" a="1"/>
  <c r="I89" i="62" s="1"/>
  <c r="H187" i="62" s="1"/>
  <c r="I185" i="62" s="1"/>
  <c r="K185" i="62" s="1" a="1"/>
  <c r="K185" i="62" s="1"/>
  <c r="I135" i="62"/>
  <c r="K135" i="62" s="1" a="1"/>
  <c r="K135" i="62" s="1"/>
  <c r="I50" i="62" a="1"/>
  <c r="I50" i="62" s="1"/>
  <c r="H145" i="62" s="1"/>
  <c r="I144" i="62" s="1"/>
  <c r="K144" i="62" s="1" a="1"/>
  <c r="K144" i="62" s="1"/>
  <c r="I36" i="62" a="1"/>
  <c r="I36" i="62" s="1"/>
  <c r="H131" i="62" s="1"/>
  <c r="P36" i="61" a="1"/>
  <c r="P36" i="61" s="1"/>
  <c r="I44" i="62" a="1"/>
  <c r="I44" i="62" s="1"/>
  <c r="H139" i="62" s="1"/>
  <c r="I83" i="62" a="1"/>
  <c r="I83" i="62" s="1"/>
  <c r="H181" i="62" s="1"/>
  <c r="E221" i="19" a="1"/>
  <c r="E221" i="19" s="1"/>
  <c r="I174" i="62"/>
  <c r="K174" i="62" s="1" a="1"/>
  <c r="K174" i="62" s="1"/>
  <c r="P38" i="60" a="1"/>
  <c r="P38" i="60" s="1"/>
  <c r="I118" i="62"/>
  <c r="K118" i="62" s="1" a="1"/>
  <c r="K118" i="62" s="1"/>
  <c r="I68" i="62" a="1"/>
  <c r="I68" i="62" s="1"/>
  <c r="H166" i="62" s="1"/>
  <c r="I166" i="62" s="1"/>
  <c r="K166" i="62" s="1" a="1"/>
  <c r="K166" i="62" s="1"/>
  <c r="I79" i="62" a="1"/>
  <c r="I79" i="62" s="1"/>
  <c r="H177" i="62" s="1"/>
  <c r="I177" i="62" s="1"/>
  <c r="K177" i="62" s="1" a="1"/>
  <c r="K177" i="62" s="1"/>
  <c r="I84" i="62" a="1"/>
  <c r="I84" i="62" s="1"/>
  <c r="H182" i="62" s="1"/>
  <c r="I179" i="62" s="1"/>
  <c r="K179" i="62" s="1" a="1"/>
  <c r="K179" i="62" s="1"/>
  <c r="I65" i="62" a="1"/>
  <c r="I65" i="62" s="1"/>
  <c r="H163" i="62" s="1"/>
  <c r="I163" i="62" s="1"/>
  <c r="K163" i="62" s="1" a="1"/>
  <c r="K163" i="62" s="1"/>
  <c r="I164" i="62"/>
  <c r="K164" i="62" s="1" a="1"/>
  <c r="K164" i="62" s="1"/>
  <c r="Q38" i="61" a="1"/>
  <c r="Q38" i="61" s="1"/>
  <c r="K119" i="62" a="1"/>
  <c r="K119" i="62" s="1"/>
  <c r="G59" i="62" a="1"/>
  <c r="G59" i="62" s="1"/>
  <c r="I59" i="62" s="1" a="1"/>
  <c r="I59" i="62" s="1"/>
  <c r="H157" i="62" s="1"/>
  <c r="I157" i="62" s="1"/>
  <c r="K157" i="62" s="1" a="1"/>
  <c r="K157" i="62" s="1"/>
  <c r="O39" i="60" a="1"/>
  <c r="O39" i="60" s="1"/>
  <c r="P25" i="61" a="1"/>
  <c r="P25" i="61" s="1"/>
  <c r="O25" i="61" a="1"/>
  <c r="O25" i="61" s="1"/>
  <c r="N25" i="61" a="1"/>
  <c r="N25" i="61" s="1"/>
  <c r="Q39" i="60" a="1"/>
  <c r="Q39" i="60" s="1"/>
  <c r="I90" i="62" a="1"/>
  <c r="I90" i="62" s="1"/>
  <c r="H188" i="62" s="1"/>
  <c r="N38" i="60" a="1"/>
  <c r="N38" i="60" s="1"/>
  <c r="E61" i="60" s="1"/>
  <c r="O38" i="60" a="1"/>
  <c r="O38" i="60" s="1"/>
  <c r="E62" i="60" s="1"/>
  <c r="Q38" i="60" a="1"/>
  <c r="Q38" i="60" s="1"/>
  <c r="E64" i="60" s="1"/>
  <c r="N33" i="61" a="1"/>
  <c r="N33" i="61" s="1"/>
  <c r="K173" i="62" a="1"/>
  <c r="K173" i="62" s="1"/>
  <c r="Q25" i="61" a="1"/>
  <c r="Q25" i="61" s="1"/>
  <c r="E46"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E50" i="61" s="1"/>
  <c r="I165" i="62"/>
  <c r="K165" i="62" s="1" a="1"/>
  <c r="K165" i="62" s="1"/>
  <c r="I72" i="62" a="1"/>
  <c r="I72" i="62" s="1"/>
  <c r="H170" i="62" s="1"/>
  <c r="I168" i="62" s="1"/>
  <c r="K168" i="62" s="1" a="1"/>
  <c r="K168" i="62" s="1"/>
  <c r="E55" i="60"/>
  <c r="I138" i="62"/>
  <c r="K138" i="62" s="1" a="1"/>
  <c r="K138" i="62" s="1"/>
  <c r="E43" i="61"/>
  <c r="E44" i="60"/>
  <c r="E45" i="60"/>
  <c r="E63" i="60"/>
  <c r="E46" i="60"/>
  <c r="E43" i="60"/>
  <c r="E57" i="60"/>
  <c r="E51" i="61" l="1"/>
  <c r="E57" i="61" s="1"/>
  <c r="I116" i="62"/>
  <c r="K116" i="62" s="1" a="1"/>
  <c r="K116" i="62" s="1"/>
  <c r="E49" i="61"/>
  <c r="E52" i="61"/>
  <c r="E58" i="61" s="1"/>
  <c r="E44" i="61"/>
  <c r="E45" i="61"/>
  <c r="E192" i="62"/>
  <c r="E55" i="61"/>
  <c r="E151" i="62"/>
  <c r="E56"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68" i="34" l="1"/>
  <c r="I49" i="34"/>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61" i="34" a="1"/>
  <c r="E561" i="19"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258" i="19" a="1"/>
  <c r="E385" i="19" a="1"/>
  <c r="E355" i="19" a="1"/>
  <c r="E188" i="19" a="1"/>
  <c r="E418" i="19" a="1"/>
  <c r="E174" i="19" a="1"/>
  <c r="E290" i="19" a="1"/>
  <c r="E100" i="19" a="1"/>
  <c r="E323" i="19" a="1"/>
  <c r="E20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12" i="53" l="1" a="1"/>
  <c r="G12" i="53" s="1"/>
  <c r="G11" i="53" a="1"/>
  <c r="G11" i="53" s="1"/>
  <c r="G10" i="53" a="1"/>
  <c r="G10" i="53" s="1"/>
  <c r="G9" i="53" a="1"/>
  <c r="G9" i="53" s="1"/>
  <c r="G8" i="53" a="1"/>
  <c r="G8" i="53" s="1"/>
  <c r="G7" i="53" a="1"/>
  <c r="G7" i="53" s="1"/>
  <c r="G16" i="53" a="1"/>
  <c r="G16" i="53" s="1"/>
  <c r="G15" i="53" a="1"/>
  <c r="G15" i="53" s="1"/>
  <c r="G14" i="53" a="1"/>
  <c r="G14" i="53" s="1"/>
  <c r="G13" i="53" a="1"/>
  <c r="G13" i="53"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<sst xmlns="http://schemas.openxmlformats.org/spreadsheetml/2006/main" count="2616" uniqueCount="919">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</sst>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1">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7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75" dataCellStyle="Input select" totalsRowCellStyle="Input select"/>
    <tableColumn id="3" xr3:uid="{F3B22F5F-32AB-4AB4-9D92-291079B0E009}" name="Fuel type (select)" totalsRowDxfId="574" dataCellStyle="Input select" totalsRowCellStyle="Input select"/>
    <tableColumn id="4" xr3:uid="{B83BA05B-8760-41BD-AC6B-D6F258C4B2A6}" name="Amount purchased" totalsRowDxfId="573" totalsRowCellStyle="Content bold"/>
    <tableColumn id="6" xr3:uid="{C72790B1-D545-4434-9C66-BD6EDE1431D4}" name="Amount unit" totalsRowDxfId="572" dataCellStyle="Input number general calculated" totalsRowCellStyle="Input text calculated"/>
    <tableColumn id="5" xr3:uid="{DED2B6A8-8871-4F82-BF68-0123EE33E6D3}" name="Percent consumed" totalsRowDxfId="571" totalsRowCellStyle="Input percent">
      <calculatedColumnFormula>1</calculatedColumnFormula>
    </tableColumn>
    <tableColumn id="1" xr3:uid="{420FBA2E-73D2-4D10-9D6F-40A070E92B94}" name="Amount consumed" totalsRowFunction="custom" totalsRowDxfId="570"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6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68" dataDxfId="567" totalsRowDxfId="566">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65" totalsRowDxfId="564" dataCellStyle="Input select"/>
    <tableColumn id="23" xr3:uid="{AB23DA3E-DEBD-4FBE-82CF-6CB30C3E71B8}" name="Amount applied per hectare" totalsRowFunction="custom" dataDxfId="563" totalsRowDxfId="562">
      <totalsRowFormula>SUM(Table_Input_InorganicFertiliser_Brands[[#Headers],[#Data],[Amount applied per hectare]])</totalsRowFormula>
    </tableColumn>
    <tableColumn id="12" xr3:uid="{18AF7A4E-8C5A-436D-9731-7560EC6BBF77}" name="Application unit" dataDxfId="561" totalsRowDxfId="560" dataCellStyle="Input number 2 decimal places"/>
    <tableColumn id="9" xr3:uid="{7082C3E6-B56C-419C-862E-725D49AC2E37}" name="Density" dataDxfId="559" totalsRowDxfId="558" dataCellStyle="Input number 2 decimal places"/>
    <tableColumn id="6" xr3:uid="{16DFF96E-FA84-40A3-8489-80A6419902FE}" name="Application area (ha)" dataDxfId="557" totalsRowDxfId="556"/>
    <tableColumn id="1" xr3:uid="{F3E2130B-8CA6-4823-A5F5-680515D3CDE2}" name="Total applied (kg)" dataDxfId="555" totalsRowDxfId="55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53" totalsRowDxfId="552" dataCellStyle="Input number general calculated"/>
    <tableColumn id="4" xr3:uid="{6567688D-BA71-41F4-B8BE-F1306ED7A1C9}" name="Ingredient 1 percent" dataDxfId="551" totalsRowDxfId="550" dataCellStyle="Input number general calculated"/>
    <tableColumn id="7" xr3:uid="{2BA7BD61-550F-470B-BF94-3D19584324D9}" name="Ingredient 2" dataDxfId="549" dataCellStyle="Input number general calculated"/>
    <tableColumn id="8" xr3:uid="{145735F6-E57C-4A7D-9E8F-5C169DC3E9CF}" name="Ingredient 2 percent" dataDxfId="548" totalsRowDxfId="547" dataCellStyle="Input number general calculated"/>
    <tableColumn id="10" xr3:uid="{0A1B4289-E4AD-47AC-AB7E-4D2EC2A9F9F3}" name="Ingredient 3" dataDxfId="546" totalsRowDxfId="545" dataCellStyle="Input number general calculated"/>
    <tableColumn id="11" xr3:uid="{E2992782-C67C-4D71-B4BB-FABFBFF26EC8}" name="Ingredient 3 percent" dataDxfId="544" totalsRowDxfId="543" dataCellStyle="Input number general calculated"/>
    <tableColumn id="13" xr3:uid="{9D0C7F1B-13A1-4030-8124-E1722921E4A7}" name="Ingredient 4" dataDxfId="542" totalsRowDxfId="541" dataCellStyle="Input number general calculated"/>
    <tableColumn id="14" xr3:uid="{4C9D8859-A934-4E37-A660-2BD882BF4125}" name="Ingredient 4 percent" dataDxfId="540" dataCellStyle="Input number general calculated"/>
    <tableColumn id="16" xr3:uid="{C5CDA41D-1C75-4167-8308-6E21407D407F}" name="Ingredient 5" dataDxfId="539" dataCellStyle="Input number general calculated"/>
    <tableColumn id="17" xr3:uid="{84572289-5DBA-4E2C-99BD-E13B1A156266}" name="Ingredient 5 percent" dataDxfId="538" dataCellStyle="Input number general calculated"/>
    <tableColumn id="19" xr3:uid="{EFC1F2EA-3644-43AB-84B3-130FB7522EB6}" name="Ingredient 6" dataDxfId="537" dataCellStyle="Input number general calculated"/>
    <tableColumn id="20" xr3:uid="{C6B44DCC-F02A-4AC8-897F-9680DEF965C5}" name="Ingredient 6 percent" dataDxfId="536" dataCellStyle="Input number general calculated"/>
    <tableColumn id="5" xr3:uid="{11998F4F-9C7F-4BA8-8749-2C9C5EAF9FFD}" name="N application rate (kg/ha)" dataDxfId="535" totalsRowDxfId="534" dataCellStyle="Input number general calculated"/>
    <tableColumn id="15" xr3:uid="{2EF052D6-D6B9-4895-920C-BA2D601AE6E4}" name="Urea source" dataDxfId="533" totalsRowDxfId="532" dataCellStyle="Input number general calculated"/>
    <tableColumn id="18" xr3:uid="{14454ACA-4761-4BF3-A8D3-7FFB32BBAE90}" name="Ammonia source" dataDxfId="531" totalsRowDxfId="530"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29" dataDxfId="528">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27"/>
    <tableColumn id="3" xr3:uid="{9317B0C5-24FD-4910-816B-6925938529AB}" name="Application area (ha)" dataDxfId="526" dataCellStyle="Input number 2 decimal places"/>
    <tableColumn id="4" xr3:uid="{FF84BF07-0983-4D90-BE0C-BB04F4556C9A}" name="Total applied (kg)" dataDxfId="525"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24" dataCellStyle="Input select"/>
    <tableColumn id="6" xr3:uid="{6ED10138-A07A-4840-AB59-7A25A5F609B6}" name="Ingredient 1 percent" dataDxfId="523"/>
    <tableColumn id="8" xr3:uid="{C75326F5-5EEC-4C92-9D0E-D0F9671FCB47}" name="Ingredient 2" dataDxfId="522" dataCellStyle="Input select"/>
    <tableColumn id="9" xr3:uid="{497A6A6A-A7AD-4952-98F4-855563F3EAE5}" name="Ingredient 2 percent" dataDxfId="521"/>
    <tableColumn id="11" xr3:uid="{C44AB45C-A730-4849-8419-D3E8E4050FD8}" name="Ingredient 3" dataDxfId="520" dataCellStyle="Input select"/>
    <tableColumn id="12" xr3:uid="{63812E8B-3479-4B33-8754-51D44572B655}" name="Ingredient 3 percent" dataDxfId="519"/>
    <tableColumn id="14" xr3:uid="{7C7A536C-3F11-415F-B0C5-94EF79615E8F}" name="Ingredient 4" dataDxfId="518" dataCellStyle="Input select"/>
    <tableColumn id="15" xr3:uid="{568F78E6-0414-4595-BFEE-3BDD32BE650F}" name="Ingredient 4 percent" dataCellStyle="Input percent"/>
    <tableColumn id="7" xr3:uid="{ADBE0230-07EE-4B13-8177-69875A36F112}" name="N application rate (kg/ha)" dataDxfId="517"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16" dataDxfId="515"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14"/>
    <tableColumn id="2" xr3:uid="{3E4C76D4-A9E4-49C2-A64C-CC59F620FE6E}" name="Amount applied (t/hectare)" dataDxfId="513"/>
    <tableColumn id="4" xr3:uid="{9FAC43C1-05C8-42BF-BDFD-D2F108E31C38}" name="Application area (ha)" dataDxfId="512" dataCellStyle="Input number 2 decimal places"/>
    <tableColumn id="3" xr3:uid="{B2139156-86FA-4253-9C8B-89B3FE7459FB}" name="Total amount applied (t)" dataDxfId="511"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10"/>
    <tableColumn id="8" xr3:uid="{51F1C864-871C-4B7A-9357-BF4F34013F60}" name="Percent Dolomite CaMg(CO3)2" dataDxfId="509"/>
    <tableColumn id="7" xr3:uid="{1EFC18C5-7A4E-4020-BC68-A871CA205C17}" name="Percent Gypsum" dataDxfId="508"/>
    <tableColumn id="10" xr3:uid="{4C7D4595-8B33-409C-BBD0-2478A48CFBFD}" name="Total" dataDxfId="507">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06" dataDxfId="505"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04" dataCellStyle="Input select"/>
    <tableColumn id="5" xr3:uid="{D6C798A9-E90B-4E42-BAE9-79E674DF9282}" name="Percentage of N in fertiliser" dataDxfId="503"/>
    <tableColumn id="2" xr3:uid="{F3297107-69C5-4912-8629-85A12B66B717}" name="Amount applied (kg/hectare)" dataDxfId="502"/>
    <tableColumn id="11" xr3:uid="{653E495A-7B48-43BF-ABAA-3A26DA7E2D0B}" name="Amount N applied (kg/hectare)" dataDxfId="501"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500" dataCellStyle="Input number 2 decimal places"/>
    <tableColumn id="7" xr3:uid="{BAC8AC21-22C8-4123-AC3F-E3E3F31F37C2}" name="Total organic fertliser applied" dataDxfId="499"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49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9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9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9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94" dataCellStyle="Input select"/>
    <tableColumn id="2" xr3:uid="{5B0AEBA4-AB33-4382-8634-3F4C8D3B2A9B}" name="Number of head treated" dataDxfId="493"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92" dataCellStyle="Input select"/>
    <tableColumn id="2" xr3:uid="{FA43F52A-7609-4014-A6D3-CAC2C970F57C}" name="Purchase class (select)" dataDxfId="491" dataCellStyle="Input select"/>
    <tableColumn id="6" xr3:uid="{41EDEC1E-1793-4BBD-B0C8-66DE9A0925D5}" name="Source region (Select)" dataDxfId="49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9">
  <autoFilter ref="D6:I16" xr:uid="{E938BFB3-949A-45DE-8033-0682BC494B81}"/>
  <tableColumns count="6">
    <tableColumn id="9" xr3:uid="{9915AEA9-40DA-4CFD-B08A-11FBE10BE9CF}" name="Transaction name" dataCellStyle="Input text"/>
    <tableColumn id="11" xr3:uid="{7A96FDED-4DC0-48EE-B346-DC4E5D93138D}" name="Class (select)" dataDxfId="48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7">
  <autoFilter ref="D6:H16" xr:uid="{14ED7533-62DD-410F-8832-CD98B0CD652B}"/>
  <tableColumns count="5">
    <tableColumn id="9" xr3:uid="{FC1CEF00-A0CC-4545-ADAB-9F52D190F90C}" name="Transaction name" dataCellStyle="Input text"/>
    <tableColumn id="11" xr3:uid="{45625588-179B-4EE3-98B4-2E94FA489CC5}" name="Class (select)" dataDxfId="48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8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84"/>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83"/>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82"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81"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80"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9"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78"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76"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75"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74"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73"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72"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7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7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69"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68"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67"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66"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65"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6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6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6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61"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60"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59"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58"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57"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5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5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54"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53"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52"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51"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50"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4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4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4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4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4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4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4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4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4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40"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39"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38"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37"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36"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3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3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33"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32"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31"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30"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29"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2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2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2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2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2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2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2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2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2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1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1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1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1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1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1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13"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12"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11"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10"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0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0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05"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04" headerRowCellStyle="Content normal" dataCellStyle="Content normal">
  <autoFilter ref="M16:M21" xr:uid="{5C8D39D3-1330-49EB-B431-1B2B8C8238DC}">
    <filterColumn colId="0" hiddenButton="1"/>
  </autoFilter>
  <tableColumns count="1">
    <tableColumn id="1" xr3:uid="{48A9F6B6-C4C2-497F-927B-F8594D934ED4}" name="Waste type w" totalsRowDxfId="403"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02" headerRowCellStyle="Content normal" dataCellStyle="Content normal">
  <autoFilter ref="O16:O21" xr:uid="{331EC43E-DF68-429F-A2A4-58BFE6216EC3}">
    <filterColumn colId="0" hiddenButton="1"/>
  </autoFilter>
  <tableColumns count="1">
    <tableColumn id="1" xr3:uid="{38BBAE05-6DA1-4AA0-A146-03E766C50A53}" name="Waste type w" totalsRowDxfId="401"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400" dataDxfId="3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398">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397">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396">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395">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394">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393">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392">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3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390" dataDxfId="3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388">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387">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86">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85">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84">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83">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82">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81">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79" dataDxfId="3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77"/>
    <tableColumn id="2" xr3:uid="{137AD0D6-971A-443C-94D6-7F5BE423C34F}" name="Power standalone machinery or heating" dataDxfId="376"/>
    <tableColumn id="3" xr3:uid="{D4712709-7FD6-4457-987D-64B164054A44}" name="Aviation" dataDxfId="375"/>
    <tableColumn id="5" xr3:uid="{64BC57A6-CC25-434D-8AF4-2649F58F5608}" name="Cars and light commercial vehicles" dataDxfId="374"/>
    <tableColumn id="7" xr3:uid="{E36B40BF-755F-4B2A-8561-BFB2A7625644}" name="Off-road Agriculture and forestry equipment" dataDxfId="373" dataCellStyle="Content bold"/>
    <tableColumn id="8" xr3:uid="{5588F13B-3C15-43B9-A20F-57DD09E0F8EF}" name="Vessels" dataDxfId="372"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57"/>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4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4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4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44"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43"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42"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41"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40"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39"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38"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37"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36"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3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3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3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32"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3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30"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2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28"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2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2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2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24"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23"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22"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21"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20"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19"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18"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17"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1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15"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14"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13"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12"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1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10" dataCellStyle="Content normal">
  <autoFilter ref="D78:E82" xr:uid="{E34928EB-73E5-43B2-830B-089F30DA4EF0}">
    <filterColumn colId="0" hiddenButton="1"/>
    <filterColumn colId="1" hiddenButton="1"/>
  </autoFilter>
  <tableColumns count="2">
    <tableColumn id="1" xr3:uid="{070A5DA4-5A77-42EE-9F2E-0DA9648BCB83}" name="Class" dataDxfId="309"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0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07"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06"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05"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0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0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02"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01"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299"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298"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297"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296"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295"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293"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292"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291"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290"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87"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86"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85"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84"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83"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82"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81"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80"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79"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78"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77"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75"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74"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7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7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70"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69"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68"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67"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6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6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5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4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3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2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1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1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1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0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01" dataCellStyle="Content normal">
      <calculatedColumnFormula>D351</calculatedColumnFormula>
    </tableColumn>
    <tableColumn id="2" xr3:uid="{E89D7C7D-7543-4947-9D4E-78532E03F95C}" name="Bulls &lt; 1 year" dataDxfId="200" dataCellStyle="Content normal">
      <calculatedColumnFormula>E351</calculatedColumnFormula>
    </tableColumn>
    <tableColumn id="3" xr3:uid="{EA042284-DED8-4BCC-8C64-F6A3EA3A72BC}" name="Bulls &gt; 1 year" dataDxfId="199" dataCellStyle="Content normal">
      <calculatedColumnFormula>F351</calculatedColumnFormula>
    </tableColumn>
    <tableColumn id="4" xr3:uid="{DEEF68DB-E6A3-441C-B2F6-F21EA9C21B80}" name="Cows &lt; 1 year" dataDxfId="198" dataCellStyle="Content normal">
      <calculatedColumnFormula>G351</calculatedColumnFormula>
    </tableColumn>
    <tableColumn id="5" xr3:uid="{B2378F01-F7E7-4B1D-AAA1-3222B7103645}" name="Cows 1-2 years" dataDxfId="197" dataCellStyle="Content normal">
      <calculatedColumnFormula>H351</calculatedColumnFormula>
    </tableColumn>
    <tableColumn id="6" xr3:uid="{42C18EDC-CB4B-4033-AE63-7D3E52772E4D}" name="Cows 2-3 years" dataDxfId="196" dataCellStyle="Content normal">
      <calculatedColumnFormula>I351</calculatedColumnFormula>
    </tableColumn>
    <tableColumn id="7" xr3:uid="{3C471A7A-F02E-4CF5-AF3C-D76D8F0C05FF}" name="Cows &gt; 3 years" dataDxfId="195" dataCellStyle="Content normal">
      <calculatedColumnFormula>I351</calculatedColumnFormula>
    </tableColumn>
    <tableColumn id="8" xr3:uid="{02AA85FB-38BF-4DB4-8CEC-5920FDD6CCF0}" name="Steers &lt; 1 year" dataDxfId="194" dataCellStyle="Content normal">
      <calculatedColumnFormula>J351</calculatedColumnFormula>
    </tableColumn>
    <tableColumn id="9" xr3:uid="{2F245764-9CA2-4B41-92BF-64F9438B0B16}" name="Steers 1-2 years" dataDxfId="193" dataCellStyle="Content normal">
      <calculatedColumnFormula>K351</calculatedColumnFormula>
    </tableColumn>
    <tableColumn id="10" xr3:uid="{AEA8FE2B-897E-4311-9AA9-2D104D25663D}" name="Steers 2-3 years" dataDxfId="192" dataCellStyle="Content normal">
      <calculatedColumnFormula>K351</calculatedColumnFormula>
    </tableColumn>
    <tableColumn id="11" xr3:uid="{4AEB3629-E569-4AA2-B135-BC9310F921FA}" name="Steers &gt;3 years" dataDxfId="191" dataCellStyle="Content normal">
      <calculatedColumnFormula>K351</calculatedColumnFormula>
    </tableColumn>
    <tableColumn id="12" xr3:uid="{3561B4C8-E3D2-4FE9-A84C-5DA20EF6E8C2}" name="State abbreviation" dataDxfId="190"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18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1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8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8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8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78"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77"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76"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75"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74"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73"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589"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588" dataCellStyle="Content normal">
  <autoFilter ref="D43:E50" xr:uid="{995536B5-6CA5-4D7D-A704-9B6B595C2491}"/>
  <tableColumns count="2">
    <tableColumn id="1" xr3:uid="{8C10888A-6AD2-4797-90CE-BA42137BA259}" name="Product" dataDxfId="587"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586"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585" dataCellStyle="Content normal">
  <autoFilter ref="D54:E55" xr:uid="{257D8456-031C-4EEF-A8C4-474F215C3208}"/>
  <tableColumns count="2">
    <tableColumn id="1" xr3:uid="{C9BD9879-938B-4299-B860-EEC59F04616F}" name="Product" dataDxfId="584"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58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582" dataCellStyle="Content normal">
  <autoFilter ref="D59:E60" xr:uid="{71833C62-BA2B-4519-92E0-B189E393D12F}"/>
  <tableColumns count="2">
    <tableColumn id="1" xr3:uid="{4761750C-B12C-4488-8CA0-7A86EE5D8E7C}" name="Product" dataDxfId="581"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58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579" dataCellStyle="Content normal">
  <autoFilter ref="D64:E65" xr:uid="{65FF5EF6-2A75-4137-9345-8328E2DA8F9C}"/>
  <tableColumns count="2">
    <tableColumn id="1" xr3:uid="{88A75088-6DB0-45D4-9FA4-3F6ECB3956E2}" name="Product" dataDxfId="578"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577"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2" totalsRowDxfId="171">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70" totalsRowDxfId="169">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8" totalsRowDxfId="167">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6" totalsRowDxfId="165">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4" totalsRowDxfId="163">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2" totalsRowDxfId="161">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60" totalsRowDxfId="159">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8" totalsRowDxfId="157">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6" totalsRowDxfId="155">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4" totalsRowDxfId="153">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2" totalsRowDxfId="151">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50" totalsRowDxfId="149">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8" totalsRowDxfId="147">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6" totalsRowDxfId="145">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4" totalsRowDxfId="143">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2" totalsRowDxfId="141">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40" totalsRowDxfId="139">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8" totalsRowDxfId="137">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6" totalsRowDxfId="135">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4" totalsRowDxfId="133">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2">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1">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30">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9">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8">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7">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6">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1" dataCellStyle="Content normal">
  <autoFilter ref="K19:L28" xr:uid="{27B93029-EB1F-4C4A-A946-CD673A8A6C46}">
    <filterColumn colId="0" hiddenButton="1"/>
    <filterColumn colId="1" hiddenButton="1"/>
  </autoFilter>
  <tableColumns count="2">
    <tableColumn id="1" xr3:uid="{66177B69-DF20-4D13-BF5C-C78C8670A355}"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8" dataCellStyle="Content normal">
  <autoFilter ref="Q19:R28" xr:uid="{791CEA59-796C-47AB-86BC-41E8F699030C}">
    <filterColumn colId="0" hiddenButton="1"/>
    <filterColumn colId="1" hiddenButton="1"/>
  </autoFilter>
  <tableColumns count="2">
    <tableColumn id="1" xr3:uid="{AE209ADA-F6E2-4690-8C87-917238E1F317}"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0</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377.05200000000002</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78.284322000000003</v>
      </c>
      <c r="F17" s="215">
        <f>VEERG_15_4_1_1__2_EmissionsFromPurchasedFertiliserComponentsVariation_Result_Method2</f>
        <v>75.743047000000004</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2477.8014762857151</v>
      </c>
      <c r="F37" s="218">
        <f>SUM(F10:F36)</f>
        <v>5586188.3726355713</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8" priority="9" operator="lessThan">
      <formula>0</formula>
    </cfRule>
  </conditionalFormatting>
  <conditionalFormatting sqref="F111:F112">
    <cfRule type="cellIs" dxfId="77" priority="8" operator="lessThan">
      <formula>0</formula>
    </cfRule>
  </conditionalFormatting>
  <conditionalFormatting sqref="F123:F124">
    <cfRule type="cellIs" dxfId="76" priority="7" operator="lessThan">
      <formula>0</formula>
    </cfRule>
  </conditionalFormatting>
  <conditionalFormatting sqref="F135:F136">
    <cfRule type="cellIs" dxfId="75" priority="6" operator="lessThan">
      <formula>0</formula>
    </cfRule>
  </conditionalFormatting>
  <conditionalFormatting sqref="F147:F148">
    <cfRule type="cellIs" dxfId="74" priority="5" operator="lessThan">
      <formula>0</formula>
    </cfRule>
  </conditionalFormatting>
  <conditionalFormatting sqref="F235:F236">
    <cfRule type="cellIs" dxfId="73" priority="17" operator="lessThan">
      <formula>0</formula>
    </cfRule>
  </conditionalFormatting>
  <conditionalFormatting sqref="F240:F241">
    <cfRule type="cellIs" dxfId="72" priority="16" operator="lessThan">
      <formula>0</formula>
    </cfRule>
  </conditionalFormatting>
  <conditionalFormatting sqref="F245:F246">
    <cfRule type="cellIs" dxfId="71" priority="15" operator="lessThan">
      <formula>0</formula>
    </cfRule>
  </conditionalFormatting>
  <conditionalFormatting sqref="F269:F270">
    <cfRule type="cellIs" dxfId="70" priority="14" operator="lessThan">
      <formula>0</formula>
    </cfRule>
  </conditionalFormatting>
  <conditionalFormatting sqref="F274:F275">
    <cfRule type="cellIs" dxfId="69" priority="13" operator="lessThan">
      <formula>0</formula>
    </cfRule>
  </conditionalFormatting>
  <conditionalFormatting sqref="F279:F280">
    <cfRule type="cellIs" dxfId="68" priority="12" operator="lessThan">
      <formula>0</formula>
    </cfRule>
  </conditionalFormatting>
  <conditionalFormatting sqref="I26:J27 H28:H30 I31:J31 I33:J35 I37:J38 I189:J189 E195:G195 I195:J195">
    <cfRule type="cellIs" dxfId="67" priority="11" operator="lessThan">
      <formula>0</formula>
    </cfRule>
  </conditionalFormatting>
  <conditionalFormatting sqref="I42:J46">
    <cfRule type="cellIs" dxfId="66" priority="4" operator="lessThan">
      <formula>0</formula>
    </cfRule>
  </conditionalFormatting>
  <conditionalFormatting sqref="I50:J50 I109:J109">
    <cfRule type="cellIs" dxfId="65" priority="10" operator="lessThan">
      <formula>0</formula>
    </cfRule>
  </conditionalFormatting>
  <conditionalFormatting sqref="I61:J63">
    <cfRule type="cellIs" dxfId="64" priority="3" operator="lessThan">
      <formula>0</formula>
    </cfRule>
  </conditionalFormatting>
  <conditionalFormatting sqref="I67:J70">
    <cfRule type="cellIs" dxfId="63" priority="2" operator="lessThan">
      <formula>0</formula>
    </cfRule>
  </conditionalFormatting>
  <conditionalFormatting sqref="I74:J78">
    <cfRule type="cellIs" dxfId="62"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2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1" priority="18" operator="lessThan">
      <formula>0</formula>
    </cfRule>
  </conditionalFormatting>
  <conditionalFormatting sqref="F155:F156">
    <cfRule type="cellIs" dxfId="60" priority="14" operator="lessThan">
      <formula>0</formula>
    </cfRule>
  </conditionalFormatting>
  <conditionalFormatting sqref="F167:F168">
    <cfRule type="cellIs" dxfId="59" priority="13" operator="lessThan">
      <formula>0</formula>
    </cfRule>
  </conditionalFormatting>
  <conditionalFormatting sqref="F255:F256">
    <cfRule type="cellIs" dxfId="58" priority="26" operator="lessThan">
      <formula>0</formula>
    </cfRule>
  </conditionalFormatting>
  <conditionalFormatting sqref="F260:F261">
    <cfRule type="cellIs" dxfId="57" priority="25" operator="lessThan">
      <formula>0</formula>
    </cfRule>
  </conditionalFormatting>
  <conditionalFormatting sqref="F265:F266">
    <cfRule type="cellIs" dxfId="56" priority="24" operator="lessThan">
      <formula>0</formula>
    </cfRule>
  </conditionalFormatting>
  <conditionalFormatting sqref="F289:F290">
    <cfRule type="cellIs" dxfId="55" priority="23" operator="lessThan">
      <formula>0</formula>
    </cfRule>
  </conditionalFormatting>
  <conditionalFormatting sqref="F294:F295">
    <cfRule type="cellIs" dxfId="54" priority="22" operator="lessThan">
      <formula>0</formula>
    </cfRule>
  </conditionalFormatting>
  <conditionalFormatting sqref="F299:F300">
    <cfRule type="cellIs" dxfId="53" priority="21" operator="lessThan">
      <formula>0</formula>
    </cfRule>
  </conditionalFormatting>
  <conditionalFormatting sqref="H41 F131:F132">
    <cfRule type="cellIs" dxfId="52"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1" priority="20" operator="lessThan">
      <formula>0</formula>
    </cfRule>
  </conditionalFormatting>
  <conditionalFormatting sqref="I30:I35 F143:F144">
    <cfRule type="cellIs" dxfId="50" priority="15" operator="lessThan">
      <formula>0</formula>
    </cfRule>
  </conditionalFormatting>
  <conditionalFormatting sqref="I70 M107 I129:J129">
    <cfRule type="cellIs" dxfId="49" priority="19" operator="lessThan">
      <formula>0</formula>
    </cfRule>
  </conditionalFormatting>
  <conditionalFormatting sqref="I81:I83">
    <cfRule type="cellIs" dxfId="48" priority="3" operator="lessThan">
      <formula>0</formula>
    </cfRule>
  </conditionalFormatting>
  <conditionalFormatting sqref="I87:I90">
    <cfRule type="cellIs" dxfId="47" priority="2" operator="lessThan">
      <formula>0</formula>
    </cfRule>
  </conditionalFormatting>
  <conditionalFormatting sqref="I94:I98">
    <cfRule type="cellIs" dxfId="46" priority="1" operator="lessThan">
      <formula>0</formula>
    </cfRule>
  </conditionalFormatting>
  <conditionalFormatting sqref="J157">
    <cfRule type="cellIs" dxfId="45" priority="17" operator="lessThan">
      <formula>0</formula>
    </cfRule>
  </conditionalFormatting>
  <conditionalFormatting sqref="L119:L122">
    <cfRule type="cellIs" dxfId="44" priority="7" operator="lessThan">
      <formula>0</formula>
    </cfRule>
  </conditionalFormatting>
  <conditionalFormatting sqref="L125">
    <cfRule type="cellIs" dxfId="43" priority="12" operator="lessThan">
      <formula>0</formula>
    </cfRule>
  </conditionalFormatting>
  <conditionalFormatting sqref="L131:L134">
    <cfRule type="cellIs" dxfId="42" priority="6" operator="lessThan">
      <formula>0</formula>
    </cfRule>
  </conditionalFormatting>
  <conditionalFormatting sqref="L137">
    <cfRule type="cellIs" dxfId="41" priority="11" operator="lessThan">
      <formula>0</formula>
    </cfRule>
  </conditionalFormatting>
  <conditionalFormatting sqref="L143:L146">
    <cfRule type="cellIs" dxfId="40" priority="5" operator="lessThan">
      <formula>0</formula>
    </cfRule>
  </conditionalFormatting>
  <conditionalFormatting sqref="L149">
    <cfRule type="cellIs" dxfId="39" priority="10" operator="lessThan">
      <formula>0</formula>
    </cfRule>
  </conditionalFormatting>
  <conditionalFormatting sqref="L155:L158">
    <cfRule type="cellIs" dxfId="38" priority="4" operator="lessThan">
      <formula>0</formula>
    </cfRule>
  </conditionalFormatting>
  <conditionalFormatting sqref="L161">
    <cfRule type="cellIs" dxfId="37" priority="9" operator="lessThan">
      <formula>0</formula>
    </cfRule>
  </conditionalFormatting>
  <conditionalFormatting sqref="L165:L166">
    <cfRule type="cellIs" dxfId="36" priority="8" operator="lessThan">
      <formula>0</formula>
    </cfRule>
  </conditionalFormatting>
  <conditionalFormatting sqref="L218 L220:L223 L225 J233:J235 J238:J240">
    <cfRule type="cellIs" dxfId="35"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(select)]],#REF!,#REF!)</f>
        <v>0</v>
      </c>
      <c r="H7" s="66">
        <v>180</v>
      </c>
    </row>
    <row r="8" spans="1:10" x14ac:dyDescent="0.25">
      <c r="A8" s="16" t="str">
        <f>HYPERLINK("#'Input - Site'!A1", "Site")</f>
        <v>Site</v>
      </c>
      <c r="D8" s="82" t="s">
        <v>561</v>
      </c>
      <c r="E8" s="148" t="s">
        <v>560</v>
      </c>
      <c r="F8" s="66">
        <v>100</v>
      </c>
      <c r="G8" s="49" cm="1">
        <f t="array" ref="G8">Common_InputFunctions.Utility_LookupValueInTableNumber(Table_Input_LivestockPurchases_Pigs[[#This Row],[Class (select)]],#REF!,#REF!)</f>
        <v>0</v>
      </c>
      <c r="H8" s="66">
        <v>38</v>
      </c>
    </row>
    <row r="9" spans="1:10" x14ac:dyDescent="0.25">
      <c r="A9" s="16" t="str">
        <f>HYPERLINK("#'Input - Fuel'!A1", "Fuel")</f>
        <v>Fuel</v>
      </c>
      <c r="D9" s="82"/>
      <c r="E9" s="148"/>
      <c r="F9" s="66"/>
      <c r="G9" s="49" cm="1">
        <f t="array" ref="G9">Common_InputFunctions.Utility_LookupValueInTableNumber(Table_Input_LivestockPurchases_Pigs[[#This Row],[Class (select)]],#REF!,#REF!)</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(select)]],#REF!,#REF!)</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(select)]],#REF!,#REF!)</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(select)]],#REF!,#REF!)</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(select)]],#REF!,#REF!)</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(select)]],#REF!,#REF!)</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(select)]],#REF!,#REF!)</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(select)]],#REF!,#REF!)</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4" priority="7" operator="lessThan">
      <formula>0</formula>
    </cfRule>
  </conditionalFormatting>
  <conditionalFormatting sqref="F174:F175">
    <cfRule type="cellIs" dxfId="33" priority="6" operator="lessThan">
      <formula>0</formula>
    </cfRule>
  </conditionalFormatting>
  <conditionalFormatting sqref="F186:F187">
    <cfRule type="cellIs" dxfId="32" priority="5" operator="lessThan">
      <formula>0</formula>
    </cfRule>
  </conditionalFormatting>
  <conditionalFormatting sqref="F274:F275">
    <cfRule type="cellIs" dxfId="31" priority="17" operator="lessThan">
      <formula>0</formula>
    </cfRule>
  </conditionalFormatting>
  <conditionalFormatting sqref="F279:F280">
    <cfRule type="cellIs" dxfId="30" priority="16" operator="lessThan">
      <formula>0</formula>
    </cfRule>
  </conditionalFormatting>
  <conditionalFormatting sqref="F284:F285">
    <cfRule type="cellIs" dxfId="29" priority="15" operator="lessThan">
      <formula>0</formula>
    </cfRule>
  </conditionalFormatting>
  <conditionalFormatting sqref="F308:F309">
    <cfRule type="cellIs" dxfId="28" priority="14" operator="lessThan">
      <formula>0</formula>
    </cfRule>
  </conditionalFormatting>
  <conditionalFormatting sqref="F313:F314">
    <cfRule type="cellIs" dxfId="27" priority="13" operator="lessThan">
      <formula>0</formula>
    </cfRule>
  </conditionalFormatting>
  <conditionalFormatting sqref="F318:F319">
    <cfRule type="cellIs" dxfId="26" priority="12" operator="lessThan">
      <formula>0</formula>
    </cfRule>
  </conditionalFormatting>
  <conditionalFormatting sqref="I33 F71">
    <cfRule type="cellIs" dxfId="25" priority="9" operator="lessThan">
      <formula>0</formula>
    </cfRule>
  </conditionalFormatting>
  <conditionalFormatting sqref="I79:I83">
    <cfRule type="cellIs" dxfId="24" priority="4" operator="lessThan">
      <formula>0</formula>
    </cfRule>
  </conditionalFormatting>
  <conditionalFormatting sqref="I87 I146">
    <cfRule type="cellIs" dxfId="23" priority="10" operator="lessThan">
      <formula>0</formula>
    </cfRule>
  </conditionalFormatting>
  <conditionalFormatting sqref="I98:I100">
    <cfRule type="cellIs" dxfId="22" priority="3" operator="lessThan">
      <formula>0</formula>
    </cfRule>
  </conditionalFormatting>
  <conditionalFormatting sqref="I104:I107">
    <cfRule type="cellIs" dxfId="21" priority="2" operator="lessThan">
      <formula>0</formula>
    </cfRule>
  </conditionalFormatting>
  <conditionalFormatting sqref="I111:I115">
    <cfRule type="cellIs" dxfId="20" priority="1" operator="lessThan">
      <formula>0</formula>
    </cfRule>
  </conditionalFormatting>
  <conditionalFormatting sqref="J8 I65:I66 H67:H69 I68 I70:I72 I74:I75 I226 I232 E234:G234">
    <cfRule type="cellIs" dxfId="19" priority="11" operator="lessThan">
      <formula>0</formula>
    </cfRule>
  </conditionalFormatting>
  <conditionalFormatting sqref="J37 I59 F150:F151">
    <cfRule type="cellIs" dxfId="18"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7" priority="8" operator="lessThan">
      <formula>0</formula>
    </cfRule>
  </conditionalFormatting>
  <conditionalFormatting sqref="F142:F143">
    <cfRule type="cellIs" dxfId="16" priority="7" operator="lessThan">
      <formula>0</formula>
    </cfRule>
  </conditionalFormatting>
  <conditionalFormatting sqref="F154:F155">
    <cfRule type="cellIs" dxfId="15" priority="6" operator="lessThan">
      <formula>0</formula>
    </cfRule>
  </conditionalFormatting>
  <conditionalFormatting sqref="F166:F167">
    <cfRule type="cellIs" dxfId="14" priority="5" operator="lessThan">
      <formula>0</formula>
    </cfRule>
  </conditionalFormatting>
  <conditionalFormatting sqref="F254:F255">
    <cfRule type="cellIs" dxfId="13" priority="17" operator="lessThan">
      <formula>0</formula>
    </cfRule>
  </conditionalFormatting>
  <conditionalFormatting sqref="F259:F260">
    <cfRule type="cellIs" dxfId="12" priority="16" operator="lessThan">
      <formula>0</formula>
    </cfRule>
  </conditionalFormatting>
  <conditionalFormatting sqref="F264:F265">
    <cfRule type="cellIs" dxfId="11" priority="15" operator="lessThan">
      <formula>0</formula>
    </cfRule>
  </conditionalFormatting>
  <conditionalFormatting sqref="F288:F289">
    <cfRule type="cellIs" dxfId="10" priority="14" operator="lessThan">
      <formula>0</formula>
    </cfRule>
  </conditionalFormatting>
  <conditionalFormatting sqref="F293:F294">
    <cfRule type="cellIs" dxfId="9" priority="13" operator="lessThan">
      <formula>0</formula>
    </cfRule>
  </conditionalFormatting>
  <conditionalFormatting sqref="F298:F299">
    <cfRule type="cellIs" dxfId="8" priority="12" operator="lessThan">
      <formula>0</formula>
    </cfRule>
  </conditionalFormatting>
  <conditionalFormatting sqref="I59:I63">
    <cfRule type="cellIs" dxfId="7" priority="4" operator="lessThan">
      <formula>0</formula>
    </cfRule>
  </conditionalFormatting>
  <conditionalFormatting sqref="I67 I126">
    <cfRule type="cellIs" dxfId="6" priority="10" operator="lessThan">
      <formula>0</formula>
    </cfRule>
  </conditionalFormatting>
  <conditionalFormatting sqref="I78:I80">
    <cfRule type="cellIs" dxfId="5" priority="3" operator="lessThan">
      <formula>0</formula>
    </cfRule>
  </conditionalFormatting>
  <conditionalFormatting sqref="I84:I87">
    <cfRule type="cellIs" dxfId="4" priority="2" operator="lessThan">
      <formula>0</formula>
    </cfRule>
  </conditionalFormatting>
  <conditionalFormatting sqref="I91:I95">
    <cfRule type="cellIs" dxfId="3" priority="1" operator="lessThan">
      <formula>0</formula>
    </cfRule>
  </conditionalFormatting>
  <conditionalFormatting sqref="J35 I49:I50 H51:H53 I52 I54:I55 I206 I212 E214:G214">
    <cfRule type="cellIs" dxfId="2" priority="11" operator="lessThan">
      <formula>0</formula>
    </cfRule>
  </conditionalFormatting>
  <conditionalFormatting sqref="J39 I40 J41 I43">
    <cfRule type="cellIs" dxfId="1"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0</v>
      </c>
      <c r="G61" s="150" cm="1">
        <f t="array" ref="G61">Scope3_Equations.VEERG_15_1_1_1__1_EmissionsFromPurchasedLivestock(E61,F61,$E$58)</f>
        <v>0</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0</v>
      </c>
      <c r="G62" s="150" cm="1">
        <f t="array" ref="G62">Scope3_Equations.VEERG_15_1_1_1__1_EmissionsFromPurchasedLivestock(E62,F62,$E$58)</f>
        <v>0</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0</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1348.3371999999999</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0" cm="1">
        <f t="array" ref="G119">Scope3_Equations.VEERG_15_2_1_1__1_EmissionsFromPurchasedFeed(E119,F119)</f>
        <v>29.651999999999994</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0" cm="1">
        <f t="array" ref="G120">Scope3_Equations.VEERG_15_2_1_1__1_EmissionsFromPurchasedFeed(E120,F120)</f>
        <v>0</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0" cm="1">
        <f t="array" ref="G121">Scope3_Equations.VEERG_15_2_1_1__1_EmissionsFromPurchasedFeed(E121,F121)</f>
        <v>0</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3" t="s">
        <v>629</v>
      </c>
      <c r="E130" s="98">
        <f>SUM(G119:G128)</f>
        <v>202.15199999999999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377.05200000000002</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t="str" cm="1">
        <f t="array" ref="O237:O246">IFERROR(INDEX(#REF!, _xlfn.SEQUENCE(10)), "")</f>
        <v/>
      </c>
      <c r="P237" s="49" t="str" cm="1">
        <f t="array" ref="P237:P246">IFERROR(INDEX(#REF!, _xlfn.SEQUENCE(10)), "")</f>
        <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0" cm="1">
        <f t="array" ref="G238">Scope3_Equations.VEERG_15_4_1_1__1_EmissionsFromPurchasedFertiliser(E238,F238)</f>
        <v>9.68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2"/>
      <c r="M238" s="47"/>
      <c r="N238" s="82"/>
      <c r="O238" s="49" t="str">
        <v/>
      </c>
      <c r="P238" s="49" t="str">
        <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0" cm="1">
        <f t="array" ref="G239">Scope3_Equations.VEERG_15_4_1_1__1_EmissionsFromPurchasedFertiliser(E239,F239)</f>
        <v>11.6</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2"/>
      <c r="M239" s="47"/>
      <c r="N239" s="82"/>
      <c r="O239" s="49" t="str">
        <v/>
      </c>
      <c r="P239" s="49" t="str">
        <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78.284322000000003</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78.284322000000003</v>
      </c>
      <c r="F251" s="177" t="str">
        <f>$E$155</f>
        <v>t CO2e</v>
      </c>
    </row>
    <row r="252" spans="3:41" ht="20.100000000000001" customHeight="1" x14ac:dyDescent="0.25">
      <c r="D252" s="178" t="s">
        <v>670</v>
      </c>
      <c r="E252" s="176">
        <f>SUM(K221:K230)+SUM(K237:K246)</f>
        <v>75.743047000000004</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Common_InputFunctions.CommonCropping_GetFracWET(I70,I72,#REF!,#REF!,Table_SourceData_FracWETIrrigation[Irrigation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abSelected="1" topLeftCell="A107" zoomScaleNormal="100" workbookViewId="0">
      <selection activeCell="G131" sqref="G13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e" cm="1">
        <f t="array" aca="1" ref="D20" ca="1">SourceData_Swine.SourceData_Swine_MethaneVolatileSolidsEmissionsPotential_Source()</f>
        <v>#NAME?</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e" cm="1">
        <f t="array" aca="1" ref="D20" ca="1">SourceData_Dairy.SourceData_Dairy_LiveweightCowsAndHeifers_Variation()</f>
        <v>#NAME?</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2026-08-03T03:40:11Z</dcterms:modified>
</cp:coreProperties>
</file>