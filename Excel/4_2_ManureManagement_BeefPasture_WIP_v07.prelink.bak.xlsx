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8A9AF5C4-6265-4B29-8083-1B981BB896F9}" xr6:coauthVersionLast="47" xr6:coauthVersionMax="47" xr10:uidLastSave="{00000000-0000-0000-0000-000000000000}"/>
  <bookViews>
    <workbookView xWindow="390" yWindow="390" windowWidth="21600" windowHeight="12645" firstSheet="2" activeTab="5" xr2:uid="{992023F3-CAB7-4E5B-A348-08D563A0EF40}"/>
  </bookViews>
  <sheets>
    <sheet name="Home" sheetId="71" r:id="rId1"/>
    <sheet name="Results" sheetId="13" r:id="rId2"/>
    <sheet name="Input - Site" sheetId="15" r:id="rId3"/>
    <sheet name="Input - Pasture Beef" sheetId="70" r:id="rId4"/>
    <sheet name="4.2.1.1-2 Methane" sheetId="69" r:id="rId5"/>
    <sheet name="4.2.1.3-4 Soil direct N20" sheetId="76" r:id="rId6"/>
    <sheet name="4.2.1.5-6 Soil Atmos Dep" sheetId="97" r:id="rId7"/>
    <sheet name="4.2.1.7-8 Soil leach runoff" sheetId="98" r:id="rId8"/>
    <sheet name="Constants - Pature Beef" sheetId="79" r:id="rId9"/>
    <sheet name="Constants - Common" sheetId="106" r:id="rId10"/>
    <sheet name="Constants - Livestock" sheetId="43" r:id="rId11"/>
    <sheet name="Acknowledgements" sheetId="72" r:id="rId12"/>
    <sheet name="Tab template" sheetId="74" r:id="rId13"/>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9">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9">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9">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9">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9">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AE">'4.2.1.3-4 Soil direct N20'!$D$206:$N$210</definedName>
    <definedName name="M1_Table_CP_j">'4.2.1.3-4 Soil direct N20'!$D$152:$N$156</definedName>
    <definedName name="M1_Table_D_j">'4.2.1.3-4 Soil direct N20'!$D$198:$N$202</definedName>
    <definedName name="M1_Table_D_j_Consumer_1">'4.2.1.1-2 Methane'!$D$226:$N$230</definedName>
    <definedName name="M1_Table_DMD_j_k_l">'4.2.1.1-2 Methane'!$D$114:$N$118</definedName>
    <definedName name="M1_Table_E_CH4">'4.2.1.1-2 Methane'!$D$234:$O$242</definedName>
    <definedName name="M1_Table_I_j_k_l">'4.2.1.1-2 Methane'!$D$83:$N$87</definedName>
    <definedName name="M1_Table_I_j_k_l_Consumer_1">'4.2.1.3-4 Soil direct N20'!$D$53:$N$57</definedName>
    <definedName name="M1_Table_L_j_k_l">'4.2.1.3-4 Soil direct N20'!$D$61:$N$65</definedName>
    <definedName name="M1_Table_LC_j_k45">'4.2.1.1-2 Methane'!$D$21:$H$25</definedName>
    <definedName name="M1_Table_LC_j_k45_Consumer_1">'4.2.1.3-4 Soil direct N20'!$D$86:$G$87</definedName>
    <definedName name="M1_Table_LWG_j_k_l">'4.2.1.3-4 Soil direct N20'!$D$118:$N$122</definedName>
    <definedName name="M1_Table_LWG_j_k_l_Consumer_1">'4.2.1.1-2 Methane'!$D$67:$N$71</definedName>
    <definedName name="M1_Table_M_j_k_l_m">'4.2.1.1-2 Methane'!$D$176:$O$184</definedName>
    <definedName name="M1_Table_MA_j_k45">'4.2.1.1-2 Methane'!$D$29:$R$33</definedName>
    <definedName name="M1_Table_MC_j_k_136">'4.2.1.3-4 Soil direct N20'!$D$160:$O$164</definedName>
    <definedName name="M1_Table_MCF_i_m">'4.2.1.1-2 Methane'!$D$170:$E$172</definedName>
    <definedName name="M1_Table_MP_j_k45">'4.2.1.3-4 Soil direct N20'!$D$94:$P$98</definedName>
    <definedName name="M1_Table_N_j_k_l">'4.2.1.3-4 Soil direct N20'!$D$190:$N$194</definedName>
    <definedName name="M1_Table_N_j_k_l_Consumer_1">'4.2.1.1-2 Methane'!$D$218:$N$222</definedName>
    <definedName name="M1_Table_NE_j_k_l">'4.2.1.3-4 Soil direct N20'!$D$168:$N$172</definedName>
    <definedName name="M1_Table_NR_j_k_l">'4.2.1.3-4 Soil direct N20'!$D$126:$N$130</definedName>
    <definedName name="M1_Table_VS_j_k_l">'4.2.1.1-2 Methane'!$D$130:$N$134</definedName>
    <definedName name="M1_Table_W_j_k_l">'4.2.1.3-4 Soil direct N20'!$D$19:$N$23</definedName>
    <definedName name="M1_Table_W_j_k_l_Consumer_1">'4.2.1.1-2 Methane'!$D$51:$N$55</definedName>
    <definedName name="M1_Table_Z_j_k_l">'4.2.1.3-4 Soil direct N20'!$D$32:$N$36</definedName>
    <definedName name="M2_Table_AE">'4.2.1.3-4 Soil direct N20'!$U$247:$AE$259</definedName>
    <definedName name="M2_Table_CP_j">'4.2.1.3-4 Soil direct N20'!$U$163:$AE$175</definedName>
    <definedName name="M2_Table_D_j">'4.2.1.3-4 Soil direct N20'!$U$231:$AE$243</definedName>
    <definedName name="M2_Table_D_j_Consumer_1">'4.2.1.1-2 Methane'!$W$234:$AG$246</definedName>
    <definedName name="M2_Table_DMD_j_k_l">'4.2.1.1-2 Methane'!$W$114:$AG$126</definedName>
    <definedName name="M2_Table_E_CH4">'4.2.1.1-2 Methane'!$W$250:$AH$274</definedName>
    <definedName name="M2_Table_I_j_k_l">'4.2.1.1-2 Methane'!$W$75:$AG$87</definedName>
    <definedName name="M2_Table_I_j_k_l_Consumer_1">'4.2.1.3-4 Soil direct N20'!$U$55:$AE$67</definedName>
    <definedName name="M2_Table_L_j_k_l">'4.2.1.3-4 Soil direct N20'!$U$71:$AE$83</definedName>
    <definedName name="M2_Table_LC_j_k45">'4.2.1.3-4 Soil direct N20'!$U$91:$X$93</definedName>
    <definedName name="M2_Table_LC_j_k45_Consumer_1">'4.2.1.1-2 Methane'!$W$21:$Z$23</definedName>
    <definedName name="M2_Table_LW_j_k_l">'4.2.1.3-4 Soil direct N20'!$U$19:$AE$31</definedName>
    <definedName name="M2_Table_LWG_j_k_l">'4.2.1.3-4 Soil direct N20'!$U$119:$AE$131</definedName>
    <definedName name="M2_Table_LWG_j_k_l_Consumer_1">'4.2.1.1-2 Methane'!$W$59:$AG$71</definedName>
    <definedName name="M2_Table_M_j_k_l_m">'4.2.1.1-2 Methane'!$W$176:$AH$200</definedName>
    <definedName name="M2_Table_MA_j_k45">'4.2.1.1-2 Methane'!$W$27:$AI$39</definedName>
    <definedName name="M2_Table_MC_j_k_136">'4.2.1.3-4 Soil direct N20'!$U$179:$AF$191</definedName>
    <definedName name="M2_Table_MCF_i_m">'4.2.1.1-2 Methane'!$W$170:$X$172</definedName>
    <definedName name="M2_Table_MP_j_k45">'4.2.1.3-4 Soil direct N20'!$U$99:$AG$111</definedName>
    <definedName name="M2_Table_N_j_k_l">'4.2.1.3-4 Soil direct N20'!$U$215:$AE$227</definedName>
    <definedName name="M2_Table_N_j_k_l_Consumer_1">'4.2.1.1-2 Methane'!$W$218:$AG$230</definedName>
    <definedName name="M2_Table_NE_j_k_l">'4.2.1.3-4 Soil direct N20'!$U$195:$AE$207</definedName>
    <definedName name="M2_Table_NR_j_k_l">'4.2.1.3-4 Soil direct N20'!$U$135:$AE$147</definedName>
    <definedName name="M2_Table_VS_j_k_l">'4.2.1.1-2 Methane'!$W$130:$AG$142</definedName>
    <definedName name="M2_Table_W_j_k_l">'4.2.1.1-2 Methane'!$W$43:$AG$55</definedName>
    <definedName name="M2_Table_Z_j_k_l">'4.2.1.3-4 Soil direct N20'!$U$35:$AE$47</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 name="Table_MMS_m">'4.2.1.1-2 Methane'!$D$164:$F$166</definedName>
    <definedName name="Table_SRW_k">'4.2.1.3-4 Soil direct N20'!$D$27:$M$28</definedName>
    <definedName name="VEERG_4_2_1_1__1_TotalAnnualMethaneProductionFromManureManagement_Result_Method1">'4.2.1.1-2 Methane'!$E$244</definedName>
    <definedName name="VEERG_4_2_1_1__1_TotalAnnualMethaneProductionFromManureManagement_Result_Method2">'4.2.1.1-2 Methane'!$X$276</definedName>
    <definedName name="VEERG_4_2_1_3__1_DirectNitrousOxideEmissionsOnPasture_Result_Method1">'4.2.1.3-4 Soil direct N20'!$E$229</definedName>
    <definedName name="VEERG_4_2_1_3__1_DirectNitrousOxideEmissionsOnPasture_Result_Method2">'4.2.1.3-4 Soil direct N20'!$V$267</definedName>
    <definedName name="VEERG_4_2_1_5__1_AtmosphericDepositionEmissionsFromUrineAndDungOnPasture_Result_Method1">'4.2.1.5-6 Soil Atmos Dep'!$E$35</definedName>
    <definedName name="VEERG_4_2_1_5__1_AtmosphericDepositionEmissionsFromUrineAndDungOnPasture_Result_Method2">'4.2.1.5-6 Soil Atmos Dep'!$O$35</definedName>
    <definedName name="VEERG_4_2_1_7__1_LeachingAndRunoffEmissionsFromUrineAndDungOnPasture_Result_Method1">'4.2.1.7-8 Soil leach runoff'!$E$36</definedName>
    <definedName name="VEERG_4_2_1_7__1_LeachingAndRunoffEmissionsFromUrineAndDungOnPasture_Result_Method2">'4.2.1.7-8 Soil leach runoff'!$N$36</definedName>
    <definedName name="X_Cell_PastureBeef_Breed">'Input - Pasture Beef'!$E$9</definedName>
    <definedName name="X_Cell_PastureBeef_FencedWater">'Input - Pasture Beef'!$E$176</definedName>
    <definedName name="X_Cell_PastureBeef_GrazingIrrigationMethod">'Input - Pasture Beef'!$E$184</definedName>
    <definedName name="X_Cell_PastureBeef_GrazingProductionSystem">'Input - Pasture Beef'!$E$183</definedName>
    <definedName name="X_Cell_PastureBeef_ProductionRegion">'Input - Pasture Beef'!$E$8</definedName>
    <definedName name="X_Cell_Site_AverageTemperature">'Input - Site'!$E$25</definedName>
    <definedName name="X_Cell_Site_ClimateZone">'Input - Site'!$E$31</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PastureBeef_CrudeProtein_Method1">'Input - Pasture Beef'!$D$153:$N$157</definedName>
    <definedName name="X_Table_PastureBeef_CrudeProtein_Method2">'Input - Pasture Beef'!$D$159:$N$171</definedName>
    <definedName name="X_Table_PastureBeef_DryMatterDigestibility_Method1">'Input - Pasture Beef'!$D$131:$N$135</definedName>
    <definedName name="X_Table_PastureBeef_DryMatterDigestibility_Method2">'Input - Pasture Beef'!$D$137:$N$149</definedName>
    <definedName name="X_Table_PastureBeef_Duration_Method1">'Input - Pasture Beef'!$D$15:$N$19</definedName>
    <definedName name="X_Table_PastureBeef_Duration_Method2">'Input - Pasture Beef'!$D$21:$N$33</definedName>
    <definedName name="X_Table_PastureBeef_Head_Method1">'Input - Pasture Beef'!$D$37:$N$41</definedName>
    <definedName name="X_Table_PastureBeef_Head_Method2">'Input - Pasture Beef'!$D$43:$N$55</definedName>
    <definedName name="X_Table_PastureBeef_Liveweight_Method1">'Input - Pasture Beef'!$D$59:$N$63</definedName>
    <definedName name="X_Table_PastureBeef_Liveweight_Method2">'Input - Pasture Beef'!$D$65:$N$77</definedName>
    <definedName name="X_Table_PastureBeef_LiveweightGain_Method1">'Input - Pasture Beef'!$D$81:$N$85</definedName>
    <definedName name="X_Table_PastureBeef_LiveweightGain_Method2">'Input - Pasture Beef'!$D$87:$N$99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2" i="98" l="1" a="1"/>
  <c r="P32" i="98" s="1"/>
  <c r="M32" i="98" a="1"/>
  <c r="M32" i="98" s="1"/>
  <c r="G32" i="98" a="1"/>
  <c r="G32" i="98" s="1"/>
  <c r="D32" i="98" a="1"/>
  <c r="D32" i="98" s="1"/>
  <c r="P13" i="98" a="1"/>
  <c r="P13" i="98" s="1"/>
  <c r="M13" i="98" a="1"/>
  <c r="M13" i="98" s="1"/>
  <c r="I18" i="98"/>
  <c r="I17" i="98"/>
  <c r="I16" i="98"/>
  <c r="G13" i="98" a="1"/>
  <c r="G13" i="98" s="1"/>
  <c r="D13" i="98" a="1"/>
  <c r="D13" i="98" s="1"/>
  <c r="R13" i="97" a="1"/>
  <c r="R13" i="97" s="1"/>
  <c r="N13" i="97" a="1"/>
  <c r="N13" i="97" s="1"/>
  <c r="Q28" i="97" a="1"/>
  <c r="Q28" i="97" s="1"/>
  <c r="N28" i="97" a="1"/>
  <c r="N28" i="97" s="1"/>
  <c r="I33" i="97"/>
  <c r="I32" i="97"/>
  <c r="I31" i="97"/>
  <c r="G28" i="97" a="1"/>
  <c r="G28" i="97" s="1"/>
  <c r="D28" i="97" a="1"/>
  <c r="D28" i="97" s="1"/>
  <c r="H13" i="97" a="1"/>
  <c r="H13" i="97" s="1"/>
  <c r="D13" i="97" a="1"/>
  <c r="D13" i="97" s="1"/>
  <c r="E199" i="76" a="1"/>
  <c r="E199" i="76" s="1"/>
  <c r="V232" i="76" a="1"/>
  <c r="V232" i="76" s="1"/>
  <c r="V216" i="76" a="1"/>
  <c r="V216" i="76" s="1"/>
  <c r="E191" i="76" a="1"/>
  <c r="E191" i="76" s="1"/>
  <c r="I186" i="76" a="1"/>
  <c r="I186" i="76" s="1"/>
  <c r="I185" i="76" a="1"/>
  <c r="I185" i="76" s="1"/>
  <c r="I184" i="76" a="1"/>
  <c r="I184" i="76" s="1"/>
  <c r="G184" i="76" a="1"/>
  <c r="G184" i="76" s="1"/>
  <c r="D184" i="76" a="1"/>
  <c r="D184" i="76" s="1"/>
  <c r="V164" i="76" a="1"/>
  <c r="V164" i="76" s="1"/>
  <c r="E153" i="76" a="1"/>
  <c r="E153" i="76" s="1"/>
  <c r="I146" i="76" a="1"/>
  <c r="I146" i="76" s="1"/>
  <c r="I145" i="76" a="1"/>
  <c r="I145" i="76" s="1"/>
  <c r="I144" i="76" a="1"/>
  <c r="I144" i="76" s="1"/>
  <c r="I143" i="76" a="1"/>
  <c r="I143" i="76" s="1"/>
  <c r="I142" i="76" a="1"/>
  <c r="I142" i="76" s="1"/>
  <c r="I147" i="76"/>
  <c r="G142" i="76" a="1"/>
  <c r="G142" i="76" s="1"/>
  <c r="D142" i="76" a="1"/>
  <c r="D142" i="76" s="1"/>
  <c r="V120" i="76" a="1"/>
  <c r="V120" i="76" s="1"/>
  <c r="E119" i="76" a="1"/>
  <c r="E119" i="76" s="1"/>
  <c r="I114" i="76" a="1"/>
  <c r="I114" i="76" s="1"/>
  <c r="I113" i="76" a="1"/>
  <c r="I113" i="76" s="1"/>
  <c r="I112" i="76" a="1"/>
  <c r="I112" i="76" s="1"/>
  <c r="I111" i="76" a="1"/>
  <c r="I111" i="76" s="1"/>
  <c r="G111" i="76" a="1"/>
  <c r="G111" i="76" s="1"/>
  <c r="D111" i="76" a="1"/>
  <c r="D111" i="76" s="1"/>
  <c r="I79" i="76" a="1"/>
  <c r="I79" i="76" s="1"/>
  <c r="I78" i="76" a="1"/>
  <c r="I78" i="76" s="1"/>
  <c r="I82" i="76"/>
  <c r="G78" i="76" a="1"/>
  <c r="G78" i="76" s="1"/>
  <c r="D78" i="76" a="1"/>
  <c r="D78" i="76" s="1"/>
  <c r="I48" i="76" a="1"/>
  <c r="I48" i="76" s="1"/>
  <c r="I49" i="76" a="1"/>
  <c r="I49" i="76" s="1"/>
  <c r="G48" i="76" a="1"/>
  <c r="G48" i="76" s="1"/>
  <c r="D48" i="76" a="1"/>
  <c r="D48" i="76" s="1"/>
  <c r="V20" i="76" a="1"/>
  <c r="V20" i="76" s="1"/>
  <c r="E20" i="76" a="1"/>
  <c r="E20" i="76" s="1"/>
  <c r="H14" i="76" a="1"/>
  <c r="H14" i="76" s="1"/>
  <c r="H13" i="76" a="1"/>
  <c r="H13" i="76" s="1"/>
  <c r="F13" i="76" a="1"/>
  <c r="F13" i="76" s="1"/>
  <c r="D13" i="76" a="1"/>
  <c r="D13" i="76" s="1"/>
  <c r="X235" i="69" a="1"/>
  <c r="X235" i="69" s="1"/>
  <c r="X219" i="69" a="1"/>
  <c r="X219" i="69" s="1"/>
  <c r="E227" i="69" a="1"/>
  <c r="E227" i="69" s="1"/>
  <c r="E219" i="69" a="1"/>
  <c r="E219" i="69" s="1"/>
  <c r="AB159" i="69" l="1"/>
  <c r="Z154" i="69" a="1"/>
  <c r="Z154" i="69" s="1"/>
  <c r="W154" i="69" a="1"/>
  <c r="W154" i="69" s="1"/>
  <c r="I160" i="69"/>
  <c r="I159" i="69"/>
  <c r="X115" i="69" a="1"/>
  <c r="X115" i="69" s="1"/>
  <c r="E115" i="69" a="1"/>
  <c r="E115" i="69" s="1"/>
  <c r="X60" i="69" a="1"/>
  <c r="X60" i="69" s="1"/>
  <c r="X44" i="69" a="1"/>
  <c r="X44" i="69" s="1"/>
  <c r="E68" i="69" a="1"/>
  <c r="E68" i="69" s="1"/>
  <c r="E52" i="69" a="1"/>
  <c r="E52" i="69" s="1"/>
  <c r="J16" i="69"/>
  <c r="X172" i="69" l="1"/>
  <c r="X171" i="69"/>
  <c r="D9" i="79" l="1"/>
  <c r="D8" i="79"/>
  <c r="I33" i="98"/>
  <c r="I158" i="69"/>
  <c r="N171" i="70"/>
  <c r="M171" i="70"/>
  <c r="L171" i="70"/>
  <c r="K171" i="70"/>
  <c r="J171" i="70"/>
  <c r="I171" i="70"/>
  <c r="H171" i="70"/>
  <c r="G171" i="70"/>
  <c r="F171" i="70"/>
  <c r="E171" i="70"/>
  <c r="N170" i="70"/>
  <c r="M170" i="70"/>
  <c r="L170" i="70"/>
  <c r="K170" i="70"/>
  <c r="J170" i="70"/>
  <c r="I170" i="70"/>
  <c r="H170" i="70"/>
  <c r="G170" i="70"/>
  <c r="F170" i="70"/>
  <c r="E170" i="70"/>
  <c r="N169" i="70"/>
  <c r="M169" i="70"/>
  <c r="L169" i="70"/>
  <c r="K169" i="70"/>
  <c r="J169" i="70"/>
  <c r="I169" i="70"/>
  <c r="H169" i="70"/>
  <c r="G169" i="70"/>
  <c r="F169" i="70"/>
  <c r="E169" i="70"/>
  <c r="N168" i="70"/>
  <c r="M168" i="70"/>
  <c r="L168" i="70"/>
  <c r="K168" i="70"/>
  <c r="J168" i="70"/>
  <c r="I168" i="70"/>
  <c r="H168" i="70"/>
  <c r="G168" i="70"/>
  <c r="F168" i="70"/>
  <c r="E168" i="70"/>
  <c r="N167" i="70"/>
  <c r="M167" i="70"/>
  <c r="L167" i="70"/>
  <c r="K167" i="70"/>
  <c r="J167" i="70"/>
  <c r="I167" i="70"/>
  <c r="H167" i="70"/>
  <c r="G167" i="70"/>
  <c r="F167" i="70"/>
  <c r="E167" i="70"/>
  <c r="N166" i="70"/>
  <c r="M166" i="70"/>
  <c r="L166" i="70"/>
  <c r="K166" i="70"/>
  <c r="J166" i="70"/>
  <c r="I166" i="70"/>
  <c r="H166" i="70"/>
  <c r="G166" i="70"/>
  <c r="F166" i="70"/>
  <c r="E166" i="70"/>
  <c r="N165" i="70"/>
  <c r="M165" i="70"/>
  <c r="L165" i="70"/>
  <c r="K165" i="70"/>
  <c r="J165" i="70"/>
  <c r="I165" i="70"/>
  <c r="H165" i="70"/>
  <c r="G165" i="70"/>
  <c r="F165" i="70"/>
  <c r="E165" i="70"/>
  <c r="N164" i="70"/>
  <c r="M164" i="70"/>
  <c r="L164" i="70"/>
  <c r="K164" i="70"/>
  <c r="J164" i="70"/>
  <c r="I164" i="70"/>
  <c r="H164" i="70"/>
  <c r="G164" i="70"/>
  <c r="F164" i="70"/>
  <c r="E164" i="70"/>
  <c r="N163" i="70"/>
  <c r="M163" i="70"/>
  <c r="L163" i="70"/>
  <c r="K163" i="70"/>
  <c r="J163" i="70"/>
  <c r="I163" i="70"/>
  <c r="H163" i="70"/>
  <c r="G163" i="70"/>
  <c r="F163" i="70"/>
  <c r="E163" i="70"/>
  <c r="N162" i="70"/>
  <c r="M162" i="70"/>
  <c r="L162" i="70"/>
  <c r="K162" i="70"/>
  <c r="J162" i="70"/>
  <c r="I162" i="70"/>
  <c r="H162" i="70"/>
  <c r="G162" i="70"/>
  <c r="F162" i="70"/>
  <c r="E162" i="70"/>
  <c r="N161" i="70"/>
  <c r="M161" i="70"/>
  <c r="L161" i="70"/>
  <c r="K161" i="70"/>
  <c r="J161" i="70"/>
  <c r="I161" i="70"/>
  <c r="H161" i="70"/>
  <c r="G161" i="70"/>
  <c r="F161" i="70"/>
  <c r="E161" i="70"/>
  <c r="N160" i="70"/>
  <c r="M160" i="70"/>
  <c r="L160" i="70"/>
  <c r="K160" i="70"/>
  <c r="J160" i="70"/>
  <c r="I160" i="70"/>
  <c r="H160" i="70"/>
  <c r="G160" i="70"/>
  <c r="F160" i="70"/>
  <c r="E160" i="70"/>
  <c r="N149" i="70"/>
  <c r="M149" i="70"/>
  <c r="L149" i="70"/>
  <c r="K149" i="70"/>
  <c r="J149" i="70"/>
  <c r="I149" i="70"/>
  <c r="H149" i="70"/>
  <c r="G149" i="70"/>
  <c r="F149" i="70"/>
  <c r="E149" i="70"/>
  <c r="N148" i="70"/>
  <c r="M148" i="70"/>
  <c r="L148" i="70"/>
  <c r="K148" i="70"/>
  <c r="J148" i="70"/>
  <c r="I148" i="70"/>
  <c r="H148" i="70"/>
  <c r="G148" i="70"/>
  <c r="F148" i="70"/>
  <c r="E148" i="70"/>
  <c r="N147" i="70"/>
  <c r="M147" i="70"/>
  <c r="L147" i="70"/>
  <c r="K147" i="70"/>
  <c r="J147" i="70"/>
  <c r="I147" i="70"/>
  <c r="H147" i="70"/>
  <c r="G147" i="70"/>
  <c r="F147" i="70"/>
  <c r="E147" i="70"/>
  <c r="N146" i="70"/>
  <c r="M146" i="70"/>
  <c r="L146" i="70"/>
  <c r="K146" i="70"/>
  <c r="J146" i="70"/>
  <c r="I146" i="70"/>
  <c r="H146" i="70"/>
  <c r="G146" i="70"/>
  <c r="F146" i="70"/>
  <c r="E146" i="70"/>
  <c r="N145" i="70"/>
  <c r="M145" i="70"/>
  <c r="L145" i="70"/>
  <c r="K145" i="70"/>
  <c r="J145" i="70"/>
  <c r="I145" i="70"/>
  <c r="H145" i="70"/>
  <c r="G145" i="70"/>
  <c r="F145" i="70"/>
  <c r="E145" i="70"/>
  <c r="N144" i="70"/>
  <c r="M144" i="70"/>
  <c r="L144" i="70"/>
  <c r="K144" i="70"/>
  <c r="J144" i="70"/>
  <c r="I144" i="70"/>
  <c r="H144" i="70"/>
  <c r="G144" i="70"/>
  <c r="F144" i="70"/>
  <c r="E144" i="70"/>
  <c r="N143" i="70"/>
  <c r="M143" i="70"/>
  <c r="L143" i="70"/>
  <c r="K143" i="70"/>
  <c r="J143" i="70"/>
  <c r="I143" i="70"/>
  <c r="H143" i="70"/>
  <c r="G143" i="70"/>
  <c r="F143" i="70"/>
  <c r="E143" i="70"/>
  <c r="N142" i="70"/>
  <c r="M142" i="70"/>
  <c r="L142" i="70"/>
  <c r="K142" i="70"/>
  <c r="J142" i="70"/>
  <c r="I142" i="70"/>
  <c r="H142" i="70"/>
  <c r="G142" i="70"/>
  <c r="F142" i="70"/>
  <c r="E142" i="70"/>
  <c r="N141" i="70"/>
  <c r="M141" i="70"/>
  <c r="L141" i="70"/>
  <c r="K141" i="70"/>
  <c r="J141" i="70"/>
  <c r="I141" i="70"/>
  <c r="H141" i="70"/>
  <c r="G141" i="70"/>
  <c r="F141" i="70"/>
  <c r="E141" i="70"/>
  <c r="N140" i="70"/>
  <c r="M140" i="70"/>
  <c r="L140" i="70"/>
  <c r="K140" i="70"/>
  <c r="J140" i="70"/>
  <c r="I140" i="70"/>
  <c r="H140" i="70"/>
  <c r="G140" i="70"/>
  <c r="F140" i="70"/>
  <c r="E140" i="70"/>
  <c r="N139" i="70"/>
  <c r="M139" i="70"/>
  <c r="L139" i="70"/>
  <c r="K139" i="70"/>
  <c r="J139" i="70"/>
  <c r="I139" i="70"/>
  <c r="H139" i="70"/>
  <c r="G139" i="70"/>
  <c r="F139" i="70"/>
  <c r="E139" i="70"/>
  <c r="N138" i="70"/>
  <c r="M138" i="70"/>
  <c r="L138" i="70"/>
  <c r="K138" i="70"/>
  <c r="J138" i="70"/>
  <c r="I138" i="70"/>
  <c r="H138" i="70"/>
  <c r="G138" i="70"/>
  <c r="F138" i="70"/>
  <c r="E138" i="70"/>
  <c r="N99" i="70"/>
  <c r="M99" i="70"/>
  <c r="L99" i="70"/>
  <c r="K99" i="70"/>
  <c r="J99" i="70"/>
  <c r="I99" i="70"/>
  <c r="H99" i="70"/>
  <c r="G99" i="70"/>
  <c r="F99" i="70"/>
  <c r="E99" i="70"/>
  <c r="N98" i="70"/>
  <c r="M98" i="70"/>
  <c r="L98" i="70"/>
  <c r="K98" i="70"/>
  <c r="J98" i="70"/>
  <c r="I98" i="70"/>
  <c r="H98" i="70"/>
  <c r="G98" i="70"/>
  <c r="F98" i="70"/>
  <c r="E98" i="70"/>
  <c r="N97" i="70"/>
  <c r="M97" i="70"/>
  <c r="L97" i="70"/>
  <c r="K97" i="70"/>
  <c r="J97" i="70"/>
  <c r="I97" i="70"/>
  <c r="H97" i="70"/>
  <c r="G97" i="70"/>
  <c r="F97" i="70"/>
  <c r="E97" i="70"/>
  <c r="N96" i="70"/>
  <c r="M96" i="70"/>
  <c r="L96" i="70"/>
  <c r="K96" i="70"/>
  <c r="J96" i="70"/>
  <c r="I96" i="70"/>
  <c r="H96" i="70"/>
  <c r="G96" i="70"/>
  <c r="F96" i="70"/>
  <c r="E96" i="70"/>
  <c r="N95" i="70"/>
  <c r="M95" i="70"/>
  <c r="L95" i="70"/>
  <c r="K95" i="70"/>
  <c r="J95" i="70"/>
  <c r="I95" i="70"/>
  <c r="H95" i="70"/>
  <c r="G95" i="70"/>
  <c r="F95" i="70"/>
  <c r="E95" i="70"/>
  <c r="N94" i="70"/>
  <c r="M94" i="70"/>
  <c r="L94" i="70"/>
  <c r="K94" i="70"/>
  <c r="J94" i="70"/>
  <c r="I94" i="70"/>
  <c r="H94" i="70"/>
  <c r="G94" i="70"/>
  <c r="F94" i="70"/>
  <c r="E94" i="70"/>
  <c r="N93" i="70"/>
  <c r="M93" i="70"/>
  <c r="L93" i="70"/>
  <c r="K93" i="70"/>
  <c r="J93" i="70"/>
  <c r="I93" i="70"/>
  <c r="H93" i="70"/>
  <c r="G93" i="70"/>
  <c r="F93" i="70"/>
  <c r="E93" i="70"/>
  <c r="N92" i="70"/>
  <c r="M92" i="70"/>
  <c r="L92" i="70"/>
  <c r="K92" i="70"/>
  <c r="J92" i="70"/>
  <c r="I92" i="70"/>
  <c r="H92" i="70"/>
  <c r="G92" i="70"/>
  <c r="F92" i="70"/>
  <c r="E92" i="70"/>
  <c r="N91" i="70"/>
  <c r="M91" i="70"/>
  <c r="L91" i="70"/>
  <c r="K91" i="70"/>
  <c r="J91" i="70"/>
  <c r="I91" i="70"/>
  <c r="H91" i="70"/>
  <c r="G91" i="70"/>
  <c r="F91" i="70"/>
  <c r="E91" i="70"/>
  <c r="N90" i="70"/>
  <c r="M90" i="70"/>
  <c r="L90" i="70"/>
  <c r="K90" i="70"/>
  <c r="J90" i="70"/>
  <c r="I90" i="70"/>
  <c r="H90" i="70"/>
  <c r="G90" i="70"/>
  <c r="F90" i="70"/>
  <c r="E90" i="70"/>
  <c r="N89" i="70"/>
  <c r="M89" i="70"/>
  <c r="L89" i="70"/>
  <c r="K89" i="70"/>
  <c r="J89" i="70"/>
  <c r="I89" i="70"/>
  <c r="H89" i="70"/>
  <c r="G89" i="70"/>
  <c r="F89" i="70"/>
  <c r="E89" i="70"/>
  <c r="N88" i="70"/>
  <c r="M88" i="70"/>
  <c r="L88" i="70"/>
  <c r="K88" i="70"/>
  <c r="J88" i="70"/>
  <c r="I88" i="70"/>
  <c r="H88" i="70"/>
  <c r="G88" i="70"/>
  <c r="F88" i="70"/>
  <c r="E88" i="70"/>
  <c r="N77" i="70"/>
  <c r="M77" i="70"/>
  <c r="L77" i="70"/>
  <c r="K77" i="70"/>
  <c r="J77" i="70"/>
  <c r="I77" i="70"/>
  <c r="H77" i="70"/>
  <c r="G77" i="70"/>
  <c r="F77" i="70"/>
  <c r="E77" i="70"/>
  <c r="N76" i="70"/>
  <c r="M76" i="70"/>
  <c r="L76" i="70"/>
  <c r="K76" i="70"/>
  <c r="J76" i="70"/>
  <c r="I76" i="70"/>
  <c r="H76" i="70"/>
  <c r="G76" i="70"/>
  <c r="F76" i="70"/>
  <c r="E76" i="70"/>
  <c r="N75" i="70"/>
  <c r="M75" i="70"/>
  <c r="L75" i="70"/>
  <c r="K75" i="70"/>
  <c r="J75" i="70"/>
  <c r="I75" i="70"/>
  <c r="H75" i="70"/>
  <c r="G75" i="70"/>
  <c r="F75" i="70"/>
  <c r="E75" i="70"/>
  <c r="N74" i="70"/>
  <c r="M74" i="70"/>
  <c r="L74" i="70"/>
  <c r="K74" i="70"/>
  <c r="J74" i="70"/>
  <c r="I74" i="70"/>
  <c r="H74" i="70"/>
  <c r="G74" i="70"/>
  <c r="F74" i="70"/>
  <c r="E74" i="70"/>
  <c r="N73" i="70"/>
  <c r="M73" i="70"/>
  <c r="L73" i="70"/>
  <c r="K73" i="70"/>
  <c r="J73" i="70"/>
  <c r="I73" i="70"/>
  <c r="H73" i="70"/>
  <c r="G73" i="70"/>
  <c r="F73" i="70"/>
  <c r="E73" i="70"/>
  <c r="N72" i="70"/>
  <c r="M72" i="70"/>
  <c r="L72" i="70"/>
  <c r="K72" i="70"/>
  <c r="J72" i="70"/>
  <c r="I72" i="70"/>
  <c r="H72" i="70"/>
  <c r="G72" i="70"/>
  <c r="F72" i="70"/>
  <c r="E72" i="70"/>
  <c r="N71" i="70"/>
  <c r="M71" i="70"/>
  <c r="L71" i="70"/>
  <c r="K71" i="70"/>
  <c r="J71" i="70"/>
  <c r="I71" i="70"/>
  <c r="H71" i="70"/>
  <c r="G71" i="70"/>
  <c r="F71" i="70"/>
  <c r="E71" i="70"/>
  <c r="N70" i="70"/>
  <c r="M70" i="70"/>
  <c r="L70" i="70"/>
  <c r="K70" i="70"/>
  <c r="J70" i="70"/>
  <c r="I70" i="70"/>
  <c r="H70" i="70"/>
  <c r="G70" i="70"/>
  <c r="F70" i="70"/>
  <c r="E70" i="70"/>
  <c r="N69" i="70"/>
  <c r="M69" i="70"/>
  <c r="L69" i="70"/>
  <c r="K69" i="70"/>
  <c r="J69" i="70"/>
  <c r="I69" i="70"/>
  <c r="H69" i="70"/>
  <c r="G69" i="70"/>
  <c r="F69" i="70"/>
  <c r="E69" i="70"/>
  <c r="N68" i="70"/>
  <c r="M68" i="70"/>
  <c r="L68" i="70"/>
  <c r="K68" i="70"/>
  <c r="J68" i="70"/>
  <c r="I68" i="70"/>
  <c r="H68" i="70"/>
  <c r="G68" i="70"/>
  <c r="F68" i="70"/>
  <c r="E68" i="70"/>
  <c r="N67" i="70"/>
  <c r="M67" i="70"/>
  <c r="L67" i="70"/>
  <c r="K67" i="70"/>
  <c r="J67" i="70"/>
  <c r="I67" i="70"/>
  <c r="H67" i="70"/>
  <c r="G67" i="70"/>
  <c r="F67" i="70"/>
  <c r="E67" i="70"/>
  <c r="N66" i="70"/>
  <c r="M66" i="70"/>
  <c r="L66" i="70"/>
  <c r="K66" i="70"/>
  <c r="J66" i="70"/>
  <c r="I66" i="70"/>
  <c r="H66" i="70"/>
  <c r="G66" i="70"/>
  <c r="F66" i="70"/>
  <c r="E66" i="70"/>
  <c r="E30" i="15"/>
  <c r="E33" i="15"/>
  <c r="E31" i="15"/>
  <c r="E32" i="15" s="1"/>
  <c r="I34" i="98"/>
  <c r="I30" i="97"/>
  <c r="H226" i="76"/>
  <c r="P39" i="98"/>
  <c r="G39" i="98"/>
  <c r="Q38" i="97"/>
  <c r="G38" i="97"/>
  <c r="X270" i="76"/>
  <c r="G232" i="76"/>
  <c r="Z279" i="69"/>
  <c r="G247" i="69"/>
  <c r="M28" i="76"/>
  <c r="L28" i="76"/>
  <c r="K28" i="76"/>
  <c r="J28" i="76"/>
  <c r="I28" i="76"/>
  <c r="H28" i="76"/>
  <c r="G28" i="76"/>
  <c r="F28" i="76"/>
  <c r="E28" i="76"/>
  <c r="D28" i="76"/>
  <c r="E172" i="69"/>
  <c r="E171" i="69"/>
  <c r="E180" i="70"/>
  <c r="E179" i="70"/>
  <c r="N157" i="70"/>
  <c r="M157" i="70"/>
  <c r="L157" i="70"/>
  <c r="K157" i="70"/>
  <c r="J157" i="70"/>
  <c r="I157" i="70"/>
  <c r="H157" i="70"/>
  <c r="G157" i="70"/>
  <c r="F157" i="70"/>
  <c r="E157" i="70"/>
  <c r="N156" i="70"/>
  <c r="M156" i="70"/>
  <c r="L156" i="70"/>
  <c r="K156" i="70"/>
  <c r="J156" i="70"/>
  <c r="I156" i="70"/>
  <c r="H156" i="70"/>
  <c r="G156" i="70"/>
  <c r="F156" i="70"/>
  <c r="E156" i="70"/>
  <c r="N155" i="70"/>
  <c r="M155" i="70"/>
  <c r="L155" i="70"/>
  <c r="K155" i="70"/>
  <c r="J155" i="70"/>
  <c r="I155" i="70"/>
  <c r="H155" i="70"/>
  <c r="G155" i="70"/>
  <c r="F155" i="70"/>
  <c r="E155" i="70"/>
  <c r="N154" i="70"/>
  <c r="M154" i="70"/>
  <c r="L154" i="70"/>
  <c r="K154" i="70"/>
  <c r="J154" i="70"/>
  <c r="I154" i="70"/>
  <c r="H154" i="70"/>
  <c r="G154" i="70"/>
  <c r="F154" i="70"/>
  <c r="E154" i="70"/>
  <c r="N135" i="70"/>
  <c r="M135" i="70"/>
  <c r="L135" i="70"/>
  <c r="K135" i="70"/>
  <c r="J135" i="70"/>
  <c r="I135" i="70"/>
  <c r="H135" i="70"/>
  <c r="G135" i="70"/>
  <c r="F135" i="70"/>
  <c r="E135" i="70"/>
  <c r="N134" i="70"/>
  <c r="M134" i="70"/>
  <c r="L134" i="70"/>
  <c r="K134" i="70"/>
  <c r="J134" i="70"/>
  <c r="I134" i="70"/>
  <c r="H134" i="70"/>
  <c r="G134" i="70"/>
  <c r="F134" i="70"/>
  <c r="E134" i="70"/>
  <c r="N133" i="70"/>
  <c r="M133" i="70"/>
  <c r="L133" i="70"/>
  <c r="K133" i="70"/>
  <c r="J133" i="70"/>
  <c r="I133" i="70"/>
  <c r="H133" i="70"/>
  <c r="G133" i="70"/>
  <c r="F133" i="70"/>
  <c r="E133" i="70"/>
  <c r="N132" i="70"/>
  <c r="M132" i="70"/>
  <c r="L132" i="70"/>
  <c r="K132" i="70"/>
  <c r="J132" i="70"/>
  <c r="I132" i="70"/>
  <c r="H132" i="70"/>
  <c r="G132" i="70"/>
  <c r="F132" i="70"/>
  <c r="E132" i="70"/>
  <c r="N85" i="70"/>
  <c r="M85" i="70"/>
  <c r="L85" i="70"/>
  <c r="K85" i="70"/>
  <c r="J85" i="70"/>
  <c r="I85" i="70"/>
  <c r="H85" i="70"/>
  <c r="G85" i="70"/>
  <c r="F85" i="70"/>
  <c r="E85" i="70"/>
  <c r="N84" i="70"/>
  <c r="M84" i="70"/>
  <c r="L84" i="70"/>
  <c r="K84" i="70"/>
  <c r="J84" i="70"/>
  <c r="I84" i="70"/>
  <c r="H84" i="70"/>
  <c r="G84" i="70"/>
  <c r="F84" i="70"/>
  <c r="E84" i="70"/>
  <c r="N83" i="70"/>
  <c r="M83" i="70"/>
  <c r="L83" i="70"/>
  <c r="K83" i="70"/>
  <c r="J83" i="70"/>
  <c r="I83" i="70"/>
  <c r="H83" i="70"/>
  <c r="G83" i="70"/>
  <c r="F83" i="70"/>
  <c r="E83" i="70"/>
  <c r="N82" i="70"/>
  <c r="M82" i="70"/>
  <c r="L82" i="70"/>
  <c r="K82" i="70"/>
  <c r="J82" i="70"/>
  <c r="I82" i="70"/>
  <c r="H82" i="70"/>
  <c r="G82" i="70"/>
  <c r="F82" i="70"/>
  <c r="E82" i="70"/>
  <c r="N63" i="70"/>
  <c r="M63" i="70"/>
  <c r="L63" i="70"/>
  <c r="K63" i="70"/>
  <c r="J63" i="70"/>
  <c r="I63" i="70"/>
  <c r="H63" i="70"/>
  <c r="G63" i="70"/>
  <c r="F63" i="70"/>
  <c r="E63" i="70"/>
  <c r="N62" i="70"/>
  <c r="M62" i="70"/>
  <c r="L62" i="70"/>
  <c r="K62" i="70"/>
  <c r="J62" i="70"/>
  <c r="I62" i="70"/>
  <c r="H62" i="70"/>
  <c r="G62" i="70"/>
  <c r="F62" i="70"/>
  <c r="E62" i="70"/>
  <c r="N61" i="70"/>
  <c r="M61" i="70"/>
  <c r="L61" i="70"/>
  <c r="K61" i="70"/>
  <c r="J61" i="70"/>
  <c r="I61" i="70"/>
  <c r="H61" i="70"/>
  <c r="G61" i="70"/>
  <c r="F61" i="70"/>
  <c r="E61" i="70"/>
  <c r="N60" i="70"/>
  <c r="M60" i="70"/>
  <c r="L60" i="70"/>
  <c r="K60" i="70"/>
  <c r="J60" i="70"/>
  <c r="I60" i="70"/>
  <c r="H60" i="70"/>
  <c r="G60" i="70"/>
  <c r="F60" i="70"/>
  <c r="E60" i="70"/>
  <c r="E259" i="106" a="1"/>
  <c r="E259" i="106" s="1"/>
  <c r="D259" i="106" a="1"/>
  <c r="D259" i="106" s="1"/>
  <c r="E258" i="106" a="1"/>
  <c r="E258" i="106" s="1"/>
  <c r="D258" i="106" a="1"/>
  <c r="D258" i="106" s="1"/>
  <c r="D256" i="106" a="1"/>
  <c r="D256" i="106" s="1"/>
  <c r="D255" i="106" a="1"/>
  <c r="D255" i="106" s="1"/>
  <c r="D254" i="106" a="1"/>
  <c r="D254" i="106" s="1"/>
  <c r="D253" i="106" a="1"/>
  <c r="D253" i="106" s="1"/>
  <c r="S250" i="106" a="1"/>
  <c r="S250" i="106" s="1"/>
  <c r="R250" i="106" a="1"/>
  <c r="R250" i="106" s="1"/>
  <c r="Q250" i="106" a="1"/>
  <c r="Q250" i="106" s="1"/>
  <c r="P250" i="106" a="1"/>
  <c r="P250" i="106" s="1"/>
  <c r="O250" i="106" a="1"/>
  <c r="O250" i="106" s="1"/>
  <c r="N250" i="106" a="1"/>
  <c r="N250" i="106" s="1"/>
  <c r="M250" i="106" a="1"/>
  <c r="M250" i="106" s="1"/>
  <c r="L250" i="106" a="1"/>
  <c r="L250" i="106" s="1"/>
  <c r="K250" i="106" a="1"/>
  <c r="K250" i="106" s="1"/>
  <c r="J250" i="106" a="1"/>
  <c r="J250" i="106" s="1"/>
  <c r="I250" i="106" a="1"/>
  <c r="I250" i="106" s="1"/>
  <c r="H250" i="106" a="1"/>
  <c r="H250" i="106" s="1"/>
  <c r="G250" i="106" a="1"/>
  <c r="G250" i="106" s="1"/>
  <c r="F250" i="106" a="1"/>
  <c r="F250" i="106" s="1"/>
  <c r="E250" i="106" a="1"/>
  <c r="E250" i="106" s="1"/>
  <c r="D250" i="106" a="1"/>
  <c r="D250" i="106" s="1"/>
  <c r="S249" i="106" a="1"/>
  <c r="S249" i="106" s="1"/>
  <c r="R249" i="106" a="1"/>
  <c r="R249" i="106" s="1"/>
  <c r="Q249" i="106" a="1"/>
  <c r="Q249" i="106" s="1"/>
  <c r="P249" i="106" a="1"/>
  <c r="P249" i="106" s="1"/>
  <c r="O249" i="106" a="1"/>
  <c r="O249" i="106" s="1"/>
  <c r="N249" i="106" a="1"/>
  <c r="N249" i="106" s="1"/>
  <c r="M249" i="106" a="1"/>
  <c r="M249" i="106" s="1"/>
  <c r="L249" i="106" a="1"/>
  <c r="L249" i="106" s="1"/>
  <c r="K249" i="106" a="1"/>
  <c r="K249" i="106" s="1"/>
  <c r="J249" i="106" a="1"/>
  <c r="J249" i="106" s="1"/>
  <c r="I249" i="106" a="1"/>
  <c r="I249" i="106" s="1"/>
  <c r="H249" i="106" a="1"/>
  <c r="H249" i="106" s="1"/>
  <c r="G249" i="106" a="1"/>
  <c r="G249" i="106" s="1"/>
  <c r="F249" i="106" a="1"/>
  <c r="F249" i="106" s="1"/>
  <c r="E249" i="106" a="1"/>
  <c r="E249" i="106" s="1"/>
  <c r="D249" i="106" a="1"/>
  <c r="D249" i="106" s="1"/>
  <c r="S248" i="106" a="1"/>
  <c r="S248" i="106" s="1"/>
  <c r="R248" i="106" a="1"/>
  <c r="R248" i="106" s="1"/>
  <c r="Q248" i="106" a="1"/>
  <c r="Q248" i="106" s="1"/>
  <c r="P248" i="106" a="1"/>
  <c r="P248" i="106" s="1"/>
  <c r="O248" i="106" a="1"/>
  <c r="O248" i="106" s="1"/>
  <c r="N248" i="106" a="1"/>
  <c r="N248" i="106" s="1"/>
  <c r="M248" i="106" a="1"/>
  <c r="M248" i="106" s="1"/>
  <c r="L248" i="106" a="1"/>
  <c r="L248" i="106" s="1"/>
  <c r="K248" i="106" a="1"/>
  <c r="K248" i="106" s="1"/>
  <c r="J248" i="106" a="1"/>
  <c r="J248" i="106" s="1"/>
  <c r="I248" i="106" a="1"/>
  <c r="I248" i="106" s="1"/>
  <c r="H248" i="106" a="1"/>
  <c r="H248" i="106" s="1"/>
  <c r="G248" i="106" a="1"/>
  <c r="G248" i="106" s="1"/>
  <c r="F248" i="106" a="1"/>
  <c r="F248" i="106" s="1"/>
  <c r="E248" i="106" a="1"/>
  <c r="E248" i="106" s="1"/>
  <c r="D248" i="106" a="1"/>
  <c r="D248" i="106" s="1"/>
  <c r="S247" i="106" a="1"/>
  <c r="S247" i="106" s="1"/>
  <c r="R247" i="106" a="1"/>
  <c r="R247" i="106" s="1"/>
  <c r="Q247" i="106" a="1"/>
  <c r="Q247" i="106" s="1"/>
  <c r="P247" i="106" a="1"/>
  <c r="P247" i="106" s="1"/>
  <c r="O247" i="106" a="1"/>
  <c r="O247" i="106" s="1"/>
  <c r="N247" i="106" a="1"/>
  <c r="N247" i="106" s="1"/>
  <c r="M247" i="106" a="1"/>
  <c r="M247" i="106" s="1"/>
  <c r="L247" i="106" a="1"/>
  <c r="L247" i="106" s="1"/>
  <c r="K247" i="106" a="1"/>
  <c r="K247" i="106" s="1"/>
  <c r="J247" i="106" a="1"/>
  <c r="J247" i="106" s="1"/>
  <c r="I247" i="106" a="1"/>
  <c r="I247" i="106" s="1"/>
  <c r="H247" i="106" a="1"/>
  <c r="H247" i="106" s="1"/>
  <c r="G247" i="106" a="1"/>
  <c r="G247" i="106" s="1"/>
  <c r="F247" i="106" a="1"/>
  <c r="F247" i="106" s="1"/>
  <c r="E247" i="106" a="1"/>
  <c r="E247" i="106" s="1"/>
  <c r="D247" i="106" a="1"/>
  <c r="D247" i="106" s="1"/>
  <c r="S246" i="106" a="1"/>
  <c r="S246" i="106" s="1"/>
  <c r="R246" i="106" a="1"/>
  <c r="R246" i="106" s="1"/>
  <c r="Q246" i="106" a="1"/>
  <c r="Q246" i="106" s="1"/>
  <c r="P246" i="106" a="1"/>
  <c r="P246" i="106" s="1"/>
  <c r="O246" i="106" a="1"/>
  <c r="O246" i="106" s="1"/>
  <c r="N246" i="106" a="1"/>
  <c r="N246" i="106" s="1"/>
  <c r="M246" i="106" a="1"/>
  <c r="M246" i="106" s="1"/>
  <c r="L246" i="106" a="1"/>
  <c r="L246" i="106" s="1"/>
  <c r="K246" i="106" a="1"/>
  <c r="K246" i="106" s="1"/>
  <c r="J246" i="106" a="1"/>
  <c r="J246" i="106" s="1"/>
  <c r="I246" i="106" a="1"/>
  <c r="I246" i="106" s="1"/>
  <c r="H246" i="106" a="1"/>
  <c r="H246" i="106" s="1"/>
  <c r="G246" i="106" a="1"/>
  <c r="G246" i="106" s="1"/>
  <c r="F246" i="106" a="1"/>
  <c r="F246" i="106" s="1"/>
  <c r="E246" i="106" a="1"/>
  <c r="E246" i="106" s="1"/>
  <c r="D246" i="106" a="1"/>
  <c r="D246" i="106" s="1"/>
  <c r="S245" i="106" a="1"/>
  <c r="S245" i="106" s="1"/>
  <c r="R245" i="106" a="1"/>
  <c r="R245" i="106" s="1"/>
  <c r="Q245" i="106" a="1"/>
  <c r="Q245" i="106" s="1"/>
  <c r="P245" i="106" a="1"/>
  <c r="P245" i="106" s="1"/>
  <c r="O245" i="106" a="1"/>
  <c r="O245" i="106" s="1"/>
  <c r="N245" i="106" a="1"/>
  <c r="N245" i="106" s="1"/>
  <c r="M245" i="106" a="1"/>
  <c r="M245" i="106" s="1"/>
  <c r="L245" i="106" a="1"/>
  <c r="L245" i="106" s="1"/>
  <c r="K245" i="106" a="1"/>
  <c r="K245" i="106" s="1"/>
  <c r="J245" i="106" a="1"/>
  <c r="J245" i="106" s="1"/>
  <c r="I245" i="106" a="1"/>
  <c r="I245" i="106" s="1"/>
  <c r="H245" i="106" a="1"/>
  <c r="H245" i="106" s="1"/>
  <c r="G245" i="106" a="1"/>
  <c r="G245" i="106" s="1"/>
  <c r="F245" i="106" a="1"/>
  <c r="F245" i="106" s="1"/>
  <c r="E245" i="106" a="1"/>
  <c r="E245" i="106" s="1"/>
  <c r="D245" i="106" a="1"/>
  <c r="D245" i="106" s="1"/>
  <c r="S244" i="106" a="1"/>
  <c r="S244" i="106" s="1"/>
  <c r="R244" i="106" a="1"/>
  <c r="R244" i="106" s="1"/>
  <c r="Q244" i="106" a="1"/>
  <c r="Q244" i="106" s="1"/>
  <c r="P244" i="106" a="1"/>
  <c r="P244" i="106" s="1"/>
  <c r="O244" i="106" a="1"/>
  <c r="O244" i="106" s="1"/>
  <c r="N244" i="106" a="1"/>
  <c r="N244" i="106" s="1"/>
  <c r="M244" i="106" a="1"/>
  <c r="M244" i="106" s="1"/>
  <c r="L244" i="106" a="1"/>
  <c r="L244" i="106" s="1"/>
  <c r="K244" i="106" a="1"/>
  <c r="K244" i="106" s="1"/>
  <c r="J244" i="106" a="1"/>
  <c r="J244" i="106" s="1"/>
  <c r="I244" i="106" a="1"/>
  <c r="I244" i="106" s="1"/>
  <c r="H244" i="106" a="1"/>
  <c r="H244" i="106" s="1"/>
  <c r="G244" i="106" a="1"/>
  <c r="G244" i="106" s="1"/>
  <c r="F244" i="106" a="1"/>
  <c r="F244" i="106" s="1"/>
  <c r="E244" i="106" a="1"/>
  <c r="E244" i="106" s="1"/>
  <c r="D244" i="106" a="1"/>
  <c r="D244" i="106" s="1"/>
  <c r="S243" i="106" a="1"/>
  <c r="S243" i="106" s="1"/>
  <c r="R243" i="106" a="1"/>
  <c r="R243" i="106" s="1"/>
  <c r="Q243" i="106" a="1"/>
  <c r="Q243" i="106" s="1"/>
  <c r="P243" i="106" a="1"/>
  <c r="P243" i="106" s="1"/>
  <c r="O243" i="106" a="1"/>
  <c r="O243" i="106" s="1"/>
  <c r="N243" i="106" a="1"/>
  <c r="N243" i="106" s="1"/>
  <c r="M243" i="106" a="1"/>
  <c r="M243" i="106" s="1"/>
  <c r="L243" i="106" a="1"/>
  <c r="L243" i="106" s="1"/>
  <c r="K243" i="106" a="1"/>
  <c r="K243" i="106" s="1"/>
  <c r="J243" i="106" a="1"/>
  <c r="J243" i="106" s="1"/>
  <c r="I243" i="106" a="1"/>
  <c r="I243" i="106" s="1"/>
  <c r="H243" i="106" a="1"/>
  <c r="H243" i="106" s="1"/>
  <c r="G243" i="106" a="1"/>
  <c r="G243" i="106" s="1"/>
  <c r="F243" i="106" a="1"/>
  <c r="F243" i="106" s="1"/>
  <c r="E243" i="106" a="1"/>
  <c r="E243" i="106" s="1"/>
  <c r="D243" i="106" a="1"/>
  <c r="D243" i="106" s="1"/>
  <c r="S242" i="106" a="1"/>
  <c r="S242" i="106" s="1"/>
  <c r="R242" i="106" a="1"/>
  <c r="R242" i="106" s="1"/>
  <c r="Q242" i="106" a="1"/>
  <c r="Q242" i="106" s="1"/>
  <c r="P242" i="106" a="1"/>
  <c r="P242" i="106" s="1"/>
  <c r="O242" i="106" a="1"/>
  <c r="O242" i="106" s="1"/>
  <c r="N242" i="106" a="1"/>
  <c r="N242" i="106" s="1"/>
  <c r="M242" i="106" a="1"/>
  <c r="M242" i="106" s="1"/>
  <c r="L242" i="106" a="1"/>
  <c r="L242" i="106" s="1"/>
  <c r="K242" i="106" a="1"/>
  <c r="K242" i="106" s="1"/>
  <c r="J242" i="106" a="1"/>
  <c r="J242" i="106" s="1"/>
  <c r="I242" i="106" a="1"/>
  <c r="I242" i="106" s="1"/>
  <c r="H242" i="106" a="1"/>
  <c r="H242" i="106" s="1"/>
  <c r="G242" i="106" a="1"/>
  <c r="G242" i="106" s="1"/>
  <c r="F242" i="106" a="1"/>
  <c r="F242" i="106" s="1"/>
  <c r="E242" i="106" a="1"/>
  <c r="E242" i="106" s="1"/>
  <c r="D242" i="106" a="1"/>
  <c r="D242" i="106" s="1"/>
  <c r="S241" i="106" a="1"/>
  <c r="S241" i="106" s="1"/>
  <c r="R241" i="106" a="1"/>
  <c r="R241" i="106" s="1"/>
  <c r="Q241" i="106" a="1"/>
  <c r="Q241" i="106" s="1"/>
  <c r="P241" i="106" a="1"/>
  <c r="P241" i="106" s="1"/>
  <c r="O241" i="106" a="1"/>
  <c r="O241" i="106" s="1"/>
  <c r="N241" i="106" a="1"/>
  <c r="N241" i="106" s="1"/>
  <c r="M241" i="106" a="1"/>
  <c r="M241" i="106" s="1"/>
  <c r="L241" i="106" a="1"/>
  <c r="L241" i="106" s="1"/>
  <c r="K241" i="106" a="1"/>
  <c r="K241" i="106" s="1"/>
  <c r="J241" i="106" a="1"/>
  <c r="J241" i="106" s="1"/>
  <c r="I241" i="106" a="1"/>
  <c r="I241" i="106" s="1"/>
  <c r="H241" i="106" a="1"/>
  <c r="H241" i="106" s="1"/>
  <c r="G241" i="106" a="1"/>
  <c r="G241" i="106" s="1"/>
  <c r="F241" i="106" a="1"/>
  <c r="F241" i="106" s="1"/>
  <c r="E241" i="106" a="1"/>
  <c r="E241" i="106" s="1"/>
  <c r="D241" i="106" a="1"/>
  <c r="D241" i="106" s="1"/>
  <c r="S240" i="106" a="1"/>
  <c r="S240" i="106" s="1"/>
  <c r="R240" i="106" a="1"/>
  <c r="R240" i="106" s="1"/>
  <c r="Q240" i="106" a="1"/>
  <c r="Q240" i="106" s="1"/>
  <c r="P240" i="106" a="1"/>
  <c r="P240" i="106" s="1"/>
  <c r="O240" i="106" a="1"/>
  <c r="O240" i="106" s="1"/>
  <c r="N240" i="106" a="1"/>
  <c r="N240" i="106" s="1"/>
  <c r="M240" i="106" a="1"/>
  <c r="M240" i="106" s="1"/>
  <c r="L240" i="106" a="1"/>
  <c r="L240" i="106" s="1"/>
  <c r="K240" i="106" a="1"/>
  <c r="K240" i="106" s="1"/>
  <c r="J240" i="106" a="1"/>
  <c r="J240" i="106" s="1"/>
  <c r="I240" i="106" a="1"/>
  <c r="I240" i="106" s="1"/>
  <c r="H240" i="106" a="1"/>
  <c r="H240" i="106" s="1"/>
  <c r="G240" i="106" a="1"/>
  <c r="G240" i="106" s="1"/>
  <c r="F240" i="106" a="1"/>
  <c r="F240" i="106" s="1"/>
  <c r="E240" i="106" a="1"/>
  <c r="E240" i="106" s="1"/>
  <c r="D240" i="106" a="1"/>
  <c r="D240" i="106" s="1"/>
  <c r="S239" i="106" a="1"/>
  <c r="S239" i="106" s="1"/>
  <c r="R239" i="106" a="1"/>
  <c r="R239" i="106" s="1"/>
  <c r="Q239" i="106" a="1"/>
  <c r="Q239" i="106" s="1"/>
  <c r="P239" i="106" a="1"/>
  <c r="P239" i="106" s="1"/>
  <c r="O239" i="106" a="1"/>
  <c r="O239" i="106" s="1"/>
  <c r="N239" i="106" a="1"/>
  <c r="N239" i="106" s="1"/>
  <c r="M239" i="106" a="1"/>
  <c r="M239" i="106" s="1"/>
  <c r="L239" i="106" a="1"/>
  <c r="L239" i="106" s="1"/>
  <c r="K239" i="106" a="1"/>
  <c r="K239" i="106" s="1"/>
  <c r="J239" i="106" a="1"/>
  <c r="J239" i="106" s="1"/>
  <c r="I239" i="106" a="1"/>
  <c r="I239" i="106" s="1"/>
  <c r="H239" i="106" a="1"/>
  <c r="H239" i="106" s="1"/>
  <c r="G239" i="106" a="1"/>
  <c r="G239" i="106" s="1"/>
  <c r="F239" i="106" a="1"/>
  <c r="F239" i="106" s="1"/>
  <c r="E239" i="106" a="1"/>
  <c r="E239" i="106" s="1"/>
  <c r="D239" i="106" a="1"/>
  <c r="D239" i="106" s="1"/>
  <c r="S238" i="106" a="1"/>
  <c r="S238" i="106" s="1"/>
  <c r="R238" i="106" a="1"/>
  <c r="R238" i="106" s="1"/>
  <c r="Q238" i="106" a="1"/>
  <c r="Q238" i="106" s="1"/>
  <c r="P238" i="106" a="1"/>
  <c r="P238" i="106" s="1"/>
  <c r="O238" i="106" a="1"/>
  <c r="O238" i="106" s="1"/>
  <c r="N238" i="106" a="1"/>
  <c r="N238" i="106" s="1"/>
  <c r="M238" i="106" a="1"/>
  <c r="M238" i="106" s="1"/>
  <c r="L238" i="106" a="1"/>
  <c r="L238" i="106" s="1"/>
  <c r="K238" i="106" a="1"/>
  <c r="K238" i="106" s="1"/>
  <c r="J238" i="106" a="1"/>
  <c r="J238" i="106" s="1"/>
  <c r="I238" i="106" a="1"/>
  <c r="I238" i="106" s="1"/>
  <c r="H238" i="106" a="1"/>
  <c r="H238" i="106" s="1"/>
  <c r="G238" i="106" a="1"/>
  <c r="G238" i="106" s="1"/>
  <c r="F238" i="106" a="1"/>
  <c r="F238" i="106" s="1"/>
  <c r="E238" i="106" a="1"/>
  <c r="E238" i="106" s="1"/>
  <c r="D238" i="106" a="1"/>
  <c r="D238" i="106" s="1"/>
  <c r="S237" i="106" a="1"/>
  <c r="S237" i="106" s="1"/>
  <c r="R237" i="106" a="1"/>
  <c r="R237" i="106" s="1"/>
  <c r="Q237" i="106" a="1"/>
  <c r="Q237" i="106" s="1"/>
  <c r="P237" i="106" a="1"/>
  <c r="P237" i="106" s="1"/>
  <c r="O237" i="106" a="1"/>
  <c r="O237" i="106" s="1"/>
  <c r="N237" i="106" a="1"/>
  <c r="N237" i="106" s="1"/>
  <c r="M237" i="106" a="1"/>
  <c r="M237" i="106" s="1"/>
  <c r="L237" i="106" a="1"/>
  <c r="L237" i="106" s="1"/>
  <c r="K237" i="106" a="1"/>
  <c r="K237" i="106" s="1"/>
  <c r="J237" i="106" a="1"/>
  <c r="J237" i="106" s="1"/>
  <c r="I237" i="106" a="1"/>
  <c r="I237" i="106" s="1"/>
  <c r="H237" i="106" a="1"/>
  <c r="H237" i="106" s="1"/>
  <c r="G237" i="106" a="1"/>
  <c r="G237" i="106" s="1"/>
  <c r="F237" i="106" a="1"/>
  <c r="F237" i="106" s="1"/>
  <c r="E237" i="106" a="1"/>
  <c r="E237" i="106" s="1"/>
  <c r="D237" i="106" a="1"/>
  <c r="D237" i="106" s="1"/>
  <c r="S236" i="106" a="1"/>
  <c r="S236" i="106" s="1"/>
  <c r="R236" i="106" a="1"/>
  <c r="R236" i="106" s="1"/>
  <c r="Q236" i="106" a="1"/>
  <c r="Q236" i="106" s="1"/>
  <c r="P236" i="106" a="1"/>
  <c r="P236" i="106" s="1"/>
  <c r="O236" i="106" a="1"/>
  <c r="O236" i="106" s="1"/>
  <c r="N236" i="106" a="1"/>
  <c r="N236" i="106" s="1"/>
  <c r="M236" i="106" a="1"/>
  <c r="M236" i="106" s="1"/>
  <c r="L236" i="106" a="1"/>
  <c r="L236" i="106" s="1"/>
  <c r="K236" i="106" a="1"/>
  <c r="K236" i="106" s="1"/>
  <c r="J236" i="106" a="1"/>
  <c r="J236" i="106" s="1"/>
  <c r="I236" i="106" a="1"/>
  <c r="I236" i="106" s="1"/>
  <c r="H236" i="106" a="1"/>
  <c r="H236" i="106" s="1"/>
  <c r="G236" i="106" a="1"/>
  <c r="G236" i="106" s="1"/>
  <c r="F236" i="106" a="1"/>
  <c r="F236" i="106" s="1"/>
  <c r="E236" i="106" a="1"/>
  <c r="E236" i="106" s="1"/>
  <c r="D236" i="106" a="1"/>
  <c r="D236" i="106" s="1"/>
  <c r="S235" i="106" a="1"/>
  <c r="S235" i="106" s="1"/>
  <c r="R235" i="106" a="1"/>
  <c r="R235" i="106" s="1"/>
  <c r="Q235" i="106" a="1"/>
  <c r="Q235" i="106" s="1"/>
  <c r="P235" i="106" a="1"/>
  <c r="P235" i="106" s="1"/>
  <c r="O235" i="106" a="1"/>
  <c r="O235" i="106" s="1"/>
  <c r="N235" i="106" a="1"/>
  <c r="N235" i="106" s="1"/>
  <c r="M235" i="106" a="1"/>
  <c r="M235" i="106" s="1"/>
  <c r="L235" i="106" a="1"/>
  <c r="L235" i="106" s="1"/>
  <c r="K235" i="106" a="1"/>
  <c r="K235" i="106" s="1"/>
  <c r="J235" i="106" a="1"/>
  <c r="J235" i="106" s="1"/>
  <c r="I235" i="106" a="1"/>
  <c r="I235" i="106" s="1"/>
  <c r="H235" i="106" a="1"/>
  <c r="H235" i="106" s="1"/>
  <c r="G235" i="106" a="1"/>
  <c r="G235" i="106" s="1"/>
  <c r="F235" i="106" a="1"/>
  <c r="F235" i="106" s="1"/>
  <c r="E235" i="106" a="1"/>
  <c r="E235" i="106" s="1"/>
  <c r="D235" i="106" a="1"/>
  <c r="D235" i="106" s="1"/>
  <c r="S234" i="106" a="1"/>
  <c r="S234" i="106" s="1"/>
  <c r="R234" i="106" a="1"/>
  <c r="R234" i="106" s="1"/>
  <c r="Q234" i="106" a="1"/>
  <c r="Q234" i="106" s="1"/>
  <c r="P234" i="106" a="1"/>
  <c r="P234" i="106" s="1"/>
  <c r="O234" i="106" a="1"/>
  <c r="O234" i="106" s="1"/>
  <c r="N234" i="106" a="1"/>
  <c r="N234" i="106" s="1"/>
  <c r="M234" i="106" a="1"/>
  <c r="M234" i="106" s="1"/>
  <c r="L234" i="106" a="1"/>
  <c r="L234" i="106" s="1"/>
  <c r="K234" i="106" a="1"/>
  <c r="K234" i="106" s="1"/>
  <c r="J234" i="106" a="1"/>
  <c r="J234" i="106" s="1"/>
  <c r="I234" i="106" a="1"/>
  <c r="I234" i="106" s="1"/>
  <c r="H234" i="106" a="1"/>
  <c r="H234" i="106" s="1"/>
  <c r="G234" i="106" a="1"/>
  <c r="G234" i="106" s="1"/>
  <c r="F234" i="106" a="1"/>
  <c r="F234" i="106" s="1"/>
  <c r="E234" i="106" a="1"/>
  <c r="E234" i="106" s="1"/>
  <c r="D234" i="106" a="1"/>
  <c r="D234" i="106" s="1"/>
  <c r="S233" i="106" a="1"/>
  <c r="S233" i="106" s="1"/>
  <c r="R233" i="106" a="1"/>
  <c r="R233" i="106" s="1"/>
  <c r="Q233" i="106" a="1"/>
  <c r="Q233" i="106" s="1"/>
  <c r="P233" i="106" a="1"/>
  <c r="P233" i="106" s="1"/>
  <c r="O233" i="106" a="1"/>
  <c r="O233" i="106" s="1"/>
  <c r="N233" i="106" a="1"/>
  <c r="N233" i="106" s="1"/>
  <c r="M233" i="106" a="1"/>
  <c r="M233" i="106" s="1"/>
  <c r="L233" i="106" a="1"/>
  <c r="L233" i="106" s="1"/>
  <c r="K233" i="106" a="1"/>
  <c r="K233" i="106" s="1"/>
  <c r="J233" i="106" a="1"/>
  <c r="J233" i="106" s="1"/>
  <c r="I233" i="106" a="1"/>
  <c r="I233" i="106" s="1"/>
  <c r="H233" i="106" a="1"/>
  <c r="H233" i="106" s="1"/>
  <c r="G233" i="106" a="1"/>
  <c r="G233" i="106" s="1"/>
  <c r="F233" i="106" a="1"/>
  <c r="F233" i="106" s="1"/>
  <c r="E233" i="106" a="1"/>
  <c r="E233" i="106" s="1"/>
  <c r="D233" i="106" a="1"/>
  <c r="D233" i="106" s="1"/>
  <c r="S232" i="106" a="1"/>
  <c r="S232" i="106" s="1"/>
  <c r="R232" i="106" a="1"/>
  <c r="R232" i="106" s="1"/>
  <c r="Q232" i="106" a="1"/>
  <c r="Q232" i="106" s="1"/>
  <c r="P232" i="106" a="1"/>
  <c r="P232" i="106" s="1"/>
  <c r="O232" i="106" a="1"/>
  <c r="O232" i="106" s="1"/>
  <c r="N232" i="106" a="1"/>
  <c r="N232" i="106" s="1"/>
  <c r="M232" i="106" a="1"/>
  <c r="M232" i="106" s="1"/>
  <c r="L232" i="106" a="1"/>
  <c r="L232" i="106" s="1"/>
  <c r="K232" i="106" a="1"/>
  <c r="K232" i="106" s="1"/>
  <c r="J232" i="106" a="1"/>
  <c r="J232" i="106" s="1"/>
  <c r="I232" i="106" a="1"/>
  <c r="I232" i="106" s="1"/>
  <c r="H232" i="106" a="1"/>
  <c r="H232" i="106" s="1"/>
  <c r="G232" i="106" a="1"/>
  <c r="G232" i="106" s="1"/>
  <c r="F232" i="106" a="1"/>
  <c r="F232" i="106" s="1"/>
  <c r="E232" i="106" a="1"/>
  <c r="E232" i="106" s="1"/>
  <c r="D232" i="106" a="1"/>
  <c r="D232" i="106" s="1"/>
  <c r="D229" i="106" a="1"/>
  <c r="D229" i="106" s="1"/>
  <c r="D228" i="106" a="1"/>
  <c r="D228" i="106" s="1"/>
  <c r="D227" i="106" a="1"/>
  <c r="D227" i="106" s="1"/>
  <c r="E224" i="106" a="1"/>
  <c r="E224" i="106" s="1"/>
  <c r="D224" i="106" a="1"/>
  <c r="D224" i="106" s="1"/>
  <c r="E223" i="106" a="1"/>
  <c r="E223" i="106" s="1"/>
  <c r="D223" i="106" a="1"/>
  <c r="D223" i="106" s="1"/>
  <c r="E222" i="106" a="1"/>
  <c r="E222" i="106" s="1"/>
  <c r="D222" i="106" a="1"/>
  <c r="D222" i="106" s="1"/>
  <c r="E221" i="106" a="1"/>
  <c r="E221" i="106" s="1"/>
  <c r="D221" i="106" a="1"/>
  <c r="D221" i="106" s="1"/>
  <c r="E220" i="106" a="1"/>
  <c r="E220" i="106" s="1"/>
  <c r="D220" i="106" a="1"/>
  <c r="D220" i="106" s="1"/>
  <c r="E219" i="106" a="1"/>
  <c r="E219" i="106" s="1"/>
  <c r="D219" i="106" a="1"/>
  <c r="D219" i="106" s="1"/>
  <c r="E218" i="106" a="1"/>
  <c r="E218" i="106" s="1"/>
  <c r="D218" i="106" a="1"/>
  <c r="D218" i="106" s="1"/>
  <c r="E217" i="106" a="1"/>
  <c r="E217" i="106" s="1"/>
  <c r="D217" i="106" a="1"/>
  <c r="D217" i="106" s="1"/>
  <c r="E216" i="106" a="1"/>
  <c r="E216" i="106" s="1"/>
  <c r="D216" i="106" a="1"/>
  <c r="D216" i="106" s="1"/>
  <c r="E215" i="106" a="1"/>
  <c r="E215" i="106" s="1"/>
  <c r="D215" i="106" a="1"/>
  <c r="D215" i="106" s="1"/>
  <c r="E214" i="106" a="1"/>
  <c r="E214" i="106" s="1"/>
  <c r="D214" i="106" a="1"/>
  <c r="D214" i="106" s="1"/>
  <c r="E213" i="106" a="1"/>
  <c r="E213" i="106" s="1"/>
  <c r="D213" i="106" a="1"/>
  <c r="D213" i="106" s="1"/>
  <c r="D211" i="106" a="1"/>
  <c r="D211" i="106" s="1"/>
  <c r="E208" i="106" a="1"/>
  <c r="E208" i="106" s="1"/>
  <c r="D208" i="106" a="1"/>
  <c r="D208" i="106" s="1"/>
  <c r="E207" i="106" a="1"/>
  <c r="E207" i="106" s="1"/>
  <c r="D207" i="106" a="1"/>
  <c r="D207" i="106" s="1"/>
  <c r="D205" i="106" a="1"/>
  <c r="D205" i="106" s="1"/>
  <c r="D204" i="106" a="1"/>
  <c r="D204" i="106" s="1"/>
  <c r="D203" i="106" a="1"/>
  <c r="D203" i="106" s="1"/>
  <c r="D202" i="106" a="1"/>
  <c r="D202" i="106" s="1"/>
  <c r="H199" i="106" a="1"/>
  <c r="H199" i="106" s="1"/>
  <c r="G199" i="106" a="1"/>
  <c r="G199" i="106" s="1"/>
  <c r="F199" i="106" a="1"/>
  <c r="F199" i="106" s="1"/>
  <c r="E199" i="106" a="1"/>
  <c r="E199" i="106" s="1"/>
  <c r="D199" i="106" a="1"/>
  <c r="D199" i="106" s="1"/>
  <c r="H198" i="106" a="1"/>
  <c r="H198" i="106" s="1"/>
  <c r="G198" i="106" a="1"/>
  <c r="G198" i="106" s="1"/>
  <c r="F198" i="106" a="1"/>
  <c r="F198" i="106" s="1"/>
  <c r="E198" i="106" a="1"/>
  <c r="E198" i="106" s="1"/>
  <c r="D198" i="106" a="1"/>
  <c r="D198" i="106" s="1"/>
  <c r="H197" i="106" a="1"/>
  <c r="H197" i="106" s="1"/>
  <c r="G197" i="106" a="1"/>
  <c r="G197" i="106" s="1"/>
  <c r="F197" i="106" a="1"/>
  <c r="F197" i="106" s="1"/>
  <c r="E197" i="106" a="1"/>
  <c r="E197" i="106" s="1"/>
  <c r="D197" i="106" a="1"/>
  <c r="D197" i="106" s="1"/>
  <c r="H196" i="106" a="1"/>
  <c r="H196" i="106" s="1"/>
  <c r="G196" i="106" a="1"/>
  <c r="G196" i="106" s="1"/>
  <c r="F196" i="106" a="1"/>
  <c r="F196" i="106" s="1"/>
  <c r="E196" i="106" a="1"/>
  <c r="E196" i="106" s="1"/>
  <c r="D196" i="106" a="1"/>
  <c r="D196" i="106" s="1"/>
  <c r="H195" i="106" a="1"/>
  <c r="H195" i="106" s="1"/>
  <c r="G195" i="106" a="1"/>
  <c r="G195" i="106" s="1"/>
  <c r="F195" i="106" a="1"/>
  <c r="F195" i="106" s="1"/>
  <c r="E195" i="106" a="1"/>
  <c r="E195" i="106" s="1"/>
  <c r="D195" i="106" a="1"/>
  <c r="D195" i="106" s="1"/>
  <c r="H194" i="106" a="1"/>
  <c r="H194" i="106" s="1"/>
  <c r="G194" i="106" a="1"/>
  <c r="G194" i="106" s="1"/>
  <c r="F194" i="106" a="1"/>
  <c r="F194" i="106" s="1"/>
  <c r="E194" i="106" a="1"/>
  <c r="E194" i="106" s="1"/>
  <c r="D194" i="106" a="1"/>
  <c r="D194" i="106" s="1"/>
  <c r="H193" i="106" a="1"/>
  <c r="H193" i="106" s="1"/>
  <c r="G193" i="106" a="1"/>
  <c r="G193" i="106" s="1"/>
  <c r="F193" i="106" a="1"/>
  <c r="F193" i="106" s="1"/>
  <c r="E193" i="106" a="1"/>
  <c r="E193" i="106" s="1"/>
  <c r="D193" i="106" a="1"/>
  <c r="D193" i="106" s="1"/>
  <c r="H192" i="106" a="1"/>
  <c r="H192" i="106" s="1"/>
  <c r="G192" i="106" a="1"/>
  <c r="G192" i="106" s="1"/>
  <c r="F192" i="106" a="1"/>
  <c r="F192" i="106" s="1"/>
  <c r="E192" i="106" a="1"/>
  <c r="E192" i="106" s="1"/>
  <c r="D192" i="106" a="1"/>
  <c r="D192" i="106" s="1"/>
  <c r="H191" i="106" a="1"/>
  <c r="H191" i="106" s="1"/>
  <c r="G191" i="106" a="1"/>
  <c r="G191" i="106" s="1"/>
  <c r="F191" i="106" a="1"/>
  <c r="F191" i="106" s="1"/>
  <c r="E191" i="106" a="1"/>
  <c r="E191" i="106" s="1"/>
  <c r="D191" i="106" a="1"/>
  <c r="D191" i="106" s="1"/>
  <c r="H190" i="106" a="1"/>
  <c r="H190" i="106" s="1"/>
  <c r="G190" i="106" a="1"/>
  <c r="G190" i="106" s="1"/>
  <c r="F190" i="106" a="1"/>
  <c r="F190" i="106" s="1"/>
  <c r="E190" i="106" a="1"/>
  <c r="E190" i="106" s="1"/>
  <c r="D190" i="106" a="1"/>
  <c r="D190" i="106" s="1"/>
  <c r="H189" i="106" a="1"/>
  <c r="H189" i="106" s="1"/>
  <c r="G189" i="106" a="1"/>
  <c r="G189" i="106" s="1"/>
  <c r="F189" i="106" a="1"/>
  <c r="F189" i="106" s="1"/>
  <c r="E189" i="106" a="1"/>
  <c r="E189" i="106" s="1"/>
  <c r="D189" i="106" a="1"/>
  <c r="D189" i="106" s="1"/>
  <c r="H188" i="106" a="1"/>
  <c r="H188" i="106" s="1"/>
  <c r="G188" i="106" a="1"/>
  <c r="G188" i="106" s="1"/>
  <c r="F188" i="106" a="1"/>
  <c r="F188" i="106" s="1"/>
  <c r="E188" i="106" a="1"/>
  <c r="E188" i="106" s="1"/>
  <c r="D188" i="106" a="1"/>
  <c r="D188" i="106" s="1"/>
  <c r="H187" i="106" a="1"/>
  <c r="H187" i="106" s="1"/>
  <c r="G187" i="106" a="1"/>
  <c r="G187" i="106" s="1"/>
  <c r="F187" i="106" a="1"/>
  <c r="F187" i="106" s="1"/>
  <c r="E187" i="106" a="1"/>
  <c r="E187" i="106" s="1"/>
  <c r="D187" i="106" a="1"/>
  <c r="D187" i="106" s="1"/>
  <c r="D181" i="106" a="1"/>
  <c r="D181" i="106" s="1"/>
  <c r="D180" i="106"/>
  <c r="D180" i="106" a="1"/>
  <c r="D179" i="106" a="1"/>
  <c r="D179" i="106" s="1"/>
  <c r="D178" i="106" a="1"/>
  <c r="D178" i="106" s="1"/>
  <c r="E175" i="106" a="1"/>
  <c r="E175" i="106" s="1"/>
  <c r="D175" i="106" a="1"/>
  <c r="D175" i="106" s="1"/>
  <c r="D174" i="106" a="1"/>
  <c r="D174" i="106" s="1"/>
  <c r="D173" i="106" a="1"/>
  <c r="D173" i="106" s="1"/>
  <c r="D170" i="106" a="1"/>
  <c r="D170" i="106" s="1"/>
  <c r="D169" i="106" a="1"/>
  <c r="D169" i="106" s="1"/>
  <c r="D168" i="106" a="1"/>
  <c r="D168" i="106" s="1"/>
  <c r="D167" i="106" a="1"/>
  <c r="D167" i="106" s="1"/>
  <c r="D164" i="106" a="1"/>
  <c r="D164" i="106" s="1"/>
  <c r="D163" i="106" a="1"/>
  <c r="D163" i="106" s="1"/>
  <c r="D162" i="106" a="1"/>
  <c r="D162" i="106" s="1"/>
  <c r="D161" i="106" a="1"/>
  <c r="D161" i="106" s="1"/>
  <c r="E158" i="106" a="1"/>
  <c r="E158" i="106" s="1"/>
  <c r="D158" i="106" a="1"/>
  <c r="D158" i="106" s="1"/>
  <c r="E157" i="106" a="1"/>
  <c r="E157" i="106" s="1"/>
  <c r="D157" i="106" a="1"/>
  <c r="D157" i="106" s="1"/>
  <c r="E156" i="106" a="1"/>
  <c r="E156" i="106" s="1"/>
  <c r="D156" i="106" a="1"/>
  <c r="D156" i="106" s="1"/>
  <c r="E155" i="106" a="1"/>
  <c r="E155" i="106" s="1"/>
  <c r="D155" i="106" a="1"/>
  <c r="D155" i="106" s="1"/>
  <c r="E154" i="106" a="1"/>
  <c r="E154" i="106" s="1"/>
  <c r="D154" i="106" a="1"/>
  <c r="D154" i="106" s="1"/>
  <c r="D151" i="106" a="1"/>
  <c r="D151" i="106" s="1"/>
  <c r="D150" i="106" a="1"/>
  <c r="D150" i="106" s="1"/>
  <c r="E147" i="106" a="1"/>
  <c r="E147" i="106" s="1"/>
  <c r="D147" i="106" a="1"/>
  <c r="D147" i="106" s="1"/>
  <c r="E146" i="106" a="1"/>
  <c r="E146" i="106" s="1"/>
  <c r="D146" i="106" a="1"/>
  <c r="D146" i="106" s="1"/>
  <c r="E145" i="106" a="1"/>
  <c r="E145" i="106" s="1"/>
  <c r="D145" i="106" a="1"/>
  <c r="D145" i="106" s="1"/>
  <c r="E144" i="106" a="1"/>
  <c r="E144" i="106" s="1"/>
  <c r="D144" i="106" a="1"/>
  <c r="D144" i="106" s="1"/>
  <c r="E143" i="106" a="1"/>
  <c r="E143" i="106" s="1"/>
  <c r="D143" i="106" a="1"/>
  <c r="D143" i="106" s="1"/>
  <c r="D141" i="106" a="1"/>
  <c r="D141" i="106" s="1"/>
  <c r="D140" i="106" a="1"/>
  <c r="D140" i="106" s="1"/>
  <c r="D139" i="106" a="1"/>
  <c r="D139" i="106" s="1"/>
  <c r="E136" i="106" a="1"/>
  <c r="E136" i="106" s="1"/>
  <c r="D136" i="106" a="1"/>
  <c r="D136" i="106" s="1"/>
  <c r="E135" i="106" a="1"/>
  <c r="E135" i="106" s="1"/>
  <c r="D135" i="106" a="1"/>
  <c r="D135" i="106" s="1"/>
  <c r="D133" i="106" a="1"/>
  <c r="D133" i="106" s="1"/>
  <c r="D132" i="106" a="1"/>
  <c r="D132" i="106" s="1"/>
  <c r="E129" i="106" a="1"/>
  <c r="E129" i="106" s="1"/>
  <c r="D129" i="106" a="1"/>
  <c r="D129" i="106" s="1"/>
  <c r="E128" i="106" a="1"/>
  <c r="E128" i="106" s="1"/>
  <c r="D128" i="106" a="1"/>
  <c r="D128" i="106" s="1"/>
  <c r="D125" i="106" a="1"/>
  <c r="D125" i="106" s="1"/>
  <c r="D124" i="106"/>
  <c r="D124" i="106" a="1"/>
  <c r="G121" i="106" a="1"/>
  <c r="G121" i="106" s="1"/>
  <c r="F121" i="106" a="1"/>
  <c r="F121" i="106" s="1"/>
  <c r="E121" i="106" a="1"/>
  <c r="E121" i="106" s="1"/>
  <c r="D121" i="106" a="1"/>
  <c r="D121" i="106" s="1"/>
  <c r="G120" i="106" a="1"/>
  <c r="G120" i="106" s="1"/>
  <c r="F120" i="106" a="1"/>
  <c r="F120" i="106" s="1"/>
  <c r="E120" i="106" a="1"/>
  <c r="E120" i="106" s="1"/>
  <c r="D120" i="106" a="1"/>
  <c r="D120" i="106" s="1"/>
  <c r="D117" i="106"/>
  <c r="D117" i="106" a="1"/>
  <c r="D116" i="106" a="1"/>
  <c r="D116" i="106" s="1"/>
  <c r="D115" i="106" a="1"/>
  <c r="D115" i="106" s="1"/>
  <c r="G112" i="106" a="1"/>
  <c r="G112" i="106" s="1"/>
  <c r="F112" i="106" a="1"/>
  <c r="F112" i="106" s="1"/>
  <c r="E112" i="106" a="1"/>
  <c r="E112" i="106" s="1"/>
  <c r="D112" i="106" a="1"/>
  <c r="D112" i="106" s="1"/>
  <c r="G111" i="106" a="1"/>
  <c r="G111" i="106" s="1"/>
  <c r="F111" i="106" a="1"/>
  <c r="F111" i="106" s="1"/>
  <c r="E111" i="106" a="1"/>
  <c r="E111" i="106" s="1"/>
  <c r="D111" i="106" a="1"/>
  <c r="D111" i="106" s="1"/>
  <c r="G110" i="106" a="1"/>
  <c r="G110" i="106" s="1"/>
  <c r="F110" i="106" a="1"/>
  <c r="F110" i="106" s="1"/>
  <c r="E110" i="106" a="1"/>
  <c r="E110" i="106" s="1"/>
  <c r="D110" i="106" a="1"/>
  <c r="D110" i="106" s="1"/>
  <c r="D107" i="106" a="1"/>
  <c r="D107" i="106" s="1"/>
  <c r="D106" i="106" a="1"/>
  <c r="D106" i="106" s="1"/>
  <c r="D105" i="106" a="1"/>
  <c r="D105" i="106" s="1"/>
  <c r="D99" i="106" a="1"/>
  <c r="D99" i="106" s="1"/>
  <c r="S97" i="106" a="1"/>
  <c r="S97" i="106" s="1"/>
  <c r="R97" i="106" a="1"/>
  <c r="R97" i="106" s="1"/>
  <c r="Q97" i="106" a="1"/>
  <c r="Q97" i="106" s="1"/>
  <c r="P97" i="106" a="1"/>
  <c r="P97" i="106" s="1"/>
  <c r="O97" i="106" a="1"/>
  <c r="O97" i="106" s="1"/>
  <c r="N97" i="106" a="1"/>
  <c r="N97" i="106" s="1"/>
  <c r="M97" i="106" a="1"/>
  <c r="M97" i="106" s="1"/>
  <c r="L97" i="106" a="1"/>
  <c r="L97" i="106" s="1"/>
  <c r="K97" i="106" a="1"/>
  <c r="K97" i="106" s="1"/>
  <c r="J97" i="106" a="1"/>
  <c r="J97" i="106" s="1"/>
  <c r="I97" i="106" a="1"/>
  <c r="I97" i="106" s="1"/>
  <c r="H97" i="106" a="1"/>
  <c r="H97" i="106" s="1"/>
  <c r="G97" i="106" a="1"/>
  <c r="G97" i="106" s="1"/>
  <c r="F97" i="106" a="1"/>
  <c r="F97" i="106" s="1"/>
  <c r="E97" i="106" a="1"/>
  <c r="E97" i="106" s="1"/>
  <c r="D97" i="106" a="1"/>
  <c r="D97" i="106" s="1"/>
  <c r="S96" i="106" a="1"/>
  <c r="S96" i="106" s="1"/>
  <c r="R96" i="106" a="1"/>
  <c r="R96" i="106" s="1"/>
  <c r="Q96" i="106" a="1"/>
  <c r="Q96" i="106" s="1"/>
  <c r="P96" i="106" a="1"/>
  <c r="P96" i="106" s="1"/>
  <c r="O96" i="106" a="1"/>
  <c r="O96" i="106" s="1"/>
  <c r="N96" i="106" a="1"/>
  <c r="N96" i="106" s="1"/>
  <c r="M96" i="106" a="1"/>
  <c r="M96" i="106" s="1"/>
  <c r="L96" i="106" a="1"/>
  <c r="L96" i="106" s="1"/>
  <c r="K96" i="106" a="1"/>
  <c r="K96" i="106" s="1"/>
  <c r="J96" i="106" a="1"/>
  <c r="J96" i="106" s="1"/>
  <c r="I96" i="106" a="1"/>
  <c r="I96" i="106" s="1"/>
  <c r="H96" i="106" a="1"/>
  <c r="H96" i="106" s="1"/>
  <c r="G96" i="106" a="1"/>
  <c r="G96" i="106" s="1"/>
  <c r="F96" i="106" a="1"/>
  <c r="F96" i="106" s="1"/>
  <c r="E96" i="106" a="1"/>
  <c r="E96" i="106" s="1"/>
  <c r="D96" i="106" a="1"/>
  <c r="D96" i="106" s="1"/>
  <c r="S95" i="106" a="1"/>
  <c r="S95" i="106" s="1"/>
  <c r="R95" i="106" a="1"/>
  <c r="R95" i="106" s="1"/>
  <c r="Q95" i="106" a="1"/>
  <c r="Q95" i="106" s="1"/>
  <c r="P95" i="106" a="1"/>
  <c r="P95" i="106" s="1"/>
  <c r="O95" i="106" a="1"/>
  <c r="O95" i="106" s="1"/>
  <c r="N95" i="106" a="1"/>
  <c r="N95" i="106" s="1"/>
  <c r="M95" i="106" a="1"/>
  <c r="M95" i="106" s="1"/>
  <c r="L95" i="106" a="1"/>
  <c r="L95" i="106" s="1"/>
  <c r="K95" i="106" a="1"/>
  <c r="K95" i="106" s="1"/>
  <c r="J95" i="106" a="1"/>
  <c r="J95" i="106" s="1"/>
  <c r="I95" i="106" a="1"/>
  <c r="I95" i="106" s="1"/>
  <c r="H95" i="106" a="1"/>
  <c r="H95" i="106" s="1"/>
  <c r="G95" i="106" a="1"/>
  <c r="G95" i="106" s="1"/>
  <c r="F95" i="106" a="1"/>
  <c r="F95" i="106" s="1"/>
  <c r="E95" i="106" a="1"/>
  <c r="E95" i="106" s="1"/>
  <c r="D95" i="106" a="1"/>
  <c r="D95" i="106" s="1"/>
  <c r="S94" i="106" a="1"/>
  <c r="S94" i="106" s="1"/>
  <c r="R94" i="106" a="1"/>
  <c r="R94" i="106" s="1"/>
  <c r="Q94" i="106" a="1"/>
  <c r="Q94" i="106" s="1"/>
  <c r="P94" i="106" a="1"/>
  <c r="P94" i="106" s="1"/>
  <c r="O94" i="106" a="1"/>
  <c r="O94" i="106" s="1"/>
  <c r="N94" i="106" a="1"/>
  <c r="N94" i="106" s="1"/>
  <c r="M94" i="106" a="1"/>
  <c r="M94" i="106" s="1"/>
  <c r="L94" i="106" a="1"/>
  <c r="L94" i="106" s="1"/>
  <c r="K94" i="106" a="1"/>
  <c r="K94" i="106" s="1"/>
  <c r="J94" i="106" a="1"/>
  <c r="J94" i="106" s="1"/>
  <c r="I94" i="106" a="1"/>
  <c r="I94" i="106" s="1"/>
  <c r="H94" i="106" a="1"/>
  <c r="H94" i="106" s="1"/>
  <c r="G94" i="106" a="1"/>
  <c r="G94" i="106" s="1"/>
  <c r="F94" i="106" a="1"/>
  <c r="F94" i="106" s="1"/>
  <c r="E94" i="106" a="1"/>
  <c r="E94" i="106" s="1"/>
  <c r="D94" i="106" a="1"/>
  <c r="D94" i="106" s="1"/>
  <c r="S93" i="106" a="1"/>
  <c r="S93" i="106" s="1"/>
  <c r="R93" i="106" a="1"/>
  <c r="R93" i="106" s="1"/>
  <c r="Q93" i="106" a="1"/>
  <c r="Q93" i="106" s="1"/>
  <c r="P93" i="106" a="1"/>
  <c r="P93" i="106" s="1"/>
  <c r="O93" i="106" a="1"/>
  <c r="O93" i="106" s="1"/>
  <c r="N93" i="106" a="1"/>
  <c r="N93" i="106" s="1"/>
  <c r="M93" i="106" a="1"/>
  <c r="M93" i="106" s="1"/>
  <c r="L93" i="106" a="1"/>
  <c r="L93" i="106" s="1"/>
  <c r="K93" i="106" a="1"/>
  <c r="K93" i="106" s="1"/>
  <c r="J93" i="106" a="1"/>
  <c r="J93" i="106" s="1"/>
  <c r="I93" i="106" a="1"/>
  <c r="I93" i="106" s="1"/>
  <c r="H93" i="106" a="1"/>
  <c r="H93" i="106" s="1"/>
  <c r="G93" i="106" a="1"/>
  <c r="G93" i="106" s="1"/>
  <c r="F93" i="106" a="1"/>
  <c r="F93" i="106" s="1"/>
  <c r="E93" i="106" a="1"/>
  <c r="E93" i="106" s="1"/>
  <c r="D93" i="106" a="1"/>
  <c r="D93" i="106" s="1"/>
  <c r="S92" i="106" a="1"/>
  <c r="S92" i="106" s="1"/>
  <c r="R92" i="106" a="1"/>
  <c r="R92" i="106" s="1"/>
  <c r="Q92" i="106" a="1"/>
  <c r="Q92" i="106" s="1"/>
  <c r="P92" i="106" a="1"/>
  <c r="P92" i="106" s="1"/>
  <c r="O92" i="106" a="1"/>
  <c r="O92" i="106" s="1"/>
  <c r="N92" i="106" a="1"/>
  <c r="N92" i="106" s="1"/>
  <c r="M92" i="106" a="1"/>
  <c r="M92" i="106" s="1"/>
  <c r="L92" i="106" a="1"/>
  <c r="L92" i="106" s="1"/>
  <c r="K92" i="106" a="1"/>
  <c r="K92" i="106" s="1"/>
  <c r="J92" i="106" a="1"/>
  <c r="J92" i="106" s="1"/>
  <c r="I92" i="106" a="1"/>
  <c r="I92" i="106" s="1"/>
  <c r="H92" i="106" a="1"/>
  <c r="H92" i="106" s="1"/>
  <c r="G92" i="106" a="1"/>
  <c r="G92" i="106" s="1"/>
  <c r="F92" i="106" a="1"/>
  <c r="F92" i="106" s="1"/>
  <c r="E92" i="106" a="1"/>
  <c r="E92" i="106" s="1"/>
  <c r="D92" i="106" a="1"/>
  <c r="D92" i="106" s="1"/>
  <c r="S91" i="106" a="1"/>
  <c r="S91" i="106" s="1"/>
  <c r="R91" i="106" a="1"/>
  <c r="R91" i="106" s="1"/>
  <c r="Q91" i="106" a="1"/>
  <c r="Q91" i="106" s="1"/>
  <c r="P91" i="106" a="1"/>
  <c r="P91" i="106" s="1"/>
  <c r="O91" i="106" a="1"/>
  <c r="O91" i="106" s="1"/>
  <c r="N91" i="106" a="1"/>
  <c r="N91" i="106" s="1"/>
  <c r="M91" i="106" a="1"/>
  <c r="M91" i="106" s="1"/>
  <c r="L91" i="106" a="1"/>
  <c r="L91" i="106" s="1"/>
  <c r="K91" i="106" a="1"/>
  <c r="K91" i="106" s="1"/>
  <c r="J91" i="106" a="1"/>
  <c r="J91" i="106" s="1"/>
  <c r="I91" i="106" a="1"/>
  <c r="I91" i="106" s="1"/>
  <c r="H91" i="106" a="1"/>
  <c r="H91" i="106" s="1"/>
  <c r="G91" i="106" a="1"/>
  <c r="G91" i="106" s="1"/>
  <c r="F91" i="106" a="1"/>
  <c r="F91" i="106" s="1"/>
  <c r="E91" i="106" a="1"/>
  <c r="E91" i="106" s="1"/>
  <c r="D91" i="106" a="1"/>
  <c r="D91" i="106" s="1"/>
  <c r="S90" i="106" a="1"/>
  <c r="S90" i="106" s="1"/>
  <c r="R90" i="106" a="1"/>
  <c r="R90" i="106" s="1"/>
  <c r="Q90" i="106" a="1"/>
  <c r="Q90" i="106" s="1"/>
  <c r="P90" i="106" a="1"/>
  <c r="P90" i="106" s="1"/>
  <c r="O90" i="106" a="1"/>
  <c r="O90" i="106" s="1"/>
  <c r="N90" i="106" a="1"/>
  <c r="N90" i="106" s="1"/>
  <c r="M90" i="106" a="1"/>
  <c r="M90" i="106" s="1"/>
  <c r="L90" i="106" a="1"/>
  <c r="L90" i="106" s="1"/>
  <c r="K90" i="106" a="1"/>
  <c r="K90" i="106" s="1"/>
  <c r="J90" i="106" a="1"/>
  <c r="J90" i="106" s="1"/>
  <c r="I90" i="106" a="1"/>
  <c r="I90" i="106" s="1"/>
  <c r="H90" i="106" a="1"/>
  <c r="H90" i="106" s="1"/>
  <c r="G90" i="106" a="1"/>
  <c r="G90" i="106" s="1"/>
  <c r="F90" i="106" a="1"/>
  <c r="F90" i="106" s="1"/>
  <c r="E90" i="106" a="1"/>
  <c r="E90" i="106" s="1"/>
  <c r="D90" i="106" a="1"/>
  <c r="D90" i="106" s="1"/>
  <c r="D83" i="106" a="1"/>
  <c r="D83" i="106" s="1"/>
  <c r="D82" i="106"/>
  <c r="D82" i="106" a="1"/>
  <c r="D81" i="106"/>
  <c r="D81" i="106" a="1"/>
  <c r="E77" i="106" a="1"/>
  <c r="E77" i="106" s="1"/>
  <c r="D77" i="106" a="1"/>
  <c r="D77" i="106" s="1"/>
  <c r="E76" i="106" a="1"/>
  <c r="E76" i="106" s="1"/>
  <c r="D76" i="106" a="1"/>
  <c r="D76" i="106" s="1"/>
  <c r="E75" i="106" a="1"/>
  <c r="E75" i="106" s="1"/>
  <c r="D75" i="106" a="1"/>
  <c r="D75" i="106" s="1"/>
  <c r="E74" i="106" a="1"/>
  <c r="E74" i="106" s="1"/>
  <c r="D74" i="106" a="1"/>
  <c r="D74" i="106" s="1"/>
  <c r="E73" i="106" a="1"/>
  <c r="E73" i="106" s="1"/>
  <c r="D73" i="106" a="1"/>
  <c r="D73" i="106" s="1"/>
  <c r="E72" i="106" a="1"/>
  <c r="E72" i="106" s="1"/>
  <c r="D72" i="106" a="1"/>
  <c r="D72" i="106" s="1"/>
  <c r="E71" i="106" a="1"/>
  <c r="E71" i="106" s="1"/>
  <c r="D71" i="106" a="1"/>
  <c r="D71" i="106" s="1"/>
  <c r="E70" i="106" a="1"/>
  <c r="E70" i="106" s="1"/>
  <c r="D70" i="106" a="1"/>
  <c r="D70" i="106" s="1"/>
  <c r="E69" i="106" a="1"/>
  <c r="E69" i="106" s="1"/>
  <c r="D69" i="106" a="1"/>
  <c r="D69" i="106" s="1"/>
  <c r="E68" i="106" a="1"/>
  <c r="E68" i="106" s="1"/>
  <c r="D68" i="106" a="1"/>
  <c r="D68" i="106" s="1"/>
  <c r="E67" i="106" a="1"/>
  <c r="E67" i="106" s="1"/>
  <c r="D67" i="106" a="1"/>
  <c r="D67" i="106" s="1"/>
  <c r="E66" i="106" a="1"/>
  <c r="E66" i="106" s="1"/>
  <c r="D66" i="106" a="1"/>
  <c r="D66" i="106" s="1"/>
  <c r="E65" i="106" a="1"/>
  <c r="E65" i="106" s="1"/>
  <c r="D65" i="106" a="1"/>
  <c r="D65" i="106" s="1"/>
  <c r="E64" i="106" a="1"/>
  <c r="E64" i="106" s="1"/>
  <c r="D64" i="106" a="1"/>
  <c r="D64" i="106" s="1"/>
  <c r="D59" i="106" a="1"/>
  <c r="D59" i="106" s="1"/>
  <c r="D58" i="106" a="1"/>
  <c r="D58" i="106" s="1"/>
  <c r="D57" i="106" a="1"/>
  <c r="D57" i="106" s="1"/>
  <c r="G54" i="106" a="1"/>
  <c r="G54" i="106" s="1"/>
  <c r="F54" i="106" a="1"/>
  <c r="F54" i="106" s="1"/>
  <c r="E54" i="106" a="1"/>
  <c r="E54" i="106" s="1"/>
  <c r="D54" i="106" a="1"/>
  <c r="D54" i="106" s="1"/>
  <c r="G53" i="106" a="1"/>
  <c r="G53" i="106" s="1"/>
  <c r="F53" i="106" a="1"/>
  <c r="F53" i="106" s="1"/>
  <c r="H53" i="106" s="1"/>
  <c r="E53" i="106" a="1"/>
  <c r="E53" i="106" s="1"/>
  <c r="D53" i="106" a="1"/>
  <c r="D53" i="106" s="1"/>
  <c r="G52" i="106" a="1"/>
  <c r="G52" i="106" s="1"/>
  <c r="F52" i="106" a="1"/>
  <c r="F52" i="106" s="1"/>
  <c r="E52" i="106" a="1"/>
  <c r="E52" i="106" s="1"/>
  <c r="D52" i="106" a="1"/>
  <c r="D52" i="106" s="1"/>
  <c r="G51" i="106" a="1"/>
  <c r="G51" i="106" s="1"/>
  <c r="F51" i="106" a="1"/>
  <c r="F51" i="106" s="1"/>
  <c r="E51" i="106" a="1"/>
  <c r="E51" i="106" s="1"/>
  <c r="D51" i="106" a="1"/>
  <c r="D51" i="106" s="1"/>
  <c r="G50" i="106" a="1"/>
  <c r="G50" i="106" s="1"/>
  <c r="F50" i="106" a="1"/>
  <c r="F50" i="106" s="1"/>
  <c r="E50" i="106" a="1"/>
  <c r="E50" i="106" s="1"/>
  <c r="D50" i="106" a="1"/>
  <c r="D50" i="106" s="1"/>
  <c r="G49" i="106" a="1"/>
  <c r="G49" i="106" s="1"/>
  <c r="F49" i="106" a="1"/>
  <c r="F49" i="106" s="1"/>
  <c r="E49" i="106" a="1"/>
  <c r="E49" i="106" s="1"/>
  <c r="D49" i="106" a="1"/>
  <c r="D49" i="106" s="1"/>
  <c r="G48" i="106" a="1"/>
  <c r="G48" i="106" s="1"/>
  <c r="F48" i="106" a="1"/>
  <c r="F48" i="106" s="1"/>
  <c r="E48" i="106" a="1"/>
  <c r="E48" i="106" s="1"/>
  <c r="D48" i="106" a="1"/>
  <c r="D48" i="106" s="1"/>
  <c r="D46" i="106" a="1"/>
  <c r="D46" i="106" s="1"/>
  <c r="D45" i="106" a="1"/>
  <c r="D45" i="106" s="1"/>
  <c r="E43" i="106" a="1"/>
  <c r="E43" i="106" s="1"/>
  <c r="D43" i="106" a="1"/>
  <c r="D43" i="106" s="1"/>
  <c r="E42" i="106" a="1"/>
  <c r="E42" i="106" s="1"/>
  <c r="D42" i="106" a="1"/>
  <c r="D42" i="106" s="1"/>
  <c r="E41" i="106" a="1"/>
  <c r="E41" i="106" s="1"/>
  <c r="D41" i="106" a="1"/>
  <c r="D41" i="106" s="1"/>
  <c r="E40" i="106" a="1"/>
  <c r="E40" i="106" s="1"/>
  <c r="D40" i="106" a="1"/>
  <c r="D40" i="106" s="1"/>
  <c r="E39" i="106" a="1"/>
  <c r="E39" i="106" s="1"/>
  <c r="D39" i="106" a="1"/>
  <c r="D39" i="106" s="1"/>
  <c r="E38" i="106" a="1"/>
  <c r="E38" i="106" s="1"/>
  <c r="D38" i="106" a="1"/>
  <c r="D38" i="106" s="1"/>
  <c r="E37" i="106" a="1"/>
  <c r="E37" i="106" s="1"/>
  <c r="D37" i="106" a="1"/>
  <c r="D37" i="106" s="1"/>
  <c r="D35" i="106" a="1"/>
  <c r="D35" i="106" s="1"/>
  <c r="D34" i="106" a="1"/>
  <c r="D34" i="106" s="1"/>
  <c r="D30" i="106" a="1"/>
  <c r="D30" i="106" s="1"/>
  <c r="D29" i="106" a="1"/>
  <c r="D29" i="106" s="1"/>
  <c r="D28" i="106" a="1"/>
  <c r="D28" i="106" s="1"/>
  <c r="D27" i="106" a="1"/>
  <c r="D27" i="106" s="1"/>
  <c r="D26" i="106" a="1"/>
  <c r="D26" i="106" s="1"/>
  <c r="D25" i="106" a="1"/>
  <c r="D25" i="106" s="1"/>
  <c r="D24" i="106" a="1"/>
  <c r="D24" i="106" s="1"/>
  <c r="D23" i="106" a="1"/>
  <c r="D23" i="106" s="1"/>
  <c r="D22" i="106" a="1"/>
  <c r="D22" i="106" s="1"/>
  <c r="D21" i="106" a="1"/>
  <c r="D21" i="106" s="1"/>
  <c r="D19" i="106" a="1"/>
  <c r="D19" i="106" s="1"/>
  <c r="D18" i="106" a="1"/>
  <c r="D18" i="106" s="1"/>
  <c r="F14" i="106" a="1"/>
  <c r="F14" i="106" s="1"/>
  <c r="E14" i="106" a="1"/>
  <c r="E14" i="106" s="1"/>
  <c r="D14" i="106" a="1"/>
  <c r="D14" i="106" s="1"/>
  <c r="F13" i="106" a="1"/>
  <c r="F13" i="106" s="1"/>
  <c r="E13" i="106" a="1"/>
  <c r="E13" i="106" s="1"/>
  <c r="D13" i="106" a="1"/>
  <c r="D13" i="106" s="1"/>
  <c r="F12" i="106" a="1"/>
  <c r="F12" i="106" s="1"/>
  <c r="E12" i="106" a="1"/>
  <c r="E12" i="106" s="1"/>
  <c r="D12" i="106" a="1"/>
  <c r="D12" i="106" s="1"/>
  <c r="F11" i="106" a="1"/>
  <c r="F11" i="106" s="1"/>
  <c r="E11" i="106" a="1"/>
  <c r="E11" i="106" s="1"/>
  <c r="D11" i="106" a="1"/>
  <c r="D11" i="106" s="1"/>
  <c r="F10" i="106" a="1"/>
  <c r="F10" i="106" s="1"/>
  <c r="E10" i="106" a="1"/>
  <c r="E10" i="106" s="1"/>
  <c r="D10" i="106" a="1"/>
  <c r="D10" i="106" s="1"/>
  <c r="F9" i="106" a="1"/>
  <c r="F9" i="106" s="1"/>
  <c r="E9" i="106" a="1"/>
  <c r="E9" i="106" s="1"/>
  <c r="D9" i="106" a="1"/>
  <c r="D9" i="106" s="1"/>
  <c r="F8" i="106" a="1"/>
  <c r="F8" i="106" s="1"/>
  <c r="E8" i="106" a="1"/>
  <c r="E8" i="106" s="1"/>
  <c r="D8" i="106" a="1"/>
  <c r="D8" i="106" s="1"/>
  <c r="F7" i="106" a="1"/>
  <c r="F7" i="106" s="1"/>
  <c r="E7" i="106" a="1"/>
  <c r="E7" i="106" s="1"/>
  <c r="D7" i="106" a="1"/>
  <c r="D7" i="106" s="1"/>
  <c r="D5" i="106" a="1"/>
  <c r="D5" i="106" s="1"/>
  <c r="J123" i="70"/>
  <c r="J122" i="70"/>
  <c r="J121" i="70"/>
  <c r="J120" i="70"/>
  <c r="K122" i="70"/>
  <c r="L122" i="70" s="1"/>
  <c r="K121" i="70"/>
  <c r="L121" i="70" s="1"/>
  <c r="K120" i="70"/>
  <c r="L120" i="70" s="1"/>
  <c r="K123" i="70"/>
  <c r="M120" i="70" s="1"/>
  <c r="N120" i="70" s="1"/>
  <c r="M113" i="70"/>
  <c r="M112" i="70"/>
  <c r="M111" i="70"/>
  <c r="M110" i="70"/>
  <c r="L113" i="70"/>
  <c r="L112" i="70"/>
  <c r="L110" i="70"/>
  <c r="L111" i="70"/>
  <c r="E25" i="69"/>
  <c r="E24" i="69"/>
  <c r="E23" i="69"/>
  <c r="E22" i="69"/>
  <c r="H24" i="69"/>
  <c r="G24" i="69"/>
  <c r="F24" i="69"/>
  <c r="H23" i="69"/>
  <c r="G23" i="69"/>
  <c r="F23" i="69"/>
  <c r="H22" i="69"/>
  <c r="G22" i="69"/>
  <c r="F22" i="69"/>
  <c r="H25" i="69"/>
  <c r="G25" i="69"/>
  <c r="F25" i="69"/>
  <c r="F33" i="69"/>
  <c r="H33" i="69" s="1"/>
  <c r="F32" i="69"/>
  <c r="F31" i="69"/>
  <c r="F30" i="69"/>
  <c r="E33" i="69"/>
  <c r="E32" i="69"/>
  <c r="G32" i="69" s="1"/>
  <c r="E31" i="69"/>
  <c r="E30" i="69"/>
  <c r="I47" i="69" a="1"/>
  <c r="I47" i="69" s="1"/>
  <c r="I46" i="69" a="1"/>
  <c r="I46" i="69" s="1"/>
  <c r="I45" i="69" a="1"/>
  <c r="I45" i="69" s="1"/>
  <c r="G45" i="69" a="1"/>
  <c r="G45" i="69" s="1"/>
  <c r="D45" i="69" a="1"/>
  <c r="D45" i="69" s="1"/>
  <c r="J13" i="69" a="1"/>
  <c r="J13" i="69" s="1"/>
  <c r="H13" i="69" a="1"/>
  <c r="H13" i="69" s="1"/>
  <c r="D13" i="69" a="1"/>
  <c r="D13" i="69" s="1"/>
  <c r="I214" i="69" a="1"/>
  <c r="I214" i="69" s="1"/>
  <c r="I213" i="69" a="1"/>
  <c r="I213" i="69" s="1"/>
  <c r="I212" i="69" a="1"/>
  <c r="I212" i="69" s="1"/>
  <c r="G212" i="69" a="1"/>
  <c r="G212" i="69" s="1"/>
  <c r="D212" i="69" a="1"/>
  <c r="D212" i="69" s="1"/>
  <c r="I157" i="69" a="1"/>
  <c r="I157" i="69" s="1"/>
  <c r="I156" i="69" a="1"/>
  <c r="I156" i="69" s="1"/>
  <c r="I154" i="69" a="1"/>
  <c r="I154" i="69" s="1"/>
  <c r="G154" i="69" a="1"/>
  <c r="G154" i="69" s="1"/>
  <c r="D154" i="69" a="1"/>
  <c r="D154" i="69" s="1"/>
  <c r="I109" i="69" a="1"/>
  <c r="I109" i="69" s="1"/>
  <c r="I108" i="69" a="1"/>
  <c r="I108" i="69" s="1"/>
  <c r="G108" i="69" a="1"/>
  <c r="G108" i="69" s="1"/>
  <c r="D108" i="69" a="1"/>
  <c r="D108" i="69" s="1"/>
  <c r="O120" i="70" l="1"/>
  <c r="L123" i="70"/>
  <c r="M123" i="70"/>
  <c r="M122" i="70"/>
  <c r="M121" i="70"/>
  <c r="H54" i="106"/>
  <c r="H51" i="106"/>
  <c r="H49" i="106"/>
  <c r="H52" i="106"/>
  <c r="H50" i="106"/>
  <c r="H48" i="106"/>
  <c r="W172" i="69"/>
  <c r="W171" i="69"/>
  <c r="O121" i="70" l="1"/>
  <c r="N123" i="70"/>
  <c r="O123" i="70" s="1"/>
  <c r="N121" i="70"/>
  <c r="N122" i="70"/>
  <c r="O122" i="70" s="1"/>
  <c r="U191" i="76"/>
  <c r="U190" i="76"/>
  <c r="U189" i="76"/>
  <c r="U188" i="76"/>
  <c r="U187" i="76"/>
  <c r="U186" i="76"/>
  <c r="U185" i="76"/>
  <c r="U184" i="76"/>
  <c r="U183" i="76"/>
  <c r="U182" i="76"/>
  <c r="U181" i="76"/>
  <c r="U180" i="76"/>
  <c r="U111" i="76"/>
  <c r="U110" i="76"/>
  <c r="U109" i="76"/>
  <c r="U108" i="76"/>
  <c r="U107" i="76"/>
  <c r="U106" i="76"/>
  <c r="U105" i="76"/>
  <c r="U104" i="76"/>
  <c r="U103" i="76"/>
  <c r="U102" i="76"/>
  <c r="U101" i="76"/>
  <c r="U100" i="76"/>
  <c r="X92" i="76"/>
  <c r="G87" i="76"/>
  <c r="F87" i="76"/>
  <c r="E87" i="76"/>
  <c r="D87" i="76"/>
  <c r="W39" i="69"/>
  <c r="W38" i="69"/>
  <c r="W37" i="69"/>
  <c r="W36" i="69"/>
  <c r="W35" i="69"/>
  <c r="W34" i="69"/>
  <c r="W33" i="69"/>
  <c r="W32" i="69"/>
  <c r="W31" i="69"/>
  <c r="W30" i="69"/>
  <c r="W29" i="69"/>
  <c r="W28" i="69"/>
  <c r="D110" i="70"/>
  <c r="F127" i="70"/>
  <c r="Y22" i="69" s="1"/>
  <c r="E127" i="70"/>
  <c r="V92" i="76" s="1"/>
  <c r="G127" i="70"/>
  <c r="Z22" i="69" s="1"/>
  <c r="D124" i="70"/>
  <c r="W22" i="69" s="1"/>
  <c r="E120" i="70"/>
  <c r="D126" i="70" s="1"/>
  <c r="U93" i="76" s="1"/>
  <c r="E119" i="70"/>
  <c r="D125" i="70" s="1"/>
  <c r="U92" i="76" s="1"/>
  <c r="D6" i="69" a="1"/>
  <c r="D6" i="69" s="1"/>
  <c r="I148" i="76"/>
  <c r="V181" i="76" l="1" a="1"/>
  <c r="V181" i="76" s="1"/>
  <c r="D127" i="70"/>
  <c r="W23" i="69"/>
  <c r="X30" i="69" s="1" a="1"/>
  <c r="X30" i="69" s="1"/>
  <c r="Y30" i="69" s="1" a="1"/>
  <c r="Y30" i="69" s="1"/>
  <c r="X22" i="69"/>
  <c r="W92" i="76"/>
  <c r="V104" i="76" a="1"/>
  <c r="V104" i="76" s="1"/>
  <c r="W104" i="76" s="1" a="1"/>
  <c r="W104" i="76" s="1"/>
  <c r="AC104" i="76" s="1" a="1"/>
  <c r="AC104" i="76" s="1"/>
  <c r="V191" i="76" a="1"/>
  <c r="V191" i="76" s="1"/>
  <c r="V105" i="76" a="1"/>
  <c r="V105" i="76" s="1"/>
  <c r="W105" i="76" s="1" a="1"/>
  <c r="W105" i="76" s="1"/>
  <c r="AC105" i="76" s="1" a="1"/>
  <c r="AC105" i="76" s="1"/>
  <c r="V182" i="76" a="1"/>
  <c r="V182" i="76" s="1"/>
  <c r="V106" i="76" a="1"/>
  <c r="V106" i="76" s="1"/>
  <c r="W106" i="76" s="1" a="1"/>
  <c r="W106" i="76" s="1"/>
  <c r="AC106" i="76" s="1" a="1"/>
  <c r="AC106" i="76" s="1"/>
  <c r="V107" i="76" a="1"/>
  <c r="V107" i="76" s="1"/>
  <c r="V183" i="76" a="1"/>
  <c r="V183" i="76" s="1"/>
  <c r="V108" i="76" a="1"/>
  <c r="V108" i="76" s="1"/>
  <c r="V109" i="76" a="1"/>
  <c r="V109" i="76" s="1"/>
  <c r="V184" i="76" a="1"/>
  <c r="V184" i="76" s="1"/>
  <c r="V110" i="76" a="1"/>
  <c r="V110" i="76" s="1"/>
  <c r="V111" i="76" a="1"/>
  <c r="V111" i="76" s="1"/>
  <c r="V185" i="76" a="1"/>
  <c r="V185" i="76" s="1"/>
  <c r="V186" i="76" a="1"/>
  <c r="V186" i="76" s="1"/>
  <c r="V100" i="76" a="1"/>
  <c r="V100" i="76" s="1"/>
  <c r="V187" i="76" a="1"/>
  <c r="V187" i="76" s="1"/>
  <c r="V101" i="76" a="1"/>
  <c r="V101" i="76" s="1"/>
  <c r="W101" i="76" s="1" a="1"/>
  <c r="W101" i="76" s="1"/>
  <c r="AC101" i="76" s="1" a="1"/>
  <c r="AC101" i="76" s="1"/>
  <c r="V180" i="76" a="1"/>
  <c r="V180" i="76" s="1"/>
  <c r="V188" i="76" a="1"/>
  <c r="V188" i="76" s="1"/>
  <c r="V102" i="76" a="1"/>
  <c r="V102" i="76" s="1"/>
  <c r="W102" i="76" s="1" a="1"/>
  <c r="W102" i="76" s="1"/>
  <c r="AA102" i="76" s="1" a="1"/>
  <c r="AA102" i="76" s="1"/>
  <c r="V189" i="76" a="1"/>
  <c r="V189" i="76" s="1"/>
  <c r="V103" i="76" a="1"/>
  <c r="V103" i="76" s="1"/>
  <c r="W103" i="76" s="1" a="1"/>
  <c r="W103" i="76" s="1"/>
  <c r="AC103" i="76" s="1" a="1"/>
  <c r="AC103" i="76" s="1"/>
  <c r="V190" i="76" a="1"/>
  <c r="V190" i="76" s="1"/>
  <c r="E164" i="76" a="1"/>
  <c r="E164" i="76" s="1"/>
  <c r="E163" i="76" a="1"/>
  <c r="E163" i="76" s="1"/>
  <c r="E162" i="76" a="1"/>
  <c r="E162" i="76" s="1"/>
  <c r="E161" i="76" a="1"/>
  <c r="E161" i="76" s="1"/>
  <c r="O41" i="98" a="1"/>
  <c r="O41" i="98" s="1"/>
  <c r="M38" i="98" a="1"/>
  <c r="M38" i="98" s="1"/>
  <c r="F41" i="98" a="1"/>
  <c r="F41" i="98" s="1"/>
  <c r="D38" i="98" a="1"/>
  <c r="D38" i="98" s="1"/>
  <c r="E30" i="98" a="1"/>
  <c r="E30" i="98" s="1"/>
  <c r="O36" i="98" s="1"/>
  <c r="E29" i="98" a="1"/>
  <c r="E29" i="98" s="1"/>
  <c r="D25" i="98" a="1"/>
  <c r="D25" i="98" s="1"/>
  <c r="D24" i="98" a="1"/>
  <c r="D24" i="98" s="1"/>
  <c r="E11" i="98" a="1"/>
  <c r="E11" i="98" s="1"/>
  <c r="F20" i="98" s="1"/>
  <c r="E10" i="98" a="1"/>
  <c r="E10" i="98" s="1"/>
  <c r="D6" i="98" a="1"/>
  <c r="D6" i="98" s="1"/>
  <c r="D5" i="98" a="1"/>
  <c r="D5" i="98" s="1"/>
  <c r="P40" i="97" a="1"/>
  <c r="P40" i="97" s="1"/>
  <c r="N37" i="97" a="1"/>
  <c r="N37" i="97" s="1"/>
  <c r="P16" i="97"/>
  <c r="F40" i="97" a="1"/>
  <c r="F40" i="97" s="1"/>
  <c r="D37" i="97" a="1"/>
  <c r="D37" i="97" s="1"/>
  <c r="E26" i="97" a="1"/>
  <c r="E26" i="97" s="1"/>
  <c r="F35" i="97" s="1"/>
  <c r="G9" i="13" s="1"/>
  <c r="E25" i="97" a="1"/>
  <c r="E25" i="97" s="1"/>
  <c r="D21" i="97" a="1"/>
  <c r="D21" i="97" s="1"/>
  <c r="D20" i="97" a="1"/>
  <c r="D20" i="97" s="1"/>
  <c r="D440" i="79" a="1"/>
  <c r="D440" i="79" s="1"/>
  <c r="I15" i="98" s="1"/>
  <c r="D439" i="79" a="1"/>
  <c r="D439" i="79" s="1"/>
  <c r="D438" i="79" a="1"/>
  <c r="D438" i="79" s="1"/>
  <c r="D437" i="79" a="1"/>
  <c r="D437" i="79" s="1"/>
  <c r="D436" i="79" a="1"/>
  <c r="D436" i="79" s="1"/>
  <c r="D434" i="79" a="1"/>
  <c r="D434" i="79" s="1"/>
  <c r="J14" i="97" s="1"/>
  <c r="D433" i="79" a="1"/>
  <c r="D433" i="79" s="1"/>
  <c r="D432" i="79" a="1"/>
  <c r="D432" i="79" s="1"/>
  <c r="D431" i="79" a="1"/>
  <c r="D431" i="79" s="1"/>
  <c r="D430" i="79" a="1"/>
  <c r="D430" i="79" s="1"/>
  <c r="E7" i="98" a="1"/>
  <c r="E7" i="97" a="1"/>
  <c r="E26" i="98" a="1"/>
  <c r="E22" i="97" a="1"/>
  <c r="I14" i="98" l="1"/>
  <c r="X38" i="69" a="1"/>
  <c r="X38" i="69" s="1"/>
  <c r="X33" i="69" a="1"/>
  <c r="X33" i="69" s="1"/>
  <c r="Y33" i="69" s="1" a="1"/>
  <c r="Y33" i="69" s="1"/>
  <c r="AC33" i="69" s="1" a="1"/>
  <c r="AC33" i="69" s="1"/>
  <c r="X29" i="69" a="1"/>
  <c r="X29" i="69" s="1"/>
  <c r="Y29" i="69" s="1" a="1"/>
  <c r="Y29" i="69" s="1"/>
  <c r="AE29" i="69" s="1" a="1"/>
  <c r="AE29" i="69" s="1"/>
  <c r="X28" i="69" a="1"/>
  <c r="X28" i="69" s="1"/>
  <c r="X39" i="69" a="1"/>
  <c r="X39" i="69" s="1"/>
  <c r="X37" i="69" a="1"/>
  <c r="X37" i="69" s="1"/>
  <c r="X32" i="69" a="1"/>
  <c r="X32" i="69" s="1"/>
  <c r="Y32" i="69" s="1" a="1"/>
  <c r="Y32" i="69" s="1"/>
  <c r="AE32" i="69" s="1" a="1"/>
  <c r="AE32" i="69" s="1"/>
  <c r="AA104" i="76" a="1"/>
  <c r="AA104" i="76" s="1"/>
  <c r="X36" i="69" a="1"/>
  <c r="X36" i="69" s="1"/>
  <c r="X35" i="69" a="1"/>
  <c r="X35" i="69" s="1"/>
  <c r="X34" i="69" a="1"/>
  <c r="X34" i="69" s="1"/>
  <c r="Y34" i="69" s="1" a="1"/>
  <c r="Y34" i="69" s="1"/>
  <c r="AD34" i="69" s="1" a="1"/>
  <c r="AD34" i="69" s="1"/>
  <c r="X31" i="69" a="1"/>
  <c r="X31" i="69" s="1"/>
  <c r="Y31" i="69" s="1" a="1"/>
  <c r="Y31" i="69" s="1"/>
  <c r="AD31" i="69" s="1" a="1"/>
  <c r="AD31" i="69" s="1"/>
  <c r="AA101" i="76" a="1"/>
  <c r="AA101" i="76" s="1"/>
  <c r="AB104" i="76" a="1"/>
  <c r="AB104" i="76" s="1"/>
  <c r="AB101" i="76" a="1"/>
  <c r="AB101" i="76" s="1"/>
  <c r="AB103" i="76" a="1"/>
  <c r="AB103" i="76" s="1"/>
  <c r="AC102" i="76" a="1"/>
  <c r="AC102" i="76" s="1"/>
  <c r="AB106" i="76" a="1"/>
  <c r="AB106" i="76" s="1"/>
  <c r="AA105" i="76" a="1"/>
  <c r="AA105" i="76" s="1"/>
  <c r="AA106" i="76" a="1"/>
  <c r="AA106" i="76" s="1"/>
  <c r="AB105" i="76" a="1"/>
  <c r="AB105" i="76" s="1"/>
  <c r="AA103" i="76" a="1"/>
  <c r="AA103" i="76" s="1"/>
  <c r="AB102" i="76" a="1"/>
  <c r="AB102" i="76" s="1"/>
  <c r="AD30" i="69" a="1"/>
  <c r="AD30" i="69" s="1"/>
  <c r="AE30" i="69" a="1"/>
  <c r="AE30" i="69" s="1"/>
  <c r="AC30" i="69" a="1"/>
  <c r="AC30" i="69" s="1"/>
  <c r="P35" i="97"/>
  <c r="F36" i="98"/>
  <c r="G10" i="13" s="1"/>
  <c r="E26" i="98"/>
  <c r="O20" i="98"/>
  <c r="E7" i="98"/>
  <c r="E22" i="97"/>
  <c r="E7" i="97"/>
  <c r="AC32" i="69" l="1" a="1"/>
  <c r="AC32" i="69" s="1"/>
  <c r="AE33" i="69" a="1"/>
  <c r="AE33" i="69" s="1"/>
  <c r="AD33" i="69" a="1"/>
  <c r="AD33" i="69" s="1"/>
  <c r="AC29" i="69" a="1"/>
  <c r="AC29" i="69" s="1"/>
  <c r="AD32" i="69" a="1"/>
  <c r="AD32" i="69" s="1"/>
  <c r="AD29" i="69" a="1"/>
  <c r="AD29" i="69" s="1"/>
  <c r="AE31" i="69" a="1"/>
  <c r="AE31" i="69" s="1"/>
  <c r="AE34" i="69" a="1"/>
  <c r="AE34" i="69" s="1"/>
  <c r="AC34" i="69" a="1"/>
  <c r="AC34" i="69" s="1"/>
  <c r="AC31" i="69" a="1"/>
  <c r="AC31" i="69" s="1"/>
  <c r="E11" i="97" a="1"/>
  <c r="E11" i="97" s="1"/>
  <c r="F16" i="97" s="1"/>
  <c r="E10" i="97" a="1"/>
  <c r="E10" i="97" s="1"/>
  <c r="D6" i="97" a="1"/>
  <c r="D6" i="97" s="1"/>
  <c r="D5" i="97" a="1"/>
  <c r="D5" i="97" s="1"/>
  <c r="U265" i="76" a="1"/>
  <c r="U265" i="76" s="1"/>
  <c r="D224" i="76" a="1"/>
  <c r="D224" i="76" s="1"/>
  <c r="E222" i="76" a="1"/>
  <c r="E222" i="76" s="1"/>
  <c r="F229" i="76" s="1"/>
  <c r="E221" i="76" a="1"/>
  <c r="E221" i="76" s="1"/>
  <c r="D217" i="76" a="1"/>
  <c r="D217" i="76" s="1"/>
  <c r="D216" i="76" a="1"/>
  <c r="D216" i="76" s="1"/>
  <c r="U211" i="76" a="1"/>
  <c r="U211" i="76" s="1"/>
  <c r="E182" i="76" a="1"/>
  <c r="E182" i="76" s="1"/>
  <c r="AF257" i="76" s="1"/>
  <c r="E181" i="76" a="1"/>
  <c r="E181" i="76" s="1"/>
  <c r="D177" i="76" a="1"/>
  <c r="D177" i="76" s="1"/>
  <c r="D176" i="76" a="1"/>
  <c r="D176" i="76" s="1"/>
  <c r="U151" i="76" a="1"/>
  <c r="U151" i="76" s="1"/>
  <c r="E140" i="76" a="1"/>
  <c r="E140" i="76" s="1"/>
  <c r="AF206" i="76" s="1"/>
  <c r="E139" i="76" a="1"/>
  <c r="E139" i="76" s="1"/>
  <c r="D135" i="76" a="1"/>
  <c r="D135" i="76" s="1"/>
  <c r="D134" i="76" a="1"/>
  <c r="D134" i="76" s="1"/>
  <c r="U115" i="76" a="1"/>
  <c r="U115" i="76" s="1"/>
  <c r="E109" i="76" a="1"/>
  <c r="E109" i="76" s="1"/>
  <c r="E108" i="76" a="1"/>
  <c r="E108" i="76" s="1"/>
  <c r="D103" i="76" a="1"/>
  <c r="D103" i="76" s="1"/>
  <c r="D102" i="76" a="1"/>
  <c r="D102" i="76" s="1"/>
  <c r="U87" i="76" a="1"/>
  <c r="U87" i="76" s="1"/>
  <c r="E76" i="76" a="1"/>
  <c r="E76" i="76" s="1"/>
  <c r="AH111" i="76" s="1"/>
  <c r="E75" i="76" a="1"/>
  <c r="E75" i="76" s="1"/>
  <c r="D70" i="76" a="1"/>
  <c r="D70" i="76" s="1"/>
  <c r="D69" i="76" a="1"/>
  <c r="D69" i="76" s="1"/>
  <c r="U51" i="76" a="1"/>
  <c r="U51" i="76" s="1"/>
  <c r="E46" i="76" a="1"/>
  <c r="E46" i="76" s="1"/>
  <c r="AF82" i="76" s="1"/>
  <c r="E45" i="76" a="1"/>
  <c r="E45" i="76" s="1"/>
  <c r="D41" i="76" a="1"/>
  <c r="D41" i="76" s="1"/>
  <c r="D40" i="76" a="1"/>
  <c r="D40" i="76" s="1"/>
  <c r="E11" i="76" a="1"/>
  <c r="E11" i="76" s="1"/>
  <c r="AF37" i="76" s="1"/>
  <c r="E10" i="76" a="1"/>
  <c r="E10" i="76" s="1"/>
  <c r="D6" i="76" a="1"/>
  <c r="D6" i="76" s="1"/>
  <c r="D5" i="76" a="1"/>
  <c r="D5" i="76" s="1"/>
  <c r="W272" i="76" a="1"/>
  <c r="W272" i="76" s="1"/>
  <c r="U269" i="76" a="1"/>
  <c r="U269" i="76" s="1"/>
  <c r="U259" i="76"/>
  <c r="U258" i="76"/>
  <c r="U257" i="76"/>
  <c r="U256" i="76"/>
  <c r="U255" i="76"/>
  <c r="U254" i="76"/>
  <c r="U253" i="76"/>
  <c r="U252" i="76"/>
  <c r="U251" i="76"/>
  <c r="U250" i="76"/>
  <c r="U249" i="76"/>
  <c r="U248" i="76"/>
  <c r="U243" i="76"/>
  <c r="U242" i="76"/>
  <c r="U241" i="76"/>
  <c r="U240" i="76"/>
  <c r="U239" i="76"/>
  <c r="U238" i="76"/>
  <c r="U237" i="76"/>
  <c r="U236" i="76"/>
  <c r="U235" i="76"/>
  <c r="U234" i="76"/>
  <c r="U233" i="76"/>
  <c r="U232" i="76"/>
  <c r="U227" i="76"/>
  <c r="U226" i="76"/>
  <c r="U225" i="76"/>
  <c r="U224" i="76"/>
  <c r="U223" i="76"/>
  <c r="U222" i="76"/>
  <c r="U221" i="76"/>
  <c r="U220" i="76"/>
  <c r="U219" i="76"/>
  <c r="U218" i="76"/>
  <c r="U217" i="76"/>
  <c r="U216" i="76"/>
  <c r="U207" i="76"/>
  <c r="U206" i="76"/>
  <c r="U205" i="76"/>
  <c r="U204" i="76"/>
  <c r="U203" i="76"/>
  <c r="U202" i="76"/>
  <c r="U201" i="76"/>
  <c r="U200" i="76"/>
  <c r="U199" i="76"/>
  <c r="U198" i="76"/>
  <c r="U197" i="76"/>
  <c r="U196" i="76"/>
  <c r="U175" i="76"/>
  <c r="U174" i="76"/>
  <c r="U173" i="76"/>
  <c r="U172" i="76"/>
  <c r="U171" i="76"/>
  <c r="U170" i="76"/>
  <c r="U169" i="76"/>
  <c r="U168" i="76"/>
  <c r="U167" i="76"/>
  <c r="U166" i="76"/>
  <c r="U165" i="76"/>
  <c r="U164" i="76"/>
  <c r="U147" i="76"/>
  <c r="U146" i="76"/>
  <c r="U145" i="76"/>
  <c r="U144" i="76"/>
  <c r="U143" i="76"/>
  <c r="U142" i="76"/>
  <c r="U141" i="76"/>
  <c r="U140" i="76"/>
  <c r="U139" i="76"/>
  <c r="U138" i="76"/>
  <c r="U137" i="76"/>
  <c r="U136" i="76"/>
  <c r="U131" i="76"/>
  <c r="U130" i="76"/>
  <c r="U129" i="76"/>
  <c r="U128" i="76"/>
  <c r="U127" i="76"/>
  <c r="U126" i="76"/>
  <c r="U125" i="76"/>
  <c r="U124" i="76"/>
  <c r="U123" i="76"/>
  <c r="U122" i="76"/>
  <c r="U121" i="76"/>
  <c r="U120" i="76"/>
  <c r="U83" i="76"/>
  <c r="U82" i="76"/>
  <c r="U81" i="76"/>
  <c r="U80" i="76"/>
  <c r="U79" i="76"/>
  <c r="U78" i="76"/>
  <c r="U77" i="76"/>
  <c r="U76" i="76"/>
  <c r="U75" i="76"/>
  <c r="U74" i="76"/>
  <c r="U73" i="76"/>
  <c r="U72" i="76"/>
  <c r="U67" i="76"/>
  <c r="U66" i="76"/>
  <c r="U65" i="76"/>
  <c r="U64" i="76"/>
  <c r="U63" i="76"/>
  <c r="U62" i="76"/>
  <c r="U61" i="76"/>
  <c r="U60" i="76"/>
  <c r="U59" i="76"/>
  <c r="U58" i="76"/>
  <c r="U57" i="76"/>
  <c r="U56" i="76"/>
  <c r="A20" i="43"/>
  <c r="A19" i="43"/>
  <c r="A18" i="43"/>
  <c r="A17" i="43"/>
  <c r="A14" i="43"/>
  <c r="A13" i="43"/>
  <c r="A12" i="43"/>
  <c r="A11" i="43"/>
  <c r="A8" i="43"/>
  <c r="A7" i="43"/>
  <c r="A4" i="43"/>
  <c r="A3" i="43"/>
  <c r="A20" i="79"/>
  <c r="A19" i="79"/>
  <c r="A18" i="79"/>
  <c r="A17" i="79"/>
  <c r="A14" i="79"/>
  <c r="A13" i="79"/>
  <c r="A12" i="79"/>
  <c r="A11" i="79"/>
  <c r="A8" i="79"/>
  <c r="A7" i="79"/>
  <c r="A4" i="79"/>
  <c r="A3" i="79"/>
  <c r="A20" i="97"/>
  <c r="A19" i="97"/>
  <c r="A18" i="97"/>
  <c r="A17" i="97"/>
  <c r="A14" i="97"/>
  <c r="A13" i="97"/>
  <c r="A12" i="97"/>
  <c r="A11" i="97"/>
  <c r="A8" i="97"/>
  <c r="A7" i="97"/>
  <c r="A4" i="97"/>
  <c r="A3" i="97"/>
  <c r="A20" i="76"/>
  <c r="A19" i="76"/>
  <c r="A18" i="76"/>
  <c r="A17" i="76"/>
  <c r="A14" i="76"/>
  <c r="A13" i="76"/>
  <c r="A12" i="76"/>
  <c r="A11" i="76"/>
  <c r="A8" i="76"/>
  <c r="A7" i="76"/>
  <c r="A4" i="76"/>
  <c r="A3" i="76"/>
  <c r="A20" i="69"/>
  <c r="A19" i="69"/>
  <c r="A18" i="69"/>
  <c r="A17" i="69"/>
  <c r="A14" i="69"/>
  <c r="A13" i="69"/>
  <c r="A12" i="69"/>
  <c r="A11" i="69"/>
  <c r="A8" i="69"/>
  <c r="A7" i="69"/>
  <c r="A4" i="69"/>
  <c r="A3" i="69"/>
  <c r="A20" i="70"/>
  <c r="A19" i="70"/>
  <c r="A18" i="70"/>
  <c r="A17" i="70"/>
  <c r="A14" i="70"/>
  <c r="A13" i="70"/>
  <c r="A12" i="70"/>
  <c r="A11" i="70"/>
  <c r="A8" i="70"/>
  <c r="A7" i="70"/>
  <c r="A4" i="70"/>
  <c r="A3" i="70"/>
  <c r="A20" i="15"/>
  <c r="A19" i="15"/>
  <c r="A18" i="15"/>
  <c r="A17" i="15"/>
  <c r="A14" i="15"/>
  <c r="A13" i="15"/>
  <c r="A12" i="15"/>
  <c r="A11" i="15"/>
  <c r="A8" i="15"/>
  <c r="A7" i="15"/>
  <c r="A4" i="15"/>
  <c r="A3" i="15"/>
  <c r="A20" i="13"/>
  <c r="A19" i="13"/>
  <c r="A18" i="13"/>
  <c r="A17" i="13"/>
  <c r="A14" i="13"/>
  <c r="A13" i="13"/>
  <c r="A12" i="13"/>
  <c r="A11" i="13"/>
  <c r="A8" i="13"/>
  <c r="A7" i="13"/>
  <c r="A4" i="13"/>
  <c r="A3" i="13"/>
  <c r="A8" i="98"/>
  <c r="A11" i="98"/>
  <c r="A12" i="98"/>
  <c r="A13" i="98"/>
  <c r="A14" i="98"/>
  <c r="A17" i="98"/>
  <c r="D231" i="76" a="1"/>
  <c r="D231" i="76" s="1"/>
  <c r="F234" i="76" a="1"/>
  <c r="F234" i="76" s="1"/>
  <c r="H224" i="76"/>
  <c r="D122" i="76"/>
  <c r="D121" i="76"/>
  <c r="D120" i="76"/>
  <c r="D119" i="76"/>
  <c r="D98" i="76"/>
  <c r="D97" i="76"/>
  <c r="D96" i="76"/>
  <c r="D95" i="76"/>
  <c r="U47" i="76"/>
  <c r="U46" i="76"/>
  <c r="U45" i="76"/>
  <c r="U44" i="76"/>
  <c r="U43" i="76"/>
  <c r="U42" i="76"/>
  <c r="U41" i="76"/>
  <c r="U40" i="76"/>
  <c r="U39" i="76"/>
  <c r="U38" i="76"/>
  <c r="U37" i="76"/>
  <c r="U36" i="76"/>
  <c r="U31" i="76"/>
  <c r="U30" i="76"/>
  <c r="U29" i="76"/>
  <c r="U28" i="76"/>
  <c r="U27" i="76"/>
  <c r="U26" i="76"/>
  <c r="U25" i="76"/>
  <c r="U24" i="76"/>
  <c r="U23" i="76"/>
  <c r="U22" i="76"/>
  <c r="U21" i="76"/>
  <c r="U20" i="76"/>
  <c r="D36" i="76"/>
  <c r="D35" i="76"/>
  <c r="D34" i="76"/>
  <c r="D33" i="76"/>
  <c r="D20" i="76"/>
  <c r="D23" i="76"/>
  <c r="D22" i="76"/>
  <c r="D21" i="76"/>
  <c r="Y281" i="69" a="1"/>
  <c r="Y281" i="69" s="1"/>
  <c r="W278" i="69" a="1"/>
  <c r="W278" i="69" s="1"/>
  <c r="W274" i="69"/>
  <c r="W273" i="69"/>
  <c r="W272" i="69"/>
  <c r="W271" i="69"/>
  <c r="W270" i="69"/>
  <c r="W269" i="69"/>
  <c r="W268" i="69"/>
  <c r="W267" i="69"/>
  <c r="W266" i="69"/>
  <c r="W265" i="69"/>
  <c r="W264" i="69"/>
  <c r="W263" i="69"/>
  <c r="W262" i="69"/>
  <c r="W261" i="69"/>
  <c r="W260" i="69"/>
  <c r="W259" i="69"/>
  <c r="W258" i="69"/>
  <c r="W257" i="69"/>
  <c r="W256" i="69"/>
  <c r="W255" i="69"/>
  <c r="W254" i="69"/>
  <c r="W253" i="69"/>
  <c r="W252" i="69"/>
  <c r="W251" i="69"/>
  <c r="W246" i="69"/>
  <c r="X262" i="69" s="1"/>
  <c r="W245" i="69"/>
  <c r="X261" i="69" s="1"/>
  <c r="W244" i="69"/>
  <c r="X260" i="69" s="1"/>
  <c r="W243" i="69"/>
  <c r="X259" i="69" s="1"/>
  <c r="W242" i="69"/>
  <c r="X258" i="69" s="1"/>
  <c r="W241" i="69"/>
  <c r="X257" i="69" s="1"/>
  <c r="W240" i="69"/>
  <c r="X256" i="69" s="1"/>
  <c r="W239" i="69"/>
  <c r="X255" i="69" s="1"/>
  <c r="W238" i="69"/>
  <c r="X254" i="69" s="1"/>
  <c r="W237" i="69"/>
  <c r="X253" i="69" s="1"/>
  <c r="W236" i="69"/>
  <c r="X264" i="69" s="1"/>
  <c r="W235" i="69"/>
  <c r="X263" i="69" s="1"/>
  <c r="W230" i="69"/>
  <c r="W229" i="69"/>
  <c r="W228" i="69"/>
  <c r="W227" i="69"/>
  <c r="W226" i="69"/>
  <c r="W225" i="69"/>
  <c r="W224" i="69"/>
  <c r="W223" i="69"/>
  <c r="W222" i="69"/>
  <c r="W221" i="69"/>
  <c r="W220" i="69"/>
  <c r="W219" i="69"/>
  <c r="D246" i="69" a="1"/>
  <c r="D246" i="69" s="1"/>
  <c r="F249" i="69" a="1"/>
  <c r="F249" i="69" s="1"/>
  <c r="D242" i="69"/>
  <c r="D241" i="69"/>
  <c r="D240" i="69"/>
  <c r="D239" i="69"/>
  <c r="D238" i="69"/>
  <c r="D237" i="69"/>
  <c r="D236" i="69"/>
  <c r="D235" i="69"/>
  <c r="D204" i="69" a="1"/>
  <c r="D204" i="69" s="1"/>
  <c r="E210" i="69" a="1"/>
  <c r="E210" i="69" s="1"/>
  <c r="AI268" i="69" s="1"/>
  <c r="E209" i="69" a="1"/>
  <c r="E209" i="69" s="1"/>
  <c r="D205" i="69" a="1"/>
  <c r="D205" i="69" s="1"/>
  <c r="W200" i="69"/>
  <c r="W199" i="69"/>
  <c r="W198" i="69"/>
  <c r="W197" i="69"/>
  <c r="W196" i="69"/>
  <c r="W195" i="69"/>
  <c r="W194" i="69"/>
  <c r="W193" i="69"/>
  <c r="W192" i="69"/>
  <c r="W188" i="69"/>
  <c r="W187" i="69"/>
  <c r="W186" i="69"/>
  <c r="W185" i="69"/>
  <c r="W184" i="69"/>
  <c r="W183" i="69"/>
  <c r="W182" i="69"/>
  <c r="W181" i="69"/>
  <c r="W191" i="69"/>
  <c r="W190" i="69"/>
  <c r="W189" i="69"/>
  <c r="W180" i="69"/>
  <c r="W179" i="69"/>
  <c r="W178" i="69"/>
  <c r="W177" i="69"/>
  <c r="D184" i="69"/>
  <c r="D183" i="69"/>
  <c r="D182" i="69"/>
  <c r="D180" i="69"/>
  <c r="D179" i="69"/>
  <c r="D178" i="69"/>
  <c r="D147" i="69" a="1"/>
  <c r="D147" i="69" s="1"/>
  <c r="D181" i="69"/>
  <c r="D177" i="69"/>
  <c r="D172" i="69"/>
  <c r="D171" i="69"/>
  <c r="D166" i="69"/>
  <c r="D165" i="69"/>
  <c r="D428" i="79" a="1"/>
  <c r="D428" i="79" s="1"/>
  <c r="I155" i="69" s="1"/>
  <c r="D427" i="79" a="1"/>
  <c r="D427" i="79" s="1"/>
  <c r="D426" i="79" a="1"/>
  <c r="D426" i="79" s="1"/>
  <c r="D425" i="79" a="1"/>
  <c r="D425" i="79" s="1"/>
  <c r="D424" i="79" a="1"/>
  <c r="D424" i="79" s="1"/>
  <c r="E152" i="69" a="1"/>
  <c r="E152" i="69" s="1"/>
  <c r="AI194" i="69" s="1"/>
  <c r="E151" i="69" a="1"/>
  <c r="E151" i="69" s="1"/>
  <c r="D146" i="69" a="1"/>
  <c r="D146" i="69" s="1"/>
  <c r="W115" i="69"/>
  <c r="W131" i="69" s="1"/>
  <c r="X177" i="69" s="1"/>
  <c r="D171" i="70"/>
  <c r="D170" i="70"/>
  <c r="W125" i="69" s="1"/>
  <c r="W141" i="69" s="1"/>
  <c r="X187" i="69" s="1"/>
  <c r="D169" i="70"/>
  <c r="W124" i="69" s="1"/>
  <c r="W140" i="69" s="1"/>
  <c r="X186" i="69" s="1"/>
  <c r="D168" i="70"/>
  <c r="W123" i="69" s="1"/>
  <c r="W139" i="69" s="1"/>
  <c r="D167" i="70"/>
  <c r="W122" i="69" s="1"/>
  <c r="W138" i="69" s="1"/>
  <c r="D166" i="70"/>
  <c r="W121" i="69" s="1"/>
  <c r="W137" i="69" s="1"/>
  <c r="D165" i="70"/>
  <c r="W120" i="69" s="1"/>
  <c r="W136" i="69" s="1"/>
  <c r="D164" i="70"/>
  <c r="W119" i="69" s="1"/>
  <c r="W135" i="69" s="1"/>
  <c r="D163" i="70"/>
  <c r="W118" i="69" s="1"/>
  <c r="W134" i="69" s="1"/>
  <c r="X180" i="69" s="1"/>
  <c r="D162" i="70"/>
  <c r="W117" i="69" s="1"/>
  <c r="W133" i="69" s="1"/>
  <c r="X179" i="69" s="1"/>
  <c r="D161" i="70"/>
  <c r="W116" i="69" s="1"/>
  <c r="W132" i="69" s="1"/>
  <c r="X178" i="69" s="1"/>
  <c r="D160" i="70"/>
  <c r="D149" i="70"/>
  <c r="D148" i="70"/>
  <c r="D147" i="70"/>
  <c r="D146" i="70"/>
  <c r="D145" i="70"/>
  <c r="D144" i="70"/>
  <c r="D143" i="70"/>
  <c r="D142" i="70"/>
  <c r="D141" i="70"/>
  <c r="D140" i="70"/>
  <c r="D139" i="70"/>
  <c r="D138" i="70"/>
  <c r="D422" i="79" a="1"/>
  <c r="D422" i="79" s="1"/>
  <c r="I110" i="69" s="1"/>
  <c r="D421" i="79" a="1"/>
  <c r="D421" i="79" s="1"/>
  <c r="D420" i="79" a="1"/>
  <c r="D420" i="79" s="1"/>
  <c r="D419" i="79" a="1"/>
  <c r="D419" i="79" s="1"/>
  <c r="D418" i="79" a="1"/>
  <c r="D418" i="79" s="1"/>
  <c r="W87" i="69"/>
  <c r="W86" i="69"/>
  <c r="W85" i="69"/>
  <c r="W84" i="69"/>
  <c r="W83" i="69"/>
  <c r="W82" i="69"/>
  <c r="W81" i="69"/>
  <c r="W80" i="69"/>
  <c r="W79" i="69"/>
  <c r="W78" i="69"/>
  <c r="W77" i="69"/>
  <c r="W76" i="69"/>
  <c r="W71" i="69"/>
  <c r="W70" i="69"/>
  <c r="W69" i="69"/>
  <c r="W68" i="69"/>
  <c r="W67" i="69"/>
  <c r="W66" i="69"/>
  <c r="W65" i="69"/>
  <c r="W64" i="69"/>
  <c r="W63" i="69"/>
  <c r="W62" i="69"/>
  <c r="W61" i="69"/>
  <c r="W60" i="69"/>
  <c r="W55" i="69"/>
  <c r="W54" i="69"/>
  <c r="W53" i="69"/>
  <c r="W52" i="69"/>
  <c r="W51" i="69"/>
  <c r="W50" i="69"/>
  <c r="W49" i="69"/>
  <c r="W48" i="69"/>
  <c r="W47" i="69"/>
  <c r="W46" i="69"/>
  <c r="W45" i="69"/>
  <c r="W44" i="69"/>
  <c r="E136" i="76" a="1"/>
  <c r="E7" i="76" a="1"/>
  <c r="E148" i="69" a="1"/>
  <c r="E39" i="69" a="1"/>
  <c r="E218" i="76" a="1"/>
  <c r="E178" i="76" a="1"/>
  <c r="E101" i="69" a="1"/>
  <c r="E206" i="69" a="1"/>
  <c r="E104" i="76" a="1"/>
  <c r="E42" i="76" a="1"/>
  <c r="E98" i="76" l="1" a="1"/>
  <c r="E98" i="76" s="1"/>
  <c r="E95" i="76" a="1"/>
  <c r="E95" i="76" s="1"/>
  <c r="E96" i="76" a="1"/>
  <c r="E96" i="76" s="1"/>
  <c r="F96" i="76" s="1" a="1"/>
  <c r="F96" i="76" s="1"/>
  <c r="E97" i="76" a="1"/>
  <c r="E97" i="76" s="1"/>
  <c r="F97" i="76" s="1" a="1"/>
  <c r="F97" i="76" s="1"/>
  <c r="X252" i="69"/>
  <c r="X265" i="69"/>
  <c r="X266" i="69"/>
  <c r="X267" i="69"/>
  <c r="X268" i="69"/>
  <c r="X269" i="69"/>
  <c r="X270" i="69"/>
  <c r="X271" i="69"/>
  <c r="X272" i="69"/>
  <c r="X273" i="69"/>
  <c r="X274" i="69"/>
  <c r="X251" i="69"/>
  <c r="X196" i="69"/>
  <c r="X184" i="69"/>
  <c r="X185" i="69"/>
  <c r="X197" i="69"/>
  <c r="X195" i="69"/>
  <c r="X183" i="69"/>
  <c r="X193" i="69"/>
  <c r="X181" i="69"/>
  <c r="X182" i="69"/>
  <c r="X194" i="69"/>
  <c r="W126" i="69"/>
  <c r="W142" i="69" s="1"/>
  <c r="X188" i="69" s="1"/>
  <c r="X198" i="69"/>
  <c r="X199" i="69"/>
  <c r="X189" i="69"/>
  <c r="X190" i="69"/>
  <c r="X191" i="69"/>
  <c r="X192" i="69"/>
  <c r="P183" i="69"/>
  <c r="AI185" i="69"/>
  <c r="P177" i="69"/>
  <c r="AI255" i="69"/>
  <c r="AI190" i="69"/>
  <c r="AI256" i="69"/>
  <c r="AI195" i="69"/>
  <c r="AI264" i="69"/>
  <c r="AI193" i="69"/>
  <c r="AI257" i="69"/>
  <c r="AI196" i="69"/>
  <c r="AI267" i="69"/>
  <c r="AI189" i="69"/>
  <c r="AI253" i="69"/>
  <c r="AI197" i="69"/>
  <c r="AI181" i="69"/>
  <c r="AI198" i="69"/>
  <c r="P238" i="69"/>
  <c r="AI270" i="69"/>
  <c r="P184" i="69"/>
  <c r="AI187" i="69"/>
  <c r="AI188" i="69"/>
  <c r="AI179" i="69"/>
  <c r="AI269" i="69"/>
  <c r="AI182" i="69"/>
  <c r="AI199" i="69"/>
  <c r="P239" i="69"/>
  <c r="AI271" i="69"/>
  <c r="P236" i="69"/>
  <c r="P180" i="69"/>
  <c r="AI183" i="69"/>
  <c r="AI200" i="69"/>
  <c r="P240" i="69"/>
  <c r="AI186" i="69"/>
  <c r="P182" i="69"/>
  <c r="AI184" i="69"/>
  <c r="P242" i="69"/>
  <c r="AI259" i="69"/>
  <c r="AI273" i="69"/>
  <c r="P178" i="69"/>
  <c r="AI177" i="69"/>
  <c r="AI191" i="69"/>
  <c r="AI260" i="69"/>
  <c r="AI274" i="69"/>
  <c r="P179" i="69"/>
  <c r="AI178" i="69"/>
  <c r="AI192" i="69"/>
  <c r="F244" i="69"/>
  <c r="AI261" i="69"/>
  <c r="P241" i="69"/>
  <c r="AI258" i="69"/>
  <c r="AI272" i="69"/>
  <c r="AI262" i="69"/>
  <c r="P181" i="69"/>
  <c r="AI180" i="69"/>
  <c r="AI263" i="69"/>
  <c r="AI251" i="69"/>
  <c r="AI265" i="69"/>
  <c r="P235" i="69"/>
  <c r="AI252" i="69"/>
  <c r="AI266" i="69"/>
  <c r="P237" i="69"/>
  <c r="AI254" i="69"/>
  <c r="Q95" i="76"/>
  <c r="AF38" i="76"/>
  <c r="AH103" i="76"/>
  <c r="AF39" i="76"/>
  <c r="AH106" i="76"/>
  <c r="O64" i="76"/>
  <c r="AF40" i="76"/>
  <c r="AH109" i="76"/>
  <c r="O63" i="76"/>
  <c r="AF72" i="76"/>
  <c r="O65" i="76"/>
  <c r="AF77" i="76"/>
  <c r="AF83" i="76"/>
  <c r="Q96" i="76"/>
  <c r="AF80" i="76"/>
  <c r="Q97" i="76"/>
  <c r="AH100" i="76"/>
  <c r="AF74" i="76"/>
  <c r="AH101" i="76"/>
  <c r="AF141" i="76"/>
  <c r="AF139" i="76"/>
  <c r="AF140" i="76"/>
  <c r="AF147" i="76"/>
  <c r="AF145" i="76"/>
  <c r="AF144" i="76"/>
  <c r="AF138" i="76"/>
  <c r="AF136" i="76"/>
  <c r="O130" i="76"/>
  <c r="AF143" i="76"/>
  <c r="AF137" i="76"/>
  <c r="O127" i="76"/>
  <c r="O129" i="76"/>
  <c r="O128" i="76"/>
  <c r="AF146" i="76"/>
  <c r="AF142" i="76"/>
  <c r="O171" i="76"/>
  <c r="AF207" i="76"/>
  <c r="AF258" i="76"/>
  <c r="AF259" i="76"/>
  <c r="W261" i="76"/>
  <c r="AF73" i="76"/>
  <c r="AH102" i="76"/>
  <c r="AF197" i="76"/>
  <c r="AF248" i="76"/>
  <c r="W267" i="76"/>
  <c r="O207" i="76"/>
  <c r="AF75" i="76"/>
  <c r="AH104" i="76"/>
  <c r="AF199" i="76"/>
  <c r="AF250" i="76"/>
  <c r="AF45" i="76"/>
  <c r="Q98" i="76"/>
  <c r="O208" i="76"/>
  <c r="AF76" i="76"/>
  <c r="AH105" i="76"/>
  <c r="AF200" i="76"/>
  <c r="AF251" i="76"/>
  <c r="AF201" i="76"/>
  <c r="AF252" i="76"/>
  <c r="AF43" i="76"/>
  <c r="AF46" i="76"/>
  <c r="O209" i="76"/>
  <c r="AF47" i="76"/>
  <c r="O210" i="76"/>
  <c r="AF78" i="76"/>
  <c r="AH107" i="76"/>
  <c r="AF202" i="76"/>
  <c r="AF253" i="76"/>
  <c r="O172" i="76"/>
  <c r="AF196" i="76"/>
  <c r="AF42" i="76"/>
  <c r="O33" i="76"/>
  <c r="F212" i="76"/>
  <c r="AF79" i="76"/>
  <c r="AH108" i="76"/>
  <c r="AF203" i="76"/>
  <c r="AF254" i="76"/>
  <c r="AF204" i="76"/>
  <c r="AF255" i="76"/>
  <c r="AF41" i="76"/>
  <c r="O35" i="76"/>
  <c r="AF36" i="76"/>
  <c r="O169" i="76"/>
  <c r="AF81" i="76"/>
  <c r="AH110" i="76"/>
  <c r="AF205" i="76"/>
  <c r="AF256" i="76"/>
  <c r="AF198" i="76"/>
  <c r="AF249" i="76"/>
  <c r="AF44" i="76"/>
  <c r="O34" i="76"/>
  <c r="O36" i="76"/>
  <c r="O62" i="76"/>
  <c r="O170" i="76"/>
  <c r="E218" i="76"/>
  <c r="E178" i="76"/>
  <c r="E136" i="76"/>
  <c r="E104" i="76"/>
  <c r="E42" i="76"/>
  <c r="E7" i="76"/>
  <c r="E206" i="69"/>
  <c r="E148" i="69"/>
  <c r="E101" i="69"/>
  <c r="E39" i="69"/>
  <c r="K97" i="76" l="1" a="1"/>
  <c r="K97" i="76" s="1"/>
  <c r="L97" i="76" a="1"/>
  <c r="L97" i="76" s="1"/>
  <c r="J97" i="76" a="1"/>
  <c r="J97" i="76" s="1"/>
  <c r="L96" i="76" a="1"/>
  <c r="L96" i="76" s="1"/>
  <c r="K96" i="76" a="1"/>
  <c r="K96" i="76" s="1"/>
  <c r="J96" i="76" a="1"/>
  <c r="J96" i="76" s="1"/>
  <c r="X200" i="69"/>
  <c r="D71" i="69"/>
  <c r="D70" i="69"/>
  <c r="D69" i="69"/>
  <c r="D68" i="69"/>
  <c r="D55" i="69"/>
  <c r="D54" i="69"/>
  <c r="D53" i="69"/>
  <c r="D52" i="69"/>
  <c r="E43" i="69" a="1"/>
  <c r="E43" i="69" s="1"/>
  <c r="E42" i="69" a="1"/>
  <c r="E42" i="69" s="1"/>
  <c r="D38" i="69" a="1"/>
  <c r="D38" i="69" s="1"/>
  <c r="D37" i="69" a="1"/>
  <c r="D37"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99" i="70"/>
  <c r="D98" i="70"/>
  <c r="D97" i="70"/>
  <c r="D96" i="70"/>
  <c r="D95" i="70"/>
  <c r="D94" i="70"/>
  <c r="D93" i="70"/>
  <c r="D92" i="70"/>
  <c r="D91" i="70"/>
  <c r="D90" i="70"/>
  <c r="D89" i="70"/>
  <c r="D88" i="70"/>
  <c r="E7" i="70"/>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D77" i="70"/>
  <c r="D76" i="70"/>
  <c r="D75" i="70"/>
  <c r="D74" i="70"/>
  <c r="D73" i="70"/>
  <c r="D72" i="70"/>
  <c r="D71" i="70"/>
  <c r="D70" i="70"/>
  <c r="D69" i="70"/>
  <c r="D68" i="70"/>
  <c r="D67" i="70"/>
  <c r="D66" i="70"/>
  <c r="D55" i="70"/>
  <c r="D54" i="70"/>
  <c r="D53" i="70"/>
  <c r="D52" i="70"/>
  <c r="D51" i="70"/>
  <c r="D50" i="70"/>
  <c r="D49" i="70"/>
  <c r="D48" i="70"/>
  <c r="D47" i="70"/>
  <c r="D46" i="70"/>
  <c r="D45" i="70"/>
  <c r="D44" i="70"/>
  <c r="D33" i="70"/>
  <c r="E33" i="70" s="1"/>
  <c r="D32" i="70"/>
  <c r="K32" i="70" s="1"/>
  <c r="D31" i="70"/>
  <c r="L31" i="70" s="1"/>
  <c r="D30" i="70"/>
  <c r="M30" i="70" s="1"/>
  <c r="D29" i="70"/>
  <c r="N29" i="70" s="1"/>
  <c r="D28" i="70"/>
  <c r="N28" i="70" s="1"/>
  <c r="D27" i="70"/>
  <c r="M27" i="70" s="1"/>
  <c r="D26" i="70"/>
  <c r="J26" i="70" s="1"/>
  <c r="D25" i="70"/>
  <c r="N25" i="70" s="1"/>
  <c r="D24" i="70"/>
  <c r="N24" i="70" s="1"/>
  <c r="D23" i="70"/>
  <c r="M23" i="70" s="1"/>
  <c r="D22" i="70"/>
  <c r="K22" i="70" s="1"/>
  <c r="E11" i="69" a="1"/>
  <c r="E11" i="69" s="1"/>
  <c r="E10" i="69" a="1"/>
  <c r="E10" i="69" s="1"/>
  <c r="D5" i="69" a="1"/>
  <c r="D5" i="69" s="1"/>
  <c r="E106" i="69" a="1"/>
  <c r="E106" i="69" s="1"/>
  <c r="E105" i="69" a="1"/>
  <c r="E105" i="69" s="1"/>
  <c r="D100" i="69" a="1"/>
  <c r="D100" i="69" s="1"/>
  <c r="D99" i="69" a="1"/>
  <c r="D99" i="69" s="1"/>
  <c r="A20" i="98"/>
  <c r="A19" i="98"/>
  <c r="A18" i="98"/>
  <c r="A7" i="98"/>
  <c r="A4" i="98"/>
  <c r="A3" i="98"/>
  <c r="J14" i="69" l="1" a="1"/>
  <c r="J14" i="69" s="1"/>
  <c r="W181" i="76" a="1"/>
  <c r="W181" i="76" s="1"/>
  <c r="Y181" i="76" a="1"/>
  <c r="Y181" i="76" s="1"/>
  <c r="J15" i="69" a="1"/>
  <c r="J15" i="69" s="1"/>
  <c r="AC181" i="76" a="1"/>
  <c r="AC181" i="76" s="1"/>
  <c r="W191" i="76" a="1"/>
  <c r="W191" i="76" s="1"/>
  <c r="AC182" i="76" a="1"/>
  <c r="AC182" i="76" s="1"/>
  <c r="W189" i="76" a="1"/>
  <c r="W189" i="76" s="1"/>
  <c r="Y185" i="76" a="1"/>
  <c r="Y185" i="76" s="1"/>
  <c r="W182" i="76" a="1"/>
  <c r="W182" i="76" s="1"/>
  <c r="W184" i="76" a="1"/>
  <c r="W184" i="76" s="1"/>
  <c r="AC188" i="76" a="1"/>
  <c r="AC188" i="76" s="1"/>
  <c r="W186" i="76" a="1"/>
  <c r="W186" i="76" s="1"/>
  <c r="Y188" i="76" a="1"/>
  <c r="Y188" i="76" s="1"/>
  <c r="Y186" i="76" a="1"/>
  <c r="Y186" i="76" s="1"/>
  <c r="Y191" i="76" a="1"/>
  <c r="Y191" i="76" s="1"/>
  <c r="W185" i="76" a="1"/>
  <c r="W185" i="76" s="1"/>
  <c r="AC191" i="76" a="1"/>
  <c r="AC191" i="76" s="1"/>
  <c r="AC187" i="76" a="1"/>
  <c r="AC187" i="76" s="1"/>
  <c r="W187" i="76" a="1"/>
  <c r="W187" i="76" s="1"/>
  <c r="Y187" i="76" a="1"/>
  <c r="Y187" i="76" s="1"/>
  <c r="AC190" i="76" a="1"/>
  <c r="AC190" i="76" s="1"/>
  <c r="Y183" i="76" a="1"/>
  <c r="Y183" i="76" s="1"/>
  <c r="Y189" i="76" a="1"/>
  <c r="Y189" i="76" s="1"/>
  <c r="AC184" i="76" a="1"/>
  <c r="AC184" i="76" s="1"/>
  <c r="Y182" i="76" a="1"/>
  <c r="Y182" i="76" s="1"/>
  <c r="W183" i="76" a="1"/>
  <c r="W183" i="76" s="1"/>
  <c r="AC183" i="76" a="1"/>
  <c r="AC183" i="76" s="1"/>
  <c r="AC185" i="76" a="1"/>
  <c r="AC185" i="76" s="1"/>
  <c r="AC186" i="76" a="1"/>
  <c r="AC186" i="76" s="1"/>
  <c r="W188" i="76" a="1"/>
  <c r="W188" i="76" s="1"/>
  <c r="Y184" i="76" a="1"/>
  <c r="Y184" i="76" s="1"/>
  <c r="W190" i="76" a="1"/>
  <c r="W190" i="76" s="1"/>
  <c r="Y190" i="76" a="1"/>
  <c r="Y190" i="76" s="1"/>
  <c r="AC189" i="76" a="1"/>
  <c r="AC189" i="76" s="1"/>
  <c r="AJ35" i="69"/>
  <c r="AJ34" i="69"/>
  <c r="AJ33" i="69"/>
  <c r="AJ32" i="69"/>
  <c r="AJ31" i="69"/>
  <c r="AJ30" i="69"/>
  <c r="AJ39" i="69"/>
  <c r="AJ38" i="69"/>
  <c r="AJ37" i="69"/>
  <c r="AJ36" i="69"/>
  <c r="H15" i="76"/>
  <c r="L163" i="76" a="1"/>
  <c r="L163" i="76" s="1"/>
  <c r="L161" i="76" a="1"/>
  <c r="L161" i="76" s="1"/>
  <c r="L162" i="76" a="1"/>
  <c r="L162" i="76" s="1"/>
  <c r="H161" i="76" a="1"/>
  <c r="H161" i="76" s="1"/>
  <c r="H163" i="76" a="1"/>
  <c r="H163" i="76" s="1"/>
  <c r="H162" i="76" a="1"/>
  <c r="H162" i="76" s="1"/>
  <c r="H164" i="76" a="1"/>
  <c r="H164" i="76" s="1"/>
  <c r="F164" i="76" a="1"/>
  <c r="F164" i="76" s="1"/>
  <c r="F161" i="76" a="1"/>
  <c r="F161" i="76" s="1"/>
  <c r="F162" i="76" a="1"/>
  <c r="F162" i="76" s="1"/>
  <c r="F163" i="76" a="1"/>
  <c r="F163" i="76" s="1"/>
  <c r="L164" i="76" a="1"/>
  <c r="L164" i="76" s="1"/>
  <c r="K33" i="70"/>
  <c r="I81" i="76" a="1"/>
  <c r="I81" i="76" s="1"/>
  <c r="I80" i="76" a="1"/>
  <c r="I80" i="76" s="1"/>
  <c r="AH140" i="69"/>
  <c r="AH139" i="69"/>
  <c r="AH138" i="69"/>
  <c r="AH137" i="69"/>
  <c r="AH136" i="69"/>
  <c r="AH135" i="69"/>
  <c r="AH134" i="69"/>
  <c r="AH133" i="69"/>
  <c r="AH132" i="69"/>
  <c r="AH131" i="69"/>
  <c r="O134" i="69"/>
  <c r="O133" i="69"/>
  <c r="AH142" i="69"/>
  <c r="O132" i="69"/>
  <c r="AH141" i="69"/>
  <c r="O131" i="69"/>
  <c r="AH79" i="69"/>
  <c r="AF59" i="76" s="1"/>
  <c r="AH78" i="69"/>
  <c r="AF58" i="76" s="1"/>
  <c r="AH77" i="69"/>
  <c r="AF57" i="76" s="1"/>
  <c r="AH76" i="69"/>
  <c r="AF56" i="76" s="1"/>
  <c r="AH87" i="69"/>
  <c r="AF67" i="76" s="1"/>
  <c r="AH86" i="69"/>
  <c r="AF66" i="76" s="1"/>
  <c r="AH85" i="69"/>
  <c r="AF65" i="76" s="1"/>
  <c r="AH84" i="69"/>
  <c r="AF64" i="76" s="1"/>
  <c r="AH83" i="69"/>
  <c r="AF63" i="76" s="1"/>
  <c r="AH82" i="69"/>
  <c r="AF62" i="76" s="1"/>
  <c r="AH81" i="69"/>
  <c r="AF61" i="76" s="1"/>
  <c r="AH80" i="69"/>
  <c r="AF60" i="76" s="1"/>
  <c r="O87" i="69"/>
  <c r="O57" i="76" s="1"/>
  <c r="O86" i="69"/>
  <c r="O56" i="76" s="1"/>
  <c r="O85" i="69"/>
  <c r="O55" i="76" s="1"/>
  <c r="O84" i="69"/>
  <c r="O54" i="76" s="1"/>
  <c r="AJ29" i="69"/>
  <c r="AJ28" i="69"/>
  <c r="F32" i="70"/>
  <c r="S31" i="69"/>
  <c r="S32" i="69"/>
  <c r="S33" i="69"/>
  <c r="S30"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K26" i="70"/>
  <c r="M33" i="70"/>
  <c r="E24" i="70"/>
  <c r="F24" i="70"/>
  <c r="G24" i="70"/>
  <c r="M24" i="70"/>
  <c r="F25" i="70"/>
  <c r="G26" i="70"/>
  <c r="I26" i="70"/>
  <c r="F33" i="70"/>
  <c r="H25" i="70"/>
  <c r="N33" i="70"/>
  <c r="M25" i="70"/>
  <c r="H26" i="70"/>
  <c r="I22" i="70"/>
  <c r="H31" i="70"/>
  <c r="E25" i="70"/>
  <c r="L26" i="70"/>
  <c r="G23" i="70"/>
  <c r="I31" i="70"/>
  <c r="H23" i="70"/>
  <c r="M31" i="70"/>
  <c r="G32" i="70"/>
  <c r="I29" i="70"/>
  <c r="M32" i="70"/>
  <c r="E31" i="70"/>
  <c r="E32" i="70"/>
  <c r="F26" i="70"/>
  <c r="G31" i="70"/>
  <c r="N26" i="70"/>
  <c r="H24" i="70"/>
  <c r="M26" i="70"/>
  <c r="H32" i="70"/>
  <c r="E23" i="70"/>
  <c r="I24" i="70"/>
  <c r="I28" i="70"/>
  <c r="L32" i="70"/>
  <c r="J29" i="70"/>
  <c r="E26" i="70"/>
  <c r="G25" i="70"/>
  <c r="G30" i="70"/>
  <c r="G33" i="70"/>
  <c r="E29" i="70"/>
  <c r="H30" i="70"/>
  <c r="E30" i="70"/>
  <c r="L25" i="70"/>
  <c r="I30" i="70"/>
  <c r="L33" i="70"/>
  <c r="F31" i="70"/>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F28" i="70"/>
  <c r="L29" i="70"/>
  <c r="J31" i="70"/>
  <c r="H33" i="70"/>
  <c r="N30" i="70"/>
  <c r="G28" i="70"/>
  <c r="M29" i="70"/>
  <c r="K31" i="70"/>
  <c r="I33" i="70"/>
  <c r="N31" i="70"/>
  <c r="K27" i="70"/>
  <c r="L22" i="70"/>
  <c r="J24" i="70"/>
  <c r="E27" i="70"/>
  <c r="M22" i="70"/>
  <c r="K24" i="70"/>
  <c r="E28" i="70"/>
  <c r="F23" i="70"/>
  <c r="L24" i="70"/>
  <c r="H28" i="70"/>
  <c r="F30" i="70"/>
  <c r="J33" i="70"/>
  <c r="N32" i="70"/>
  <c r="J28" i="70"/>
  <c r="I23" i="70"/>
  <c r="K28" i="70"/>
  <c r="N22" i="70"/>
  <c r="K23" i="70"/>
  <c r="I25" i="70"/>
  <c r="G27" i="70"/>
  <c r="M28" i="70"/>
  <c r="K30" i="70"/>
  <c r="I32" i="70"/>
  <c r="N23" i="70"/>
  <c r="J23" i="70"/>
  <c r="F22" i="70"/>
  <c r="L23" i="70"/>
  <c r="J25" i="70"/>
  <c r="H27" i="70"/>
  <c r="F29" i="70"/>
  <c r="L30" i="70"/>
  <c r="J32" i="70"/>
  <c r="F27" i="70"/>
  <c r="L28" i="70"/>
  <c r="J30" i="70"/>
  <c r="G22" i="70"/>
  <c r="K25" i="70"/>
  <c r="I27" i="70"/>
  <c r="G29" i="70"/>
  <c r="E22" i="70"/>
  <c r="H22" i="70"/>
  <c r="J27" i="70"/>
  <c r="H29" i="70"/>
  <c r="N27" i="70"/>
  <c r="J22" i="70"/>
  <c r="L27" i="70"/>
  <c r="K29" i="70"/>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L149" i="79" l="1"/>
  <c r="N148" i="79"/>
  <c r="N149" i="79"/>
  <c r="L148" i="79"/>
  <c r="K147" i="79"/>
  <c r="K148" i="79"/>
  <c r="K146" i="79"/>
  <c r="O149" i="79"/>
  <c r="P148" i="79"/>
  <c r="L147" i="79"/>
  <c r="L146" i="79"/>
  <c r="P147" i="79"/>
  <c r="O148" i="79"/>
  <c r="K149" i="79"/>
  <c r="O147" i="79"/>
  <c r="O146" i="79"/>
  <c r="N147" i="79"/>
  <c r="P149" i="79"/>
  <c r="P146" i="79"/>
  <c r="N146" i="79"/>
  <c r="H30" i="69"/>
  <c r="H32" i="69"/>
  <c r="H31" i="69"/>
  <c r="G30" i="69"/>
  <c r="G31" i="69"/>
  <c r="G33" i="69"/>
  <c r="F98" i="76" a="1"/>
  <c r="F98" i="76" s="1"/>
  <c r="J98" i="76" s="1" a="1"/>
  <c r="J98" i="76" s="1"/>
  <c r="W109" i="76" a="1"/>
  <c r="W109" i="76" s="1"/>
  <c r="W107" i="76" a="1"/>
  <c r="W107" i="76" s="1"/>
  <c r="W108" i="76" a="1"/>
  <c r="W108" i="76" s="1"/>
  <c r="F95" i="76" a="1"/>
  <c r="F95" i="76" s="1"/>
  <c r="J95" i="76" s="1" a="1"/>
  <c r="J95" i="76" s="1"/>
  <c r="W110" i="76" a="1"/>
  <c r="W110" i="76" s="1"/>
  <c r="W100" i="76" a="1"/>
  <c r="W100" i="76" s="1"/>
  <c r="W111" i="76" a="1"/>
  <c r="W111" i="76" s="1"/>
  <c r="Y39" i="69" a="1"/>
  <c r="Y39" i="69" s="1"/>
  <c r="Y38" i="69" a="1"/>
  <c r="Y38" i="69" s="1"/>
  <c r="Y28" i="69" a="1"/>
  <c r="Y28" i="69" s="1"/>
  <c r="Y37" i="69" a="1"/>
  <c r="Y37" i="69" s="1"/>
  <c r="Y36" i="69" a="1"/>
  <c r="Y36" i="69" s="1"/>
  <c r="Y35" i="69" a="1"/>
  <c r="Y35" i="69" s="1"/>
  <c r="Y276" i="69"/>
  <c r="L98" i="76" l="1" a="1"/>
  <c r="L98" i="76" s="1"/>
  <c r="K98" i="76" a="1"/>
  <c r="K98" i="76" s="1"/>
  <c r="N30" i="69" a="1"/>
  <c r="N30" i="69" s="1"/>
  <c r="M30" i="69" a="1"/>
  <c r="M30" i="69" s="1"/>
  <c r="M33" i="69" a="1"/>
  <c r="M33" i="69" s="1"/>
  <c r="N33" i="69" a="1"/>
  <c r="N33" i="69" s="1"/>
  <c r="L33" i="69" a="1"/>
  <c r="L33" i="69" s="1"/>
  <c r="N32" i="69" a="1"/>
  <c r="N32" i="69" s="1"/>
  <c r="M32" i="69" a="1"/>
  <c r="M32" i="69" s="1"/>
  <c r="L32" i="69" a="1"/>
  <c r="L32" i="69" s="1"/>
  <c r="L30" i="69" a="1"/>
  <c r="L30" i="69" s="1"/>
  <c r="N31" i="69" a="1"/>
  <c r="N31" i="69" s="1"/>
  <c r="M31" i="69" a="1"/>
  <c r="M31" i="69" s="1"/>
  <c r="L31" i="69" a="1"/>
  <c r="L31" i="69" s="1"/>
  <c r="L95" i="76" a="1"/>
  <c r="L95" i="76" s="1"/>
  <c r="K95" i="76" a="1"/>
  <c r="K95" i="76" s="1"/>
  <c r="AB111" i="76" a="1"/>
  <c r="AB111" i="76" s="1"/>
  <c r="AA111" i="76" a="1"/>
  <c r="AA111" i="76" s="1"/>
  <c r="AC111" i="76" a="1"/>
  <c r="AC111" i="76" s="1"/>
  <c r="AB100" i="76" a="1"/>
  <c r="AB100" i="76" s="1"/>
  <c r="AC100" i="76" a="1"/>
  <c r="AC100" i="76" s="1"/>
  <c r="AA100" i="76" a="1"/>
  <c r="AA100" i="76" s="1"/>
  <c r="AB110" i="76" a="1"/>
  <c r="AB110" i="76" s="1"/>
  <c r="AA110" i="76" a="1"/>
  <c r="AA110" i="76" s="1"/>
  <c r="AC110" i="76" a="1"/>
  <c r="AC110" i="76" s="1"/>
  <c r="AA108" i="76" a="1"/>
  <c r="AA108" i="76" s="1"/>
  <c r="AB108" i="76" a="1"/>
  <c r="AB108" i="76" s="1"/>
  <c r="AC108" i="76" a="1"/>
  <c r="AC108" i="76" s="1"/>
  <c r="AC107" i="76" a="1"/>
  <c r="AC107" i="76" s="1"/>
  <c r="AB107" i="76" a="1"/>
  <c r="AB107" i="76" s="1"/>
  <c r="AA107" i="76" a="1"/>
  <c r="AA107" i="76" s="1"/>
  <c r="AA109" i="76" a="1"/>
  <c r="AA109" i="76" s="1"/>
  <c r="AC109" i="76" a="1"/>
  <c r="AC109" i="76" s="1"/>
  <c r="AB109" i="76" a="1"/>
  <c r="AB109" i="76" s="1"/>
  <c r="AE35" i="69" a="1"/>
  <c r="AE35" i="69" s="1"/>
  <c r="AC35" i="69" a="1"/>
  <c r="AC35" i="69" s="1"/>
  <c r="AD35" i="69" a="1"/>
  <c r="AD35" i="69" s="1"/>
  <c r="AE36" i="69" a="1"/>
  <c r="AE36" i="69" s="1"/>
  <c r="AC36" i="69" a="1"/>
  <c r="AC36" i="69" s="1"/>
  <c r="AD36" i="69" a="1"/>
  <c r="AD36" i="69" s="1"/>
  <c r="AE37" i="69" a="1"/>
  <c r="AE37" i="69" s="1"/>
  <c r="AD37" i="69" a="1"/>
  <c r="AD37" i="69" s="1"/>
  <c r="AC37" i="69" a="1"/>
  <c r="AC37" i="69" s="1"/>
  <c r="AD28" i="69" a="1"/>
  <c r="AD28" i="69" s="1"/>
  <c r="AE28" i="69" a="1"/>
  <c r="AE28" i="69" s="1"/>
  <c r="AC28" i="69" a="1"/>
  <c r="AC28" i="69" s="1"/>
  <c r="AD38" i="69" a="1"/>
  <c r="AD38" i="69" s="1"/>
  <c r="AC38" i="69" a="1"/>
  <c r="AC38" i="69" s="1"/>
  <c r="AE38" i="69" a="1"/>
  <c r="AE38" i="69" s="1"/>
  <c r="AE39" i="69" a="1"/>
  <c r="AE39" i="69" s="1"/>
  <c r="AD39" i="69" a="1"/>
  <c r="AD39" i="69" s="1"/>
  <c r="AC39" i="69" a="1"/>
  <c r="AC39" i="69" s="1"/>
  <c r="AC180" i="76" a="1"/>
  <c r="AC180" i="76" s="1"/>
  <c r="W180" i="76" a="1"/>
  <c r="W180" i="76" s="1"/>
  <c r="Y180" i="76" a="1"/>
  <c r="Y180" i="76" s="1"/>
  <c r="E165" i="69" l="1"/>
  <c r="E166" i="69"/>
  <c r="AC38" i="76" a="1"/>
  <c r="AC38" i="76" s="1"/>
  <c r="Y38" i="76" a="1"/>
  <c r="Y38" i="76" s="1"/>
  <c r="AD38" i="76" a="1"/>
  <c r="AD38" i="76" s="1"/>
  <c r="X38" i="76" a="1"/>
  <c r="X38" i="76" s="1"/>
  <c r="V38" i="76" a="1"/>
  <c r="V38" i="76" s="1"/>
  <c r="AA38" i="76" a="1"/>
  <c r="AA38" i="76" s="1"/>
  <c r="AB38" i="76" a="1"/>
  <c r="AB38" i="76" s="1"/>
  <c r="W38" i="76" a="1"/>
  <c r="W38" i="76" s="1"/>
  <c r="Z38" i="76" a="1"/>
  <c r="Z38" i="76" s="1"/>
  <c r="H227" i="76"/>
  <c r="H225" i="76" s="1"/>
  <c r="I29" i="97"/>
  <c r="AD43" i="76" l="1" a="1"/>
  <c r="AD43" i="76" s="1"/>
  <c r="AB43" i="76" a="1"/>
  <c r="AB43" i="76" s="1"/>
  <c r="Z46" i="76" a="1"/>
  <c r="Z46" i="76" s="1"/>
  <c r="AC41" i="76" a="1"/>
  <c r="AC41" i="76" s="1"/>
  <c r="AD46" i="76" a="1"/>
  <c r="AD46" i="76" s="1"/>
  <c r="AB45" i="76" a="1"/>
  <c r="AB45" i="76" s="1"/>
  <c r="AC43" i="76" a="1"/>
  <c r="AC43" i="76" s="1"/>
  <c r="AB41" i="76" a="1"/>
  <c r="AB41" i="76" s="1"/>
  <c r="AA42" i="76" a="1"/>
  <c r="AA42" i="76" s="1"/>
  <c r="V41" i="76" a="1"/>
  <c r="V41" i="76" s="1"/>
  <c r="V39" i="76" a="1"/>
  <c r="V39" i="76" s="1"/>
  <c r="AA41" i="76" a="1"/>
  <c r="AA41" i="76" s="1"/>
  <c r="Z41" i="76" a="1"/>
  <c r="Z41" i="76" s="1"/>
  <c r="Y45" i="76" a="1"/>
  <c r="Y45" i="76" s="1"/>
  <c r="Y42" i="76" a="1"/>
  <c r="Y42" i="76" s="1"/>
  <c r="AB44" i="76" a="1"/>
  <c r="AB44" i="76" s="1"/>
  <c r="Y44" i="76" a="1"/>
  <c r="Y44" i="76" s="1"/>
  <c r="Z47" i="76" a="1"/>
  <c r="Z47" i="76" s="1"/>
  <c r="Y47" i="76" a="1"/>
  <c r="Y47" i="76" s="1"/>
  <c r="AB40" i="76" a="1"/>
  <c r="AB40" i="76" s="1"/>
  <c r="AE41" i="76" a="1"/>
  <c r="AE41" i="76" s="1"/>
  <c r="Z44" i="76" a="1"/>
  <c r="Z44" i="76" s="1"/>
  <c r="AB42" i="76" a="1"/>
  <c r="AB42" i="76" s="1"/>
  <c r="AC45" i="76" a="1"/>
  <c r="AC45" i="76" s="1"/>
  <c r="AA43" i="76" a="1"/>
  <c r="AA43" i="76" s="1"/>
  <c r="Z39" i="76" a="1"/>
  <c r="Z39" i="76" s="1"/>
  <c r="W39" i="76" a="1"/>
  <c r="W39" i="76" s="1"/>
  <c r="V47" i="76" a="1"/>
  <c r="V47" i="76" s="1"/>
  <c r="AE43" i="76" a="1"/>
  <c r="AE43" i="76" s="1"/>
  <c r="AD42" i="76" a="1"/>
  <c r="AD42" i="76" s="1"/>
  <c r="AD40" i="76" a="1"/>
  <c r="AD40" i="76" s="1"/>
  <c r="AA40" i="76" a="1"/>
  <c r="AA40" i="76" s="1"/>
  <c r="AE46" i="76" a="1"/>
  <c r="AE46" i="76" s="1"/>
  <c r="AA47" i="76" a="1"/>
  <c r="AA47" i="76" s="1"/>
  <c r="X37" i="76" a="1"/>
  <c r="X37" i="76" s="1"/>
  <c r="Z42" i="76" a="1"/>
  <c r="Z42" i="76" s="1"/>
  <c r="AC36" i="76" a="1"/>
  <c r="AC36" i="76" s="1"/>
  <c r="W43" i="76" a="1"/>
  <c r="W43" i="76" s="1"/>
  <c r="X44" i="76" a="1"/>
  <c r="X44" i="76" s="1"/>
  <c r="AA37" i="76" a="1"/>
  <c r="AA37" i="76" s="1"/>
  <c r="Z40" i="76" a="1"/>
  <c r="Z40" i="76" s="1"/>
  <c r="X46" i="76" a="1"/>
  <c r="X46" i="76" s="1"/>
  <c r="AB39" i="76" a="1"/>
  <c r="AB39" i="76" s="1"/>
  <c r="AB36" i="76" a="1"/>
  <c r="AB36" i="76" s="1"/>
  <c r="X41" i="76" a="1"/>
  <c r="X41" i="76" s="1"/>
  <c r="AE47" i="76" a="1"/>
  <c r="AE47" i="76" s="1"/>
  <c r="AE44" i="76" a="1"/>
  <c r="AE44" i="76" s="1"/>
  <c r="X43" i="76" a="1"/>
  <c r="X43" i="76" s="1"/>
  <c r="AD39" i="76" a="1"/>
  <c r="AD39" i="76" s="1"/>
  <c r="AE36" i="76" a="1"/>
  <c r="AE36" i="76" s="1"/>
  <c r="W47" i="76" a="1"/>
  <c r="W47" i="76" s="1"/>
  <c r="W42" i="76" a="1"/>
  <c r="W42" i="76" s="1"/>
  <c r="AC42" i="76" a="1"/>
  <c r="AC42" i="76" s="1"/>
  <c r="Y37" i="76" a="1"/>
  <c r="Y37" i="76" s="1"/>
  <c r="W37" i="76" a="1"/>
  <c r="W37" i="76" s="1"/>
  <c r="W44" i="76" a="1"/>
  <c r="W44" i="76" s="1"/>
  <c r="AC37" i="76" a="1"/>
  <c r="AC37" i="76" s="1"/>
  <c r="Z45" i="76" a="1"/>
  <c r="Z45" i="76" s="1"/>
  <c r="X39" i="76" a="1"/>
  <c r="X39" i="76" s="1"/>
  <c r="AE38" i="76" a="1"/>
  <c r="AE38" i="76" s="1"/>
  <c r="AD45" i="76" a="1"/>
  <c r="AD45" i="76" s="1"/>
  <c r="W40" i="76" a="1"/>
  <c r="W40" i="76" s="1"/>
  <c r="AA36" i="76" a="1"/>
  <c r="AA36" i="76" s="1"/>
  <c r="W46" i="76" a="1"/>
  <c r="W46" i="76" s="1"/>
  <c r="Y43" i="76" a="1"/>
  <c r="Y43" i="76" s="1"/>
  <c r="Y36" i="76" a="1"/>
  <c r="Y36" i="76" s="1"/>
  <c r="AD41" i="76" a="1"/>
  <c r="AD41" i="76" s="1"/>
  <c r="AE40" i="76" a="1"/>
  <c r="AE40" i="76" s="1"/>
  <c r="AD47" i="76" a="1"/>
  <c r="AD47" i="76" s="1"/>
  <c r="V40" i="76" a="1"/>
  <c r="V40" i="76" s="1"/>
  <c r="V45" i="76" a="1"/>
  <c r="V45" i="76" s="1"/>
  <c r="AA45" i="76" a="1"/>
  <c r="AA45" i="76" s="1"/>
  <c r="AB47" i="76" a="1"/>
  <c r="AB47" i="76" s="1"/>
  <c r="AG85" i="69" a="1"/>
  <c r="AG85" i="69" s="1"/>
  <c r="AE45" i="76" a="1"/>
  <c r="AE45" i="76" s="1"/>
  <c r="X42" i="76" a="1"/>
  <c r="X42" i="76" s="1"/>
  <c r="AA39" i="76" a="1"/>
  <c r="AA39" i="76" s="1"/>
  <c r="W45" i="76" a="1"/>
  <c r="W45" i="76" s="1"/>
  <c r="AC47" i="76" a="1"/>
  <c r="AC47" i="76" s="1"/>
  <c r="AE84" i="69" a="1"/>
  <c r="AE84" i="69" s="1"/>
  <c r="AC44" i="76" a="1"/>
  <c r="AC44" i="76" s="1"/>
  <c r="AE42" i="76" a="1"/>
  <c r="AE42" i="76" s="1"/>
  <c r="AE79" i="69" a="1"/>
  <c r="AE79" i="69" s="1"/>
  <c r="AC39" i="76" a="1"/>
  <c r="AC39" i="76" s="1"/>
  <c r="V46" i="76" a="1"/>
  <c r="V46" i="76" s="1"/>
  <c r="AD36" i="76" a="1"/>
  <c r="AD36" i="76" s="1"/>
  <c r="Y46" i="76" a="1"/>
  <c r="Y46" i="76" s="1"/>
  <c r="AD37" i="76" a="1"/>
  <c r="AD37" i="76" s="1"/>
  <c r="X36" i="76" a="1"/>
  <c r="X36" i="76" s="1"/>
  <c r="AB46" i="76" a="1"/>
  <c r="AB46" i="76" s="1"/>
  <c r="AB83" i="69" a="1"/>
  <c r="AB83" i="69" s="1"/>
  <c r="Z43" i="76" a="1"/>
  <c r="Z43" i="76" s="1"/>
  <c r="AC40" i="76" a="1"/>
  <c r="AC40" i="76" s="1"/>
  <c r="Z87" i="69" a="1"/>
  <c r="Z87" i="69" s="1"/>
  <c r="X47" i="76" a="1"/>
  <c r="X47" i="76" s="1"/>
  <c r="X77" i="69" a="1"/>
  <c r="X77" i="69" s="1"/>
  <c r="V37" i="76" a="1"/>
  <c r="V37" i="76" s="1"/>
  <c r="W36" i="76" a="1"/>
  <c r="W36" i="76" s="1"/>
  <c r="V36" i="76" a="1"/>
  <c r="V36" i="76" s="1"/>
  <c r="V44" i="76" a="1"/>
  <c r="V44" i="76" s="1"/>
  <c r="W41" i="76" a="1"/>
  <c r="W41" i="76" s="1"/>
  <c r="AB77" i="69" a="1"/>
  <c r="AB77" i="69" s="1"/>
  <c r="Z37" i="76" a="1"/>
  <c r="Z37" i="76" s="1"/>
  <c r="AE37" i="76" a="1"/>
  <c r="AE37" i="76" s="1"/>
  <c r="Y39" i="76" a="1"/>
  <c r="Y39" i="76" s="1"/>
  <c r="AE39" i="76" a="1"/>
  <c r="AE39" i="76" s="1"/>
  <c r="V42" i="76" a="1"/>
  <c r="V42" i="76" s="1"/>
  <c r="X45" i="76" a="1"/>
  <c r="X45" i="76" s="1"/>
  <c r="AA80" i="69" a="1"/>
  <c r="AA80" i="69" s="1"/>
  <c r="Y40" i="76" a="1"/>
  <c r="Y40" i="76" s="1"/>
  <c r="AC46" i="76" a="1"/>
  <c r="AC46" i="76" s="1"/>
  <c r="X83" i="69" a="1"/>
  <c r="X83" i="69" s="1"/>
  <c r="V43" i="76" a="1"/>
  <c r="V43" i="76" s="1"/>
  <c r="Y41" i="76" a="1"/>
  <c r="Y41" i="76" s="1"/>
  <c r="AD44" i="76" a="1"/>
  <c r="AD44" i="76" s="1"/>
  <c r="AA44" i="76" a="1"/>
  <c r="AA44" i="76" s="1"/>
  <c r="Z36" i="76" a="1"/>
  <c r="Z36" i="76" s="1"/>
  <c r="AA46" i="76" a="1"/>
  <c r="AA46" i="76" s="1"/>
  <c r="AB37" i="76" a="1"/>
  <c r="AB37" i="76" s="1"/>
  <c r="X40" i="76" a="1"/>
  <c r="X40" i="76" s="1"/>
  <c r="L33" i="76" a="1"/>
  <c r="L33" i="76" s="1"/>
  <c r="J36" i="76" a="1"/>
  <c r="J36" i="76" s="1"/>
  <c r="K35" i="76" a="1"/>
  <c r="K35" i="76" s="1"/>
  <c r="E36" i="76" a="1"/>
  <c r="E36" i="76" s="1"/>
  <c r="I35" i="76" a="1"/>
  <c r="I35" i="76" s="1"/>
  <c r="N35" i="76" a="1"/>
  <c r="N35" i="76" s="1"/>
  <c r="I33" i="76" a="1"/>
  <c r="I33" i="76" s="1"/>
  <c r="N33" i="76" a="1"/>
  <c r="N33" i="76" s="1"/>
  <c r="K33" i="76" a="1"/>
  <c r="K33" i="76" s="1"/>
  <c r="F36" i="76" a="1"/>
  <c r="F36" i="76" s="1"/>
  <c r="I34" i="76" a="1"/>
  <c r="I34" i="76" s="1"/>
  <c r="H33" i="76" a="1"/>
  <c r="H33" i="76" s="1"/>
  <c r="N36" i="76" a="1"/>
  <c r="N36" i="76" s="1"/>
  <c r="G36" i="76" a="1"/>
  <c r="G36" i="76" s="1"/>
  <c r="K34" i="76" a="1"/>
  <c r="K34" i="76" s="1"/>
  <c r="M36" i="76" a="1"/>
  <c r="M36" i="76" s="1"/>
  <c r="AE78" i="69" a="1"/>
  <c r="AE78" i="69" s="1"/>
  <c r="E33" i="76" a="1"/>
  <c r="E33" i="76" s="1"/>
  <c r="L36" i="76" a="1"/>
  <c r="L36" i="76" s="1"/>
  <c r="F34" i="76" a="1"/>
  <c r="F34" i="76" s="1"/>
  <c r="E35" i="76" a="1"/>
  <c r="E35" i="76" s="1"/>
  <c r="J35" i="76" a="1"/>
  <c r="J35" i="76" s="1"/>
  <c r="AA78" i="69" a="1"/>
  <c r="AA78" i="69" s="1"/>
  <c r="H35" i="76" a="1"/>
  <c r="H35" i="76" s="1"/>
  <c r="I36" i="76" a="1"/>
  <c r="I36" i="76" s="1"/>
  <c r="F33" i="76" a="1"/>
  <c r="F33" i="76" s="1"/>
  <c r="L35" i="76" a="1"/>
  <c r="L35" i="76" s="1"/>
  <c r="M33" i="76" a="1"/>
  <c r="M33" i="76" s="1"/>
  <c r="G34" i="76" a="1"/>
  <c r="G34" i="76" s="1"/>
  <c r="E34" i="76" a="1"/>
  <c r="E34" i="76" s="1"/>
  <c r="J33" i="76" a="1"/>
  <c r="J33" i="76" s="1"/>
  <c r="H36" i="76" a="1"/>
  <c r="H36" i="76" s="1"/>
  <c r="M34" i="76" a="1"/>
  <c r="M34" i="76" s="1"/>
  <c r="N34" i="76" a="1"/>
  <c r="N34" i="76" s="1"/>
  <c r="G35" i="76" a="1"/>
  <c r="G35" i="76" s="1"/>
  <c r="L34" i="76" a="1"/>
  <c r="L34" i="76" s="1"/>
  <c r="AB78" i="69" a="1"/>
  <c r="AB78" i="69" s="1"/>
  <c r="M35" i="76" a="1"/>
  <c r="M35" i="76" s="1"/>
  <c r="G33" i="76" a="1"/>
  <c r="G33" i="76" s="1"/>
  <c r="F35" i="76" a="1"/>
  <c r="F35" i="76" s="1"/>
  <c r="J34" i="76" a="1"/>
  <c r="J34" i="76" s="1"/>
  <c r="K36" i="76" a="1"/>
  <c r="K36" i="76" s="1"/>
  <c r="H34" i="76" a="1"/>
  <c r="H34" i="76" s="1"/>
  <c r="AD78" i="69" l="1" a="1"/>
  <c r="AD78" i="69" s="1"/>
  <c r="AD133" i="69" s="1" a="1"/>
  <c r="AD133" i="69" s="1"/>
  <c r="AE191" i="69" s="1" a="1"/>
  <c r="AE191" i="69" s="1"/>
  <c r="AC78" i="69" a="1"/>
  <c r="AC78" i="69" s="1"/>
  <c r="AC86" i="69" a="1"/>
  <c r="AC86" i="69" s="1"/>
  <c r="AC141" i="69" s="1" a="1"/>
  <c r="AC141" i="69" s="1"/>
  <c r="AD199" i="69" s="1" a="1"/>
  <c r="AD199" i="69" s="1"/>
  <c r="AG79" i="69" a="1"/>
  <c r="AG79" i="69" s="1"/>
  <c r="AG134" i="69" s="1" a="1"/>
  <c r="AG134" i="69" s="1"/>
  <c r="AH192" i="69" s="1" a="1"/>
  <c r="AH192" i="69" s="1"/>
  <c r="AA76" i="69" a="1"/>
  <c r="AA76" i="69" s="1"/>
  <c r="AA131" i="69" s="1" a="1"/>
  <c r="AA131" i="69" s="1"/>
  <c r="AB189" i="69" s="1" a="1"/>
  <c r="AB189" i="69" s="1"/>
  <c r="AB86" i="69" a="1"/>
  <c r="AB86" i="69" s="1"/>
  <c r="AB141" i="69" s="1" a="1"/>
  <c r="AB141" i="69" s="1"/>
  <c r="AC199" i="69" s="1" a="1"/>
  <c r="AC199" i="69" s="1"/>
  <c r="AG80" i="69" a="1"/>
  <c r="AG80" i="69" s="1"/>
  <c r="AG135" i="69" s="1" a="1"/>
  <c r="AG135" i="69" s="1"/>
  <c r="AH193" i="69" s="1" a="1"/>
  <c r="AH193" i="69" s="1"/>
  <c r="AE87" i="69" a="1"/>
  <c r="AE87" i="69" s="1"/>
  <c r="AE142" i="69" s="1" a="1"/>
  <c r="AE142" i="69" s="1"/>
  <c r="AF200" i="69" s="1" a="1"/>
  <c r="AF200" i="69" s="1"/>
  <c r="Y79" i="69" a="1"/>
  <c r="Y79" i="69" s="1"/>
  <c r="W59" i="76" s="1"/>
  <c r="Y78" i="69" a="1"/>
  <c r="Y78" i="69" s="1"/>
  <c r="Y133" i="69" s="1" a="1"/>
  <c r="Y133" i="69" s="1"/>
  <c r="Z191" i="69" s="1" a="1"/>
  <c r="Z191" i="69" s="1"/>
  <c r="AD86" i="69" a="1"/>
  <c r="AD86" i="69" s="1"/>
  <c r="AD141" i="69" s="1" a="1"/>
  <c r="AD141" i="69" s="1"/>
  <c r="AE199" i="69" s="1" a="1"/>
  <c r="AE199" i="69" s="1"/>
  <c r="AA77" i="69" a="1"/>
  <c r="AA77" i="69" s="1"/>
  <c r="Y57" i="76" s="1"/>
  <c r="AC83" i="69" a="1"/>
  <c r="AC83" i="69" s="1"/>
  <c r="AC138" i="69" s="1" a="1"/>
  <c r="AC138" i="69" s="1"/>
  <c r="AD196" i="69" s="1" a="1"/>
  <c r="AD196" i="69" s="1"/>
  <c r="Z86" i="69" a="1"/>
  <c r="Z86" i="69" s="1"/>
  <c r="Z141" i="69" s="1" a="1"/>
  <c r="Z141" i="69" s="1"/>
  <c r="AA199" i="69" s="1" a="1"/>
  <c r="AA199" i="69" s="1"/>
  <c r="AC80" i="69" a="1"/>
  <c r="AC80" i="69" s="1"/>
  <c r="AA60" i="76" s="1"/>
  <c r="AG83" i="69" a="1"/>
  <c r="AG83" i="69" s="1"/>
  <c r="AG138" i="69" s="1" a="1"/>
  <c r="AG138" i="69" s="1"/>
  <c r="AH196" i="69" s="1" a="1"/>
  <c r="AH196" i="69" s="1"/>
  <c r="AA82" i="69" a="1"/>
  <c r="AA82" i="69" s="1"/>
  <c r="Y62" i="76" s="1"/>
  <c r="AB85" i="69" a="1"/>
  <c r="AB85" i="69" s="1"/>
  <c r="AB140" i="69" s="1" a="1"/>
  <c r="AB140" i="69" s="1"/>
  <c r="AC198" i="69" s="1" a="1"/>
  <c r="AC198" i="69" s="1"/>
  <c r="Y87" i="69" a="1"/>
  <c r="Y87" i="69" s="1"/>
  <c r="W67" i="76" s="1"/>
  <c r="AF86" i="69" a="1"/>
  <c r="AF86" i="69" s="1"/>
  <c r="AF141" i="69" s="1" a="1"/>
  <c r="AF141" i="69" s="1"/>
  <c r="AG199" i="69" s="1" a="1"/>
  <c r="AG199" i="69" s="1"/>
  <c r="AF84" i="69" a="1"/>
  <c r="AF84" i="69" s="1"/>
  <c r="AF139" i="69" s="1" a="1"/>
  <c r="AF139" i="69" s="1"/>
  <c r="AG197" i="69" s="1" a="1"/>
  <c r="AG197" i="69" s="1"/>
  <c r="Y76" i="69" a="1"/>
  <c r="Y76" i="69" s="1"/>
  <c r="Y131" i="69" s="1" a="1"/>
  <c r="Y131" i="69" s="1"/>
  <c r="Z189" i="69" s="1" a="1"/>
  <c r="Z189" i="69" s="1"/>
  <c r="Z83" i="69" a="1"/>
  <c r="Z83" i="69" s="1"/>
  <c r="Z138" i="69" s="1" a="1"/>
  <c r="Z138" i="69" s="1"/>
  <c r="AA196" i="69" s="1" a="1"/>
  <c r="AA196" i="69" s="1"/>
  <c r="AA79" i="69" a="1"/>
  <c r="AA79" i="69" s="1"/>
  <c r="Y59" i="76" s="1"/>
  <c r="AD87" i="69" a="1"/>
  <c r="AD87" i="69" s="1"/>
  <c r="AD142" i="69" s="1" a="1"/>
  <c r="AD142" i="69" s="1"/>
  <c r="AE200" i="69" s="1" a="1"/>
  <c r="AE200" i="69" s="1"/>
  <c r="AF78" i="69" a="1"/>
  <c r="AF78" i="69" s="1"/>
  <c r="AD58" i="76" s="1"/>
  <c r="AF80" i="69" a="1"/>
  <c r="AF80" i="69" s="1"/>
  <c r="AF135" i="69" s="1" a="1"/>
  <c r="AF135" i="69" s="1"/>
  <c r="AG193" i="69" s="1" a="1"/>
  <c r="AG193" i="69" s="1"/>
  <c r="X78" i="69" a="1"/>
  <c r="X78" i="69" s="1"/>
  <c r="X133" i="69" s="1" a="1"/>
  <c r="X133" i="69" s="1"/>
  <c r="Y191" i="69" s="1" a="1"/>
  <c r="Y191" i="69" s="1"/>
  <c r="AA81" i="69" a="1"/>
  <c r="AA81" i="69" s="1"/>
  <c r="AA136" i="69" s="1" a="1"/>
  <c r="AA136" i="69" s="1"/>
  <c r="AB194" i="69" s="1" a="1"/>
  <c r="AB194" i="69" s="1"/>
  <c r="AF77" i="69" a="1"/>
  <c r="AF77" i="69" s="1"/>
  <c r="AD57" i="76" s="1"/>
  <c r="Z82" i="69" a="1"/>
  <c r="Z82" i="69" s="1"/>
  <c r="Z137" i="69" s="1" a="1"/>
  <c r="Z137" i="69" s="1"/>
  <c r="AA195" i="69" s="1" a="1"/>
  <c r="AA195" i="69" s="1"/>
  <c r="AC76" i="69" a="1"/>
  <c r="AC76" i="69" s="1"/>
  <c r="AC131" i="69" s="1" a="1"/>
  <c r="AC131" i="69" s="1"/>
  <c r="AD189" i="69" s="1" a="1"/>
  <c r="AD189" i="69" s="1"/>
  <c r="AB82" i="69" a="1"/>
  <c r="AB82" i="69" s="1"/>
  <c r="Z62" i="76" s="1"/>
  <c r="AA87" i="69" a="1"/>
  <c r="AA87" i="69" s="1"/>
  <c r="AA142" i="69" s="1" a="1"/>
  <c r="AA142" i="69" s="1"/>
  <c r="AB200" i="69" s="1" a="1"/>
  <c r="AB200" i="69" s="1"/>
  <c r="AD84" i="69" a="1"/>
  <c r="AD84" i="69" s="1"/>
  <c r="AD139" i="69" s="1" a="1"/>
  <c r="AD139" i="69" s="1"/>
  <c r="AE197" i="69" s="1" a="1"/>
  <c r="AE197" i="69" s="1"/>
  <c r="Y81" i="69" a="1"/>
  <c r="Y81" i="69" s="1"/>
  <c r="Y136" i="69" s="1" a="1"/>
  <c r="Y136" i="69" s="1"/>
  <c r="Z194" i="69" s="1" a="1"/>
  <c r="Z194" i="69" s="1"/>
  <c r="X86" i="69" a="1"/>
  <c r="X86" i="69" s="1"/>
  <c r="X141" i="69" s="1" a="1"/>
  <c r="X141" i="69" s="1"/>
  <c r="Y199" i="69" s="1" a="1"/>
  <c r="Y199" i="69" s="1"/>
  <c r="AA84" i="69" a="1"/>
  <c r="AA84" i="69" s="1"/>
  <c r="Y64" i="76" s="1"/>
  <c r="AG78" i="69" a="1"/>
  <c r="AG78" i="69" s="1"/>
  <c r="AG133" i="69" s="1" a="1"/>
  <c r="AG133" i="69" s="1"/>
  <c r="AH191" i="69" s="1" a="1"/>
  <c r="AH191" i="69" s="1"/>
  <c r="Z79" i="69" a="1"/>
  <c r="Z79" i="69" s="1"/>
  <c r="Z134" i="69" s="1" a="1"/>
  <c r="Z134" i="69" s="1"/>
  <c r="AA192" i="69" s="1" a="1"/>
  <c r="AA192" i="69" s="1"/>
  <c r="AG87" i="69" a="1"/>
  <c r="AG87" i="69" s="1"/>
  <c r="AG142" i="69" s="1" a="1"/>
  <c r="AG142" i="69" s="1"/>
  <c r="AH200" i="69" s="1" a="1"/>
  <c r="AH200" i="69" s="1"/>
  <c r="AD82" i="69" a="1"/>
  <c r="AD82" i="69" s="1"/>
  <c r="AB62" i="76" s="1"/>
  <c r="AC81" i="69" a="1"/>
  <c r="AC81" i="69" s="1"/>
  <c r="AC136" i="69" s="1" a="1"/>
  <c r="AC136" i="69" s="1"/>
  <c r="AD194" i="69" s="1" a="1"/>
  <c r="AD194" i="69" s="1"/>
  <c r="AD81" i="69" a="1"/>
  <c r="AD81" i="69" s="1"/>
  <c r="AB61" i="76" s="1"/>
  <c r="AF83" i="69" a="1"/>
  <c r="AF83" i="69" s="1"/>
  <c r="AD63" i="76" s="1"/>
  <c r="AE80" i="69" a="1"/>
  <c r="AE80" i="69" s="1"/>
  <c r="AE135" i="69" s="1" a="1"/>
  <c r="AE135" i="69" s="1"/>
  <c r="AF193" i="69" s="1" a="1"/>
  <c r="AF193" i="69" s="1"/>
  <c r="AC85" i="69" a="1"/>
  <c r="AC85" i="69" s="1"/>
  <c r="AA65" i="76" s="1"/>
  <c r="AD77" i="69" a="1"/>
  <c r="AD77" i="69" s="1"/>
  <c r="AD132" i="69" s="1" a="1"/>
  <c r="AD132" i="69" s="1"/>
  <c r="AE190" i="69" s="1" a="1"/>
  <c r="AE190" i="69" s="1"/>
  <c r="AC79" i="69" a="1"/>
  <c r="AC79" i="69" s="1"/>
  <c r="AA59" i="76" s="1"/>
  <c r="AB84" i="69" a="1"/>
  <c r="AB84" i="69" s="1"/>
  <c r="Z64" i="76" s="1"/>
  <c r="Z78" i="69" a="1"/>
  <c r="Z78" i="69" s="1"/>
  <c r="Z133" i="69" s="1" a="1"/>
  <c r="Z133" i="69" s="1"/>
  <c r="AA191" i="69" s="1" a="1"/>
  <c r="AA191" i="69" s="1"/>
  <c r="Z85" i="69" a="1"/>
  <c r="Z85" i="69" s="1"/>
  <c r="Z140" i="69" s="1" a="1"/>
  <c r="Z140" i="69" s="1"/>
  <c r="AA198" i="69" s="1" a="1"/>
  <c r="AA198" i="69" s="1"/>
  <c r="AA86" i="69" a="1"/>
  <c r="AA86" i="69" s="1"/>
  <c r="AA141" i="69" s="1" a="1"/>
  <c r="AA141" i="69" s="1"/>
  <c r="AB199" i="69" s="1" a="1"/>
  <c r="AB199" i="69" s="1"/>
  <c r="AG82" i="69" a="1"/>
  <c r="AG82" i="69" s="1"/>
  <c r="AG137" i="69" s="1" a="1"/>
  <c r="AG137" i="69" s="1"/>
  <c r="AH195" i="69" s="1" a="1"/>
  <c r="AH195" i="69" s="1"/>
  <c r="AE77" i="69" a="1"/>
  <c r="AE77" i="69" s="1"/>
  <c r="AE132" i="69" s="1" a="1"/>
  <c r="AE132" i="69" s="1"/>
  <c r="AF190" i="69" s="1" a="1"/>
  <c r="AF190" i="69" s="1"/>
  <c r="Y82" i="69" a="1"/>
  <c r="Y82" i="69" s="1"/>
  <c r="Y137" i="69" s="1" a="1"/>
  <c r="Y137" i="69" s="1"/>
  <c r="Z195" i="69" s="1" a="1"/>
  <c r="Z195" i="69" s="1"/>
  <c r="AG76" i="69" a="1"/>
  <c r="AG76" i="69" s="1"/>
  <c r="AE56" i="76" s="1"/>
  <c r="AG84" i="69" a="1"/>
  <c r="AG84" i="69" s="1"/>
  <c r="AG139" i="69" s="1" a="1"/>
  <c r="AG139" i="69" s="1"/>
  <c r="AH197" i="69" s="1" a="1"/>
  <c r="AH197" i="69" s="1"/>
  <c r="AC77" i="69" a="1"/>
  <c r="AC77" i="69" s="1"/>
  <c r="AA57" i="76" s="1"/>
  <c r="AB87" i="69" a="1"/>
  <c r="AB87" i="69" s="1"/>
  <c r="Z67" i="76" s="1"/>
  <c r="AD85" i="69" a="1"/>
  <c r="AD85" i="69" s="1"/>
  <c r="AD140" i="69" s="1" a="1"/>
  <c r="AD140" i="69" s="1"/>
  <c r="AE198" i="69" s="1" a="1"/>
  <c r="AE198" i="69" s="1"/>
  <c r="X85" i="69" a="1"/>
  <c r="X85" i="69" s="1"/>
  <c r="X140" i="69" s="1" a="1"/>
  <c r="X140" i="69" s="1"/>
  <c r="Y198" i="69" s="1" a="1"/>
  <c r="Y198" i="69" s="1"/>
  <c r="AF87" i="69" a="1"/>
  <c r="AF87" i="69" s="1"/>
  <c r="AD67" i="76" s="1"/>
  <c r="AA83" i="69" a="1"/>
  <c r="AA83" i="69" s="1"/>
  <c r="Y63" i="76" s="1"/>
  <c r="Z81" i="69" a="1"/>
  <c r="Z81" i="69" s="1"/>
  <c r="Z136" i="69" s="1" a="1"/>
  <c r="Z136" i="69" s="1"/>
  <c r="AA194" i="69" s="1" a="1"/>
  <c r="AA194" i="69" s="1"/>
  <c r="Z77" i="69" a="1"/>
  <c r="Z77" i="69" s="1"/>
  <c r="Z132" i="69" s="1" a="1"/>
  <c r="Z132" i="69" s="1"/>
  <c r="AA190" i="69" s="1" a="1"/>
  <c r="AA190" i="69" s="1"/>
  <c r="X87" i="69" a="1"/>
  <c r="X87" i="69" s="1"/>
  <c r="X142" i="69" s="1" a="1"/>
  <c r="X142" i="69" s="1"/>
  <c r="Y200" i="69" s="1" a="1"/>
  <c r="Y200" i="69" s="1"/>
  <c r="AG81" i="69" a="1"/>
  <c r="AG81" i="69" s="1"/>
  <c r="AG136" i="69" s="1" a="1"/>
  <c r="AG136" i="69" s="1"/>
  <c r="AH194" i="69" s="1" a="1"/>
  <c r="AH194" i="69" s="1"/>
  <c r="AD83" i="69" a="1"/>
  <c r="AD83" i="69" s="1"/>
  <c r="AD138" i="69" s="1" a="1"/>
  <c r="AD138" i="69" s="1"/>
  <c r="AE196" i="69" s="1" a="1"/>
  <c r="AE196" i="69" s="1"/>
  <c r="X84" i="69" a="1"/>
  <c r="X84" i="69" s="1"/>
  <c r="Y80" i="69" a="1"/>
  <c r="Y80" i="69" s="1"/>
  <c r="Y135" i="69" s="1" a="1"/>
  <c r="Y135" i="69" s="1"/>
  <c r="Z193" i="69" s="1" a="1"/>
  <c r="Z193" i="69" s="1"/>
  <c r="Y84" i="69" a="1"/>
  <c r="Y84" i="69" s="1"/>
  <c r="Y139" i="69" s="1" a="1"/>
  <c r="Y139" i="69" s="1"/>
  <c r="Z197" i="69" s="1" a="1"/>
  <c r="Z197" i="69" s="1"/>
  <c r="X81" i="69" a="1"/>
  <c r="X81" i="69" s="1"/>
  <c r="V61" i="76" s="1"/>
  <c r="Z80" i="69" a="1"/>
  <c r="Z80" i="69" s="1"/>
  <c r="X60" i="76" s="1"/>
  <c r="AB76" i="69" a="1"/>
  <c r="AB76" i="69" s="1"/>
  <c r="Z56" i="76" s="1"/>
  <c r="X76" i="69" a="1"/>
  <c r="X76" i="69" s="1"/>
  <c r="V56" i="76" s="1"/>
  <c r="AF76" i="69" a="1"/>
  <c r="AF76" i="69" s="1"/>
  <c r="AF131" i="69" s="1" a="1"/>
  <c r="AF131" i="69" s="1"/>
  <c r="AG189" i="69" s="1" a="1"/>
  <c r="AG189" i="69" s="1"/>
  <c r="AF85" i="69" a="1"/>
  <c r="AF85" i="69" s="1"/>
  <c r="AD65" i="76" s="1"/>
  <c r="AE82" i="69" a="1"/>
  <c r="AE82" i="69" s="1"/>
  <c r="AE137" i="69" s="1" a="1"/>
  <c r="AE137" i="69" s="1"/>
  <c r="AF195" i="69" s="1" a="1"/>
  <c r="AF195" i="69" s="1"/>
  <c r="AF79" i="69" a="1"/>
  <c r="AF79" i="69" s="1"/>
  <c r="AD59" i="76" s="1"/>
  <c r="AD76" i="69" a="1"/>
  <c r="AD76" i="69" s="1"/>
  <c r="AB56" i="76" s="1"/>
  <c r="Z84" i="69" a="1"/>
  <c r="Z84" i="69" s="1"/>
  <c r="Z139" i="69" s="1" a="1"/>
  <c r="Z139" i="69" s="1"/>
  <c r="AA197" i="69" s="1" a="1"/>
  <c r="AA197" i="69" s="1"/>
  <c r="AD80" i="69" a="1"/>
  <c r="AD80" i="69" s="1"/>
  <c r="AB60" i="76" s="1"/>
  <c r="AA85" i="69" a="1"/>
  <c r="AA85" i="69" s="1"/>
  <c r="AA140" i="69" s="1" a="1"/>
  <c r="AA140" i="69" s="1"/>
  <c r="AB198" i="69" s="1" a="1"/>
  <c r="AB198" i="69" s="1"/>
  <c r="AE81" i="69" a="1"/>
  <c r="AE81" i="69" s="1"/>
  <c r="AC61" i="76" s="1"/>
  <c r="Y85" i="69" a="1"/>
  <c r="Y85" i="69" s="1"/>
  <c r="Y140" i="69" s="1" a="1"/>
  <c r="Y140" i="69" s="1"/>
  <c r="Z198" i="69" s="1" a="1"/>
  <c r="Z198" i="69" s="1"/>
  <c r="AC84" i="69" a="1"/>
  <c r="AC84" i="69" s="1"/>
  <c r="AC139" i="69" s="1" a="1"/>
  <c r="AC139" i="69" s="1"/>
  <c r="AD197" i="69" s="1" a="1"/>
  <c r="AD197" i="69" s="1"/>
  <c r="AE86" i="69" a="1"/>
  <c r="AE86" i="69" s="1"/>
  <c r="AE141" i="69" s="1" a="1"/>
  <c r="AE141" i="69" s="1"/>
  <c r="AF199" i="69" s="1" a="1"/>
  <c r="AF199" i="69" s="1"/>
  <c r="X82" i="69" a="1"/>
  <c r="X82" i="69" s="1"/>
  <c r="X137" i="69" s="1" a="1"/>
  <c r="X137" i="69" s="1"/>
  <c r="Y195" i="69" s="1" a="1"/>
  <c r="Y195" i="69" s="1"/>
  <c r="AF81" i="69" a="1"/>
  <c r="AF81" i="69" s="1"/>
  <c r="AF136" i="69" s="1" a="1"/>
  <c r="AF136" i="69" s="1"/>
  <c r="AG194" i="69" s="1" a="1"/>
  <c r="AG194" i="69" s="1"/>
  <c r="AB80" i="69" a="1"/>
  <c r="AB80" i="69" s="1"/>
  <c r="AC87" i="69" a="1"/>
  <c r="AC87" i="69" s="1"/>
  <c r="AA67" i="76" s="1"/>
  <c r="AB79" i="69" a="1"/>
  <c r="AB79" i="69" s="1"/>
  <c r="AB134" i="69" s="1" a="1"/>
  <c r="AB134" i="69" s="1"/>
  <c r="AC192" i="69" s="1" a="1"/>
  <c r="AC192" i="69" s="1"/>
  <c r="AE85" i="69" a="1"/>
  <c r="AE85" i="69" s="1"/>
  <c r="AB81" i="69" a="1"/>
  <c r="AB81" i="69" s="1"/>
  <c r="AB136" i="69" s="1" a="1"/>
  <c r="AB136" i="69" s="1"/>
  <c r="AC194" i="69" s="1" a="1"/>
  <c r="AC194" i="69" s="1"/>
  <c r="AC82" i="69" a="1"/>
  <c r="AC82" i="69" s="1"/>
  <c r="AC137" i="69" s="1" a="1"/>
  <c r="AC137" i="69" s="1"/>
  <c r="AD195" i="69" s="1" a="1"/>
  <c r="AD195" i="69" s="1"/>
  <c r="AG77" i="69" a="1"/>
  <c r="AG77" i="69" s="1"/>
  <c r="AE57" i="76" s="1"/>
  <c r="Z76" i="69" a="1"/>
  <c r="Z76" i="69" s="1"/>
  <c r="Z131" i="69" s="1" a="1"/>
  <c r="Z131" i="69" s="1"/>
  <c r="AA189" i="69" s="1" a="1"/>
  <c r="AA189" i="69" s="1"/>
  <c r="X80" i="69" a="1"/>
  <c r="X80" i="69" s="1"/>
  <c r="X135" i="69" s="1" a="1"/>
  <c r="X135" i="69" s="1"/>
  <c r="Y193" i="69" s="1" a="1"/>
  <c r="Y193" i="69" s="1"/>
  <c r="Y86" i="69" a="1"/>
  <c r="Y86" i="69" s="1"/>
  <c r="W66" i="76" s="1"/>
  <c r="Y77" i="69" a="1"/>
  <c r="Y77" i="69" s="1"/>
  <c r="AD79" i="69" a="1"/>
  <c r="AD79" i="69" s="1"/>
  <c r="AB59" i="76" s="1"/>
  <c r="Y83" i="69" a="1"/>
  <c r="Y83" i="69" s="1"/>
  <c r="Y138" i="69" s="1" a="1"/>
  <c r="Y138" i="69" s="1"/>
  <c r="Z196" i="69" s="1" a="1"/>
  <c r="Z196" i="69" s="1"/>
  <c r="AE76" i="69" a="1"/>
  <c r="AE76" i="69" s="1"/>
  <c r="AE131" i="69" s="1" a="1"/>
  <c r="AE131" i="69" s="1"/>
  <c r="AF189" i="69" s="1" a="1"/>
  <c r="AF189" i="69" s="1"/>
  <c r="AG86" i="69" a="1"/>
  <c r="AG86" i="69" s="1"/>
  <c r="AF82" i="69" a="1"/>
  <c r="AF82" i="69" s="1"/>
  <c r="AD62" i="76" s="1"/>
  <c r="X79" i="69" a="1"/>
  <c r="X79" i="69" s="1"/>
  <c r="V59" i="76" s="1"/>
  <c r="AE83" i="69" a="1"/>
  <c r="AE83" i="69" s="1"/>
  <c r="AC63" i="76" s="1"/>
  <c r="Y58" i="76"/>
  <c r="H84" i="69" a="1"/>
  <c r="H84" i="69" s="1"/>
  <c r="H131" i="69" s="1" a="1"/>
  <c r="H131" i="69" s="1"/>
  <c r="I181" i="69" s="1" a="1"/>
  <c r="I181" i="69" s="1"/>
  <c r="I239" i="69" s="1" a="1"/>
  <c r="I239" i="69" s="1"/>
  <c r="G84" i="69" a="1"/>
  <c r="G84" i="69" s="1"/>
  <c r="G131" i="69" s="1" a="1"/>
  <c r="G131" i="69" s="1"/>
  <c r="H177" i="69" s="1" a="1"/>
  <c r="H177" i="69" s="1"/>
  <c r="H235" i="69" s="1" a="1"/>
  <c r="H235" i="69" s="1"/>
  <c r="AE134" i="69" a="1"/>
  <c r="AE134" i="69" s="1"/>
  <c r="AF192" i="69" s="1" a="1"/>
  <c r="AF192" i="69" s="1"/>
  <c r="J87" i="69" a="1"/>
  <c r="J87" i="69" s="1"/>
  <c r="J134" i="69" s="1" a="1"/>
  <c r="J134" i="69" s="1"/>
  <c r="K184" i="69" s="1" a="1"/>
  <c r="K184" i="69" s="1"/>
  <c r="K242" i="69" s="1" a="1"/>
  <c r="K242" i="69" s="1"/>
  <c r="X132" i="69" a="1"/>
  <c r="X132" i="69" s="1"/>
  <c r="Y190" i="69" s="1" a="1"/>
  <c r="Y190" i="69" s="1"/>
  <c r="AG140" i="69" a="1"/>
  <c r="AG140" i="69" s="1"/>
  <c r="AH198" i="69" s="1" a="1"/>
  <c r="AH198" i="69" s="1"/>
  <c r="N84" i="69" a="1"/>
  <c r="N84" i="69" s="1"/>
  <c r="N131" i="69" s="1" a="1"/>
  <c r="N131" i="69" s="1"/>
  <c r="O177" i="69" s="1" a="1"/>
  <c r="O177" i="69" s="1"/>
  <c r="O235" i="69" s="1" a="1"/>
  <c r="O235" i="69" s="1"/>
  <c r="I86" i="69" a="1"/>
  <c r="I86" i="69" s="1"/>
  <c r="I56" i="76" s="1"/>
  <c r="I64" i="76" s="1" a="1"/>
  <c r="I64" i="76" s="1"/>
  <c r="I129" i="76" s="1" a="1"/>
  <c r="I129" i="76" s="1"/>
  <c r="I171" i="76" s="1" a="1"/>
  <c r="I171" i="76" s="1"/>
  <c r="I209" i="76" s="1" a="1"/>
  <c r="I209" i="76" s="1"/>
  <c r="I85" i="69" a="1"/>
  <c r="I85" i="69" s="1"/>
  <c r="I55" i="76" s="1"/>
  <c r="I63" i="76" s="1" a="1"/>
  <c r="I63" i="76" s="1"/>
  <c r="I128" i="76" s="1" a="1"/>
  <c r="I128" i="76" s="1"/>
  <c r="I170" i="76" s="1" a="1"/>
  <c r="I170" i="76" s="1"/>
  <c r="I208" i="76" s="1" a="1"/>
  <c r="I208" i="76" s="1"/>
  <c r="L87" i="69" a="1"/>
  <c r="L87" i="69" s="1"/>
  <c r="L57" i="76" s="1"/>
  <c r="L65" i="76" s="1" a="1"/>
  <c r="L65" i="76" s="1"/>
  <c r="L130" i="76" s="1" a="1"/>
  <c r="L130" i="76" s="1"/>
  <c r="L172" i="76" s="1" a="1"/>
  <c r="L172" i="76" s="1"/>
  <c r="L210" i="76" s="1" a="1"/>
  <c r="L210" i="76" s="1"/>
  <c r="E85" i="69" a="1"/>
  <c r="E85" i="69" s="1"/>
  <c r="E132" i="69" s="1" a="1"/>
  <c r="E132" i="69" s="1"/>
  <c r="F178" i="69" s="1" a="1"/>
  <c r="F178" i="69" s="1"/>
  <c r="F236" i="69" s="1" a="1"/>
  <c r="F236" i="69" s="1"/>
  <c r="G87" i="69" a="1"/>
  <c r="G87" i="69" s="1"/>
  <c r="G57" i="76" s="1"/>
  <c r="E86" i="69" a="1"/>
  <c r="E86" i="69" s="1"/>
  <c r="E133" i="69" s="1" a="1"/>
  <c r="E133" i="69" s="1"/>
  <c r="F179" i="69" s="1" a="1"/>
  <c r="F179" i="69" s="1"/>
  <c r="F237" i="69" s="1" a="1"/>
  <c r="F237" i="69" s="1"/>
  <c r="E87" i="69" a="1"/>
  <c r="E87" i="69" s="1"/>
  <c r="E134" i="69" s="1" a="1"/>
  <c r="E134" i="69" s="1"/>
  <c r="F184" i="69" s="1" a="1"/>
  <c r="F184" i="69" s="1"/>
  <c r="F242" i="69" s="1" a="1"/>
  <c r="F242" i="69" s="1"/>
  <c r="Z58" i="76"/>
  <c r="K87" i="69" a="1"/>
  <c r="K87" i="69" s="1"/>
  <c r="K57" i="76" s="1"/>
  <c r="M85" i="69" a="1"/>
  <c r="M85" i="69" s="1"/>
  <c r="M132" i="69" s="1" a="1"/>
  <c r="M132" i="69" s="1"/>
  <c r="N178" i="69" s="1" a="1"/>
  <c r="N178" i="69" s="1"/>
  <c r="N236" i="69" s="1" a="1"/>
  <c r="N236" i="69" s="1"/>
  <c r="F85" i="69" a="1"/>
  <c r="F85" i="69" s="1"/>
  <c r="F132" i="69" s="1" a="1"/>
  <c r="F132" i="69" s="1"/>
  <c r="G178" i="69" s="1" a="1"/>
  <c r="G178" i="69" s="1"/>
  <c r="G236" i="69" s="1" a="1"/>
  <c r="G236" i="69" s="1"/>
  <c r="H86" i="69" a="1"/>
  <c r="H86" i="69" s="1"/>
  <c r="H56" i="76" s="1"/>
  <c r="H64" i="76" s="1" a="1"/>
  <c r="H64" i="76" s="1"/>
  <c r="H129" i="76" s="1" a="1"/>
  <c r="H129" i="76" s="1"/>
  <c r="H171" i="76" s="1" a="1"/>
  <c r="H171" i="76" s="1"/>
  <c r="H209" i="76" s="1" a="1"/>
  <c r="H209" i="76" s="1"/>
  <c r="M84" i="69" a="1"/>
  <c r="M84" i="69" s="1"/>
  <c r="M131" i="69" s="1" a="1"/>
  <c r="M131" i="69" s="1"/>
  <c r="N177" i="69" s="1" a="1"/>
  <c r="N177" i="69" s="1"/>
  <c r="N235" i="69" s="1" a="1"/>
  <c r="N235" i="69" s="1"/>
  <c r="N87" i="69" a="1"/>
  <c r="N87" i="69" s="1"/>
  <c r="N57" i="76" s="1"/>
  <c r="N65" i="76" s="1" a="1"/>
  <c r="N65" i="76" s="1"/>
  <c r="N130" i="76" s="1" a="1"/>
  <c r="N130" i="76" s="1"/>
  <c r="N172" i="76" s="1" a="1"/>
  <c r="N172" i="76" s="1"/>
  <c r="N210" i="76" s="1" a="1"/>
  <c r="N210" i="76" s="1"/>
  <c r="N85" i="69" a="1"/>
  <c r="N85" i="69" s="1"/>
  <c r="N132" i="69" s="1" a="1"/>
  <c r="N132" i="69" s="1"/>
  <c r="L84" i="69" a="1"/>
  <c r="L84" i="69" s="1"/>
  <c r="L131" i="69" s="1" a="1"/>
  <c r="L131" i="69" s="1"/>
  <c r="M177" i="69" s="1" a="1"/>
  <c r="M177" i="69" s="1"/>
  <c r="M235" i="69" s="1" a="1"/>
  <c r="M235" i="69" s="1"/>
  <c r="I84" i="69" a="1"/>
  <c r="I84" i="69" s="1"/>
  <c r="I131" i="69" s="1" a="1"/>
  <c r="I131" i="69" s="1"/>
  <c r="J177" i="69" s="1" a="1"/>
  <c r="J177" i="69" s="1"/>
  <c r="J235" i="69" s="1" a="1"/>
  <c r="J235" i="69" s="1"/>
  <c r="AB138" i="69" a="1"/>
  <c r="AB138" i="69" s="1"/>
  <c r="AC196" i="69" s="1" a="1"/>
  <c r="AC196" i="69" s="1"/>
  <c r="AE139" i="69" a="1"/>
  <c r="AE139" i="69" s="1"/>
  <c r="AF197" i="69" s="1" a="1"/>
  <c r="AF197" i="69" s="1"/>
  <c r="M86" i="69" a="1"/>
  <c r="M86" i="69" s="1"/>
  <c r="M133" i="69" s="1" a="1"/>
  <c r="M133" i="69" s="1"/>
  <c r="N179" i="69" s="1" a="1"/>
  <c r="N179" i="69" s="1"/>
  <c r="N237" i="69" s="1" a="1"/>
  <c r="N237" i="69" s="1"/>
  <c r="H87" i="69" a="1"/>
  <c r="H87" i="69" s="1"/>
  <c r="H134" i="69" s="1" a="1"/>
  <c r="H134" i="69" s="1"/>
  <c r="I180" i="69" s="1" a="1"/>
  <c r="I180" i="69" s="1"/>
  <c r="I238" i="69" s="1" a="1"/>
  <c r="I238" i="69" s="1"/>
  <c r="F84" i="69" a="1"/>
  <c r="F84" i="69" s="1"/>
  <c r="F131" i="69" s="1" a="1"/>
  <c r="F131" i="69" s="1"/>
  <c r="L85" i="69" a="1"/>
  <c r="L85" i="69" s="1"/>
  <c r="L132" i="69" s="1" a="1"/>
  <c r="L132" i="69" s="1"/>
  <c r="J84" i="69" a="1"/>
  <c r="J84" i="69" s="1"/>
  <c r="J131" i="69" s="1" a="1"/>
  <c r="J131" i="69" s="1"/>
  <c r="K181" i="69" s="1" a="1"/>
  <c r="K181" i="69" s="1"/>
  <c r="K239" i="69" s="1" a="1"/>
  <c r="K239" i="69" s="1"/>
  <c r="K85" i="69" a="1"/>
  <c r="K85" i="69" s="1"/>
  <c r="K55" i="76" s="1"/>
  <c r="J85" i="69" a="1"/>
  <c r="J85" i="69" s="1"/>
  <c r="J132" i="69" s="1" a="1"/>
  <c r="J132" i="69" s="1"/>
  <c r="K182" i="69" s="1" a="1"/>
  <c r="K182" i="69" s="1"/>
  <c r="K240" i="69" s="1" a="1"/>
  <c r="K240" i="69" s="1"/>
  <c r="G85" i="69" a="1"/>
  <c r="G85" i="69" s="1"/>
  <c r="G132" i="69" s="1" a="1"/>
  <c r="G132" i="69" s="1"/>
  <c r="H178" i="69" s="1" a="1"/>
  <c r="H178" i="69" s="1"/>
  <c r="H236" i="69" s="1" a="1"/>
  <c r="H236" i="69" s="1"/>
  <c r="L86" i="69" a="1"/>
  <c r="L86" i="69" s="1"/>
  <c r="L133" i="69" s="1" a="1"/>
  <c r="L133" i="69" s="1"/>
  <c r="M179" i="69" s="1" a="1"/>
  <c r="M179" i="69" s="1"/>
  <c r="M237" i="69" s="1" a="1"/>
  <c r="M237" i="69" s="1"/>
  <c r="N86" i="69" a="1"/>
  <c r="N86" i="69" s="1"/>
  <c r="N133" i="69" s="1" a="1"/>
  <c r="N133" i="69" s="1"/>
  <c r="O183" i="69" s="1" a="1"/>
  <c r="O183" i="69" s="1"/>
  <c r="O241" i="69" s="1" a="1"/>
  <c r="O241" i="69" s="1"/>
  <c r="I87" i="69" a="1"/>
  <c r="I87" i="69" s="1"/>
  <c r="I57" i="76" s="1"/>
  <c r="I65" i="76" s="1" a="1"/>
  <c r="I65" i="76" s="1"/>
  <c r="I130" i="76" s="1" a="1"/>
  <c r="I130" i="76" s="1"/>
  <c r="I172" i="76" s="1" a="1"/>
  <c r="I172" i="76" s="1"/>
  <c r="I210" i="76" s="1" a="1"/>
  <c r="I210" i="76" s="1"/>
  <c r="F87" i="69" a="1"/>
  <c r="F87" i="69" s="1"/>
  <c r="F57" i="76" s="1"/>
  <c r="F65" i="76" s="1" a="1"/>
  <c r="F65" i="76" s="1"/>
  <c r="F130" i="76" s="1" a="1"/>
  <c r="F130" i="76" s="1"/>
  <c r="F172" i="76" s="1" a="1"/>
  <c r="F172" i="76" s="1"/>
  <c r="F210" i="76" s="1" a="1"/>
  <c r="F210" i="76" s="1"/>
  <c r="H85" i="69" a="1"/>
  <c r="H85" i="69" s="1"/>
  <c r="H132" i="69" s="1" a="1"/>
  <c r="H132" i="69" s="1"/>
  <c r="I178" i="69" s="1" a="1"/>
  <c r="I178" i="69" s="1"/>
  <c r="I236" i="69" s="1" a="1"/>
  <c r="I236" i="69" s="1"/>
  <c r="M87" i="69" a="1"/>
  <c r="M87" i="69" s="1"/>
  <c r="M134" i="69" s="1" a="1"/>
  <c r="M134" i="69" s="1"/>
  <c r="N180" i="69" s="1" a="1"/>
  <c r="N180" i="69" s="1"/>
  <c r="N238" i="69" s="1" a="1"/>
  <c r="N238" i="69" s="1"/>
  <c r="K84" i="69" a="1"/>
  <c r="K84" i="69" s="1"/>
  <c r="K131" i="69" s="1" a="1"/>
  <c r="K131" i="69" s="1"/>
  <c r="K86" i="69" a="1"/>
  <c r="K86" i="69" s="1"/>
  <c r="K133" i="69" s="1" a="1"/>
  <c r="K133" i="69" s="1"/>
  <c r="F86" i="69" a="1"/>
  <c r="F86" i="69" s="1"/>
  <c r="F56" i="76" s="1"/>
  <c r="F64" i="76" s="1" a="1"/>
  <c r="F64" i="76" s="1"/>
  <c r="F129" i="76" s="1" a="1"/>
  <c r="F129" i="76" s="1"/>
  <c r="F171" i="76" s="1" a="1"/>
  <c r="F171" i="76" s="1"/>
  <c r="F209" i="76" s="1" a="1"/>
  <c r="F209" i="76" s="1"/>
  <c r="G86" i="69" a="1"/>
  <c r="G86" i="69" s="1"/>
  <c r="G56" i="76" s="1"/>
  <c r="AE133" i="69" a="1"/>
  <c r="AE133" i="69" s="1"/>
  <c r="AF191" i="69" s="1" a="1"/>
  <c r="AF191" i="69" s="1"/>
  <c r="AC58" i="76"/>
  <c r="E84" i="69" a="1"/>
  <c r="E84" i="69" s="1"/>
  <c r="AB132" i="69" a="1"/>
  <c r="AB132" i="69" s="1"/>
  <c r="AC190" i="69" s="1" a="1"/>
  <c r="AC190" i="69" s="1"/>
  <c r="Z57" i="76"/>
  <c r="J86" i="69" a="1"/>
  <c r="J86" i="69" s="1"/>
  <c r="AA135" i="69" a="1"/>
  <c r="AA135" i="69" s="1"/>
  <c r="AB193" i="69" s="1" a="1"/>
  <c r="AB193" i="69" s="1"/>
  <c r="Y60" i="76"/>
  <c r="Z142" i="69" a="1"/>
  <c r="Z142" i="69" s="1"/>
  <c r="AA200" i="69" s="1" a="1"/>
  <c r="AA200" i="69" s="1"/>
  <c r="X67" i="76"/>
  <c r="X138" i="69" a="1"/>
  <c r="X138" i="69" s="1"/>
  <c r="Y196" i="69" s="1" a="1"/>
  <c r="Y196" i="69" s="1"/>
  <c r="V63" i="76"/>
  <c r="A39" i="74"/>
  <c r="A38" i="74"/>
  <c r="A37" i="74"/>
  <c r="A36" i="74"/>
  <c r="A33" i="74"/>
  <c r="A30" i="74"/>
  <c r="A29" i="74"/>
  <c r="A28" i="74"/>
  <c r="A27" i="74"/>
  <c r="A26" i="74"/>
  <c r="A25" i="74"/>
  <c r="A24" i="74"/>
  <c r="A19" i="74"/>
  <c r="A18" i="74"/>
  <c r="A15" i="74"/>
  <c r="A14" i="74"/>
  <c r="A13" i="74"/>
  <c r="A12" i="74"/>
  <c r="A11" i="74"/>
  <c r="A10" i="74"/>
  <c r="A9" i="74"/>
  <c r="A8" i="74"/>
  <c r="A7" i="74"/>
  <c r="A4" i="74"/>
  <c r="Y186" i="69" l="1" a="1"/>
  <c r="Y186" i="69" s="1"/>
  <c r="Y260" i="69" s="1" a="1"/>
  <c r="Y260" i="69" s="1"/>
  <c r="Y272" i="69" a="1"/>
  <c r="Y272" i="69" s="1"/>
  <c r="AG187" i="69" a="1"/>
  <c r="AG187" i="69" s="1"/>
  <c r="AG261" i="69" s="1" a="1"/>
  <c r="AG261" i="69" s="1"/>
  <c r="Y183" i="69" a="1"/>
  <c r="Y183" i="69" s="1"/>
  <c r="Y257" i="69" s="1" a="1"/>
  <c r="Y257" i="69" s="1"/>
  <c r="Y181" i="69" a="1"/>
  <c r="Y181" i="69" s="1"/>
  <c r="Y255" i="69" s="1" a="1"/>
  <c r="Y255" i="69" s="1"/>
  <c r="Y267" i="69" a="1"/>
  <c r="Y267" i="69" s="1"/>
  <c r="AB186" i="69" a="1"/>
  <c r="AB186" i="69" s="1"/>
  <c r="AB260" i="69" s="1" a="1"/>
  <c r="AB260" i="69" s="1"/>
  <c r="AF178" i="69" a="1"/>
  <c r="AF178" i="69" s="1"/>
  <c r="AF252" i="69" s="1" a="1"/>
  <c r="AF252" i="69" s="1"/>
  <c r="AF264" i="69" a="1"/>
  <c r="AF264" i="69" s="1"/>
  <c r="AA274" i="69" a="1"/>
  <c r="AA274" i="69" s="1"/>
  <c r="AC184" i="69" a="1"/>
  <c r="AC184" i="69" s="1"/>
  <c r="AC258" i="69" s="1" a="1"/>
  <c r="AC258" i="69" s="1"/>
  <c r="AA178" i="69" a="1"/>
  <c r="AA178" i="69" s="1"/>
  <c r="AA252" i="69" s="1" a="1"/>
  <c r="AA252" i="69" s="1"/>
  <c r="AF185" i="69" a="1"/>
  <c r="AF185" i="69" s="1"/>
  <c r="AF259" i="69" s="1" a="1"/>
  <c r="AF259" i="69" s="1"/>
  <c r="AE185" i="69" a="1"/>
  <c r="AE185" i="69" s="1"/>
  <c r="AE259" i="69" s="1" a="1"/>
  <c r="AE259" i="69" s="1"/>
  <c r="AD183" i="69" a="1"/>
  <c r="AD183" i="69" s="1"/>
  <c r="AE274" i="69" s="1" a="1"/>
  <c r="AE274" i="69" s="1"/>
  <c r="AH183" i="69" a="1"/>
  <c r="AH183" i="69" s="1"/>
  <c r="AH257" i="69" s="1" a="1"/>
  <c r="AH257" i="69" s="1"/>
  <c r="AC182" i="69" a="1"/>
  <c r="AC182" i="69" s="1"/>
  <c r="AD273" i="69" s="1" a="1"/>
  <c r="AD273" i="69" s="1"/>
  <c r="AB177" i="69" a="1"/>
  <c r="AB177" i="69" s="1"/>
  <c r="AC268" i="69" s="1" a="1"/>
  <c r="AC268" i="69" s="1"/>
  <c r="AB263" i="69" a="1"/>
  <c r="AB263" i="69" s="1"/>
  <c r="AC178" i="69" a="1"/>
  <c r="AC178" i="69" s="1"/>
  <c r="AC252" i="69" s="1" a="1"/>
  <c r="AC252" i="69" s="1"/>
  <c r="AC264" i="69" a="1"/>
  <c r="AC264" i="69" s="1"/>
  <c r="AA183" i="69" a="1"/>
  <c r="AA183" i="69" s="1"/>
  <c r="AA257" i="69" s="1" a="1"/>
  <c r="AA257" i="69" s="1"/>
  <c r="AB188" i="69" a="1"/>
  <c r="AB188" i="69" s="1"/>
  <c r="AB262" i="69" s="1" a="1"/>
  <c r="AB262" i="69" s="1"/>
  <c r="AF181" i="69" a="1"/>
  <c r="AF181" i="69" s="1"/>
  <c r="AF255" i="69" s="1" a="1"/>
  <c r="AF255" i="69" s="1"/>
  <c r="Z186" i="69" a="1"/>
  <c r="Z186" i="69" s="1"/>
  <c r="Z260" i="69" s="1" a="1"/>
  <c r="Z260" i="69" s="1"/>
  <c r="Z272" i="69" a="1"/>
  <c r="Z272" i="69" s="1"/>
  <c r="AB182" i="69" a="1"/>
  <c r="AB182" i="69" s="1"/>
  <c r="AC273" i="69" s="1" a="1"/>
  <c r="AC273" i="69" s="1"/>
  <c r="AA263" i="69" a="1"/>
  <c r="AA263" i="69" s="1"/>
  <c r="AA177" i="69" a="1"/>
  <c r="AA177" i="69" s="1"/>
  <c r="AB268" i="69" s="1" a="1"/>
  <c r="AB268" i="69" s="1"/>
  <c r="Y265" i="69" a="1"/>
  <c r="Y265" i="69" s="1"/>
  <c r="Y179" i="69" a="1"/>
  <c r="Y179" i="69" s="1"/>
  <c r="Z270" i="69" s="1" a="1"/>
  <c r="Z270" i="69" s="1"/>
  <c r="AH188" i="69" a="1"/>
  <c r="AH188" i="69" s="1"/>
  <c r="AH262" i="69" s="1" a="1"/>
  <c r="AH262" i="69" s="1"/>
  <c r="AD184" i="69" a="1"/>
  <c r="AD184" i="69" s="1"/>
  <c r="AD258" i="69" s="1" a="1"/>
  <c r="AD258" i="69" s="1"/>
  <c r="AA266" i="69" a="1"/>
  <c r="AA266" i="69" s="1"/>
  <c r="AA180" i="69" a="1"/>
  <c r="AA180" i="69" s="1"/>
  <c r="AA254" i="69" s="1" a="1"/>
  <c r="AA254" i="69" s="1"/>
  <c r="AH265" i="69" a="1"/>
  <c r="AH265" i="69" s="1"/>
  <c r="AH179" i="69" a="1"/>
  <c r="AH179" i="69" s="1"/>
  <c r="AH253" i="69" s="1" a="1"/>
  <c r="AH253" i="69" s="1"/>
  <c r="AA182" i="69" a="1"/>
  <c r="AA182" i="69" s="1"/>
  <c r="AA256" i="69" s="1" a="1"/>
  <c r="AA256" i="69" s="1"/>
  <c r="AA184" i="69" a="1"/>
  <c r="AA184" i="69" s="1"/>
  <c r="AA258" i="69" s="1" a="1"/>
  <c r="AA258" i="69" s="1"/>
  <c r="AA188" i="69" a="1"/>
  <c r="AA188" i="69" s="1"/>
  <c r="AA262" i="69" s="1" a="1"/>
  <c r="AA262" i="69" s="1"/>
  <c r="Z182" i="69" a="1"/>
  <c r="Z182" i="69" s="1"/>
  <c r="Z256" i="69" s="1" a="1"/>
  <c r="Z256" i="69" s="1"/>
  <c r="AF188" i="69" a="1"/>
  <c r="AF188" i="69" s="1"/>
  <c r="AF262" i="69" s="1" a="1"/>
  <c r="AF262" i="69" s="1"/>
  <c r="AH267" i="69" a="1"/>
  <c r="AH267" i="69" s="1"/>
  <c r="AH181" i="69" a="1"/>
  <c r="AH181" i="69" s="1"/>
  <c r="AH255" i="69" s="1" a="1"/>
  <c r="AH255" i="69" s="1"/>
  <c r="AE264" i="69" a="1"/>
  <c r="AE264" i="69" s="1"/>
  <c r="AE178" i="69" a="1"/>
  <c r="AE178" i="69" s="1"/>
  <c r="AE252" i="69" s="1" a="1"/>
  <c r="AE252" i="69" s="1"/>
  <c r="AC187" i="69" a="1"/>
  <c r="AC187" i="69" s="1"/>
  <c r="AC261" i="69" s="1" a="1"/>
  <c r="AC261" i="69" s="1"/>
  <c r="Z184" i="69" a="1"/>
  <c r="Z184" i="69" s="1"/>
  <c r="Z258" i="69" s="1" a="1"/>
  <c r="Z258" i="69" s="1"/>
  <c r="AE186" i="69" a="1"/>
  <c r="AE186" i="69" s="1"/>
  <c r="AE260" i="69" s="1" a="1"/>
  <c r="AE260" i="69" s="1"/>
  <c r="Z183" i="69" a="1"/>
  <c r="Z183" i="69" s="1"/>
  <c r="Z257" i="69" s="1" a="1"/>
  <c r="Z257" i="69" s="1"/>
  <c r="AA187" i="69" a="1"/>
  <c r="AA187" i="69" s="1"/>
  <c r="AA261" i="69" s="1" a="1"/>
  <c r="AA261" i="69" s="1"/>
  <c r="AA185" i="69" a="1"/>
  <c r="AA185" i="69" s="1"/>
  <c r="AA259" i="69" s="1" a="1"/>
  <c r="AA259" i="69" s="1"/>
  <c r="Y274" i="69" a="1"/>
  <c r="Y274" i="69" s="1"/>
  <c r="Y188" i="69" a="1"/>
  <c r="Y188" i="69" s="1"/>
  <c r="Y262" i="69" s="1" a="1"/>
  <c r="Y262" i="69" s="1"/>
  <c r="AB187" i="69" a="1"/>
  <c r="AB187" i="69" s="1"/>
  <c r="AB261" i="69" s="1" a="1"/>
  <c r="AB261" i="69" s="1"/>
  <c r="AE187" i="69" a="1"/>
  <c r="AE187" i="69" s="1"/>
  <c r="AE261" i="69" s="1" a="1"/>
  <c r="AE261" i="69" s="1"/>
  <c r="AA186" i="69" a="1"/>
  <c r="AA186" i="69" s="1"/>
  <c r="AA260" i="69" s="1" a="1"/>
  <c r="AA260" i="69" s="1"/>
  <c r="Z179" i="69" a="1"/>
  <c r="Z179" i="69" s="1"/>
  <c r="Z253" i="69" s="1" a="1"/>
  <c r="Z253" i="69" s="1"/>
  <c r="AF183" i="69" a="1"/>
  <c r="AF183" i="69" s="1"/>
  <c r="AF257" i="69" s="1" a="1"/>
  <c r="AF257" i="69" s="1"/>
  <c r="AA179" i="69" a="1"/>
  <c r="AA179" i="69" s="1"/>
  <c r="AA253" i="69" s="1" a="1"/>
  <c r="AA253" i="69" s="1"/>
  <c r="Y273" i="69" a="1"/>
  <c r="Y273" i="69" s="1"/>
  <c r="Y187" i="69" a="1"/>
  <c r="Y187" i="69" s="1"/>
  <c r="Y261" i="69" s="1" a="1"/>
  <c r="Y261" i="69" s="1"/>
  <c r="Z263" i="69" a="1"/>
  <c r="Z263" i="69" s="1"/>
  <c r="Z177" i="69" a="1"/>
  <c r="Z177" i="69" s="1"/>
  <c r="Z251" i="69" s="1" a="1"/>
  <c r="Z251" i="69" s="1"/>
  <c r="AG177" i="69" a="1"/>
  <c r="AG177" i="69" s="1"/>
  <c r="AG251" i="69" s="1" a="1"/>
  <c r="AG251" i="69" s="1"/>
  <c r="AG185" i="69" a="1"/>
  <c r="AG185" i="69" s="1"/>
  <c r="AG259" i="69" s="1" a="1"/>
  <c r="AG259" i="69" s="1"/>
  <c r="AB267" i="69" a="1"/>
  <c r="AB267" i="69" s="1"/>
  <c r="AB181" i="69" a="1"/>
  <c r="AB181" i="69" s="1"/>
  <c r="AB255" i="69" s="1" a="1"/>
  <c r="AB255" i="69" s="1"/>
  <c r="AF263" i="69" a="1"/>
  <c r="AF263" i="69" s="1"/>
  <c r="AF177" i="69" a="1"/>
  <c r="AF177" i="69" s="1"/>
  <c r="AF251" i="69" s="1" a="1"/>
  <c r="AF251" i="69" s="1"/>
  <c r="AG182" i="69" a="1"/>
  <c r="AG182" i="69" s="1"/>
  <c r="AG256" i="69" s="1" a="1"/>
  <c r="AG256" i="69" s="1"/>
  <c r="AF187" i="69" a="1"/>
  <c r="AF187" i="69" s="1"/>
  <c r="AF261" i="69" s="1" a="1"/>
  <c r="AF261" i="69" s="1"/>
  <c r="AD177" i="69" a="1"/>
  <c r="AD177" i="69" s="1"/>
  <c r="AD251" i="69" s="1" a="1"/>
  <c r="AD251" i="69" s="1"/>
  <c r="AC186" i="69" a="1"/>
  <c r="AC186" i="69" s="1"/>
  <c r="AC260" i="69" s="1" a="1"/>
  <c r="AC260" i="69" s="1"/>
  <c r="AH266" i="69" a="1"/>
  <c r="AH266" i="69" s="1"/>
  <c r="AH180" i="69" a="1"/>
  <c r="AH180" i="69" s="1"/>
  <c r="AH254" i="69" s="1" a="1"/>
  <c r="AH254" i="69" s="1"/>
  <c r="AH186" i="69" a="1"/>
  <c r="AH186" i="69" s="1"/>
  <c r="AH260" i="69" s="1" a="1"/>
  <c r="AH260" i="69" s="1"/>
  <c r="AD185" i="69" a="1"/>
  <c r="AD185" i="69" s="1"/>
  <c r="AD259" i="69" s="1" a="1"/>
  <c r="AD259" i="69" s="1"/>
  <c r="AD187" i="69" a="1"/>
  <c r="AD187" i="69" s="1"/>
  <c r="AD261" i="69" s="1" a="1"/>
  <c r="AD261" i="69" s="1"/>
  <c r="Y178" i="69" a="1"/>
  <c r="Y178" i="69" s="1"/>
  <c r="Y252" i="69" s="1" a="1"/>
  <c r="Y252" i="69" s="1"/>
  <c r="Z185" i="69" a="1"/>
  <c r="Z185" i="69" s="1"/>
  <c r="Z259" i="69" s="1" a="1"/>
  <c r="Z259" i="69" s="1"/>
  <c r="AH185" i="69" a="1"/>
  <c r="AH185" i="69" s="1"/>
  <c r="AH259" i="69" s="1" a="1"/>
  <c r="AH259" i="69" s="1"/>
  <c r="AH184" i="69" a="1"/>
  <c r="AH184" i="69" s="1"/>
  <c r="AH258" i="69" s="1" a="1"/>
  <c r="AH258" i="69" s="1"/>
  <c r="AF265" i="69" a="1"/>
  <c r="AF265" i="69" s="1"/>
  <c r="AF179" i="69" a="1"/>
  <c r="AF179" i="69" s="1"/>
  <c r="AF253" i="69" s="1" a="1"/>
  <c r="AF253" i="69" s="1"/>
  <c r="AF266" i="69" a="1"/>
  <c r="AF266" i="69" s="1"/>
  <c r="AF180" i="69" a="1"/>
  <c r="AF180" i="69" s="1"/>
  <c r="AF254" i="69" s="1" a="1"/>
  <c r="AF254" i="69" s="1"/>
  <c r="AE184" i="69" a="1"/>
  <c r="AE184" i="69" s="1"/>
  <c r="AE258" i="69" s="1" a="1"/>
  <c r="AE258" i="69" s="1"/>
  <c r="AG267" i="69" a="1"/>
  <c r="AG267" i="69" s="1"/>
  <c r="AG181" i="69" a="1"/>
  <c r="AG181" i="69" s="1"/>
  <c r="AG255" i="69" s="1" a="1"/>
  <c r="AG255" i="69" s="1"/>
  <c r="AH182" i="69" a="1"/>
  <c r="AH182" i="69" s="1"/>
  <c r="AH256" i="69" s="1" a="1"/>
  <c r="AH256" i="69" s="1"/>
  <c r="AE188" i="69" a="1"/>
  <c r="AE188" i="69" s="1"/>
  <c r="AE262" i="69" s="1" a="1"/>
  <c r="AE262" i="69" s="1"/>
  <c r="Y270" i="69" a="1"/>
  <c r="Y270" i="69" s="1"/>
  <c r="Y184" i="69" a="1"/>
  <c r="Y184" i="69" s="1"/>
  <c r="Y258" i="69" s="1" a="1"/>
  <c r="Y258" i="69" s="1"/>
  <c r="AC266" i="69" a="1"/>
  <c r="AC266" i="69" s="1"/>
  <c r="AC180" i="69" a="1"/>
  <c r="AC180" i="69" s="1"/>
  <c r="AD271" i="69" s="1" a="1"/>
  <c r="AD271" i="69" s="1"/>
  <c r="Z267" i="69" a="1"/>
  <c r="Z267" i="69" s="1"/>
  <c r="Z181" i="69" a="1"/>
  <c r="Z181" i="69" s="1"/>
  <c r="Z255" i="69" s="1" a="1"/>
  <c r="Z255" i="69" s="1"/>
  <c r="AD182" i="69" a="1"/>
  <c r="AD182" i="69" s="1"/>
  <c r="AE273" i="69" s="1" a="1"/>
  <c r="AE273" i="69" s="1"/>
  <c r="AE179" i="69" a="1"/>
  <c r="AE179" i="69" s="1"/>
  <c r="AE253" i="69" s="1" a="1"/>
  <c r="AE253" i="69" s="1"/>
  <c r="AD137" i="69" a="1"/>
  <c r="AD137" i="69" s="1"/>
  <c r="AE195" i="69" s="1" a="1"/>
  <c r="AE195" i="69" s="1"/>
  <c r="W58" i="76"/>
  <c r="W74" i="76" s="1" a="1"/>
  <c r="W74" i="76" s="1"/>
  <c r="W138" i="76" s="1" a="1"/>
  <c r="W138" i="76" s="1"/>
  <c r="W198" i="76" s="1" a="1"/>
  <c r="W198" i="76" s="1"/>
  <c r="AF142" i="69" a="1"/>
  <c r="AF142" i="69" s="1"/>
  <c r="AG200" i="69" s="1" a="1"/>
  <c r="AG200" i="69" s="1"/>
  <c r="AD83" i="76" a="1"/>
  <c r="AD83" i="76" s="1"/>
  <c r="AD147" i="76" s="1" a="1"/>
  <c r="AD147" i="76" s="1"/>
  <c r="AD207" i="76" s="1" a="1"/>
  <c r="AD207" i="76" s="1"/>
  <c r="AD259" i="76" s="1" a="1"/>
  <c r="AD259" i="76" s="1"/>
  <c r="AF137" i="69" a="1"/>
  <c r="AF137" i="69" s="1"/>
  <c r="AG195" i="69" s="1" a="1"/>
  <c r="AG195" i="69" s="1"/>
  <c r="AC59" i="76"/>
  <c r="AC75" i="76" s="1" a="1"/>
  <c r="AC75" i="76" s="1"/>
  <c r="AC139" i="76" s="1" a="1"/>
  <c r="AC139" i="76" s="1"/>
  <c r="H54" i="76"/>
  <c r="H62" i="76" s="1" a="1"/>
  <c r="H62" i="76" s="1"/>
  <c r="H127" i="76" s="1" a="1"/>
  <c r="H127" i="76" s="1"/>
  <c r="H169" i="76" s="1" a="1"/>
  <c r="H169" i="76" s="1"/>
  <c r="H207" i="76" s="1" a="1"/>
  <c r="H207" i="76" s="1"/>
  <c r="AE138" i="69" a="1"/>
  <c r="AE138" i="69" s="1"/>
  <c r="AF196" i="69" s="1" a="1"/>
  <c r="AF196" i="69" s="1"/>
  <c r="AA133" i="69" a="1"/>
  <c r="AA133" i="69" s="1"/>
  <c r="AB191" i="69" s="1" a="1"/>
  <c r="AB191" i="69" s="1"/>
  <c r="AE59" i="76"/>
  <c r="AC67" i="76"/>
  <c r="W63" i="76"/>
  <c r="X56" i="76"/>
  <c r="X65" i="76"/>
  <c r="G54" i="76"/>
  <c r="G62" i="76" s="1" a="1"/>
  <c r="G62" i="76" s="1"/>
  <c r="G127" i="76" s="1" a="1"/>
  <c r="G127" i="76" s="1"/>
  <c r="G169" i="76" s="1" a="1"/>
  <c r="G169" i="76" s="1"/>
  <c r="G207" i="76" s="1" a="1"/>
  <c r="G207" i="76" s="1"/>
  <c r="AD134" i="69" a="1"/>
  <c r="AD134" i="69" s="1"/>
  <c r="AE192" i="69" s="1" a="1"/>
  <c r="AE192" i="69" s="1"/>
  <c r="Y134" i="69" a="1"/>
  <c r="Y134" i="69" s="1"/>
  <c r="Z192" i="69" s="1" a="1"/>
  <c r="Z192" i="69" s="1"/>
  <c r="Y73" i="76" a="1"/>
  <c r="Y73" i="76" s="1"/>
  <c r="Y137" i="76" s="1" a="1"/>
  <c r="Y137" i="76" s="1"/>
  <c r="Y197" i="76" s="1" a="1"/>
  <c r="Y197" i="76" s="1"/>
  <c r="Y75" i="76" a="1"/>
  <c r="Y75" i="76" s="1"/>
  <c r="Y139" i="76" s="1" a="1"/>
  <c r="Y139" i="76" s="1"/>
  <c r="Y199" i="76" s="1" a="1"/>
  <c r="Y199" i="76" s="1"/>
  <c r="Y79" i="76" a="1"/>
  <c r="Y79" i="76" s="1"/>
  <c r="Y143" i="76" s="1" a="1"/>
  <c r="Y143" i="76" s="1"/>
  <c r="Y203" i="76" s="1" a="1"/>
  <c r="Y203" i="76" s="1"/>
  <c r="W75" i="76" a="1"/>
  <c r="W75" i="76" s="1"/>
  <c r="W139" i="76" s="1" a="1"/>
  <c r="W139" i="76" s="1"/>
  <c r="W199" i="76" s="1" a="1"/>
  <c r="W199" i="76" s="1"/>
  <c r="AD79" i="76" a="1"/>
  <c r="AD79" i="76" s="1"/>
  <c r="AD143" i="76" s="1" a="1"/>
  <c r="AD143" i="76" s="1"/>
  <c r="AD203" i="76" s="1" a="1"/>
  <c r="AD203" i="76" s="1"/>
  <c r="AD74" i="76" a="1"/>
  <c r="AD74" i="76" s="1"/>
  <c r="AD138" i="76" s="1" a="1"/>
  <c r="AD138" i="76" s="1"/>
  <c r="AD198" i="76" s="1" a="1"/>
  <c r="AD198" i="76" s="1"/>
  <c r="AA75" i="76" a="1"/>
  <c r="AA75" i="76" s="1"/>
  <c r="AA139" i="76" s="1" a="1"/>
  <c r="AA139" i="76" s="1"/>
  <c r="AA199" i="76" s="1" a="1"/>
  <c r="AA199" i="76" s="1"/>
  <c r="AC74" i="76" a="1"/>
  <c r="AC74" i="76" s="1"/>
  <c r="AC138" i="76" s="1" a="1"/>
  <c r="AC138" i="76" s="1"/>
  <c r="AC198" i="76" s="1" a="1"/>
  <c r="AC198" i="76" s="1"/>
  <c r="AD73" i="76" a="1"/>
  <c r="AD73" i="76" s="1"/>
  <c r="AD137" i="76" s="1" a="1"/>
  <c r="AD137" i="76" s="1"/>
  <c r="AD197" i="76" s="1" a="1"/>
  <c r="AD197" i="76" s="1"/>
  <c r="AC77" i="76" a="1"/>
  <c r="AC77" i="76" s="1"/>
  <c r="AC141" i="76" s="1" a="1"/>
  <c r="AC141" i="76" s="1"/>
  <c r="AC201" i="76" s="1" a="1"/>
  <c r="AC201" i="76" s="1"/>
  <c r="AB78" i="76" a="1"/>
  <c r="AB78" i="76" s="1"/>
  <c r="AB142" i="76" s="1" a="1"/>
  <c r="AB142" i="76" s="1"/>
  <c r="AB202" i="76" s="1" a="1"/>
  <c r="AB202" i="76" s="1"/>
  <c r="Z78" i="76" a="1"/>
  <c r="Z78" i="76" s="1"/>
  <c r="Z142" i="76" s="1" a="1"/>
  <c r="Z142" i="76" s="1"/>
  <c r="Z202" i="76" s="1" a="1"/>
  <c r="Z202" i="76" s="1"/>
  <c r="AE72" i="76" a="1"/>
  <c r="AE72" i="76" s="1"/>
  <c r="AE136" i="76" s="1" a="1"/>
  <c r="AE136" i="76" s="1"/>
  <c r="AE196" i="76" s="1" a="1"/>
  <c r="AE196" i="76" s="1"/>
  <c r="Y80" i="76" a="1"/>
  <c r="Y80" i="76" s="1"/>
  <c r="Y144" i="76" s="1" a="1"/>
  <c r="Y144" i="76" s="1"/>
  <c r="Y204" i="76" s="1" a="1"/>
  <c r="Y204" i="76" s="1"/>
  <c r="AD78" i="76" a="1"/>
  <c r="AD78" i="76" s="1"/>
  <c r="AD142" i="76" s="1" a="1"/>
  <c r="AD142" i="76" s="1"/>
  <c r="AD202" i="76" s="1" a="1"/>
  <c r="AD202" i="76" s="1"/>
  <c r="AA81" i="76" a="1"/>
  <c r="AA81" i="76" s="1"/>
  <c r="AA145" i="76" s="1" a="1"/>
  <c r="AA145" i="76" s="1"/>
  <c r="AA205" i="76" s="1" a="1"/>
  <c r="AA205" i="76" s="1"/>
  <c r="Y78" i="76" a="1"/>
  <c r="Y78" i="76" s="1"/>
  <c r="Y142" i="76" s="1" a="1"/>
  <c r="Y142" i="76" s="1"/>
  <c r="Y202" i="76" s="1" a="1"/>
  <c r="Y202" i="76" s="1"/>
  <c r="Z72" i="76" a="1"/>
  <c r="Z72" i="76" s="1"/>
  <c r="Z136" i="76" s="1" a="1"/>
  <c r="Z136" i="76" s="1"/>
  <c r="Z196" i="76" s="1" a="1"/>
  <c r="Z196" i="76" s="1"/>
  <c r="AC79" i="76" a="1"/>
  <c r="AC79" i="76" s="1"/>
  <c r="AC143" i="76" s="1" a="1"/>
  <c r="AC143" i="76" s="1"/>
  <c r="AC203" i="76" s="1" a="1"/>
  <c r="AC203" i="76" s="1"/>
  <c r="AA73" i="76" a="1"/>
  <c r="AA73" i="76" s="1"/>
  <c r="AA137" i="76" s="1" a="1"/>
  <c r="AA137" i="76" s="1"/>
  <c r="AA197" i="76" s="1" a="1"/>
  <c r="AA197" i="76" s="1"/>
  <c r="AA76" i="76" a="1"/>
  <c r="AA76" i="76" s="1"/>
  <c r="AA140" i="76" s="1" a="1"/>
  <c r="AA140" i="76" s="1"/>
  <c r="AA200" i="76" s="1" a="1"/>
  <c r="AA200" i="76" s="1"/>
  <c r="Z83" i="76" a="1"/>
  <c r="Z83" i="76" s="1"/>
  <c r="Z147" i="76" s="1" a="1"/>
  <c r="Z147" i="76" s="1"/>
  <c r="Z207" i="76" s="1" a="1"/>
  <c r="Z207" i="76" s="1"/>
  <c r="Y76" i="76" a="1"/>
  <c r="Y76" i="76" s="1"/>
  <c r="Y140" i="76" s="1" a="1"/>
  <c r="Y140" i="76" s="1"/>
  <c r="Y200" i="76" s="1" a="1"/>
  <c r="Y200" i="76" s="1"/>
  <c r="Z73" i="76" a="1"/>
  <c r="Z73" i="76" s="1"/>
  <c r="Z137" i="76" s="1" a="1"/>
  <c r="Z137" i="76" s="1"/>
  <c r="Z197" i="76" s="1" a="1"/>
  <c r="Z197" i="76" s="1"/>
  <c r="AD81" i="76" a="1"/>
  <c r="AD81" i="76" s="1"/>
  <c r="AD145" i="76" s="1" a="1"/>
  <c r="AD145" i="76" s="1"/>
  <c r="AD205" i="76" s="1" a="1"/>
  <c r="AD205" i="76" s="1"/>
  <c r="Y74" i="76" a="1"/>
  <c r="Y74" i="76" s="1"/>
  <c r="Y138" i="76" s="1" a="1"/>
  <c r="Y138" i="76" s="1"/>
  <c r="Y198" i="76" s="1" a="1"/>
  <c r="Y198" i="76" s="1"/>
  <c r="Z80" i="76" a="1"/>
  <c r="Z80" i="76" s="1"/>
  <c r="Z144" i="76" s="1" a="1"/>
  <c r="Z144" i="76" s="1"/>
  <c r="Z204" i="76" s="1" a="1"/>
  <c r="Z204" i="76" s="1"/>
  <c r="Z74" i="76" a="1"/>
  <c r="Z74" i="76" s="1"/>
  <c r="Z138" i="76" s="1" a="1"/>
  <c r="Z138" i="76" s="1"/>
  <c r="Z198" i="76" s="1" a="1"/>
  <c r="Z198" i="76" s="1"/>
  <c r="W83" i="76" a="1"/>
  <c r="W83" i="76" s="1"/>
  <c r="W147" i="76" s="1" a="1"/>
  <c r="W147" i="76" s="1"/>
  <c r="W207" i="76" s="1" a="1"/>
  <c r="W207" i="76" s="1"/>
  <c r="AA83" i="76" a="1"/>
  <c r="AA83" i="76" s="1"/>
  <c r="AA147" i="76" s="1" a="1"/>
  <c r="AA147" i="76" s="1"/>
  <c r="AA207" i="76" s="1" a="1"/>
  <c r="AA207" i="76" s="1"/>
  <c r="AD75" i="76" a="1"/>
  <c r="AD75" i="76" s="1"/>
  <c r="AD139" i="76" s="1" a="1"/>
  <c r="AD139" i="76" s="1"/>
  <c r="AD199" i="76" s="1" a="1"/>
  <c r="AD199" i="76" s="1"/>
  <c r="W82" i="76" a="1"/>
  <c r="W82" i="76" s="1"/>
  <c r="W146" i="76" s="1" a="1"/>
  <c r="W146" i="76" s="1"/>
  <c r="W206" i="76" s="1" a="1"/>
  <c r="W206" i="76" s="1"/>
  <c r="AE73" i="76" a="1"/>
  <c r="AE73" i="76" s="1"/>
  <c r="AE137" i="76" s="1" a="1"/>
  <c r="AE137" i="76" s="1"/>
  <c r="AE197" i="76" s="1" a="1"/>
  <c r="AE197" i="76" s="1"/>
  <c r="V57" i="76"/>
  <c r="J57" i="76"/>
  <c r="J65" i="76" s="1" a="1"/>
  <c r="J65" i="76" s="1"/>
  <c r="J130" i="76" s="1" a="1"/>
  <c r="J130" i="76" s="1"/>
  <c r="J172" i="76" s="1" a="1"/>
  <c r="J172" i="76" s="1"/>
  <c r="J210" i="76" s="1" a="1"/>
  <c r="J210" i="76" s="1"/>
  <c r="AE65" i="76"/>
  <c r="AG132" i="69" a="1"/>
  <c r="AG132" i="69" s="1"/>
  <c r="AH190" i="69" s="1" a="1"/>
  <c r="AH190" i="69" s="1"/>
  <c r="AC66" i="76"/>
  <c r="AA64" i="76"/>
  <c r="X134" i="69" a="1"/>
  <c r="X134" i="69" s="1"/>
  <c r="Y192" i="69" s="1" a="1"/>
  <c r="Y192" i="69" s="1"/>
  <c r="Y141" i="69" a="1"/>
  <c r="Y141" i="69" s="1"/>
  <c r="Z199" i="69" s="1" a="1"/>
  <c r="Z199" i="69" s="1"/>
  <c r="AD136" i="69" a="1"/>
  <c r="AD136" i="69" s="1"/>
  <c r="AE194" i="69" s="1" a="1"/>
  <c r="AE194" i="69" s="1"/>
  <c r="G134" i="69" a="1"/>
  <c r="G134" i="69" s="1"/>
  <c r="H180" i="69" s="1" a="1"/>
  <c r="H180" i="69" s="1"/>
  <c r="H238" i="69" s="1" a="1"/>
  <c r="H238" i="69" s="1"/>
  <c r="Z65" i="76"/>
  <c r="AF140" i="69" a="1"/>
  <c r="AF140" i="69" s="1"/>
  <c r="AG198" i="69" s="1" a="1"/>
  <c r="AG198" i="69" s="1"/>
  <c r="M55" i="76"/>
  <c r="M63" i="76" s="1" a="1"/>
  <c r="M63" i="76" s="1"/>
  <c r="M128" i="76" s="1" a="1"/>
  <c r="M128" i="76" s="1"/>
  <c r="M170" i="76" s="1" a="1"/>
  <c r="M170" i="76" s="1"/>
  <c r="M208" i="76" s="1" a="1"/>
  <c r="M208" i="76" s="1"/>
  <c r="W62" i="76"/>
  <c r="AG131" i="69" a="1"/>
  <c r="AG131" i="69" s="1"/>
  <c r="AH189" i="69" s="1" a="1"/>
  <c r="AH189" i="69" s="1"/>
  <c r="E55" i="76"/>
  <c r="E63" i="76" s="1" a="1"/>
  <c r="E63" i="76" s="1"/>
  <c r="E128" i="76" s="1" a="1"/>
  <c r="E128" i="76" s="1"/>
  <c r="E170" i="76" s="1" a="1"/>
  <c r="E170" i="76" s="1"/>
  <c r="E208" i="76" s="1" a="1"/>
  <c r="E208" i="76" s="1"/>
  <c r="I132" i="69" a="1"/>
  <c r="I132" i="69" s="1"/>
  <c r="J178" i="69" s="1" a="1"/>
  <c r="J178" i="69" s="1"/>
  <c r="J236" i="69" s="1" a="1"/>
  <c r="J236" i="69" s="1"/>
  <c r="AD66" i="76"/>
  <c r="AE64" i="76"/>
  <c r="J55" i="76"/>
  <c r="J63" i="76" s="1" a="1"/>
  <c r="J63" i="76" s="1"/>
  <c r="J128" i="76" s="1" a="1"/>
  <c r="J128" i="76" s="1"/>
  <c r="J170" i="76" s="1" a="1"/>
  <c r="J170" i="76" s="1"/>
  <c r="J208" i="76" s="1" a="1"/>
  <c r="J208" i="76" s="1"/>
  <c r="AD61" i="76"/>
  <c r="AF138" i="69" a="1"/>
  <c r="AF138" i="69" s="1"/>
  <c r="AG196" i="69" s="1" a="1"/>
  <c r="AG196" i="69" s="1"/>
  <c r="W61" i="76"/>
  <c r="AB65" i="76"/>
  <c r="F55" i="76"/>
  <c r="F63" i="76" s="1" a="1"/>
  <c r="F63" i="76" s="1"/>
  <c r="F128" i="76" s="1" a="1"/>
  <c r="F128" i="76" s="1"/>
  <c r="F170" i="76" s="1" a="1"/>
  <c r="F170" i="76" s="1"/>
  <c r="F208" i="76" s="1" a="1"/>
  <c r="F208" i="76" s="1"/>
  <c r="AA132" i="69" a="1"/>
  <c r="AA132" i="69" s="1"/>
  <c r="AB190" i="69" s="1" a="1"/>
  <c r="AB190" i="69" s="1"/>
  <c r="AA134" i="69" a="1"/>
  <c r="AA134" i="69" s="1"/>
  <c r="AB192" i="69" s="1" a="1"/>
  <c r="AB192" i="69" s="1"/>
  <c r="AC134" i="69" a="1"/>
  <c r="AC134" i="69" s="1"/>
  <c r="AD192" i="69" s="1" a="1"/>
  <c r="AD192" i="69" s="1"/>
  <c r="L134" i="69" a="1"/>
  <c r="L134" i="69" s="1"/>
  <c r="M180" i="69" s="1" a="1"/>
  <c r="M180" i="69" s="1"/>
  <c r="M238" i="69" s="1" a="1"/>
  <c r="M238" i="69" s="1"/>
  <c r="Z135" i="69" a="1"/>
  <c r="Z135" i="69" s="1"/>
  <c r="AA193" i="69" s="1" a="1"/>
  <c r="AA193" i="69" s="1"/>
  <c r="AA139" i="69" a="1"/>
  <c r="AA139" i="69" s="1"/>
  <c r="AB197" i="69" s="1" a="1"/>
  <c r="AB197" i="69" s="1"/>
  <c r="V67" i="76"/>
  <c r="AC135" i="69" a="1"/>
  <c r="AC135" i="69" s="1"/>
  <c r="AD193" i="69" s="1" a="1"/>
  <c r="AD193" i="69" s="1"/>
  <c r="X59" i="76"/>
  <c r="M57" i="76"/>
  <c r="M65" i="76" s="1" a="1"/>
  <c r="M65" i="76" s="1"/>
  <c r="M130" i="76" s="1" a="1"/>
  <c r="M130" i="76" s="1"/>
  <c r="M172" i="76" s="1" a="1"/>
  <c r="M172" i="76" s="1"/>
  <c r="M210" i="76" s="1" a="1"/>
  <c r="M210" i="76" s="1"/>
  <c r="AB131" i="69" a="1"/>
  <c r="AB131" i="69" s="1"/>
  <c r="AC189" i="69" s="1" a="1"/>
  <c r="AC189" i="69" s="1"/>
  <c r="K134" i="69" a="1"/>
  <c r="K134" i="69" s="1"/>
  <c r="L184" i="69" s="1" a="1"/>
  <c r="L184" i="69" s="1"/>
  <c r="L242" i="69" s="1" a="1"/>
  <c r="L242" i="69" s="1"/>
  <c r="X58" i="76"/>
  <c r="AA137" i="69" a="1"/>
  <c r="AA137" i="69" s="1"/>
  <c r="AB195" i="69" s="1" a="1"/>
  <c r="AB195" i="69" s="1"/>
  <c r="I134" i="69" a="1"/>
  <c r="I134" i="69" s="1"/>
  <c r="J184" i="69" s="1" a="1"/>
  <c r="J184" i="69" s="1"/>
  <c r="J242" i="69" s="1" a="1"/>
  <c r="J242" i="69" s="1"/>
  <c r="AB57" i="76"/>
  <c r="AC132" i="69" a="1"/>
  <c r="AC132" i="69" s="1"/>
  <c r="AD190" i="69" s="1" a="1"/>
  <c r="AD190" i="69" s="1"/>
  <c r="E57" i="76"/>
  <c r="E65" i="76" s="1" a="1"/>
  <c r="E65" i="76" s="1"/>
  <c r="E130" i="76" s="1" a="1"/>
  <c r="E130" i="76" s="1"/>
  <c r="E172" i="76" s="1" a="1"/>
  <c r="E172" i="76" s="1"/>
  <c r="E210" i="76" s="1" a="1"/>
  <c r="E210" i="76" s="1"/>
  <c r="AD135" i="69" a="1"/>
  <c r="AD135" i="69" s="1"/>
  <c r="AE193" i="69" s="1" a="1"/>
  <c r="AE193" i="69" s="1"/>
  <c r="L56" i="76"/>
  <c r="L64" i="76" s="1" a="1"/>
  <c r="L64" i="76" s="1"/>
  <c r="L129" i="76" s="1" a="1"/>
  <c r="L129" i="76" s="1"/>
  <c r="L171" i="76" s="1" a="1"/>
  <c r="L171" i="76" s="1"/>
  <c r="L209" i="76" s="1" a="1"/>
  <c r="L209" i="76" s="1"/>
  <c r="L54" i="76"/>
  <c r="L62" i="76" s="1" a="1"/>
  <c r="L62" i="76" s="1"/>
  <c r="L127" i="76" s="1" a="1"/>
  <c r="L127" i="76" s="1"/>
  <c r="L169" i="76" s="1" a="1"/>
  <c r="L169" i="76" s="1"/>
  <c r="L207" i="76" s="1" a="1"/>
  <c r="L207" i="76" s="1"/>
  <c r="Z66" i="76"/>
  <c r="AB66" i="76"/>
  <c r="AB142" i="69" a="1"/>
  <c r="AB142" i="69" s="1"/>
  <c r="AC200" i="69" s="1" a="1"/>
  <c r="AC200" i="69" s="1"/>
  <c r="W60" i="76"/>
  <c r="H55" i="76"/>
  <c r="H63" i="76" s="1" a="1"/>
  <c r="H63" i="76" s="1"/>
  <c r="H128" i="76" s="1" a="1"/>
  <c r="H128" i="76" s="1"/>
  <c r="H170" i="76" s="1" a="1"/>
  <c r="H170" i="76" s="1"/>
  <c r="H208" i="76" s="1" a="1"/>
  <c r="H208" i="76" s="1"/>
  <c r="I54" i="76"/>
  <c r="I62" i="76" s="1" a="1"/>
  <c r="I62" i="76" s="1"/>
  <c r="I127" i="76" s="1" a="1"/>
  <c r="I127" i="76" s="1"/>
  <c r="I169" i="76" s="1" a="1"/>
  <c r="I169" i="76" s="1"/>
  <c r="I207" i="76" s="1" a="1"/>
  <c r="I207" i="76" s="1"/>
  <c r="X131" i="69" a="1"/>
  <c r="X131" i="69" s="1"/>
  <c r="Y189" i="69" s="1" a="1"/>
  <c r="Y189" i="69" s="1"/>
  <c r="N54" i="76"/>
  <c r="N62" i="76" s="1" a="1"/>
  <c r="N62" i="76" s="1"/>
  <c r="N127" i="76" s="1" a="1"/>
  <c r="N127" i="76" s="1"/>
  <c r="N169" i="76" s="1" a="1"/>
  <c r="N169" i="76" s="1"/>
  <c r="N207" i="76" s="1" a="1"/>
  <c r="N207" i="76" s="1"/>
  <c r="M54" i="76"/>
  <c r="M62" i="76" s="1" a="1"/>
  <c r="M62" i="76" s="1"/>
  <c r="M127" i="76" s="1" a="1"/>
  <c r="M127" i="76" s="1"/>
  <c r="M169" i="76" s="1" a="1"/>
  <c r="M169" i="76" s="1"/>
  <c r="M207" i="76" s="1" a="1"/>
  <c r="M207" i="76" s="1"/>
  <c r="AE63" i="76"/>
  <c r="W64" i="76"/>
  <c r="G133" i="69" a="1"/>
  <c r="G133" i="69" s="1"/>
  <c r="H179" i="69" s="1" a="1"/>
  <c r="H179" i="69" s="1"/>
  <c r="H237" i="69" s="1" a="1"/>
  <c r="H237" i="69" s="1"/>
  <c r="Z59" i="76"/>
  <c r="AD131" i="69" a="1"/>
  <c r="AD131" i="69" s="1"/>
  <c r="AE189" i="69" s="1" a="1"/>
  <c r="AE189" i="69" s="1"/>
  <c r="F133" i="69" a="1"/>
  <c r="F133" i="69" s="1"/>
  <c r="G179" i="69" s="1" a="1"/>
  <c r="G179" i="69" s="1"/>
  <c r="G237" i="69" s="1" a="1"/>
  <c r="G237" i="69" s="1"/>
  <c r="I133" i="69" a="1"/>
  <c r="I133" i="69" s="1"/>
  <c r="J183" i="69" s="1" a="1"/>
  <c r="J183" i="69" s="1"/>
  <c r="J241" i="69" s="1" a="1"/>
  <c r="J241" i="69" s="1"/>
  <c r="E56" i="76"/>
  <c r="E64" i="76" s="1" a="1"/>
  <c r="E64" i="76" s="1"/>
  <c r="E129" i="76" s="1" a="1"/>
  <c r="E129" i="76" s="1"/>
  <c r="E171" i="76" s="1" a="1"/>
  <c r="E171" i="76" s="1"/>
  <c r="E209" i="76" s="1" a="1"/>
  <c r="E209" i="76" s="1"/>
  <c r="AB64" i="76"/>
  <c r="AD64" i="76"/>
  <c r="Y61" i="76"/>
  <c r="Y142" i="69" a="1"/>
  <c r="Y142" i="69" s="1"/>
  <c r="Z200" i="69" s="1" a="1"/>
  <c r="Z200" i="69" s="1"/>
  <c r="X136" i="69" a="1"/>
  <c r="X136" i="69" s="1"/>
  <c r="Y194" i="69" s="1" a="1"/>
  <c r="Y194" i="69" s="1"/>
  <c r="M56" i="76"/>
  <c r="M64" i="76" s="1" a="1"/>
  <c r="M64" i="76" s="1"/>
  <c r="M129" i="76" s="1" a="1"/>
  <c r="M129" i="76" s="1"/>
  <c r="M171" i="76" s="1" a="1"/>
  <c r="M171" i="76" s="1"/>
  <c r="M209" i="76" s="1" a="1"/>
  <c r="M209" i="76" s="1"/>
  <c r="X66" i="76"/>
  <c r="AE67" i="76"/>
  <c r="AB139" i="69" a="1"/>
  <c r="AB139" i="69" s="1"/>
  <c r="AC197" i="69" s="1" a="1"/>
  <c r="AC197" i="69" s="1"/>
  <c r="AF133" i="69" a="1"/>
  <c r="AF133" i="69" s="1"/>
  <c r="AG191" i="69" s="1" a="1"/>
  <c r="AG191" i="69" s="1"/>
  <c r="X63" i="76"/>
  <c r="N184" i="69" a="1"/>
  <c r="N184" i="69" s="1"/>
  <c r="N242" i="69" s="1" a="1"/>
  <c r="N242" i="69" s="1"/>
  <c r="AB133" i="69" a="1"/>
  <c r="AB133" i="69" s="1"/>
  <c r="AC191" i="69" s="1" a="1"/>
  <c r="AC191" i="69" s="1"/>
  <c r="Y66" i="76"/>
  <c r="AC142" i="69" a="1"/>
  <c r="AC142" i="69" s="1"/>
  <c r="AD200" i="69" s="1" a="1"/>
  <c r="AD200" i="69" s="1"/>
  <c r="AE60" i="76"/>
  <c r="AF134" i="69" a="1"/>
  <c r="AF134" i="69" s="1"/>
  <c r="AG192" i="69" s="1" a="1"/>
  <c r="AG192" i="69" s="1"/>
  <c r="Y56" i="76"/>
  <c r="X64" i="76"/>
  <c r="AA61" i="76"/>
  <c r="AB137" i="69" a="1"/>
  <c r="AB137" i="69" s="1"/>
  <c r="AC195" i="69" s="1" a="1"/>
  <c r="AC195" i="69" s="1"/>
  <c r="X61" i="76"/>
  <c r="AA265" i="69" a="1"/>
  <c r="AA265" i="69" s="1"/>
  <c r="AB67" i="76"/>
  <c r="AC62" i="76"/>
  <c r="V65" i="76"/>
  <c r="AD56" i="76"/>
  <c r="AB63" i="76"/>
  <c r="AA56" i="76"/>
  <c r="L177" i="69" a="1"/>
  <c r="L177" i="69" s="1"/>
  <c r="L235" i="69" s="1" a="1"/>
  <c r="L235" i="69" s="1"/>
  <c r="L181" i="69" a="1"/>
  <c r="L181" i="69" s="1"/>
  <c r="L239" i="69" s="1" a="1"/>
  <c r="L239" i="69" s="1"/>
  <c r="Z265" i="69" a="1"/>
  <c r="Z265" i="69" s="1"/>
  <c r="X57" i="76"/>
  <c r="F54" i="76"/>
  <c r="F62" i="76" s="1" a="1"/>
  <c r="F62" i="76" s="1"/>
  <c r="F127" i="76" s="1" a="1"/>
  <c r="F127" i="76" s="1"/>
  <c r="F169" i="76" s="1" a="1"/>
  <c r="F169" i="76" s="1"/>
  <c r="F207" i="76" s="1" a="1"/>
  <c r="F207" i="76" s="1"/>
  <c r="K54" i="76"/>
  <c r="K62" i="76" s="1" a="1"/>
  <c r="K62" i="76" s="1"/>
  <c r="K127" i="76" s="1" a="1"/>
  <c r="K127" i="76" s="1"/>
  <c r="K169" i="76" s="1" a="1"/>
  <c r="K169" i="76" s="1"/>
  <c r="K207" i="76" s="1" a="1"/>
  <c r="K207" i="76" s="1"/>
  <c r="Y264" i="69" a="1"/>
  <c r="Y264" i="69" s="1"/>
  <c r="W56" i="76"/>
  <c r="V66" i="76"/>
  <c r="AD60" i="76"/>
  <c r="AB58" i="76"/>
  <c r="Z63" i="76"/>
  <c r="AC140" i="69" a="1"/>
  <c r="AC140" i="69" s="1"/>
  <c r="AD198" i="69" s="1" a="1"/>
  <c r="AD198" i="69" s="1"/>
  <c r="AC64" i="76"/>
  <c r="G177" i="69" a="1"/>
  <c r="G177" i="69" s="1"/>
  <c r="G235" i="69" s="1" a="1"/>
  <c r="G235" i="69" s="1"/>
  <c r="G181" i="69" a="1"/>
  <c r="G181" i="69" s="1"/>
  <c r="G239" i="69" s="1" a="1"/>
  <c r="G239" i="69" s="1"/>
  <c r="AE58" i="76"/>
  <c r="AC57" i="76"/>
  <c r="K180" i="69" a="1"/>
  <c r="K180" i="69" s="1"/>
  <c r="K238" i="69" s="1" a="1"/>
  <c r="K238" i="69" s="1"/>
  <c r="Z61" i="76"/>
  <c r="AF267" i="69" a="1"/>
  <c r="AF267" i="69" s="1"/>
  <c r="H181" i="69" a="1"/>
  <c r="H181" i="69" s="1"/>
  <c r="H239" i="69" s="1" a="1"/>
  <c r="H239" i="69" s="1"/>
  <c r="AC60" i="76"/>
  <c r="V60" i="76"/>
  <c r="G182" i="69" a="1"/>
  <c r="G182" i="69" s="1"/>
  <c r="G240" i="69" s="1" a="1"/>
  <c r="G240" i="69" s="1"/>
  <c r="AE62" i="76"/>
  <c r="N183" i="69" a="1"/>
  <c r="N183" i="69" s="1"/>
  <c r="N241" i="69" s="1" a="1"/>
  <c r="N241" i="69" s="1"/>
  <c r="Y67" i="76"/>
  <c r="N182" i="69" a="1"/>
  <c r="N182" i="69" s="1"/>
  <c r="N240" i="69" s="1" a="1"/>
  <c r="N240" i="69" s="1"/>
  <c r="AE136" i="69" a="1"/>
  <c r="AE136" i="69" s="1"/>
  <c r="AF194" i="69" s="1" a="1"/>
  <c r="AF194" i="69" s="1"/>
  <c r="H133" i="69" a="1"/>
  <c r="H133" i="69" s="1"/>
  <c r="K132" i="69" a="1"/>
  <c r="K132" i="69" s="1"/>
  <c r="L178" i="69" s="1" a="1"/>
  <c r="L178" i="69" s="1"/>
  <c r="L236" i="69" s="1" a="1"/>
  <c r="L236" i="69" s="1"/>
  <c r="AC56" i="76"/>
  <c r="F134" i="69" a="1"/>
  <c r="F134" i="69" s="1"/>
  <c r="G184" i="69" s="1" a="1"/>
  <c r="G184" i="69" s="1"/>
  <c r="G242" i="69" s="1" a="1"/>
  <c r="G242" i="69" s="1"/>
  <c r="M181" i="69" a="1"/>
  <c r="M181" i="69" s="1"/>
  <c r="M239" i="69" s="1" a="1"/>
  <c r="M239" i="69" s="1"/>
  <c r="AE61" i="76"/>
  <c r="L55" i="76"/>
  <c r="L63" i="76" s="1" a="1"/>
  <c r="L63" i="76" s="1"/>
  <c r="L128" i="76" s="1" a="1"/>
  <c r="L128" i="76" s="1"/>
  <c r="L170" i="76" s="1" a="1"/>
  <c r="L170" i="76" s="1"/>
  <c r="L208" i="76" s="1" a="1"/>
  <c r="L208" i="76" s="1"/>
  <c r="N134" i="69" a="1"/>
  <c r="N134" i="69" s="1"/>
  <c r="O184" i="69" s="1" a="1"/>
  <c r="O184" i="69" s="1"/>
  <c r="O242" i="69" s="1" a="1"/>
  <c r="O242" i="69" s="1"/>
  <c r="F182" i="69" a="1"/>
  <c r="F182" i="69" s="1"/>
  <c r="F240" i="69" s="1" a="1"/>
  <c r="F240" i="69" s="1"/>
  <c r="V62" i="76"/>
  <c r="AF132" i="69" a="1"/>
  <c r="AF132" i="69" s="1"/>
  <c r="AG190" i="69" s="1" a="1"/>
  <c r="AG190" i="69" s="1"/>
  <c r="M183" i="69" a="1"/>
  <c r="M183" i="69" s="1"/>
  <c r="M241" i="69" s="1" a="1"/>
  <c r="M241" i="69" s="1"/>
  <c r="AA63" i="76"/>
  <c r="G55" i="76"/>
  <c r="G63" i="76" s="1" a="1"/>
  <c r="G63" i="76" s="1"/>
  <c r="G128" i="76" s="1" a="1"/>
  <c r="G128" i="76" s="1"/>
  <c r="G170" i="76" s="1" a="1"/>
  <c r="G170" i="76" s="1"/>
  <c r="G208" i="76" s="1" a="1"/>
  <c r="G208" i="76" s="1"/>
  <c r="N55" i="76"/>
  <c r="N63" i="76" s="1" a="1"/>
  <c r="N63" i="76" s="1"/>
  <c r="N128" i="76" s="1" a="1"/>
  <c r="N128" i="76" s="1"/>
  <c r="N170" i="76" s="1" a="1"/>
  <c r="N170" i="76" s="1"/>
  <c r="N208" i="76" s="1" a="1"/>
  <c r="N208" i="76" s="1"/>
  <c r="H57" i="76"/>
  <c r="H65" i="76" s="1" a="1"/>
  <c r="H65" i="76" s="1"/>
  <c r="H130" i="76" s="1" a="1"/>
  <c r="H130" i="76" s="1"/>
  <c r="H172" i="76" s="1" a="1"/>
  <c r="H172" i="76" s="1"/>
  <c r="H210" i="76" s="1" a="1"/>
  <c r="H210" i="76" s="1"/>
  <c r="AA264" i="69" a="1"/>
  <c r="AA264" i="69" s="1"/>
  <c r="Y269" i="69" a="1"/>
  <c r="Y269" i="69" s="1"/>
  <c r="O182" i="69" a="1"/>
  <c r="O182" i="69" s="1"/>
  <c r="O240" i="69" s="1" a="1"/>
  <c r="O240" i="69" s="1"/>
  <c r="O178" i="69" a="1"/>
  <c r="O178" i="69" s="1"/>
  <c r="O236" i="69" s="1" a="1"/>
  <c r="O236" i="69" s="1"/>
  <c r="AB274" i="69" a="1"/>
  <c r="AB274" i="69" s="1"/>
  <c r="M182" i="69" a="1"/>
  <c r="M182" i="69" s="1"/>
  <c r="M240" i="69" s="1" a="1"/>
  <c r="M240" i="69" s="1"/>
  <c r="M178" i="69" a="1"/>
  <c r="M178" i="69" s="1"/>
  <c r="M236" i="69" s="1" a="1"/>
  <c r="M236" i="69" s="1"/>
  <c r="N56" i="76"/>
  <c r="N64" i="76" s="1" a="1"/>
  <c r="N64" i="76" s="1"/>
  <c r="N129" i="76" s="1" a="1"/>
  <c r="N129" i="76" s="1"/>
  <c r="N171" i="76" s="1" a="1"/>
  <c r="N171" i="76" s="1"/>
  <c r="N209" i="76" s="1" a="1"/>
  <c r="N209" i="76" s="1"/>
  <c r="V58" i="76"/>
  <c r="AA66" i="76"/>
  <c r="Y65" i="76"/>
  <c r="AA62" i="76"/>
  <c r="O181" i="69" a="1"/>
  <c r="O181" i="69" s="1"/>
  <c r="O239" i="69" s="1" a="1"/>
  <c r="O239" i="69" s="1"/>
  <c r="N181" i="69" a="1"/>
  <c r="N181" i="69" s="1"/>
  <c r="N239" i="69" s="1" a="1"/>
  <c r="N239" i="69" s="1"/>
  <c r="J54" i="76"/>
  <c r="J62" i="76" s="1" a="1"/>
  <c r="J62" i="76" s="1"/>
  <c r="J127" i="76" s="1" a="1"/>
  <c r="J127" i="76" s="1"/>
  <c r="J169" i="76" s="1" a="1"/>
  <c r="J169" i="76" s="1"/>
  <c r="J207" i="76" s="1" a="1"/>
  <c r="J207" i="76" s="1"/>
  <c r="X62" i="76"/>
  <c r="I182" i="69" a="1"/>
  <c r="I182" i="69" s="1"/>
  <c r="I240" i="69" s="1" a="1"/>
  <c r="I240" i="69" s="1"/>
  <c r="AG263" i="69" a="1"/>
  <c r="AG263" i="69" s="1"/>
  <c r="AE265" i="69" a="1"/>
  <c r="AE265" i="69" s="1"/>
  <c r="W65" i="76"/>
  <c r="AA138" i="69" a="1"/>
  <c r="AA138" i="69" s="1"/>
  <c r="AB196" i="69" s="1" a="1"/>
  <c r="AB196" i="69" s="1"/>
  <c r="L179" i="69" a="1"/>
  <c r="L179" i="69" s="1"/>
  <c r="L237" i="69" s="1" a="1"/>
  <c r="L237" i="69" s="1"/>
  <c r="L183" i="69" a="1"/>
  <c r="L183" i="69" s="1"/>
  <c r="L241" i="69" s="1" a="1"/>
  <c r="L241" i="69" s="1"/>
  <c r="O179" i="69" a="1"/>
  <c r="O179" i="69" s="1"/>
  <c r="O237" i="69" s="1" a="1"/>
  <c r="O237" i="69" s="1"/>
  <c r="I184" i="69" a="1"/>
  <c r="I184" i="69" s="1"/>
  <c r="I242" i="69" s="1" a="1"/>
  <c r="I242" i="69" s="1"/>
  <c r="K56" i="76"/>
  <c r="K64" i="76" s="1" a="1"/>
  <c r="K64" i="76" s="1"/>
  <c r="K129" i="76" s="1" a="1"/>
  <c r="K129" i="76" s="1"/>
  <c r="K171" i="76" s="1" a="1"/>
  <c r="K171" i="76" s="1"/>
  <c r="K209" i="76" s="1" a="1"/>
  <c r="K209" i="76" s="1"/>
  <c r="F183" i="69" a="1"/>
  <c r="F183" i="69" s="1"/>
  <c r="F241" i="69" s="1" a="1"/>
  <c r="F241" i="69" s="1"/>
  <c r="H182" i="69" a="1"/>
  <c r="H182" i="69" s="1"/>
  <c r="H240" i="69" s="1" a="1"/>
  <c r="H240" i="69" s="1"/>
  <c r="AD263" i="69" a="1"/>
  <c r="AD263" i="69" s="1"/>
  <c r="F180" i="69" a="1"/>
  <c r="F180" i="69" s="1"/>
  <c r="F238" i="69" s="1" a="1"/>
  <c r="F238" i="69" s="1"/>
  <c r="K177" i="69" a="1"/>
  <c r="K177" i="69" s="1"/>
  <c r="K235" i="69" s="1" a="1"/>
  <c r="K235" i="69" s="1"/>
  <c r="V77" i="76" a="1"/>
  <c r="V77" i="76" s="1"/>
  <c r="V141" i="76" s="1" a="1"/>
  <c r="V141" i="76" s="1"/>
  <c r="V201" i="76" s="1" a="1"/>
  <c r="V201" i="76" s="1"/>
  <c r="AB135" i="69" a="1"/>
  <c r="AB135" i="69" s="1"/>
  <c r="AC193" i="69" s="1" a="1"/>
  <c r="AC193" i="69" s="1"/>
  <c r="Z60" i="76"/>
  <c r="X76" i="76" a="1"/>
  <c r="X76" i="76" s="1"/>
  <c r="X140" i="76" s="1" a="1"/>
  <c r="X140" i="76" s="1"/>
  <c r="X200" i="76" s="1" a="1"/>
  <c r="X200" i="76" s="1"/>
  <c r="V75" i="76" a="1"/>
  <c r="V75" i="76" s="1"/>
  <c r="V139" i="76" s="1" a="1"/>
  <c r="V139" i="76" s="1"/>
  <c r="V199" i="76" s="1" a="1"/>
  <c r="V199" i="76" s="1"/>
  <c r="E131" i="69" a="1"/>
  <c r="E131" i="69" s="1"/>
  <c r="E54" i="76"/>
  <c r="K178" i="69" a="1"/>
  <c r="K178" i="69" s="1"/>
  <c r="K236" i="69" s="1" a="1"/>
  <c r="K236" i="69" s="1"/>
  <c r="AB77" i="76" a="1"/>
  <c r="AB77" i="76" s="1"/>
  <c r="AB141" i="76" s="1" a="1"/>
  <c r="AB141" i="76" s="1"/>
  <c r="AB201" i="76" s="1" a="1"/>
  <c r="AB201" i="76" s="1"/>
  <c r="J181" i="69" a="1"/>
  <c r="J181" i="69" s="1"/>
  <c r="J239" i="69" s="1" a="1"/>
  <c r="J239" i="69" s="1"/>
  <c r="V79" i="76" a="1"/>
  <c r="V79" i="76" s="1"/>
  <c r="V143" i="76" s="1" a="1"/>
  <c r="V143" i="76" s="1"/>
  <c r="V203" i="76" s="1" a="1"/>
  <c r="V203" i="76" s="1"/>
  <c r="G65" i="76" a="1"/>
  <c r="G65" i="76" s="1"/>
  <c r="G130" i="76" s="1" a="1"/>
  <c r="G130" i="76" s="1"/>
  <c r="G172" i="76" s="1" a="1"/>
  <c r="G172" i="76" s="1"/>
  <c r="G210" i="76" s="1" a="1"/>
  <c r="G210" i="76" s="1"/>
  <c r="J133" i="69" a="1"/>
  <c r="J133" i="69" s="1"/>
  <c r="J56" i="76"/>
  <c r="J64" i="76" s="1" a="1"/>
  <c r="J64" i="76" s="1"/>
  <c r="J129" i="76" s="1" a="1"/>
  <c r="J129" i="76" s="1"/>
  <c r="J171" i="76" s="1" a="1"/>
  <c r="J171" i="76" s="1"/>
  <c r="J209" i="76" s="1" a="1"/>
  <c r="J209" i="76" s="1"/>
  <c r="G64" i="76" a="1"/>
  <c r="G64" i="76" s="1"/>
  <c r="G129" i="76" s="1" a="1"/>
  <c r="G129" i="76" s="1"/>
  <c r="G171" i="76" s="1" a="1"/>
  <c r="G171" i="76" s="1"/>
  <c r="G209" i="76" s="1" a="1"/>
  <c r="G209" i="76" s="1"/>
  <c r="K63" i="76" a="1"/>
  <c r="K63" i="76" s="1"/>
  <c r="K128" i="76" s="1" a="1"/>
  <c r="K128" i="76" s="1"/>
  <c r="K170" i="76" s="1" a="1"/>
  <c r="K170" i="76" s="1"/>
  <c r="K208" i="76" s="1" a="1"/>
  <c r="K208" i="76" s="1"/>
  <c r="X139" i="69" a="1"/>
  <c r="X139" i="69" s="1"/>
  <c r="Y197" i="69" s="1" a="1"/>
  <c r="Y197" i="69" s="1"/>
  <c r="V64" i="76"/>
  <c r="V72" i="76" a="1"/>
  <c r="V72" i="76" s="1"/>
  <c r="V136" i="76" s="1" a="1"/>
  <c r="V136" i="76" s="1"/>
  <c r="V196" i="76" s="1" a="1"/>
  <c r="V196" i="76" s="1"/>
  <c r="X83" i="76" a="1"/>
  <c r="X83" i="76" s="1"/>
  <c r="X147" i="76" s="1" a="1"/>
  <c r="X147" i="76" s="1"/>
  <c r="X207" i="76" s="1" a="1"/>
  <c r="X207" i="76" s="1"/>
  <c r="AE66" i="76"/>
  <c r="AG141" i="69" a="1"/>
  <c r="AG141" i="69" s="1"/>
  <c r="AH199" i="69" s="1" a="1"/>
  <c r="AH199" i="69" s="1"/>
  <c r="W57" i="76"/>
  <c r="Y132" i="69" a="1"/>
  <c r="Y132" i="69" s="1"/>
  <c r="Z190" i="69" s="1" a="1"/>
  <c r="Z190" i="69" s="1"/>
  <c r="AA58" i="76"/>
  <c r="AC133" i="69" a="1"/>
  <c r="AC133" i="69" s="1"/>
  <c r="AD191" i="69" s="1" a="1"/>
  <c r="AD191" i="69" s="1"/>
  <c r="AB76" i="76" a="1"/>
  <c r="AB76" i="76" s="1"/>
  <c r="AB140" i="76" s="1" a="1"/>
  <c r="AB140" i="76" s="1"/>
  <c r="AB200" i="76" s="1" a="1"/>
  <c r="AB200" i="76" s="1"/>
  <c r="K65" i="76" a="1"/>
  <c r="K65" i="76" s="1"/>
  <c r="K130" i="76" s="1" a="1"/>
  <c r="K130" i="76" s="1"/>
  <c r="K172" i="76" s="1" a="1"/>
  <c r="K172" i="76" s="1"/>
  <c r="K210" i="76" s="1" a="1"/>
  <c r="K210" i="76" s="1"/>
  <c r="AC65" i="76"/>
  <c r="AE140" i="69" a="1"/>
  <c r="AE140" i="69" s="1"/>
  <c r="AF198" i="69" s="1" a="1"/>
  <c r="AF198" i="69" s="1"/>
  <c r="AB75" i="76" a="1"/>
  <c r="AB75" i="76" s="1"/>
  <c r="AB139" i="76" s="1" a="1"/>
  <c r="AB139" i="76" s="1"/>
  <c r="AB199" i="76" s="1" a="1"/>
  <c r="AB199" i="76" s="1"/>
  <c r="AB72" i="76" a="1"/>
  <c r="AB72" i="76" s="1"/>
  <c r="AB136" i="76" s="1" a="1"/>
  <c r="AB136" i="76" s="1"/>
  <c r="AB196" i="76" s="1" a="1"/>
  <c r="AB196" i="76" s="1"/>
  <c r="I177" i="69" a="1"/>
  <c r="I177" i="69" s="1"/>
  <c r="I235" i="69" s="1" a="1"/>
  <c r="I235" i="69" s="1"/>
  <c r="AD257" i="69" l="1" a="1"/>
  <c r="AD257" i="69" s="1"/>
  <c r="AA251" i="69" a="1"/>
  <c r="AA251" i="69" s="1"/>
  <c r="AB256" i="69" a="1"/>
  <c r="AB256" i="69" s="1"/>
  <c r="AA270" i="69" a="1"/>
  <c r="AA270" i="69" s="1"/>
  <c r="AH268" i="69" a="1"/>
  <c r="AH268" i="69" s="1"/>
  <c r="Y253" i="69" a="1"/>
  <c r="Y253" i="69" s="1"/>
  <c r="AD269" i="69" a="1"/>
  <c r="AD269" i="69" s="1"/>
  <c r="AC256" i="69" a="1"/>
  <c r="AC256" i="69" s="1"/>
  <c r="AG274" i="69" a="1"/>
  <c r="AG274" i="69" s="1"/>
  <c r="AA272" i="69" a="1"/>
  <c r="AA272" i="69" s="1"/>
  <c r="AD256" i="69" a="1"/>
  <c r="AD256" i="69" s="1"/>
  <c r="AC254" i="69" a="1"/>
  <c r="AC254" i="69" s="1"/>
  <c r="AH272" i="69" a="1"/>
  <c r="AH272" i="69" s="1"/>
  <c r="Z178" i="69" a="1"/>
  <c r="Z178" i="69" s="1"/>
  <c r="AA269" i="69" s="1" a="1"/>
  <c r="AA269" i="69" s="1"/>
  <c r="AF186" i="69" a="1"/>
  <c r="AF186" i="69" s="1"/>
  <c r="AF260" i="69" s="1" a="1"/>
  <c r="AF260" i="69" s="1"/>
  <c r="AB184" i="69" a="1"/>
  <c r="AB184" i="69" s="1"/>
  <c r="AB258" i="69" s="1" a="1"/>
  <c r="AB258" i="69" s="1"/>
  <c r="AG272" i="69" a="1"/>
  <c r="AG272" i="69" s="1"/>
  <c r="AA273" i="69" a="1"/>
  <c r="AA273" i="69" s="1"/>
  <c r="AC181" i="69" a="1"/>
  <c r="AC181" i="69" s="1"/>
  <c r="AD272" i="69" s="1" a="1"/>
  <c r="AD272" i="69" s="1"/>
  <c r="AC267" i="69" a="1"/>
  <c r="AC267" i="69" s="1"/>
  <c r="AB273" i="69" a="1"/>
  <c r="AB273" i="69" s="1"/>
  <c r="Z269" i="69" a="1"/>
  <c r="Z269" i="69" s="1"/>
  <c r="AD179" i="69" a="1"/>
  <c r="AD179" i="69" s="1"/>
  <c r="AE270" i="69" s="1" a="1"/>
  <c r="AE270" i="69" s="1"/>
  <c r="AB251" i="69" a="1"/>
  <c r="AB251" i="69" s="1"/>
  <c r="Y185" i="69" a="1"/>
  <c r="Y185" i="69" s="1"/>
  <c r="Y259" i="69" s="1" a="1"/>
  <c r="Y259" i="69" s="1"/>
  <c r="Y271" i="69" a="1"/>
  <c r="Y271" i="69" s="1"/>
  <c r="AG271" i="69" a="1"/>
  <c r="AG271" i="69" s="1"/>
  <c r="AA268" i="69" a="1"/>
  <c r="AA268" i="69" s="1"/>
  <c r="AC274" i="69" a="1"/>
  <c r="AC274" i="69" s="1"/>
  <c r="AB271" i="69" a="1"/>
  <c r="AB271" i="69" s="1"/>
  <c r="AF269" i="69" a="1"/>
  <c r="AF269" i="69" s="1"/>
  <c r="AC272" i="69" a="1"/>
  <c r="AC272" i="69" s="1"/>
  <c r="AH187" i="69" a="1"/>
  <c r="AH187" i="69" s="1"/>
  <c r="AH261" i="69" s="1" a="1"/>
  <c r="AH261" i="69" s="1"/>
  <c r="AG268" i="69" a="1"/>
  <c r="AG268" i="69" s="1"/>
  <c r="AD186" i="69" a="1"/>
  <c r="AD186" i="69" s="1"/>
  <c r="AD260" i="69" s="1" a="1"/>
  <c r="AD260" i="69" s="1"/>
  <c r="AE181" i="69" a="1"/>
  <c r="AE181" i="69" s="1"/>
  <c r="AE255" i="69" s="1" a="1"/>
  <c r="AE255" i="69" s="1"/>
  <c r="AH178" i="69" a="1"/>
  <c r="AH178" i="69" s="1"/>
  <c r="AH252" i="69" s="1" a="1"/>
  <c r="AH252" i="69" s="1"/>
  <c r="Z188" i="69" a="1"/>
  <c r="Z188" i="69" s="1"/>
  <c r="Z262" i="69" s="1" a="1"/>
  <c r="Z262" i="69" s="1"/>
  <c r="AG266" i="69" a="1"/>
  <c r="AG266" i="69" s="1"/>
  <c r="AG180" i="69" a="1"/>
  <c r="AG180" i="69" s="1"/>
  <c r="AD188" i="69" a="1"/>
  <c r="AD188" i="69" s="1"/>
  <c r="AD262" i="69" s="1" a="1"/>
  <c r="AD262" i="69" s="1"/>
  <c r="AB180" i="69" a="1"/>
  <c r="AB180" i="69" s="1"/>
  <c r="AB254" i="69" s="1" a="1"/>
  <c r="AB254" i="69" s="1"/>
  <c r="AC177" i="69" a="1"/>
  <c r="AC177" i="69" s="1"/>
  <c r="AG264" i="69" a="1"/>
  <c r="AG264" i="69" s="1"/>
  <c r="AG178" i="69" a="1"/>
  <c r="AG178" i="69" s="1"/>
  <c r="AC185" i="69" a="1"/>
  <c r="AC185" i="69" s="1"/>
  <c r="AC259" i="69" s="1" a="1"/>
  <c r="AC259" i="69" s="1"/>
  <c r="AD181" i="69" a="1"/>
  <c r="AD181" i="69" s="1"/>
  <c r="Y268" i="69" a="1"/>
  <c r="Y268" i="69" s="1"/>
  <c r="Y182" i="69" a="1"/>
  <c r="Y182" i="69" s="1"/>
  <c r="Y256" i="69" s="1" a="1"/>
  <c r="Y256" i="69" s="1"/>
  <c r="AF182" i="69" a="1"/>
  <c r="AF182" i="69" s="1"/>
  <c r="AG179" i="69" a="1"/>
  <c r="AG179" i="69" s="1"/>
  <c r="AG184" i="69" a="1"/>
  <c r="AG184" i="69" s="1"/>
  <c r="AG258" i="69" s="1" a="1"/>
  <c r="AG258" i="69" s="1"/>
  <c r="Z187" i="69" a="1"/>
  <c r="Z187" i="69" s="1"/>
  <c r="Z261" i="69" s="1" a="1"/>
  <c r="Z261" i="69" s="1"/>
  <c r="AE180" i="69" a="1"/>
  <c r="AE180" i="69" s="1"/>
  <c r="Y180" i="69" a="1"/>
  <c r="Y180" i="69" s="1"/>
  <c r="AE183" i="69" a="1"/>
  <c r="AE183" i="69" s="1"/>
  <c r="AC183" i="69" a="1"/>
  <c r="AC183" i="69" s="1"/>
  <c r="AC257" i="69" s="1" a="1"/>
  <c r="AC257" i="69" s="1"/>
  <c r="AB265" i="69" a="1"/>
  <c r="AB265" i="69" s="1"/>
  <c r="AB179" i="69" a="1"/>
  <c r="AB179" i="69" s="1"/>
  <c r="AD180" i="69" a="1"/>
  <c r="AD180" i="69" s="1"/>
  <c r="AF184" i="69" a="1"/>
  <c r="AF184" i="69" s="1"/>
  <c r="AF258" i="69" s="1" a="1"/>
  <c r="AF258" i="69" s="1"/>
  <c r="AB269" i="69" a="1"/>
  <c r="AB269" i="69" s="1"/>
  <c r="AB183" i="69" a="1"/>
  <c r="AB183" i="69" s="1"/>
  <c r="AB257" i="69" s="1" a="1"/>
  <c r="AB257" i="69" s="1"/>
  <c r="AB264" i="69" a="1"/>
  <c r="AB264" i="69" s="1"/>
  <c r="AB178" i="69" a="1"/>
  <c r="AB178" i="69" s="1"/>
  <c r="AB252" i="69" s="1" a="1"/>
  <c r="AB252" i="69" s="1"/>
  <c r="AG186" i="69" a="1"/>
  <c r="AG186" i="69" s="1"/>
  <c r="AG260" i="69" s="1" a="1"/>
  <c r="AG260" i="69" s="1"/>
  <c r="AC179" i="69" a="1"/>
  <c r="AC179" i="69" s="1"/>
  <c r="AG269" i="69" a="1"/>
  <c r="AG269" i="69" s="1"/>
  <c r="AG183" i="69" a="1"/>
  <c r="AG183" i="69" s="1"/>
  <c r="AE263" i="69" a="1"/>
  <c r="AE263" i="69" s="1"/>
  <c r="AE177" i="69" a="1"/>
  <c r="AE177" i="69" s="1"/>
  <c r="AF268" i="69" s="1" a="1"/>
  <c r="AF268" i="69" s="1"/>
  <c r="AB185" i="69" a="1"/>
  <c r="AB185" i="69" s="1"/>
  <c r="AB259" i="69" s="1" a="1"/>
  <c r="AB259" i="69" s="1"/>
  <c r="AA267" i="69" a="1"/>
  <c r="AA267" i="69" s="1"/>
  <c r="AA181" i="69" a="1"/>
  <c r="AA181" i="69" s="1"/>
  <c r="AD178" i="69" a="1"/>
  <c r="AD178" i="69" s="1"/>
  <c r="AD252" i="69" s="1" a="1"/>
  <c r="AD252" i="69" s="1"/>
  <c r="AH263" i="69" a="1"/>
  <c r="AH263" i="69" s="1"/>
  <c r="AH177" i="69" a="1"/>
  <c r="AH177" i="69" s="1"/>
  <c r="AH251" i="69" s="1" a="1"/>
  <c r="AH251" i="69" s="1"/>
  <c r="AC188" i="69" a="1"/>
  <c r="AC188" i="69" s="1"/>
  <c r="AC262" i="69" s="1" a="1"/>
  <c r="AC262" i="69" s="1"/>
  <c r="AE268" i="69" a="1"/>
  <c r="AE268" i="69" s="1"/>
  <c r="AE182" i="69" a="1"/>
  <c r="AE182" i="69" s="1"/>
  <c r="Z180" i="69" a="1"/>
  <c r="Z180" i="69" s="1"/>
  <c r="AG188" i="69" a="1"/>
  <c r="AG188" i="69" s="1"/>
  <c r="AG262" i="69" s="1" a="1"/>
  <c r="AG262" i="69" s="1"/>
  <c r="Y177" i="69" a="1"/>
  <c r="Y177" i="69" s="1"/>
  <c r="AE266" i="69" a="1"/>
  <c r="AE266" i="69" s="1"/>
  <c r="AF270" i="69" a="1"/>
  <c r="AF270" i="69" s="1"/>
  <c r="X81" i="76" a="1"/>
  <c r="X81" i="76" s="1"/>
  <c r="X145" i="76" s="1" a="1"/>
  <c r="X145" i="76" s="1"/>
  <c r="X205" i="76" s="1" a="1"/>
  <c r="X205" i="76" s="1"/>
  <c r="X257" i="76" s="1" a="1"/>
  <c r="X257" i="76" s="1"/>
  <c r="X72" i="76" a="1"/>
  <c r="X72" i="76" s="1"/>
  <c r="X136" i="76" s="1" a="1"/>
  <c r="X136" i="76" s="1"/>
  <c r="X196" i="76" s="1" a="1"/>
  <c r="X196" i="76" s="1"/>
  <c r="X248" i="76" s="1" a="1"/>
  <c r="X248" i="76" s="1"/>
  <c r="V73" i="76" a="1"/>
  <c r="V73" i="76" s="1"/>
  <c r="V137" i="76" s="1" a="1"/>
  <c r="V137" i="76" s="1"/>
  <c r="V197" i="76" s="1" a="1"/>
  <c r="V197" i="76" s="1"/>
  <c r="V249" i="76" s="1" a="1"/>
  <c r="V249" i="76" s="1"/>
  <c r="W79" i="76" a="1"/>
  <c r="W79" i="76" s="1"/>
  <c r="W143" i="76" s="1" a="1"/>
  <c r="W143" i="76" s="1"/>
  <c r="W203" i="76" s="1" a="1"/>
  <c r="W203" i="76" s="1"/>
  <c r="W255" i="76" s="1" a="1"/>
  <c r="W255" i="76" s="1"/>
  <c r="AC83" i="76" a="1"/>
  <c r="AC83" i="76" s="1"/>
  <c r="AC147" i="76" s="1" a="1"/>
  <c r="AC147" i="76" s="1"/>
  <c r="AC207" i="76" s="1" a="1"/>
  <c r="AC207" i="76" s="1"/>
  <c r="AC259" i="76" s="1" a="1"/>
  <c r="AC259" i="76" s="1"/>
  <c r="AE75" i="76" a="1"/>
  <c r="AE75" i="76" s="1"/>
  <c r="AE139" i="76" s="1" a="1"/>
  <c r="AE139" i="76" s="1"/>
  <c r="AE199" i="76" s="1" a="1"/>
  <c r="AE199" i="76" s="1"/>
  <c r="AE251" i="76" s="1" a="1"/>
  <c r="AE251" i="76" s="1"/>
  <c r="AC199" i="76" a="1"/>
  <c r="AC199" i="76" s="1"/>
  <c r="AC251" i="76" s="1" a="1"/>
  <c r="AC251" i="76" s="1"/>
  <c r="Z266" i="69" a="1"/>
  <c r="Z266" i="69" s="1"/>
  <c r="Y250" i="76" a="1"/>
  <c r="Y250" i="76" s="1"/>
  <c r="Y249" i="76" a="1"/>
  <c r="Y249" i="76" s="1"/>
  <c r="X79" i="76" a="1"/>
  <c r="X79" i="76" s="1"/>
  <c r="X143" i="76" s="1" a="1"/>
  <c r="X143" i="76" s="1"/>
  <c r="X203" i="76" s="1" a="1"/>
  <c r="X203" i="76" s="1"/>
  <c r="AE78" i="76" a="1"/>
  <c r="AE78" i="76" s="1"/>
  <c r="AE142" i="76" s="1" a="1"/>
  <c r="AE142" i="76" s="1"/>
  <c r="AE202" i="76" s="1" a="1"/>
  <c r="AE202" i="76" s="1"/>
  <c r="AA77" i="76" a="1"/>
  <c r="AA77" i="76" s="1"/>
  <c r="AA141" i="76" s="1" a="1"/>
  <c r="AA141" i="76" s="1"/>
  <c r="AA201" i="76" s="1" a="1"/>
  <c r="AA201" i="76" s="1"/>
  <c r="AE83" i="76" a="1"/>
  <c r="AE83" i="76" s="1"/>
  <c r="AE147" i="76" s="1" a="1"/>
  <c r="AE147" i="76" s="1"/>
  <c r="AE207" i="76" s="1" a="1"/>
  <c r="AE207" i="76" s="1"/>
  <c r="Z75" i="76" a="1"/>
  <c r="Z75" i="76" s="1"/>
  <c r="Z139" i="76" s="1" a="1"/>
  <c r="Z139" i="76" s="1"/>
  <c r="Z199" i="76" s="1" a="1"/>
  <c r="Z199" i="76" s="1"/>
  <c r="Z82" i="76" a="1"/>
  <c r="Z82" i="76" s="1"/>
  <c r="Z146" i="76" s="1" a="1"/>
  <c r="Z146" i="76" s="1"/>
  <c r="Z206" i="76" s="1" a="1"/>
  <c r="Z206" i="76" s="1"/>
  <c r="AD77" i="76" a="1"/>
  <c r="AD77" i="76" s="1"/>
  <c r="AD141" i="76" s="1" a="1"/>
  <c r="AD141" i="76" s="1"/>
  <c r="AD201" i="76" s="1" a="1"/>
  <c r="AD201" i="76" s="1"/>
  <c r="W258" i="76" a="1"/>
  <c r="W258" i="76" s="1"/>
  <c r="AA251" i="76" a="1"/>
  <c r="AA251" i="76" s="1"/>
  <c r="AC73" i="76" a="1"/>
  <c r="AC73" i="76" s="1"/>
  <c r="AC137" i="76" s="1" a="1"/>
  <c r="AC137" i="76" s="1"/>
  <c r="AC197" i="76" s="1" a="1"/>
  <c r="AC197" i="76" s="1"/>
  <c r="AB74" i="76" a="1"/>
  <c r="AB74" i="76" s="1"/>
  <c r="AB138" i="76" s="1" a="1"/>
  <c r="AB138" i="76" s="1"/>
  <c r="AB198" i="76" s="1" a="1"/>
  <c r="AB198" i="76" s="1"/>
  <c r="X82" i="76" a="1"/>
  <c r="X82" i="76" s="1"/>
  <c r="X146" i="76" s="1" a="1"/>
  <c r="X146" i="76" s="1"/>
  <c r="X206" i="76" s="1" a="1"/>
  <c r="X206" i="76" s="1"/>
  <c r="X75" i="76" a="1"/>
  <c r="X75" i="76" s="1"/>
  <c r="X139" i="76" s="1" a="1"/>
  <c r="X139" i="76" s="1"/>
  <c r="X199" i="76" s="1" a="1"/>
  <c r="X199" i="76" s="1"/>
  <c r="AA252" i="76" a="1"/>
  <c r="AA252" i="76" s="1"/>
  <c r="Y254" i="76" a="1"/>
  <c r="Y254" i="76" s="1"/>
  <c r="AD76" i="76" a="1"/>
  <c r="AD76" i="76" s="1"/>
  <c r="AD140" i="76" s="1" a="1"/>
  <c r="AD140" i="76" s="1"/>
  <c r="AD200" i="76" s="1" a="1"/>
  <c r="AD200" i="76" s="1"/>
  <c r="X80" i="76" a="1"/>
  <c r="X80" i="76" s="1"/>
  <c r="X144" i="76" s="1" a="1"/>
  <c r="X144" i="76" s="1"/>
  <c r="X204" i="76" s="1" a="1"/>
  <c r="X204" i="76" s="1"/>
  <c r="W80" i="76" a="1"/>
  <c r="W80" i="76" s="1"/>
  <c r="W144" i="76" s="1" a="1"/>
  <c r="W144" i="76" s="1"/>
  <c r="W204" i="76" s="1" a="1"/>
  <c r="W204" i="76" s="1"/>
  <c r="AE80" i="76" a="1"/>
  <c r="AE80" i="76" s="1"/>
  <c r="AE144" i="76" s="1" a="1"/>
  <c r="AE144" i="76" s="1"/>
  <c r="AE204" i="76" s="1" a="1"/>
  <c r="AE204" i="76" s="1"/>
  <c r="AA80" i="76" a="1"/>
  <c r="AA80" i="76" s="1"/>
  <c r="AA144" i="76" s="1" a="1"/>
  <c r="AA144" i="76" s="1"/>
  <c r="AA204" i="76" s="1" a="1"/>
  <c r="AA204" i="76" s="1"/>
  <c r="AD250" i="76" a="1"/>
  <c r="AD250" i="76" s="1"/>
  <c r="V253" i="76" a="1"/>
  <c r="V253" i="76" s="1"/>
  <c r="V76" i="76" a="1"/>
  <c r="V76" i="76" s="1"/>
  <c r="V140" i="76" s="1" a="1"/>
  <c r="V140" i="76" s="1"/>
  <c r="V200" i="76" s="1" a="1"/>
  <c r="V200" i="76" s="1"/>
  <c r="AC76" i="76" a="1"/>
  <c r="AC76" i="76" s="1"/>
  <c r="AC140" i="76" s="1" a="1"/>
  <c r="AC140" i="76" s="1"/>
  <c r="AC200" i="76" s="1" a="1"/>
  <c r="AC200" i="76" s="1"/>
  <c r="AE74" i="76" a="1"/>
  <c r="AE74" i="76" s="1"/>
  <c r="AE138" i="76" s="1" a="1"/>
  <c r="AE138" i="76" s="1"/>
  <c r="AE198" i="76" s="1" a="1"/>
  <c r="AE198" i="76" s="1"/>
  <c r="V82" i="76" a="1"/>
  <c r="V82" i="76" s="1"/>
  <c r="V146" i="76" s="1" a="1"/>
  <c r="V146" i="76" s="1"/>
  <c r="V206" i="76" s="1" a="1"/>
  <c r="V206" i="76" s="1"/>
  <c r="AA72" i="76" a="1"/>
  <c r="AA72" i="76" s="1"/>
  <c r="AA136" i="76" s="1" a="1"/>
  <c r="AA136" i="76" s="1"/>
  <c r="AA196" i="76" s="1" a="1"/>
  <c r="AA196" i="76" s="1"/>
  <c r="Y72" i="76" a="1"/>
  <c r="Y72" i="76" s="1"/>
  <c r="Y136" i="76" s="1" a="1"/>
  <c r="Y136" i="76" s="1"/>
  <c r="Y196" i="76" s="1" a="1"/>
  <c r="Y196" i="76" s="1"/>
  <c r="AE79" i="76" a="1"/>
  <c r="AE79" i="76" s="1"/>
  <c r="AE143" i="76" s="1" a="1"/>
  <c r="AE143" i="76" s="1"/>
  <c r="AE203" i="76" s="1" a="1"/>
  <c r="AE203" i="76" s="1"/>
  <c r="V83" i="76" a="1"/>
  <c r="V83" i="76" s="1"/>
  <c r="V147" i="76" s="1" a="1"/>
  <c r="V147" i="76" s="1"/>
  <c r="V207" i="76" s="1" a="1"/>
  <c r="V207" i="76" s="1"/>
  <c r="AD82" i="76" a="1"/>
  <c r="AD82" i="76" s="1"/>
  <c r="AD146" i="76" s="1" a="1"/>
  <c r="AD146" i="76" s="1"/>
  <c r="AD206" i="76" s="1" a="1"/>
  <c r="AD206" i="76" s="1"/>
  <c r="AC82" i="76" a="1"/>
  <c r="AC82" i="76" s="1"/>
  <c r="AC146" i="76" s="1" a="1"/>
  <c r="AC146" i="76" s="1"/>
  <c r="AC206" i="76" s="1" a="1"/>
  <c r="AC206" i="76" s="1"/>
  <c r="AD251" i="76" a="1"/>
  <c r="AD251" i="76" s="1"/>
  <c r="AA249" i="76" a="1"/>
  <c r="AA249" i="76" s="1"/>
  <c r="AA257" i="76" a="1"/>
  <c r="AA257" i="76" s="1"/>
  <c r="AB254" i="76" a="1"/>
  <c r="AB254" i="76" s="1"/>
  <c r="AE77" i="76" a="1"/>
  <c r="AE77" i="76" s="1"/>
  <c r="AE141" i="76" s="1" a="1"/>
  <c r="AE141" i="76" s="1"/>
  <c r="AE201" i="76" s="1" a="1"/>
  <c r="AE201" i="76" s="1"/>
  <c r="AD257" i="76" a="1"/>
  <c r="AD257" i="76" s="1"/>
  <c r="AD255" i="76" a="1"/>
  <c r="AD255" i="76" s="1"/>
  <c r="AD72" i="76" a="1"/>
  <c r="AD72" i="76" s="1"/>
  <c r="AD136" i="76" s="1" a="1"/>
  <c r="AD136" i="76" s="1"/>
  <c r="AD196" i="76" s="1" a="1"/>
  <c r="AD196" i="76" s="1"/>
  <c r="AE76" i="76" a="1"/>
  <c r="AE76" i="76" s="1"/>
  <c r="AE140" i="76" s="1" a="1"/>
  <c r="AE140" i="76" s="1"/>
  <c r="AE200" i="76" s="1" a="1"/>
  <c r="AE200" i="76" s="1"/>
  <c r="AE81" i="76" a="1"/>
  <c r="AE81" i="76" s="1"/>
  <c r="AE145" i="76" s="1" a="1"/>
  <c r="AE145" i="76" s="1"/>
  <c r="AE205" i="76" s="1" a="1"/>
  <c r="AE205" i="76" s="1"/>
  <c r="AA259" i="76" a="1"/>
  <c r="AA259" i="76" s="1"/>
  <c r="AC255" i="76" a="1"/>
  <c r="AC255" i="76" s="1"/>
  <c r="AD254" i="76" a="1"/>
  <c r="AD254" i="76" s="1"/>
  <c r="AC253" i="76" a="1"/>
  <c r="AC253" i="76" s="1"/>
  <c r="V255" i="76" a="1"/>
  <c r="V255" i="76" s="1"/>
  <c r="AB79" i="76" a="1"/>
  <c r="AB79" i="76" s="1"/>
  <c r="AB143" i="76" s="1" a="1"/>
  <c r="AB143" i="76" s="1"/>
  <c r="AB203" i="76" s="1" a="1"/>
  <c r="AB203" i="76" s="1"/>
  <c r="W251" i="76" a="1"/>
  <c r="W251" i="76" s="1"/>
  <c r="AC72" i="76" a="1"/>
  <c r="AC72" i="76" s="1"/>
  <c r="AC136" i="76" s="1" a="1"/>
  <c r="AC136" i="76" s="1"/>
  <c r="AC196" i="76" s="1" a="1"/>
  <c r="AC196" i="76" s="1"/>
  <c r="Y82" i="76" a="1"/>
  <c r="Y82" i="76" s="1"/>
  <c r="Y146" i="76" s="1" a="1"/>
  <c r="Y146" i="76" s="1"/>
  <c r="Y206" i="76" s="1" a="1"/>
  <c r="Y206" i="76" s="1"/>
  <c r="Y77" i="76" a="1"/>
  <c r="Y77" i="76" s="1"/>
  <c r="Y141" i="76" s="1" a="1"/>
  <c r="Y141" i="76" s="1"/>
  <c r="Y201" i="76" s="1" a="1"/>
  <c r="Y201" i="76" s="1"/>
  <c r="AB73" i="76" a="1"/>
  <c r="AB73" i="76" s="1"/>
  <c r="AB137" i="76" s="1" a="1"/>
  <c r="AB137" i="76" s="1"/>
  <c r="AB197" i="76" s="1" a="1"/>
  <c r="AB197" i="76" s="1"/>
  <c r="W78" i="76" a="1"/>
  <c r="W78" i="76" s="1"/>
  <c r="W142" i="76" s="1" a="1"/>
  <c r="W142" i="76" s="1"/>
  <c r="W202" i="76" s="1" a="1"/>
  <c r="W202" i="76" s="1"/>
  <c r="W259" i="76" a="1"/>
  <c r="W259" i="76" s="1"/>
  <c r="Z249" i="76" a="1"/>
  <c r="Z249" i="76" s="1"/>
  <c r="W250" i="76" a="1"/>
  <c r="W250" i="76" s="1"/>
  <c r="AD249" i="76" a="1"/>
  <c r="AD249" i="76" s="1"/>
  <c r="W73" i="76" a="1"/>
  <c r="W73" i="76" s="1"/>
  <c r="W137" i="76" s="1" a="1"/>
  <c r="W137" i="76" s="1"/>
  <c r="W197" i="76" s="1" a="1"/>
  <c r="W197" i="76" s="1"/>
  <c r="AB248" i="76" a="1"/>
  <c r="AB248" i="76" s="1"/>
  <c r="W81" i="76" a="1"/>
  <c r="W81" i="76" s="1"/>
  <c r="W145" i="76" s="1" a="1"/>
  <c r="W145" i="76" s="1"/>
  <c r="W205" i="76" s="1" a="1"/>
  <c r="W205" i="76" s="1"/>
  <c r="AH264" i="69" a="1"/>
  <c r="AH264" i="69" s="1"/>
  <c r="AA78" i="76" a="1"/>
  <c r="AA78" i="76" s="1"/>
  <c r="AA142" i="76" s="1" a="1"/>
  <c r="AA142" i="76" s="1"/>
  <c r="AA202" i="76" s="1" a="1"/>
  <c r="AA202" i="76" s="1"/>
  <c r="AC81" i="76" a="1"/>
  <c r="AC81" i="76" s="1"/>
  <c r="AC145" i="76" s="1" a="1"/>
  <c r="AC145" i="76" s="1"/>
  <c r="AC205" i="76" s="1" a="1"/>
  <c r="AC205" i="76" s="1"/>
  <c r="V248" i="76" a="1"/>
  <c r="V248" i="76" s="1"/>
  <c r="Y81" i="76" a="1"/>
  <c r="Y81" i="76" s="1"/>
  <c r="Y145" i="76" s="1" a="1"/>
  <c r="Y145" i="76" s="1"/>
  <c r="Y205" i="76" s="1" a="1"/>
  <c r="Y205" i="76" s="1"/>
  <c r="W72" i="76" a="1"/>
  <c r="W72" i="76" s="1"/>
  <c r="W136" i="76" s="1" a="1"/>
  <c r="W136" i="76" s="1"/>
  <c r="W196" i="76" s="1" a="1"/>
  <c r="W196" i="76" s="1"/>
  <c r="V81" i="76" a="1"/>
  <c r="V81" i="76" s="1"/>
  <c r="V145" i="76" s="1" a="1"/>
  <c r="V145" i="76" s="1"/>
  <c r="V205" i="76" s="1" a="1"/>
  <c r="V205" i="76" s="1"/>
  <c r="AD80" i="76" a="1"/>
  <c r="AD80" i="76" s="1"/>
  <c r="AD144" i="76" s="1" a="1"/>
  <c r="AD144" i="76" s="1"/>
  <c r="AD204" i="76" s="1" a="1"/>
  <c r="AD204" i="76" s="1"/>
  <c r="Y255" i="76" a="1"/>
  <c r="Y255" i="76" s="1"/>
  <c r="AE82" i="76" a="1"/>
  <c r="AE82" i="76" s="1"/>
  <c r="AE146" i="76" s="1" a="1"/>
  <c r="AE146" i="76" s="1"/>
  <c r="AE206" i="76" s="1" a="1"/>
  <c r="AE206" i="76" s="1"/>
  <c r="V80" i="76" a="1"/>
  <c r="V80" i="76" s="1"/>
  <c r="V144" i="76" s="1" a="1"/>
  <c r="V144" i="76" s="1"/>
  <c r="V204" i="76" s="1" a="1"/>
  <c r="V204" i="76" s="1"/>
  <c r="AA82" i="76" a="1"/>
  <c r="AA82" i="76" s="1"/>
  <c r="AA146" i="76" s="1" a="1"/>
  <c r="AA146" i="76" s="1"/>
  <c r="AA206" i="76" s="1" a="1"/>
  <c r="AA206" i="76" s="1"/>
  <c r="AA79" i="76" a="1"/>
  <c r="AA79" i="76" s="1"/>
  <c r="AA143" i="76" s="1" a="1"/>
  <c r="AA143" i="76" s="1"/>
  <c r="AA203" i="76" s="1" a="1"/>
  <c r="AA203" i="76" s="1"/>
  <c r="AC78" i="76" a="1"/>
  <c r="AC78" i="76" s="1"/>
  <c r="AC142" i="76" s="1" a="1"/>
  <c r="AC142" i="76" s="1"/>
  <c r="AC202" i="76" s="1" a="1"/>
  <c r="AC202" i="76" s="1"/>
  <c r="AB80" i="76" a="1"/>
  <c r="AB80" i="76" s="1"/>
  <c r="AB144" i="76" s="1" a="1"/>
  <c r="AB144" i="76" s="1"/>
  <c r="AB204" i="76" s="1" a="1"/>
  <c r="AB204" i="76" s="1"/>
  <c r="Z250" i="76" a="1"/>
  <c r="Z250" i="76" s="1"/>
  <c r="Y252" i="76" a="1"/>
  <c r="Y252" i="76" s="1"/>
  <c r="Y256" i="76" a="1"/>
  <c r="Y256" i="76" s="1"/>
  <c r="AC250" i="76" a="1"/>
  <c r="AC250" i="76" s="1"/>
  <c r="V74" i="76" a="1"/>
  <c r="V74" i="76" s="1"/>
  <c r="V138" i="76" s="1" a="1"/>
  <c r="V138" i="76" s="1"/>
  <c r="V198" i="76" s="1" a="1"/>
  <c r="V198" i="76" s="1"/>
  <c r="AC80" i="76" a="1"/>
  <c r="AC80" i="76" s="1"/>
  <c r="AC144" i="76" s="1" a="1"/>
  <c r="AC144" i="76" s="1"/>
  <c r="AC204" i="76" s="1" a="1"/>
  <c r="AC204" i="76" s="1"/>
  <c r="AB83" i="76" a="1"/>
  <c r="AB83" i="76" s="1"/>
  <c r="AB147" i="76" s="1" a="1"/>
  <c r="AB147" i="76" s="1"/>
  <c r="AB207" i="76" s="1" a="1"/>
  <c r="AB207" i="76" s="1"/>
  <c r="W76" i="76" a="1"/>
  <c r="W76" i="76" s="1"/>
  <c r="W140" i="76" s="1" a="1"/>
  <c r="W140" i="76" s="1"/>
  <c r="W200" i="76" s="1" a="1"/>
  <c r="W200" i="76" s="1"/>
  <c r="Z81" i="76" a="1"/>
  <c r="Z81" i="76" s="1"/>
  <c r="Z145" i="76" s="1" a="1"/>
  <c r="Z145" i="76" s="1"/>
  <c r="Z205" i="76" s="1" a="1"/>
  <c r="Z205" i="76" s="1"/>
  <c r="AE249" i="76" a="1"/>
  <c r="AE249" i="76" s="1"/>
  <c r="AB251" i="76" a="1"/>
  <c r="AB251" i="76" s="1"/>
  <c r="Y251" i="76" a="1"/>
  <c r="Y251" i="76" s="1"/>
  <c r="X252" i="76" a="1"/>
  <c r="X252" i="76" s="1"/>
  <c r="Z256" i="76" a="1"/>
  <c r="Z256" i="76" s="1"/>
  <c r="AB253" i="76" a="1"/>
  <c r="AB253" i="76" s="1"/>
  <c r="AE248" i="76" a="1"/>
  <c r="AE248" i="76" s="1"/>
  <c r="Z76" i="76" a="1"/>
  <c r="Z76" i="76" s="1"/>
  <c r="Z140" i="76" s="1" a="1"/>
  <c r="Z140" i="76" s="1"/>
  <c r="Z200" i="76" s="1" a="1"/>
  <c r="Z200" i="76" s="1"/>
  <c r="X78" i="76" a="1"/>
  <c r="X78" i="76" s="1"/>
  <c r="X142" i="76" s="1" a="1"/>
  <c r="X142" i="76" s="1"/>
  <c r="X202" i="76" s="1" a="1"/>
  <c r="X202" i="76" s="1"/>
  <c r="Y83" i="76" a="1"/>
  <c r="Y83" i="76" s="1"/>
  <c r="Y147" i="76" s="1" a="1"/>
  <c r="Y147" i="76" s="1"/>
  <c r="Y207" i="76" s="1" a="1"/>
  <c r="Y207" i="76" s="1"/>
  <c r="Z79" i="76" a="1"/>
  <c r="Z79" i="76" s="1"/>
  <c r="Z143" i="76" s="1" a="1"/>
  <c r="Z143" i="76" s="1"/>
  <c r="Z203" i="76" s="1" a="1"/>
  <c r="Z203" i="76" s="1"/>
  <c r="X77" i="76" a="1"/>
  <c r="X77" i="76" s="1"/>
  <c r="X141" i="76" s="1" a="1"/>
  <c r="X141" i="76" s="1"/>
  <c r="X201" i="76" s="1" a="1"/>
  <c r="X201" i="76" s="1"/>
  <c r="AB82" i="76" a="1"/>
  <c r="AB82" i="76" s="1"/>
  <c r="AB146" i="76" s="1" a="1"/>
  <c r="AB146" i="76" s="1"/>
  <c r="AB206" i="76" s="1" a="1"/>
  <c r="AB206" i="76" s="1"/>
  <c r="W77" i="76" a="1"/>
  <c r="W77" i="76" s="1"/>
  <c r="W141" i="76" s="1" a="1"/>
  <c r="W141" i="76" s="1"/>
  <c r="W201" i="76" s="1" a="1"/>
  <c r="W201" i="76" s="1"/>
  <c r="V251" i="76" a="1"/>
  <c r="V251" i="76" s="1"/>
  <c r="AB252" i="76" a="1"/>
  <c r="AB252" i="76" s="1"/>
  <c r="X74" i="76" a="1"/>
  <c r="X74" i="76" s="1"/>
  <c r="X138" i="76" s="1" a="1"/>
  <c r="X138" i="76" s="1"/>
  <c r="X198" i="76" s="1" a="1"/>
  <c r="X198" i="76" s="1"/>
  <c r="AB81" i="76" a="1"/>
  <c r="AB81" i="76" s="1"/>
  <c r="AB145" i="76" s="1" a="1"/>
  <c r="AB145" i="76" s="1"/>
  <c r="AB205" i="76" s="1" a="1"/>
  <c r="AB205" i="76" s="1"/>
  <c r="AA74" i="76" a="1"/>
  <c r="AA74" i="76" s="1"/>
  <c r="AA138" i="76" s="1" a="1"/>
  <c r="AA138" i="76" s="1"/>
  <c r="AA198" i="76" s="1" a="1"/>
  <c r="AA198" i="76" s="1"/>
  <c r="V78" i="76" a="1"/>
  <c r="V78" i="76" s="1"/>
  <c r="V142" i="76" s="1" a="1"/>
  <c r="V142" i="76" s="1"/>
  <c r="V202" i="76" s="1" a="1"/>
  <c r="V202" i="76" s="1"/>
  <c r="Z77" i="76" a="1"/>
  <c r="Z77" i="76" s="1"/>
  <c r="Z141" i="76" s="1" a="1"/>
  <c r="Z141" i="76" s="1"/>
  <c r="Z201" i="76" s="1" a="1"/>
  <c r="Z201" i="76" s="1"/>
  <c r="X73" i="76" a="1"/>
  <c r="X73" i="76" s="1"/>
  <c r="X137" i="76" s="1" a="1"/>
  <c r="X137" i="76" s="1"/>
  <c r="X197" i="76" s="1" a="1"/>
  <c r="X197" i="76" s="1"/>
  <c r="X259" i="76" a="1"/>
  <c r="X259" i="76" s="1"/>
  <c r="Z259" i="76" a="1"/>
  <c r="Z259" i="76" s="1"/>
  <c r="Z248" i="76" a="1"/>
  <c r="Z248" i="76" s="1"/>
  <c r="Z254" i="76" a="1"/>
  <c r="Z254" i="76" s="1"/>
  <c r="Y266" i="69" a="1"/>
  <c r="Y266" i="69" s="1"/>
  <c r="H184" i="69" a="1"/>
  <c r="H184" i="69" s="1"/>
  <c r="H242" i="69" s="1" a="1"/>
  <c r="H242" i="69" s="1"/>
  <c r="J182" i="69" a="1"/>
  <c r="J182" i="69" s="1"/>
  <c r="J240" i="69" s="1" a="1"/>
  <c r="J240" i="69" s="1"/>
  <c r="AG270" i="69" a="1"/>
  <c r="AG270" i="69" s="1"/>
  <c r="AB266" i="69" a="1"/>
  <c r="AB266" i="69" s="1"/>
  <c r="AC263" i="69" a="1"/>
  <c r="AC263" i="69" s="1"/>
  <c r="M184" i="69" a="1"/>
  <c r="M184" i="69" s="1"/>
  <c r="M242" i="69" s="1" a="1"/>
  <c r="M242" i="69" s="1"/>
  <c r="AE267" i="69" a="1"/>
  <c r="AE267" i="69" s="1"/>
  <c r="AD266" i="69" a="1"/>
  <c r="AD266" i="69" s="1"/>
  <c r="H183" i="69" a="1"/>
  <c r="H183" i="69" s="1"/>
  <c r="H241" i="69" s="1" a="1"/>
  <c r="H241" i="69" s="1"/>
  <c r="L180" i="69" a="1"/>
  <c r="L180" i="69" s="1"/>
  <c r="L238" i="69" s="1" a="1"/>
  <c r="L238" i="69" s="1"/>
  <c r="AD267" i="69" a="1"/>
  <c r="AD267" i="69" s="1"/>
  <c r="AG265" i="69" a="1"/>
  <c r="AG265" i="69" s="1"/>
  <c r="J179" i="69" a="1"/>
  <c r="J179" i="69" s="1"/>
  <c r="J237" i="69" s="1" a="1"/>
  <c r="J237" i="69" s="1"/>
  <c r="J180" i="69" a="1"/>
  <c r="J180" i="69" s="1"/>
  <c r="J238" i="69" s="1" a="1"/>
  <c r="J238" i="69" s="1"/>
  <c r="AD264" i="69" a="1"/>
  <c r="AD264" i="69" s="1"/>
  <c r="Y263" i="69" a="1"/>
  <c r="Y263" i="69" s="1"/>
  <c r="Z274" i="69" a="1"/>
  <c r="Z274" i="69" s="1"/>
  <c r="O180" i="69" a="1"/>
  <c r="O180" i="69" s="1"/>
  <c r="O238" i="69" s="1" a="1"/>
  <c r="O238" i="69" s="1"/>
  <c r="G183" i="69" a="1"/>
  <c r="G183" i="69" s="1"/>
  <c r="G241" i="69" s="1" a="1"/>
  <c r="G241" i="69" s="1"/>
  <c r="L182" i="69" a="1"/>
  <c r="L182" i="69" s="1"/>
  <c r="L240" i="69" s="1" a="1"/>
  <c r="L240" i="69" s="1"/>
  <c r="AC265" i="69" a="1"/>
  <c r="AC265" i="69" s="1"/>
  <c r="G180" i="69" a="1"/>
  <c r="G180" i="69" s="1"/>
  <c r="G238" i="69" s="1" a="1"/>
  <c r="G238" i="69" s="1"/>
  <c r="I179" i="69" a="1"/>
  <c r="I179" i="69" s="1"/>
  <c r="I237" i="69" s="1" a="1"/>
  <c r="I237" i="69" s="1"/>
  <c r="I183" i="69" a="1"/>
  <c r="I183" i="69" s="1"/>
  <c r="I241" i="69" s="1" a="1"/>
  <c r="I241" i="69" s="1"/>
  <c r="AB270" i="69" a="1"/>
  <c r="AB270" i="69" s="1"/>
  <c r="Z264" i="69" a="1"/>
  <c r="Z264" i="69" s="1"/>
  <c r="E62" i="76" a="1"/>
  <c r="E62" i="76" s="1"/>
  <c r="E127" i="76" s="1" a="1"/>
  <c r="E127" i="76" s="1"/>
  <c r="E169" i="76" s="1" a="1"/>
  <c r="E169" i="76" s="1"/>
  <c r="E207" i="76" s="1" a="1"/>
  <c r="E207" i="76" s="1"/>
  <c r="E212" i="76" s="1"/>
  <c r="I13" i="98" s="1"/>
  <c r="E20" i="98" s="1" a="1"/>
  <c r="E20" i="98" s="1"/>
  <c r="F177" i="69" a="1"/>
  <c r="F177" i="69" s="1"/>
  <c r="F235" i="69" s="1" a="1"/>
  <c r="F235" i="69" s="1"/>
  <c r="F181" i="69" a="1"/>
  <c r="F181" i="69" s="1"/>
  <c r="F239" i="69" s="1" a="1"/>
  <c r="F239" i="69" s="1"/>
  <c r="AH273" i="69" a="1"/>
  <c r="AH273" i="69" s="1"/>
  <c r="AD265" i="69" a="1"/>
  <c r="AD265" i="69" s="1"/>
  <c r="K179" i="69" a="1"/>
  <c r="K179" i="69" s="1"/>
  <c r="K237" i="69" s="1" a="1"/>
  <c r="K237" i="69" s="1"/>
  <c r="K183" i="69" a="1"/>
  <c r="K183" i="69" s="1"/>
  <c r="K241" i="69" s="1" a="1"/>
  <c r="K241" i="69"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Z252" i="69" l="1" a="1"/>
  <c r="Z252" i="69" s="1"/>
  <c r="AD253" i="69" a="1"/>
  <c r="AD253" i="69" s="1"/>
  <c r="AE251" i="69" a="1"/>
  <c r="AE251" i="69" s="1"/>
  <c r="AF272" i="69" a="1"/>
  <c r="AF272" i="69" s="1"/>
  <c r="AE269" i="69" a="1"/>
  <c r="AE269" i="69" s="1"/>
  <c r="AC271" i="69" a="1"/>
  <c r="AC271" i="69" s="1"/>
  <c r="AG253" i="69" a="1"/>
  <c r="AG253" i="69" s="1"/>
  <c r="AH270" i="69" a="1"/>
  <c r="AH270" i="69" s="1"/>
  <c r="Z254" i="69" a="1"/>
  <c r="Z254" i="69" s="1"/>
  <c r="AA271" i="69" a="1"/>
  <c r="AA271" i="69" s="1"/>
  <c r="Z273" i="69" a="1"/>
  <c r="Z273" i="69" s="1"/>
  <c r="AE257" i="69" a="1"/>
  <c r="AE257" i="69" s="1"/>
  <c r="AF274" i="69" a="1"/>
  <c r="AF274" i="69" s="1"/>
  <c r="AG254" i="69" a="1"/>
  <c r="AG254" i="69" s="1"/>
  <c r="AH271" i="69" a="1"/>
  <c r="AH271" i="69" s="1"/>
  <c r="AF256" i="69" a="1"/>
  <c r="AF256" i="69" s="1"/>
  <c r="AG273" i="69" a="1"/>
  <c r="AG273" i="69" s="1"/>
  <c r="Y251" i="69" a="1"/>
  <c r="Y251" i="69" s="1"/>
  <c r="Z268" i="69" a="1"/>
  <c r="Z268" i="69" s="1"/>
  <c r="AB253" i="69" a="1"/>
  <c r="AB253" i="69" s="1"/>
  <c r="AC270" i="69" a="1"/>
  <c r="AC270" i="69" s="1"/>
  <c r="AC269" i="69" a="1"/>
  <c r="AC269" i="69" s="1"/>
  <c r="AD254" i="69" a="1"/>
  <c r="AD254" i="69" s="1"/>
  <c r="AE271" i="69" a="1"/>
  <c r="AE271" i="69" s="1"/>
  <c r="AC253" i="69" a="1"/>
  <c r="AC253" i="69" s="1"/>
  <c r="AD270" i="69" a="1"/>
  <c r="AD270" i="69" s="1"/>
  <c r="AG252" i="69" a="1"/>
  <c r="AG252" i="69" s="1"/>
  <c r="AH269" i="69" a="1"/>
  <c r="AH269" i="69" s="1"/>
  <c r="AA255" i="69" a="1"/>
  <c r="AA255" i="69" s="1"/>
  <c r="AB272" i="69" a="1"/>
  <c r="AB272" i="69" s="1"/>
  <c r="AG257" i="69" a="1"/>
  <c r="AG257" i="69" s="1"/>
  <c r="AH274" i="69" a="1"/>
  <c r="AH274" i="69" s="1"/>
  <c r="Y254" i="69" a="1"/>
  <c r="Y254" i="69" s="1"/>
  <c r="Z271" i="69" a="1"/>
  <c r="Z271" i="69" s="1"/>
  <c r="AC255" i="69" a="1"/>
  <c r="AC255" i="69" s="1"/>
  <c r="AE256" i="69" a="1"/>
  <c r="AE256" i="69" s="1"/>
  <c r="AF273" i="69" a="1"/>
  <c r="AF273" i="69" s="1"/>
  <c r="AD274" i="69" a="1"/>
  <c r="AD274" i="69" s="1"/>
  <c r="AE254" i="69" a="1"/>
  <c r="AE254" i="69" s="1"/>
  <c r="AF271" i="69" a="1"/>
  <c r="AF271" i="69" s="1"/>
  <c r="AC251" i="69" a="1"/>
  <c r="AC251" i="69" s="1"/>
  <c r="AD268" i="69" a="1"/>
  <c r="AD268" i="69" s="1"/>
  <c r="AD255" i="69" a="1"/>
  <c r="AD255" i="69" s="1"/>
  <c r="AE272" i="69" a="1"/>
  <c r="AE272" i="69" s="1"/>
  <c r="Z255" i="76" a="1"/>
  <c r="Z255" i="76" s="1"/>
  <c r="Y257" i="76" a="1"/>
  <c r="Y257" i="76" s="1"/>
  <c r="V259" i="76" a="1"/>
  <c r="V259" i="76" s="1"/>
  <c r="V252" i="76" a="1"/>
  <c r="V252" i="76" s="1"/>
  <c r="AD253" i="76" a="1"/>
  <c r="AD253" i="76" s="1"/>
  <c r="X250" i="76" a="1"/>
  <c r="X250" i="76" s="1"/>
  <c r="Y259" i="76" a="1"/>
  <c r="Y259" i="76" s="1"/>
  <c r="AE255" i="76" a="1"/>
  <c r="AE255" i="76" s="1"/>
  <c r="Z258" i="76" a="1"/>
  <c r="Z258" i="76" s="1"/>
  <c r="AB257" i="76" a="1"/>
  <c r="AB257" i="76" s="1"/>
  <c r="V256" i="76" a="1"/>
  <c r="V256" i="76" s="1"/>
  <c r="AD248" i="76" a="1"/>
  <c r="AD248" i="76" s="1"/>
  <c r="Z257" i="76" a="1"/>
  <c r="Z257" i="76" s="1"/>
  <c r="AE258" i="76" a="1"/>
  <c r="AE258" i="76" s="1"/>
  <c r="AC257" i="76" a="1"/>
  <c r="AC257" i="76" s="1"/>
  <c r="AB255" i="76" a="1"/>
  <c r="AB255" i="76" s="1"/>
  <c r="AE253" i="76" a="1"/>
  <c r="AE253" i="76" s="1"/>
  <c r="Y248" i="76" a="1"/>
  <c r="Y248" i="76" s="1"/>
  <c r="X251" i="76" a="1"/>
  <c r="X251" i="76" s="1"/>
  <c r="Z251" i="76" a="1"/>
  <c r="Z251" i="76" s="1"/>
  <c r="W252" i="76" a="1"/>
  <c r="W252" i="76" s="1"/>
  <c r="AB256" i="76" a="1"/>
  <c r="AB256" i="76" s="1"/>
  <c r="AA254" i="76" a="1"/>
  <c r="AA254" i="76" s="1"/>
  <c r="AA256" i="76" a="1"/>
  <c r="AA256" i="76" s="1"/>
  <c r="X249" i="76" a="1"/>
  <c r="X249" i="76" s="1"/>
  <c r="Z252" i="76" a="1"/>
  <c r="Z252" i="76" s="1"/>
  <c r="AA248" i="76" a="1"/>
  <c r="AA248" i="76" s="1"/>
  <c r="X258" i="76" a="1"/>
  <c r="X258" i="76" s="1"/>
  <c r="AE259" i="76" a="1"/>
  <c r="AE259" i="76" s="1"/>
  <c r="AB259" i="76" a="1"/>
  <c r="AB259" i="76" s="1"/>
  <c r="AC254" i="76" a="1"/>
  <c r="AC254" i="76" s="1"/>
  <c r="AB249" i="76" a="1"/>
  <c r="AB249" i="76" s="1"/>
  <c r="AE256" i="76" a="1"/>
  <c r="AE256" i="76" s="1"/>
  <c r="W254" i="76" a="1"/>
  <c r="W254" i="76" s="1"/>
  <c r="Z253" i="76" a="1"/>
  <c r="Z253" i="76" s="1"/>
  <c r="W253" i="76" a="1"/>
  <c r="W253" i="76" s="1"/>
  <c r="AD256" i="76" a="1"/>
  <c r="AD256" i="76" s="1"/>
  <c r="W257" i="76" a="1"/>
  <c r="W257" i="76" s="1"/>
  <c r="V258" i="76" a="1"/>
  <c r="V258" i="76" s="1"/>
  <c r="AB250" i="76" a="1"/>
  <c r="AB250" i="76" s="1"/>
  <c r="AA253" i="76" a="1"/>
  <c r="AA253" i="76" s="1"/>
  <c r="X254" i="76" a="1"/>
  <c r="X254" i="76" s="1"/>
  <c r="AC256" i="76" a="1"/>
  <c r="AC256" i="76" s="1"/>
  <c r="AA255" i="76" a="1"/>
  <c r="AA255" i="76" s="1"/>
  <c r="Y253" i="76" a="1"/>
  <c r="Y253" i="76" s="1"/>
  <c r="W256" i="76" a="1"/>
  <c r="W256" i="76" s="1"/>
  <c r="V254" i="76" a="1"/>
  <c r="V254" i="76" s="1"/>
  <c r="V257" i="76" a="1"/>
  <c r="V257" i="76" s="1"/>
  <c r="AE257" i="76" a="1"/>
  <c r="AE257" i="76" s="1"/>
  <c r="AC258" i="76" a="1"/>
  <c r="AC258" i="76" s="1"/>
  <c r="AC249" i="76" a="1"/>
  <c r="AC249" i="76" s="1"/>
  <c r="AE254" i="76" a="1"/>
  <c r="AE254" i="76" s="1"/>
  <c r="V250" i="76" a="1"/>
  <c r="V250" i="76" s="1"/>
  <c r="AA258" i="76" a="1"/>
  <c r="AA258" i="76" s="1"/>
  <c r="Y258" i="76" a="1"/>
  <c r="Y258" i="76" s="1"/>
  <c r="X256" i="76" a="1"/>
  <c r="X256" i="76" s="1"/>
  <c r="AB258" i="76" a="1"/>
  <c r="AB258" i="76" s="1"/>
  <c r="AE250" i="76" a="1"/>
  <c r="AE250" i="76" s="1"/>
  <c r="AA250" i="76" a="1"/>
  <c r="AA250" i="76" s="1"/>
  <c r="X253" i="76" a="1"/>
  <c r="X253" i="76" s="1"/>
  <c r="W248" i="76" a="1"/>
  <c r="W248" i="76" s="1"/>
  <c r="W249" i="76" a="1"/>
  <c r="W249" i="76" s="1"/>
  <c r="AC248" i="76" a="1"/>
  <c r="AC248" i="76" s="1"/>
  <c r="AE252" i="76" a="1"/>
  <c r="AE252" i="76" s="1"/>
  <c r="AD258" i="76" a="1"/>
  <c r="AD258" i="76" s="1"/>
  <c r="AC252" i="76" a="1"/>
  <c r="AC252" i="76" s="1"/>
  <c r="AD252" i="76" a="1"/>
  <c r="AD252" i="76" s="1"/>
  <c r="X255" i="76" a="1"/>
  <c r="X255" i="76" s="1"/>
  <c r="I32" i="98"/>
  <c r="E36" i="98" s="1" a="1"/>
  <c r="E36" i="98" s="1"/>
  <c r="E244" i="69"/>
  <c r="G246" i="69" s="1"/>
  <c r="E249" i="69" s="1" a="1"/>
  <c r="E249" i="69" s="1"/>
  <c r="H7" i="13" s="1"/>
  <c r="E229" i="76" a="1"/>
  <c r="E229" i="76" s="1"/>
  <c r="J13" i="97"/>
  <c r="E16" i="97" s="1" a="1"/>
  <c r="E16" i="97" s="1"/>
  <c r="I28" i="97" s="1"/>
  <c r="E35" i="97" s="1" a="1"/>
  <c r="E35" i="97" s="1"/>
  <c r="E29" i="15"/>
  <c r="X276" i="69" l="1"/>
  <c r="Z278" i="69" s="1"/>
  <c r="X281" i="69" s="1" a="1"/>
  <c r="X281" i="69" s="1"/>
  <c r="I7" i="13" s="1"/>
  <c r="V261" i="76"/>
  <c r="E7" i="13"/>
  <c r="E10" i="13"/>
  <c r="G38" i="98"/>
  <c r="E41" i="98" s="1" a="1"/>
  <c r="E41" i="98" s="1"/>
  <c r="H10" i="13" s="1"/>
  <c r="G37" i="97"/>
  <c r="E40" i="97" s="1" a="1"/>
  <c r="E40" i="97" s="1"/>
  <c r="H9" i="13" s="1"/>
  <c r="E9" i="13"/>
  <c r="G231" i="76"/>
  <c r="E234" i="76" s="1" a="1"/>
  <c r="E234" i="76" s="1"/>
  <c r="H8" i="13" s="1"/>
  <c r="E8" i="13"/>
  <c r="E13" i="15"/>
  <c r="F7" i="13" l="1"/>
  <c r="V267" i="76" a="1"/>
  <c r="V267" i="76" s="1"/>
  <c r="R13" i="98"/>
  <c r="N20" i="98" s="1" a="1"/>
  <c r="N20" i="98" s="1"/>
  <c r="R32" i="98" s="1"/>
  <c r="N36" i="98" s="1" a="1"/>
  <c r="N36" i="98" s="1"/>
  <c r="T13" i="97"/>
  <c r="O16" i="97" s="1" a="1"/>
  <c r="O16" i="97" s="1"/>
  <c r="S28" i="97" s="1"/>
  <c r="O35" i="97" s="1" a="1"/>
  <c r="O35" i="97" s="1"/>
  <c r="H11" i="13"/>
  <c r="P38" i="98" l="1"/>
  <c r="N41" i="98" s="1" a="1"/>
  <c r="N41" i="98" s="1"/>
  <c r="I10" i="13" s="1"/>
  <c r="F10" i="13"/>
  <c r="Q37" i="97"/>
  <c r="O40" i="97" s="1" a="1"/>
  <c r="O40" i="97" s="1"/>
  <c r="I9" i="13" s="1"/>
  <c r="F9" i="13"/>
  <c r="X269" i="76"/>
  <c r="V272" i="76" s="1" a="1"/>
  <c r="V272" i="76" s="1"/>
  <c r="I8" i="13" s="1"/>
  <c r="F8" i="13"/>
  <c r="I11"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<sst xmlns="http://schemas.openxmlformats.org/spreadsheetml/2006/main" count="1870" uniqueCount="369">
  <si>
    <t>Home</t>
  </si>
  <si>
    <t>N2O MMS</t>
  </si>
  <si>
    <t>Sources &amp; acknowledgements</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</si>
  <si>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</si>
  <si>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</si>
  <si>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</si>
  <si>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</si>
  <si>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</si>
  <si>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</si>
  <si>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</si>
  <si>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</si>
  <si>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</si>
  <si>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</si>
  <si>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</si>
  <si>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</si>
  <si>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</si>
  <si>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</si>
  <si>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</si>
  <si>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</si>
  <si>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</si>
  <si>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</si>
  <si>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</si>
  <si>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</si>
  <si>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</si>
  <si>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</si>
  <si>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</si>
  <si>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</si>
  <si>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</si>
  <si>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</si>
  <si>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</si>
  <si>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</si>
  <si>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</si>
  <si>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</si>
  <si>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</si>
  <si>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</si>
  <si>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</si>
  <si>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</si>
  <si>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</si>
  <si>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</si>
  <si>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</si>
  <si>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</si>
  <si>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</si>
  <si>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</si>
  <si>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</si>
  <si>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</si>
  <si>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</si>
  <si>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</si>
  <si>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</si>
  <si>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</si>
  <si>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</si>
  <si>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</si>
  <si>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</si>
  <si>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</si>
  <si>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</si>
  <si>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</si>
  <si>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</si>
  <si>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</si>
  <si>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</si>
  <si>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</si>
  <si>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</si>
  <si>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</si>
  <si>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</si>
  <si>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</si>
  <si>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</si>
  <si>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</si>
  <si>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</si>
  <si>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</si>
  <si>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</si>
  <si>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</si>
  <si>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</si>
  <si>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</si>
  <si>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</si>
  <si>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</si>
  <si>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</si>
  <si>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</si>
  <si>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</si>
  <si>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</si>
  <si>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</si>
  <si>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</si>
  <si>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</si>
  <si>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</si>
  <si>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</si>
  <si>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</si>
  <si>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</si>
  <si>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</si>
  <si>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</si>
  <si>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</si>
  <si>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</si>
  <si>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</si>
  <si>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</si>
  <si>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</si>
  <si>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</si>
  <si>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</si>
  <si>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</si>
  <si>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</si>
  <si>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</si>
  <si>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</si>
  <si>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</si>
  <si>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</si>
  <si>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</si>
  <si>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Fraction</t>
  </si>
  <si>
    <t>Herd movement</t>
  </si>
  <si>
    <t>head</t>
  </si>
  <si>
    <t>Head</t>
  </si>
  <si>
    <r>
      <t>E</t>
    </r>
    <r>
      <rPr>
        <vertAlign val="subscript"/>
        <sz val="12"/>
        <color theme="1" tint="0.24994659260841701"/>
        <rFont val="Times New Roman"/>
        <family val="1"/>
      </rPr>
      <t>CO2e</t>
    </r>
  </si>
  <si>
    <t>Crude protein</t>
  </si>
  <si>
    <t>M1_Table_CP_j</t>
  </si>
  <si>
    <t>M2_Table_CP_j</t>
  </si>
  <si>
    <t>Method 1</t>
  </si>
  <si>
    <t>Method 2</t>
  </si>
  <si>
    <r>
      <t>E</t>
    </r>
    <r>
      <rPr>
        <b/>
        <vertAlign val="subscript"/>
        <sz val="16"/>
        <color theme="1" tint="0.24994659260841701"/>
        <rFont val="Times New Roman"/>
        <family val="1"/>
      </rPr>
      <t>N2O,dir</t>
    </r>
  </si>
  <si>
    <t>Volatile solid production (Method 1)</t>
  </si>
  <si>
    <t>Dry matter digestibility (Method 1)</t>
  </si>
  <si>
    <t>Volatile solid production (Method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</si>
  <si>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</si>
  <si>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</si>
  <si>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</si>
  <si>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</si>
  <si>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</si>
  <si>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</si>
  <si>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</si>
  <si>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</si>
  <si>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</si>
  <si>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</si>
  <si>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</si>
  <si>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</si>
  <si>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</si>
  <si>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</si>
  <si>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</si>
  <si>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</si>
  <si>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</si>
  <si>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</si>
  <si>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</si>
  <si>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</si>
  <si>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</si>
  <si>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Milk production</t>
  </si>
  <si>
    <t>Method 1 values</t>
  </si>
  <si>
    <t>Method 2 values</t>
  </si>
  <si>
    <t>Pasture range and paddock</t>
  </si>
  <si>
    <t>No</t>
  </si>
  <si>
    <t>Liveweight</t>
  </si>
  <si>
    <t>fraction</t>
  </si>
  <si>
    <t>Dry matter digestibility (Method 2)</t>
  </si>
  <si>
    <t>Feed intake (Method 2)</t>
  </si>
  <si>
    <t>Feed intake (Method 1)</t>
  </si>
  <si>
    <t>M1_Table_MCF_i_m</t>
  </si>
  <si>
    <t>M1_Table_D_j</t>
  </si>
  <si>
    <t>M1_Table_E_CH4</t>
  </si>
  <si>
    <t>t CH4</t>
  </si>
  <si>
    <t>M2_Table_D_j</t>
  </si>
  <si>
    <t>Intake relative to maintenance (Method 1)</t>
  </si>
  <si>
    <t>Intake relative to maintenance (Method 2)</t>
  </si>
  <si>
    <t>Irrigation type i</t>
  </si>
  <si>
    <t>t CO2e</t>
  </si>
  <si>
    <t>EFPRP</t>
  </si>
  <si>
    <t>4.3.1.12-13 Soil leaching and runoff N2O</t>
  </si>
  <si>
    <r>
      <t>E</t>
    </r>
    <r>
      <rPr>
        <b/>
        <vertAlign val="subscript"/>
        <sz val="12"/>
        <color theme="1" tint="0.24994659260841701"/>
        <rFont val="Times New Roman"/>
        <family val="1"/>
      </rPr>
      <t>N2O,leach</t>
    </r>
  </si>
  <si>
    <t>GHG emissions method 1</t>
  </si>
  <si>
    <t>GHG emissions method 2</t>
  </si>
  <si>
    <t>CO2-e emissions method 1</t>
  </si>
  <si>
    <t>CO2-e emissions method 2</t>
  </si>
  <si>
    <t>Input -Pasture Beef</t>
  </si>
  <si>
    <t>4.2 Manure management: Pasture Beef: Results</t>
  </si>
  <si>
    <t>4.2.1.1-2 Manure methane</t>
  </si>
  <si>
    <t>4.2.1.1-2 Manure Methane</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</si>
  <si>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</si>
  <si>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</si>
  <si>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</si>
  <si>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</si>
  <si>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</si>
  <si>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</si>
  <si>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</si>
  <si>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</si>
  <si>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</si>
  <si>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</si>
  <si>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</si>
  <si>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</si>
  <si>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</si>
  <si>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</si>
  <si>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</si>
  <si>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</si>
  <si>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</si>
  <si>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</si>
  <si>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</si>
  <si>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</si>
  <si>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</si>
  <si>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</si>
  <si>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</si>
  <si>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</si>
  <si>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</si>
  <si>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</si>
  <si>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</si>
  <si>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</si>
  <si>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</si>
  <si>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</si>
  <si>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</si>
  <si>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</si>
  <si>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</si>
  <si>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</si>
  <si>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</si>
  <si>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</si>
  <si>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</si>
  <si>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</si>
  <si>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</si>
  <si>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</si>
  <si>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</si>
  <si>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</si>
  <si>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</si>
  <si>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</si>
  <si>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</si>
  <si>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</si>
  <si>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</si>
  <si>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</si>
  <si>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</si>
  <si>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</si>
  <si>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</si>
  <si>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</si>
  <si>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</si>
  <si>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</si>
  <si>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</si>
  <si>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</si>
  <si>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</si>
  <si>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</si>
  <si>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</si>
  <si>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</si>
  <si>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</si>
  <si>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</si>
  <si>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</si>
  <si>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</si>
  <si>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</si>
  <si>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</si>
  <si>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</si>
  <si>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</si>
  <si>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</si>
  <si>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</si>
  <si>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</si>
  <si>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</si>
  <si>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</si>
  <si>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</si>
  <si>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</si>
  <si>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</si>
  <si>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</si>
  <si>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</si>
  <si>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</si>
  <si>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</si>
  <si>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</si>
  <si>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</si>
  <si>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</si>
  <si>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</si>
  <si>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</si>
  <si>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</si>
  <si>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</si>
  <si>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</si>
  <si>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</si>
  <si>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M2_Table_LW_j_k_l</t>
  </si>
  <si>
    <t>Liveweight (Method 2)</t>
  </si>
  <si>
    <t>M2_Table_LWG_j_k_l</t>
  </si>
  <si>
    <t>Liveweight gain (Method 2)</t>
  </si>
  <si>
    <t>M2_Table_I_j_k_l</t>
  </si>
  <si>
    <t>M1_Table_DMD_j_k_l</t>
  </si>
  <si>
    <t>M2_Table_DMD_j_k_l</t>
  </si>
  <si>
    <t>M1_Table_VS_j_k_l</t>
  </si>
  <si>
    <t>M2_Table_VS_j_k_l</t>
  </si>
  <si>
    <t>Manure management</t>
  </si>
  <si>
    <t>Are all dams and natural water sources fenced off so cattle cannot access them?</t>
  </si>
  <si>
    <t>Percent in MMS</t>
  </si>
  <si>
    <t>Anaerobic lagoon</t>
  </si>
  <si>
    <t>Typo in VEERG declares unit as fraction when values are percent</t>
  </si>
  <si>
    <t>Fraction of waste in each MMS</t>
  </si>
  <si>
    <t>Table_MMS_m</t>
  </si>
  <si>
    <t>M1_Table_M_j_k_l_m</t>
  </si>
  <si>
    <t>Methane production from manure (Method 1)</t>
  </si>
  <si>
    <t>M2_Table_M_j_k_l_m</t>
  </si>
  <si>
    <t>Methane production from manure (Method 2)</t>
  </si>
  <si>
    <t>M1_Table_N_j_k_l</t>
  </si>
  <si>
    <t>Number of beef cattle (Method 1)</t>
  </si>
  <si>
    <t>Duration of stay in each time period (Method 1)</t>
  </si>
  <si>
    <t>days</t>
  </si>
  <si>
    <t>Total methane production (Method 1)</t>
  </si>
  <si>
    <t>M2_Table_N_j_k_l</t>
  </si>
  <si>
    <t>Number of beef cattle (Method 2)</t>
  </si>
  <si>
    <t>Duration of stay in each time period (Method 2)</t>
  </si>
  <si>
    <t>M2_Table_E_CH4</t>
  </si>
  <si>
    <t>Total methane production (Method 2)</t>
  </si>
  <si>
    <t>4.2.1.3-4 Manure Direct N2O</t>
  </si>
  <si>
    <t>M1_Table_W_j_k_l</t>
  </si>
  <si>
    <t>Standard reference weight</t>
  </si>
  <si>
    <t>Table_SRW_k</t>
  </si>
  <si>
    <t>M1_Table_Z_j_k_l</t>
  </si>
  <si>
    <t>Relative size (Method 1)</t>
  </si>
  <si>
    <t>M2_Table_Z_j_k_l</t>
  </si>
  <si>
    <t>Relative size (Method 2)</t>
  </si>
  <si>
    <t>M1_Table_L_j_k_l</t>
  </si>
  <si>
    <t>M1_Table_MP_j_k-4-5</t>
  </si>
  <si>
    <t>M1_Table_NR_j_k_l</t>
  </si>
  <si>
    <t>Nitrogen retained in the body (Method 1)</t>
  </si>
  <si>
    <t>M1_Table_MC_j_k_1-3-6</t>
  </si>
  <si>
    <t>M1_Table_NE_j_k_l</t>
  </si>
  <si>
    <t>M1_Table_AE</t>
  </si>
  <si>
    <t>Total nitrogen excreted to pasture, range and paddock (Method 1)</t>
  </si>
  <si>
    <t>AE</t>
  </si>
  <si>
    <r>
      <t>E</t>
    </r>
    <r>
      <rPr>
        <b/>
        <vertAlign val="subscript"/>
        <sz val="16"/>
        <color theme="1" tint="0.24994659260841701"/>
        <rFont val="Times New Roman"/>
        <family val="1"/>
      </rPr>
      <t>CH4</t>
    </r>
  </si>
  <si>
    <t>t N2O</t>
  </si>
  <si>
    <t>4.2.1.3-4 Soil direct N2O</t>
  </si>
  <si>
    <t>4.2.1.5-6 Soil atmospheric deposition</t>
  </si>
  <si>
    <t>4.2.1.7-8 Soil leaching and runoff</t>
  </si>
  <si>
    <t>4.2.1.5-6 Soil atmospheric deposition N2O</t>
  </si>
  <si>
    <t>M2_Table_L_j_k_l</t>
  </si>
  <si>
    <t>M2_Table_NR_j_k_l</t>
  </si>
  <si>
    <t>Nitrogen retained in the body (Method 2)</t>
  </si>
  <si>
    <t>Crude protein (Method 2)</t>
  </si>
  <si>
    <t>Crude protein (Method 1)</t>
  </si>
  <si>
    <t>Milk consumption (Method 2)</t>
  </si>
  <si>
    <t>Milk consumption (Method 1)</t>
  </si>
  <si>
    <t>Nitrogen excreted (Method 1)</t>
  </si>
  <si>
    <t>M2_Table_NE_j_k_l</t>
  </si>
  <si>
    <t>Nitrogen excreted (Method 2)</t>
  </si>
  <si>
    <t>M2_Table_AE</t>
  </si>
  <si>
    <t>Total nitrogen excreted to pasture, range and paddock (Method 2)</t>
  </si>
  <si>
    <r>
      <t>M</t>
    </r>
    <r>
      <rPr>
        <b/>
        <vertAlign val="subscript"/>
        <sz val="12"/>
        <color theme="1" tint="0.24994659260841701"/>
        <rFont val="Times New Roman"/>
        <family val="1"/>
      </rPr>
      <t>vol</t>
    </r>
  </si>
  <si>
    <t>Where did the livestock spend most of their time grazing?</t>
  </si>
  <si>
    <t>Pasture beefcrop or pasture production systems</t>
  </si>
  <si>
    <r>
      <t>E</t>
    </r>
    <r>
      <rPr>
        <b/>
        <vertAlign val="subscript"/>
        <sz val="12"/>
        <color theme="1" tint="0.24994659260841701"/>
        <rFont val="Times New Roman"/>
        <family val="1"/>
      </rPr>
      <t>N2O,ad</t>
    </r>
  </si>
  <si>
    <r>
      <t>M</t>
    </r>
    <r>
      <rPr>
        <b/>
        <vertAlign val="subscript"/>
        <sz val="12"/>
        <color theme="1" tint="0.24994659260841701"/>
        <rFont val="Times New Roman"/>
        <family val="1"/>
      </rPr>
      <t>leach</t>
    </r>
  </si>
  <si>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</si>
  <si>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</si>
  <si>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</si>
  <si>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</si>
  <si>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</si>
  <si>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</si>
  <si>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</si>
  <si>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</si>
  <si>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</si>
  <si>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</si>
  <si>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</si>
  <si>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</si>
  <si>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</si>
  <si>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</si>
  <si>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</si>
  <si>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</si>
  <si>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</si>
  <si>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</si>
  <si>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</si>
  <si>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</si>
  <si>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r>
      <t>DMP</t>
    </r>
    <r>
      <rPr>
        <b/>
        <vertAlign val="subscript"/>
        <sz val="11"/>
        <color rgb="FF183C1B"/>
        <rFont val="Times New Roman"/>
        <family val="1"/>
      </rPr>
      <t>jk=4,5</t>
    </r>
  </si>
  <si>
    <t>MMS_PastureBeef_Soil_N2ODirect_Equations.VEERG_4_2_1_3__5_MilkProductionForCalvingSeason</t>
  </si>
  <si>
    <t>First calving month</t>
  </si>
  <si>
    <t>M2_Table_W_j_k_l</t>
  </si>
  <si>
    <t>MMSm</t>
  </si>
  <si>
    <t>Yes</t>
  </si>
  <si>
    <t>Calving season (select)</t>
  </si>
  <si>
    <t>Cows 3-6 months</t>
  </si>
  <si>
    <t>Cows 6 months-1 year</t>
  </si>
  <si>
    <t>Cows &lt; 3 months</t>
  </si>
  <si>
    <t>Calves born</t>
  </si>
  <si>
    <t>Proportion born this season</t>
  </si>
  <si>
    <t>Proportion born last season</t>
  </si>
  <si>
    <t>Proportion born earlier than last season</t>
  </si>
  <si>
    <t>Births</t>
  </si>
  <si>
    <t>MC</t>
  </si>
  <si>
    <r>
      <t>MC = (PB</t>
    </r>
    <r>
      <rPr>
        <b/>
        <vertAlign val="subscript"/>
        <sz val="14"/>
        <color theme="1" tint="0.24994659260841701"/>
        <rFont val="Times New Roman"/>
        <family val="1"/>
      </rPr>
      <t>calv</t>
    </r>
    <r>
      <rPr>
        <b/>
        <sz val="14"/>
        <color theme="1" tint="0.24994659260841701"/>
        <rFont val="Times New Roman"/>
        <family val="1"/>
      </rPr>
      <t>*6) + (PB</t>
    </r>
    <r>
      <rPr>
        <b/>
        <vertAlign val="subscript"/>
        <sz val="14"/>
        <color theme="1" tint="0.24994659260841701"/>
        <rFont val="Times New Roman"/>
        <family val="1"/>
      </rPr>
      <t>prev</t>
    </r>
    <r>
      <rPr>
        <b/>
        <sz val="14"/>
        <color theme="1" tint="0.24994659260841701"/>
        <rFont val="Times New Roman"/>
        <family val="1"/>
      </rPr>
      <t>*4) + (PB</t>
    </r>
    <r>
      <rPr>
        <b/>
        <vertAlign val="subscript"/>
        <sz val="14"/>
        <color theme="1" tint="0.24994659260841701"/>
        <rFont val="Times New Roman"/>
        <family val="1"/>
      </rPr>
      <t>earlier</t>
    </r>
    <r>
      <rPr>
        <b/>
        <sz val="14"/>
        <color theme="1" tint="0.24994659260841701"/>
        <rFont val="Times New Roman"/>
        <family val="1"/>
      </rPr>
      <t>*0)</t>
    </r>
  </si>
  <si>
    <t>Australia</t>
  </si>
  <si>
    <t>Climate Zone</t>
  </si>
  <si>
    <t>EFNi &amp; EFN2Oi</t>
  </si>
  <si>
    <t>Methane conversion factor (Method 1)</t>
  </si>
  <si>
    <t>M2_Table_MCF_i_m</t>
  </si>
  <si>
    <t>Methane conversion factor (Method 2)</t>
  </si>
  <si>
    <t>M2_Table_MC_j_k_1-3-6</t>
  </si>
  <si>
    <t>M2_Table_MP_j_k-4-5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</si>
</sst>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5"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vertAlign val="subscript"/>
      <sz val="12"/>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
      <b/>
      <sz val="14"/>
      <color theme="1" tint="0.24994659260841701"/>
      <name val="Times New Roman"/>
      <family val="1"/>
    </font>
    <font>
      <b/>
      <vertAlign val="subscript"/>
      <sz val="14"/>
      <color theme="1" tint="0.24994659260841701"/>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60" fillId="4" borderId="2">
      <alignment horizontal="left" vertical="center"/>
    </xf>
    <xf numFmtId="0" fontId="35" fillId="4" borderId="2">
      <alignment horizontal="left" vertical="center"/>
    </xf>
    <xf numFmtId="0" fontId="61" fillId="15" borderId="2">
      <alignment horizontal="center" vertical="center"/>
    </xf>
    <xf numFmtId="0" fontId="62" fillId="16" borderId="2">
      <alignment horizontal="center" vertical="center"/>
    </xf>
  </cellStyleXfs>
  <cellXfs count="128">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0" fontId="35" fillId="4" borderId="2" xfId="55" applyAlignment="1">
      <alignment vertical="center"/>
    </xf>
    <xf numFmtId="0" fontId="35" fillId="4" borderId="6" xfId="55" applyBorder="1" applyAlignment="1">
      <alignment vertical="center"/>
    </xf>
    <xf numFmtId="0" fontId="35" fillId="4" borderId="7" xfId="55" applyBorder="1" applyAlignment="1">
      <alignment vertical="center"/>
    </xf>
    <xf numFmtId="9" fontId="8" fillId="4" borderId="0" xfId="11">
      <alignment horizontal="center" vertical="center"/>
    </xf>
    <xf numFmtId="164" fontId="8" fillId="4" borderId="0" xfId="10">
      <alignment horizontal="center"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48" fillId="11" borderId="0" xfId="63">
      <alignment horizontal="center" vertical="center"/>
    </xf>
    <xf numFmtId="0" fontId="59" fillId="0" borderId="0" xfId="2" applyFont="1"/>
    <xf numFmtId="0" fontId="35" fillId="4" borderId="19" xfId="55" applyBorder="1" applyAlignment="1">
      <alignment vertical="center"/>
    </xf>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60" fillId="4" borderId="2" xfId="65">
      <alignment horizontal="left" vertical="center"/>
    </xf>
    <xf numFmtId="0" fontId="35" fillId="4" borderId="2" xfId="66">
      <alignment horizontal="left" vertical="center"/>
    </xf>
    <xf numFmtId="0" fontId="61" fillId="15" borderId="2" xfId="67">
      <alignment horizontal="center" vertical="center"/>
    </xf>
    <xf numFmtId="0" fontId="62"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35" fillId="14" borderId="2" xfId="55" applyFill="1">
      <alignment horizontal="center" vertical="center"/>
    </xf>
    <xf numFmtId="0" fontId="63" fillId="4" borderId="0" xfId="8" applyFont="1">
      <alignment horizontal="left" vertical="center"/>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49">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48"/>
      <tableStyleElement type="headerRow" dxfId="147"/>
      <tableStyleElement type="totalRow" dxfId="146"/>
      <tableStyleElement type="firstColumn" dxfId="145"/>
      <tableStyleElement type="firstRowStripe" dxfId="144"/>
      <tableStyleElement type="secondRowStripe" dxfId="143"/>
    </tableStyle>
    <tableStyle name="Equation table" pivot="0" count="6" xr9:uid="{B247698E-E41D-4CCD-AA0A-C14817E9DE65}">
      <tableStyleElement type="wholeTable" dxfId="142"/>
      <tableStyleElement type="headerRow" dxfId="141"/>
      <tableStyleElement type="totalRow" dxfId="140"/>
      <tableStyleElement type="firstColumn" dxfId="139"/>
      <tableStyleElement type="firstRowStripe" dxfId="138"/>
      <tableStyleElement type="secondRowStripe" dxfId="137"/>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26" Type="http://schemas.openxmlformats.org/officeDocument/2006/relationships/customXml" Target="../customXml/item4.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101</xdr:row>
      <xdr:rowOff>195262</xdr:rowOff>
    </xdr:from>
    <xdr:ext cx="3370218" cy="253339"/>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1762" y="20621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𝑗𝑘𝑙</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1762" y="20621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𝑉𝑆_𝑗𝑘𝑙=(𝐼_𝑗𝑘𝑙×(1−𝐷𝑀𝐷_𝑗𝑘𝑙 )+(0.04×𝐼_𝑗𝑘𝑙 ))×(1−𝐴)</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39</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148</xdr:row>
      <xdr:rowOff>90487</xdr:rowOff>
    </xdr:from>
    <xdr:ext cx="2595389"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𝑀_𝑗𝑘𝑙𝑚=𝑉𝑆_𝑗𝑘𝑙×𝐵_𝑜×𝑀𝑀𝑆_𝑚×𝑀𝐶𝐹_𝑖𝑚×𝜌</a:t>
              </a:r>
              <a:endParaRPr lang="en-AU" sz="1100"/>
            </a:p>
          </xdr:txBody>
        </xdr:sp>
      </mc:Fallback>
    </mc:AlternateContent>
    <xdr:clientData/>
  </xdr:oneCellAnchor>
  <xdr:oneCellAnchor>
    <xdr:from>
      <xdr:col>3</xdr:col>
      <xdr:colOff>11722</xdr:colOff>
      <xdr:row>206</xdr:row>
      <xdr:rowOff>27946</xdr:rowOff>
    </xdr:from>
    <xdr:ext cx="2957348" cy="429926"/>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5ED4D718-1134-7A52-0811-95B5DD0D6488}"/>
                </a:ext>
              </a:extLst>
            </xdr:cNvPr>
            <xdr:cNvSpPr txBox="1"/>
          </xdr:nvSpPr>
          <xdr:spPr>
            <a:xfrm>
              <a:off x="2693376" y="51477600"/>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0" name="TextBox 29">
              <a:extLst>
                <a:ext uri="{FF2B5EF4-FFF2-40B4-BE49-F238E27FC236}">
                  <a16:creationId xmlns:a16="http://schemas.microsoft.com/office/drawing/2014/main" id="{5ED4D718-1134-7A52-0811-95B5DD0D6488}"/>
                </a:ext>
              </a:extLst>
            </xdr:cNvPr>
            <xdr:cNvSpPr txBox="1"/>
          </xdr:nvSpPr>
          <xdr:spPr>
            <a:xfrm>
              <a:off x="2693376" y="51477600"/>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𝐸_𝐶𝐻4=∑8_𝑗▒∑8_𝑘▒∑8_𝑙▒∑8_𝑚▒(𝑁_𝑗𝑘𝑙×𝑀_𝑗𝑘𝑙𝑚×𝐷_𝑗 ) ×10^(−3)</a:t>
              </a:r>
              <a:endParaRPr lang="en-AU" sz="1100"/>
            </a:p>
          </xdr:txBody>
        </xdr:sp>
      </mc:Fallback>
    </mc:AlternateContent>
    <xdr:clientData/>
  </xdr:oneCellAnchor>
  <xdr:oneCellAnchor>
    <xdr:from>
      <xdr:col>8</xdr:col>
      <xdr:colOff>1396253</xdr:colOff>
      <xdr:row>17</xdr:row>
      <xdr:rowOff>76200</xdr:rowOff>
    </xdr:from>
    <xdr:ext cx="6922664" cy="25333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2D4268F-BE20-4F9D-99A8-332A20D1A687}"/>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𝑝𝑟𝑒𝑣</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𝑎𝑓𝑡𝑒𝑟</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𝑝𝑟𝑒𝑣</m:t>
                                </m:r>
                              </m:sub>
                            </m:sSub>
                          </m:e>
                        </m:d>
                      </m:e>
                    </m:d>
                  </m:oMath>
                </m:oMathPara>
              </a14:m>
              <a:endParaRPr lang="en-AU" sz="1100"/>
            </a:p>
          </xdr:txBody>
        </xdr:sp>
      </mc:Choice>
      <mc:Fallback xmlns="">
        <xdr:sp macro="" textlink="">
          <xdr:nvSpPr>
            <xdr:cNvPr id="2" name="TextBox 1">
              <a:extLst>
                <a:ext uri="{FF2B5EF4-FFF2-40B4-BE49-F238E27FC236}">
                  <a16:creationId xmlns:a16="http://schemas.microsoft.com/office/drawing/2014/main" id="{02D4268F-BE20-4F9D-99A8-332A20D1A687}"/>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𝑀𝐴_(𝑗𝑘=4,5)=((𝐿𝐶_(𝑗𝑘=4,5,𝑐𝑎𝑙𝑣)×𝐹𝐴_(𝑗𝑘=4,5,𝑐𝑎𝑙𝑣) )+(𝐿𝐶_(𝑗𝑘=4,5,𝑝𝑟𝑒𝑣)×𝐹𝐴_(𝑗𝑘=4,5,𝑎𝑓𝑡𝑒𝑟) ))+(1−(𝐿𝐶_(𝑗𝑘=4,5,𝑐𝑎𝑙𝑣)+𝐿𝐶_(𝑗𝑘=4,5,𝑝𝑟𝑒𝑣) ))</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4762</xdr:colOff>
      <xdr:row>7</xdr:row>
      <xdr:rowOff>47625</xdr:rowOff>
    </xdr:from>
    <xdr:ext cx="797334" cy="350352"/>
    <mc:AlternateContent xmlns:mc="http://schemas.openxmlformats.org/markup-compatibility/2006" xmlns:a14="http://schemas.microsoft.com/office/drawing/2010/main">
      <mc:Choice Requires="a14">
        <xdr:sp macro="" textlink="">
          <xdr:nvSpPr>
            <xdr:cNvPr id="32" name="TextBox 31">
              <a:extLst>
                <a:ext uri="{FF2B5EF4-FFF2-40B4-BE49-F238E27FC236}">
                  <a16:creationId xmlns:a16="http://schemas.microsoft.com/office/drawing/2014/main" id="{7F77F64B-57DD-4670-CAAE-7FB1F2DD530E}"/>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num>
                      <m:den>
                        <m:r>
                          <a:rPr lang="en-AU" sz="1100" i="1">
                            <a:latin typeface="Cambria Math" panose="02040503050406030204" pitchFamily="18" charset="0"/>
                          </a:rPr>
                          <m:t>𝑆𝑅</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𝑘</m:t>
                            </m:r>
                          </m:sub>
                        </m:sSub>
                      </m:den>
                    </m:f>
                  </m:oMath>
                </m:oMathPara>
              </a14:m>
              <a:endParaRPr lang="en-AU" sz="1100"/>
            </a:p>
          </xdr:txBody>
        </xdr:sp>
      </mc:Choice>
      <mc:Fallback xmlns="">
        <xdr:sp macro="" textlink="">
          <xdr:nvSpPr>
            <xdr:cNvPr id="32" name="TextBox 31">
              <a:extLst>
                <a:ext uri="{FF2B5EF4-FFF2-40B4-BE49-F238E27FC236}">
                  <a16:creationId xmlns:a16="http://schemas.microsoft.com/office/drawing/2014/main" id="{7F77F64B-57DD-4670-CAAE-7FB1F2DD530E}"/>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𝑍_𝑗𝑘𝑙=𝑊_𝑗𝑘𝑙/(𝑆𝑅𝑊_𝑘 )</a:t>
              </a:r>
              <a:endParaRPr lang="en-AU" sz="1100"/>
            </a:p>
          </xdr:txBody>
        </xdr:sp>
      </mc:Fallback>
    </mc:AlternateContent>
    <xdr:clientData/>
  </xdr:oneCellAnchor>
  <xdr:oneCellAnchor>
    <xdr:from>
      <xdr:col>2</xdr:col>
      <xdr:colOff>290512</xdr:colOff>
      <xdr:row>42</xdr:row>
      <xdr:rowOff>38100</xdr:rowOff>
    </xdr:from>
    <xdr:ext cx="3303853" cy="426592"/>
    <mc:AlternateContent xmlns:mc="http://schemas.openxmlformats.org/markup-compatibility/2006" xmlns:a14="http://schemas.microsoft.com/office/drawing/2010/main">
      <mc:Choice Requires="a14">
        <xdr:sp macro="" textlink="">
          <xdr:nvSpPr>
            <xdr:cNvPr id="33" name="TextBox 32">
              <a:extLst>
                <a:ext uri="{FF2B5EF4-FFF2-40B4-BE49-F238E27FC236}">
                  <a16:creationId xmlns:a16="http://schemas.microsoft.com/office/drawing/2014/main" id="{5A058CEC-33A7-35FA-5853-766C7B1F9F51}"/>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den>
                    </m:f>
                  </m:oMath>
                </m:oMathPara>
              </a14:m>
              <a:endParaRPr lang="en-AU" sz="1100"/>
            </a:p>
          </xdr:txBody>
        </xdr:sp>
      </mc:Choice>
      <mc:Fallback xmlns="">
        <xdr:sp macro="" textlink="">
          <xdr:nvSpPr>
            <xdr:cNvPr id="33" name="TextBox 32">
              <a:extLst>
                <a:ext uri="{FF2B5EF4-FFF2-40B4-BE49-F238E27FC236}">
                  <a16:creationId xmlns:a16="http://schemas.microsoft.com/office/drawing/2014/main" id="{5A058CEC-33A7-35FA-5853-766C7B1F9F51}"/>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𝐿_𝑗𝑘𝑙=𝐼_𝑗𝑘𝑙/(1.185+0.00454×𝑊_𝑗𝑘𝑙−0.0000026×𝑊_𝑗𝑘𝑙^2 )^2 </a:t>
              </a:r>
              <a:endParaRPr lang="en-AU" sz="1100"/>
            </a:p>
          </xdr:txBody>
        </xdr:sp>
      </mc:Fallback>
    </mc:AlternateContent>
    <xdr:clientData/>
  </xdr:oneCellAnchor>
  <xdr:oneCellAnchor>
    <xdr:from>
      <xdr:col>2</xdr:col>
      <xdr:colOff>280987</xdr:colOff>
      <xdr:row>72</xdr:row>
      <xdr:rowOff>161925</xdr:rowOff>
    </xdr:from>
    <xdr:ext cx="1750094" cy="182871"/>
    <mc:AlternateContent xmlns:mc="http://schemas.openxmlformats.org/markup-compatibility/2006" xmlns:a14="http://schemas.microsoft.com/office/drawing/2010/main">
      <mc:Choice Requires="a14">
        <xdr:sp macro="" textlink="">
          <xdr:nvSpPr>
            <xdr:cNvPr id="34" name="TextBox 33">
              <a:extLst>
                <a:ext uri="{FF2B5EF4-FFF2-40B4-BE49-F238E27FC236}">
                  <a16:creationId xmlns:a16="http://schemas.microsoft.com/office/drawing/2014/main" id="{D09F3638-EFF8-AB8B-E07E-46FE6C7466E8}"/>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oMath>
                </m:oMathPara>
              </a14:m>
              <a:endParaRPr lang="en-AU" sz="1100"/>
            </a:p>
          </xdr:txBody>
        </xdr:sp>
      </mc:Choice>
      <mc:Fallback xmlns="">
        <xdr:sp macro="" textlink="">
          <xdr:nvSpPr>
            <xdr:cNvPr id="34" name="TextBox 33">
              <a:extLst>
                <a:ext uri="{FF2B5EF4-FFF2-40B4-BE49-F238E27FC236}">
                  <a16:creationId xmlns:a16="http://schemas.microsoft.com/office/drawing/2014/main" id="{D09F3638-EFF8-AB8B-E07E-46FE6C7466E8}"/>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𝑀𝑃_(𝑗𝑘=5)=𝐿𝐶_(𝑗𝑘=5)×𝐷𝑀𝑃_(𝑗𝑘=5)</a:t>
              </a:r>
              <a:endParaRPr lang="en-AU" sz="1100"/>
            </a:p>
          </xdr:txBody>
        </xdr:sp>
      </mc:Fallback>
    </mc:AlternateContent>
    <xdr:clientData/>
  </xdr:oneCellAnchor>
  <xdr:oneCellAnchor>
    <xdr:from>
      <xdr:col>2</xdr:col>
      <xdr:colOff>282388</xdr:colOff>
      <xdr:row>104</xdr:row>
      <xdr:rowOff>47066</xdr:rowOff>
    </xdr:from>
    <xdr:ext cx="7589001" cy="540404"/>
    <mc:AlternateContent xmlns:mc="http://schemas.openxmlformats.org/markup-compatibility/2006" xmlns:a14="http://schemas.microsoft.com/office/drawing/2010/main">
      <mc:Choice Requires="a14">
        <xdr:sp macro="" textlink="">
          <xdr:nvSpPr>
            <xdr:cNvPr id="36" name="TextBox 35">
              <a:extLst>
                <a:ext uri="{FF2B5EF4-FFF2-40B4-BE49-F238E27FC236}">
                  <a16:creationId xmlns:a16="http://schemas.microsoft.com/office/drawing/2014/main" id="{BE535B94-C413-5D65-DEC7-F06F3390788B}"/>
                </a:ext>
              </a:extLst>
            </xdr:cNvPr>
            <xdr:cNvSpPr txBox="1"/>
          </xdr:nvSpPr>
          <xdr:spPr>
            <a:xfrm>
              <a:off x="2648984" y="26086951"/>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÷6.38</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begChr m:val="{"/>
                            <m:endChr m:val="}"/>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d>
                                          <m:dPr>
                                            <m:ctrlPr>
                                              <a:rPr lang="en-AU" sz="1100" i="1">
                                                <a:latin typeface="Cambria Math" panose="02040503050406030204" pitchFamily="18" charset="0"/>
                                              </a:rPr>
                                            </m:ctrlPr>
                                          </m:dPr>
                                          <m:e>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−0.4</m:t>
                                                </m:r>
                                              </m:e>
                                            </m:d>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r>
                              <a:rPr lang="en-AU" sz="1100" i="1">
                                <a:latin typeface="Cambria Math" panose="02040503050406030204" pitchFamily="18" charset="0"/>
                              </a:rPr>
                              <m:t>×0.92</m:t>
                            </m:r>
                          </m:e>
                        </m:d>
                      </m:e>
                    </m:d>
                    <m:r>
                      <a:rPr lang="en-AU" sz="1100" i="1">
                        <a:latin typeface="Cambria Math" panose="02040503050406030204" pitchFamily="18" charset="0"/>
                      </a:rPr>
                      <m:t>÷6.25</m:t>
                    </m:r>
                  </m:oMath>
                </m:oMathPara>
              </a14:m>
              <a:endParaRPr lang="en-AU" sz="1100"/>
            </a:p>
          </xdr:txBody>
        </xdr:sp>
      </mc:Choice>
      <mc:Fallback xmlns="">
        <xdr:sp macro="" textlink="">
          <xdr:nvSpPr>
            <xdr:cNvPr id="36" name="TextBox 35">
              <a:extLst>
                <a:ext uri="{FF2B5EF4-FFF2-40B4-BE49-F238E27FC236}">
                  <a16:creationId xmlns:a16="http://schemas.microsoft.com/office/drawing/2014/main" id="{BE535B94-C413-5D65-DEC7-F06F3390788B}"/>
                </a:ext>
              </a:extLst>
            </xdr:cNvPr>
            <xdr:cNvSpPr txBox="1"/>
          </xdr:nvSpPr>
          <xdr:spPr>
            <a:xfrm>
              <a:off x="2648984" y="26086951"/>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𝑁𝑅_𝑗𝑘𝑙=(0.032×𝑀𝑃_(𝑗𝑘=5)÷6.38)+{{0.212−0.008×(𝐿_𝑗𝑘𝑙−2)−[(0.140−0.008×(𝐿_𝑗𝑘𝑙−2))/(1+𝑒^((−6×(𝑍_𝑗𝑘𝑙−0.4)) ) )]}×(𝐿𝑊𝐺_𝑗𝑘𝑙×0.92)}÷6.25</a:t>
              </a:r>
              <a:endParaRPr lang="en-AU" sz="1100"/>
            </a:p>
          </xdr:txBody>
        </xdr:sp>
      </mc:Fallback>
    </mc:AlternateContent>
    <xdr:clientData/>
  </xdr:oneCellAnchor>
  <xdr:oneCellAnchor>
    <xdr:from>
      <xdr:col>2</xdr:col>
      <xdr:colOff>300037</xdr:colOff>
      <xdr:row>136</xdr:row>
      <xdr:rowOff>142875</xdr:rowOff>
    </xdr:from>
    <xdr:ext cx="5991640" cy="201209"/>
    <mc:AlternateContent xmlns:mc="http://schemas.openxmlformats.org/markup-compatibility/2006" xmlns:a14="http://schemas.microsoft.com/office/drawing/2010/main">
      <mc:Choice Requires="a14">
        <xdr:sp macro="" textlink="">
          <xdr:nvSpPr>
            <xdr:cNvPr id="47" name="TextBox 46">
              <a:extLst>
                <a:ext uri="{FF2B5EF4-FFF2-40B4-BE49-F238E27FC236}">
                  <a16:creationId xmlns:a16="http://schemas.microsoft.com/office/drawing/2014/main" id="{53F68C54-1CE4-505D-F4DB-E938F689AB7D}"/>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÷6.25</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=1,3,6</m:t>
                            </m:r>
                          </m:sub>
                        </m:sSub>
                        <m:r>
                          <a:rPr lang="en-AU" sz="1100" i="1">
                            <a:latin typeface="Cambria Math" panose="02040503050406030204" pitchFamily="18" charset="0"/>
                          </a:rPr>
                          <m:t>÷6.38</m:t>
                        </m:r>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0.75</m:t>
                                </m:r>
                              </m:sup>
                            </m:sSubSup>
                          </m:e>
                        </m:d>
                        <m:r>
                          <a:rPr lang="en-AU" sz="1100" i="1">
                            <a:latin typeface="Cambria Math" panose="02040503050406030204" pitchFamily="18" charset="0"/>
                          </a:rPr>
                          <m:t>÷6.25</m:t>
                        </m:r>
                      </m:e>
                    </m:d>
                  </m:oMath>
                </m:oMathPara>
              </a14:m>
              <a:endParaRPr lang="en-AU" sz="1100"/>
            </a:p>
          </xdr:txBody>
        </xdr:sp>
      </mc:Choice>
      <mc:Fallback xmlns="">
        <xdr:sp macro="" textlink="">
          <xdr:nvSpPr>
            <xdr:cNvPr id="47" name="TextBox 46">
              <a:extLst>
                <a:ext uri="{FF2B5EF4-FFF2-40B4-BE49-F238E27FC236}">
                  <a16:creationId xmlns:a16="http://schemas.microsoft.com/office/drawing/2014/main" id="{53F68C54-1CE4-505D-F4DB-E938F689AB7D}"/>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𝑁𝐸_𝑗𝑘𝑙=(𝐼_𝑗𝑘𝑙×𝐶𝑃_𝑗÷6.25)+(0.032×𝑀𝐶_(𝑗𝑘=1,3,6)÷6.38)−𝑁𝑅_𝑗𝑘𝑙−[(1.1×10^(−4)×𝑊_𝑗𝑘𝑙^0.75 )÷6.25]</a:t>
              </a:r>
              <a:endParaRPr lang="en-AU" sz="1100"/>
            </a:p>
          </xdr:txBody>
        </xdr:sp>
      </mc:Fallback>
    </mc:AlternateContent>
    <xdr:clientData/>
  </xdr:oneCellAnchor>
  <xdr:oneCellAnchor>
    <xdr:from>
      <xdr:col>3</xdr:col>
      <xdr:colOff>4762</xdr:colOff>
      <xdr:row>178</xdr:row>
      <xdr:rowOff>38100</xdr:rowOff>
    </xdr:from>
    <xdr:ext cx="2164952" cy="429926"/>
    <mc:AlternateContent xmlns:mc="http://schemas.openxmlformats.org/markup-compatibility/2006" xmlns:a14="http://schemas.microsoft.com/office/drawing/2010/main">
      <mc:Choice Requires="a14">
        <xdr:sp macro="" textlink="">
          <xdr:nvSpPr>
            <xdr:cNvPr id="49" name="TextBox 48">
              <a:extLst>
                <a:ext uri="{FF2B5EF4-FFF2-40B4-BE49-F238E27FC236}">
                  <a16:creationId xmlns:a16="http://schemas.microsoft.com/office/drawing/2014/main" id="{EB72FD8E-81E4-5978-0605-3B10D357366A}"/>
                </a:ext>
              </a:extLst>
            </xdr:cNvPr>
            <xdr:cNvSpPr txBox="1"/>
          </xdr:nvSpPr>
          <xdr:spPr>
            <a:xfrm>
              <a:off x="2681287" y="437578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𝐴𝐸</m:t>
                    </m:r>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oMath>
                </m:oMathPara>
              </a14:m>
              <a:endParaRPr lang="en-AU" sz="1100"/>
            </a:p>
          </xdr:txBody>
        </xdr:sp>
      </mc:Choice>
      <mc:Fallback xmlns="">
        <xdr:sp macro="" textlink="">
          <xdr:nvSpPr>
            <xdr:cNvPr id="49" name="TextBox 48">
              <a:extLst>
                <a:ext uri="{FF2B5EF4-FFF2-40B4-BE49-F238E27FC236}">
                  <a16:creationId xmlns:a16="http://schemas.microsoft.com/office/drawing/2014/main" id="{EB72FD8E-81E4-5978-0605-3B10D357366A}"/>
                </a:ext>
              </a:extLst>
            </xdr:cNvPr>
            <xdr:cNvSpPr txBox="1"/>
          </xdr:nvSpPr>
          <xdr:spPr>
            <a:xfrm>
              <a:off x="2681287" y="437578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𝐴𝐸=∑_𝑗▒∑_𝑘▒∑_𝑙▒(𝑁_𝑗𝑘𝑙×𝑁𝐸_𝑗𝑘𝑙×𝐷_𝑗 ) </a:t>
              </a:r>
              <a:endParaRPr lang="en-AU" sz="1100"/>
            </a:p>
          </xdr:txBody>
        </xdr:sp>
      </mc:Fallback>
    </mc:AlternateContent>
    <xdr:clientData/>
  </xdr:oneCellAnchor>
  <xdr:oneCellAnchor>
    <xdr:from>
      <xdr:col>2</xdr:col>
      <xdr:colOff>309562</xdr:colOff>
      <xdr:row>218</xdr:row>
      <xdr:rowOff>95250</xdr:rowOff>
    </xdr:from>
    <xdr:ext cx="2334870" cy="180114"/>
    <mc:AlternateContent xmlns:mc="http://schemas.openxmlformats.org/markup-compatibility/2006" xmlns:a14="http://schemas.microsoft.com/office/drawing/2010/main">
      <mc:Choice Requires="a14">
        <xdr:sp macro="" textlink="">
          <xdr:nvSpPr>
            <xdr:cNvPr id="50" name="TextBox 49">
              <a:extLst>
                <a:ext uri="{FF2B5EF4-FFF2-40B4-BE49-F238E27FC236}">
                  <a16:creationId xmlns:a16="http://schemas.microsoft.com/office/drawing/2014/main" id="{09ABD1D9-207F-6419-4C52-5C02C7AECD85}"/>
                </a:ext>
              </a:extLst>
            </xdr:cNvPr>
            <xdr:cNvSpPr txBox="1"/>
          </xdr:nvSpPr>
          <xdr:spPr>
            <a:xfrm>
              <a:off x="2671762" y="537210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0" name="TextBox 49">
              <a:extLst>
                <a:ext uri="{FF2B5EF4-FFF2-40B4-BE49-F238E27FC236}">
                  <a16:creationId xmlns:a16="http://schemas.microsoft.com/office/drawing/2014/main" id="{09ABD1D9-207F-6419-4C52-5C02C7AECD85}"/>
                </a:ext>
              </a:extLst>
            </xdr:cNvPr>
            <xdr:cNvSpPr txBox="1"/>
          </xdr:nvSpPr>
          <xdr:spPr>
            <a:xfrm>
              <a:off x="2671762" y="537210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𝐸_(𝑁2𝑂,𝑑𝑖𝑟)=𝐴𝐸×𝐸𝐹_𝑃𝑅𝑃×𝐶_𝑁2𝑂×10^(−3)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133350</xdr:rowOff>
    </xdr:from>
    <xdr:ext cx="1745413" cy="16536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65113A8E-2D0B-0028-3EEC-52654F15D638}"/>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oMath>
                </m:oMathPara>
              </a14:m>
              <a:endParaRPr lang="en-AU" sz="1100"/>
            </a:p>
          </xdr:txBody>
        </xdr:sp>
      </mc:Choice>
      <mc:Fallback xmlns="">
        <xdr:sp macro="" textlink="">
          <xdr:nvSpPr>
            <xdr:cNvPr id="5" name="TextBox 4">
              <a:extLst>
                <a:ext uri="{FF2B5EF4-FFF2-40B4-BE49-F238E27FC236}">
                  <a16:creationId xmlns:a16="http://schemas.microsoft.com/office/drawing/2014/main" id="{65113A8E-2D0B-0028-3EEC-52654F15D638}"/>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𝑀_𝑣𝑜𝑙=𝐴𝐸×𝐹𝑟𝑎𝑐𝐺𝐴𝑆𝑀𝑠𝑜𝑖𝑙</a:t>
              </a:r>
              <a:endParaRPr lang="en-AU" sz="1100"/>
            </a:p>
          </xdr:txBody>
        </xdr:sp>
      </mc:Fallback>
    </mc:AlternateContent>
    <xdr:clientData/>
  </xdr:oneCellAnchor>
  <xdr:oneCellAnchor>
    <xdr:from>
      <xdr:col>2</xdr:col>
      <xdr:colOff>309562</xdr:colOff>
      <xdr:row>22</xdr:row>
      <xdr:rowOff>152400</xdr:rowOff>
    </xdr:from>
    <xdr:ext cx="2410467" cy="1801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BF22B100-4D2C-BDC2-B577-E7AF6106C50D}"/>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BF22B100-4D2C-BDC2-B577-E7AF6106C50D}"/>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𝐸_(𝑁2𝑂,𝑎𝑑)=𝑀_𝑣𝑜𝑙×𝐸𝐹_𝑁2𝑂×𝐶_𝑁2𝑂×10^(−3)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300037</xdr:colOff>
      <xdr:row>7</xdr:row>
      <xdr:rowOff>133350</xdr:rowOff>
    </xdr:from>
    <xdr:ext cx="2421624" cy="16536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ED9A4958-7057-2FEE-E1BA-6A1998ADFF7B}"/>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oMath>
                </m:oMathPara>
              </a14:m>
              <a:endParaRPr lang="en-AU" sz="1100"/>
            </a:p>
          </xdr:txBody>
        </xdr:sp>
      </mc:Choice>
      <mc:Fallback xmlns="">
        <xdr:sp macro="" textlink="">
          <xdr:nvSpPr>
            <xdr:cNvPr id="7" name="TextBox 6">
              <a:extLst>
                <a:ext uri="{FF2B5EF4-FFF2-40B4-BE49-F238E27FC236}">
                  <a16:creationId xmlns:a16="http://schemas.microsoft.com/office/drawing/2014/main" id="{ED9A4958-7057-2FEE-E1BA-6A1998ADFF7B}"/>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𝑀_𝑙𝑒𝑎𝑐ℎ=𝐴𝐸×𝐹𝑟𝑎𝑐𝑊𝑒𝑡×𝐹𝑟𝑎𝑐𝐿𝐸𝐴𝐶𝐻</a:t>
              </a:r>
              <a:endParaRPr lang="en-AU" sz="1100"/>
            </a:p>
          </xdr:txBody>
        </xdr:sp>
      </mc:Fallback>
    </mc:AlternateContent>
    <xdr:clientData/>
  </xdr:oneCellAnchor>
  <xdr:oneCellAnchor>
    <xdr:from>
      <xdr:col>2</xdr:col>
      <xdr:colOff>300037</xdr:colOff>
      <xdr:row>26</xdr:row>
      <xdr:rowOff>180975</xdr:rowOff>
    </xdr:from>
    <xdr:ext cx="2731838" cy="180114"/>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145C53C5-600F-2419-A9EA-8A57F3782F48}"/>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145C53C5-600F-2419-A9EA-8A57F3782F48}"/>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36"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35"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34"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33"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32"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31"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30"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29"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28"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2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2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2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2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2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2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2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16"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15"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14"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13"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12"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11"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10"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09"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07"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0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0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0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0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0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0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10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94"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9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9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9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9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89"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88"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8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8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8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8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8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82"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8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8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79"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7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7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7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7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7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7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71" dataCellStyle="Content normal">
      <calculatedColumnFormula>D351</calculatedColumnFormula>
    </tableColumn>
    <tableColumn id="2" xr3:uid="{B172192B-EDB5-47A5-A010-C82516ED13B5}" name="Bulls &lt; 1 year" dataDxfId="70" dataCellStyle="Content normal">
      <calculatedColumnFormula>E351</calculatedColumnFormula>
    </tableColumn>
    <tableColumn id="3" xr3:uid="{F83B528D-B6D7-4E92-967F-018ED1475D9B}" name="Bulls &gt; 1 year" dataDxfId="69" dataCellStyle="Content normal">
      <calculatedColumnFormula>F351</calculatedColumnFormula>
    </tableColumn>
    <tableColumn id="4" xr3:uid="{E83019D4-F113-4C9E-ADA7-433997A968A1}" name="Cows &lt; 1 year" dataDxfId="68" dataCellStyle="Content normal">
      <calculatedColumnFormula>G351</calculatedColumnFormula>
    </tableColumn>
    <tableColumn id="5" xr3:uid="{B51413B2-710F-409C-8C3C-6B72C8E99B49}" name="Cows 1-2 years" dataDxfId="67" dataCellStyle="Content normal">
      <calculatedColumnFormula>H351</calculatedColumnFormula>
    </tableColumn>
    <tableColumn id="6" xr3:uid="{F7B12596-1E7F-417C-83F5-67964BA7AAAE}" name="Cows 2-3 years" dataDxfId="66" dataCellStyle="Content normal">
      <calculatedColumnFormula>I351</calculatedColumnFormula>
    </tableColumn>
    <tableColumn id="7" xr3:uid="{C1B8EAD9-BCCE-49FF-9E3D-15E99DEC329C}" name="Cows &gt; 3 years" dataDxfId="65" dataCellStyle="Content normal">
      <calculatedColumnFormula>I351</calculatedColumnFormula>
    </tableColumn>
    <tableColumn id="8" xr3:uid="{6AB556D2-AF6C-4E98-9AA1-A8C6DC5F5CA9}" name="Steers &lt; 1 year" dataDxfId="64" dataCellStyle="Content normal">
      <calculatedColumnFormula>J351</calculatedColumnFormula>
    </tableColumn>
    <tableColumn id="9" xr3:uid="{46DC3CBA-6FB0-4A95-A39E-B2179DC8CFE6}" name="Steers 1-2 years" dataDxfId="63" dataCellStyle="Content normal">
      <calculatedColumnFormula>K351</calculatedColumnFormula>
    </tableColumn>
    <tableColumn id="10" xr3:uid="{105CEA90-EFAD-4757-B82A-B19E9A3F2664}" name="Steers 2-3 years" dataDxfId="62" dataCellStyle="Content normal"/>
    <tableColumn id="11" xr3:uid="{5E2A59D6-56CA-4967-885E-8602CA905B74}" name="Steers &gt;3 years" dataDxfId="61" dataCellStyle="Content normal"/>
    <tableColumn id="12" xr3:uid="{1C306FC1-FFBA-4C23-8EAD-1C07A5BAAA50}" name="State abbreviation" dataDxfId="60"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59"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5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5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56"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55"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5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5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5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51"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5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4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8F9C007A-46DD-4510-AB34-88F91AEB2340}"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C0C5DD88-278D-42DE-9B6D-7A0C9780D984}" name="State/Territory">
      <calculatedColumnFormula array="1">Common_InputFunctions.Utility_DisplayArrayInTable(Common_SourceData.Common_SourceData_AustralianStatesTerritories_Data(),Table_AustralianStates[[#Headers],[State/Territory]],0)</calculatedColumnFormula>
    </tableColumn>
    <tableColumn id="2" xr3:uid="{ECAF59D7-C694-4572-871B-DFD0343AB538}" name="Common Name">
      <calculatedColumnFormula array="1">Common_InputFunctions.Utility_DisplayArrayInTable(Common_SourceData.Common_SourceData_AustralianStatesTerritories_Data(),Table_AustralianStates[[#Headers],[State/Territory]],0)</calculatedColumnFormula>
    </tableColumn>
    <tableColumn id="3" xr3:uid="{DE64064D-EB64-40DF-ABC1-A949F03FC2DD}"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7CDCCB12-912F-4931-B000-702BC788BF1F}" name="Table_WASA4Areas" displayName="Table_WASA4Areas" ref="D20:D30" totalsRowShown="0">
  <autoFilter ref="D20:D30" xr:uid="{5FA81339-C6C8-4D36-BEEA-6C4AEDD9E676}">
    <filterColumn colId="0" hiddenButton="1"/>
  </autoFilter>
  <tableColumns count="1">
    <tableColumn id="1" xr3:uid="{4BF03F23-1D45-4A22-89C0-0C35206CB39A}"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F3FD0911-3394-498F-8E51-243E5B8FBF9D}" name="Table_GWPData" displayName="Table_GWPData" ref="D36:E43" totalsRowShown="0">
  <autoFilter ref="D36:E43" xr:uid="{B8E87A66-3E41-4AD3-925D-01EE21B43D7A}">
    <filterColumn colId="0" hiddenButton="1"/>
    <filterColumn colId="1" hiddenButton="1"/>
  </autoFilter>
  <tableColumns count="2">
    <tableColumn id="1" xr3:uid="{5F8069E6-7FC4-4EA4-9062-10C7D2E3C5D2}" name="Gas">
      <calculatedColumnFormula array="1">Common_InputFunctions.Utility_DisplayArrayInTable(Common_SourceData.Common_SourceData_GWP_Data(), Table_GWPData[[#Headers],[Gas]], 0)</calculatedColumnFormula>
    </tableColumn>
    <tableColumn id="2" xr3:uid="{9B963BB3-BA5E-47F8-86A8-436E16EA9768}"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8CC3D6E-03E2-4772-85E9-6640D2B6FCE9}"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50A3ED2C-BD3B-4683-B74E-C245F4298D56}" name="Gas">
      <calculatedColumnFormula array="1">Common_InputFunctions.Utility_DisplayArrayInTable(Common_SourceData.Common_SourceData_ConvertGasElementalToMolecular_Data(),Table_GasToMolecularConversionFactor[[#Headers],[Gas]], 0)</calculatedColumnFormula>
    </tableColumn>
    <tableColumn id="5" xr3:uid="{0D63208A-FC2A-4538-8E88-AE6A21ECC8A4}" name="Conversion factor">
      <calculatedColumnFormula array="1">Common_InputFunctions.Utility_DisplayArrayInTable(Common_SourceData.Common_SourceData_ConvertGasElementalToMolecular_Data(),Table_GasToMolecularConversionFactor[[#Headers],[Gas]], 0)</calculatedColumnFormula>
    </tableColumn>
    <tableColumn id="2" xr3:uid="{6E2C3DAB-0C14-4A09-9BA0-0636C3F2CEE9}" name="Conversion factor 1">
      <calculatedColumnFormula array="1">Common_InputFunctions.Utility_DisplayArrayInTable(Common_SourceData.Common_SourceData_ConvertGasElementalToMolecular_Data(),Table_GasToMolecularConversionFactor[[#Headers],[Gas]], 0)</calculatedColumnFormula>
    </tableColumn>
    <tableColumn id="3" xr3:uid="{31414694-C8AA-4A36-8347-14CCD95F525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AB46992A-47B8-4858-9C5B-D191349984B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7FDB2B93-9BE2-4B49-A969-4FD736243727}"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EE365C3-BBC9-4B7D-AC1E-A12EF061FDBE}"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52BB06A9-C47C-46CE-914F-267AC02C2352}" name="MAT"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3" xr3:uid="{8CBD7B3F-15CA-4815-8569-0D7ED60B892D}" name="MAP"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4" xr3:uid="{767F3264-209F-4B52-A3D6-285F150B6CFA}" name="Frost days per year"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5" xr3:uid="{AC33BFA3-D35D-4ADA-8CE5-01E53408CFDD}" name="Elevation"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6" xr3:uid="{EF6EC61E-72F3-41BD-9092-47BD618FDD4E}" name="MAP:PET"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7" xr3:uid="{AA658663-8951-4E57-9FB2-F274C77AE406}" name="Min temp"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8" xr3:uid="{3FA0AB6E-812D-413E-882A-AF5A08D97EE6}" name="Max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9" xr3:uid="{74A99A20-5F0A-413A-AFA7-C356233B210C}" name="Min rainfall"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10" xr3:uid="{F04967E0-7E03-48B5-ACC7-F637BAFEDAF8}" name="Max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1" xr3:uid="{A12F0767-89B5-41A1-81EA-47BA2AF17D87}" name="Min frost days"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5" xr3:uid="{E48C830D-E065-4445-9388-71910FCE0819}" name="Max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2" xr3:uid="{6811C42A-5A6B-4A3B-B22F-10063355D6A3}" name="Min elevation"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6" xr3:uid="{5A00CACD-99B3-463D-8316-126DFFAD0185}" name="Max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3" xr3:uid="{4F70D7AC-1FBF-4D2F-84EE-3961B00AB6FA}" name="Min MAP:PE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7" xr3:uid="{571EC256-613D-44E8-87A8-79784897AA93}" name="Max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57628F05-61F9-43C0-86FF-A926379DACFD}"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BD18A7F2-B993-4465-A25C-9AE68790E0A2}"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20498D3B-10CB-4B39-9515-952AAC35602E}" name="Wet or Dry Zone" totalsRowDxfId="33"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0422648-87F7-426C-9042-362556669ED0}"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2865B7CB-BB8B-4CC6-8C96-95828EEB2D08}" name="Temperature Zone">
      <calculatedColumnFormula array="1">Common_InputFunctions.Utility_DisplayArrayInTable(Common_SourceData.Common_SourceData_TemperatureZones_Data(),Table_SourceData_TemperatureZones[[#Headers],[Temperature Zone]],0)</calculatedColumnFormula>
    </tableColumn>
    <tableColumn id="2" xr3:uid="{7468A213-C5A4-4374-86EB-77FC21407374}" name="MAT">
      <calculatedColumnFormula array="1">Common_InputFunctions.Utility_DisplayArrayInTable(Common_SourceData.Common_SourceData_TemperatureZones_Data(),Table_SourceData_TemperatureZones[[#Headers],[Temperature Zone]],0)</calculatedColumnFormula>
    </tableColumn>
    <tableColumn id="3" xr3:uid="{9DDBDBB6-95B9-4A4C-B92B-1B583FF6D062}" name="Min MAT">
      <calculatedColumnFormula array="1">Common_InputFunctions.Utility_DisplayArrayInTable(Common_SourceData.Common_SourceData_TemperatureZones_Data(),Table_SourceData_TemperatureZones[[#Headers],[Temperature Zone]],0)</calculatedColumnFormula>
    </tableColumn>
    <tableColumn id="4" xr3:uid="{F25172EE-E420-4E4F-8098-5935A9FD762E}"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C958618D-1933-4AEC-BC5D-FD36867F1885}"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FF6F2824-A6C9-454B-81C7-5243401FADE9}" name="Rainfall Zone">
      <calculatedColumnFormula array="1">Common_InputFunctions.Utility_DisplayArrayInTable(Common_SourceData.Common_SourceData_RainfallZones_Data(),Table_SourceData_RainfallZones[[#Headers],[Rainfall Zone]],0)</calculatedColumnFormula>
    </tableColumn>
    <tableColumn id="2" xr3:uid="{F3F5AD0F-84C2-4D9A-BD75-C9043B9F7A9E}" name="Annual rainfall">
      <calculatedColumnFormula array="1">Common_InputFunctions.Utility_DisplayArrayInTable(Common_SourceData.Common_SourceData_RainfallZones_Data(),Table_SourceData_RainfallZones[[#Headers],[Rainfall Zone]],0)</calculatedColumnFormula>
    </tableColumn>
    <tableColumn id="3" xr3:uid="{D63DE5A3-AFA2-417F-B052-5C85542A2A1A}" name="Min rainfall">
      <calculatedColumnFormula array="1">Common_InputFunctions.Utility_DisplayArrayInTable(Common_SourceData.Common_SourceData_RainfallZones_Data(),Table_SourceData_RainfallZones[[#Headers],[Rainfall Zone]],0)</calculatedColumnFormula>
    </tableColumn>
    <tableColumn id="4" xr3:uid="{EF7B99F2-DBDD-4B91-9808-FA5F372EEEBE}"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D7C4603-62BD-4FCF-A6FB-94E1C562A1FB}"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EE6548BA-C07E-4AE3-B4C1-58186CDD45AC}" name="Leaching Zone">
      <calculatedColumnFormula array="1">Common_InputFunctions.Utility_DisplayArrayInTable(Common_SourceData.Common_SourceData_LeachingZones_Data(), Table_SourceData_LeachingZones[[#Headers],[Leaching Zone]], 0)</calculatedColumnFormula>
    </tableColumn>
    <tableColumn id="2" xr3:uid="{40A54995-C152-4AC4-A87E-E9F1F39F2233}"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9B92D41E-C940-4AD5-9605-FAE3E957C791}"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A1E166F1-2647-422A-BCA9-D956FA90745D}" name="Data source">
      <calculatedColumnFormula array="1">Common_InputFunctions.Utility_DisplayArrayInTable(Common_SourceData.Common_SourceData_DataScores_Scope3_Data(), Table_SourceData_DataScores_Scope3[[#Headers],[Data source]], 0)</calculatedColumnFormula>
    </tableColumn>
    <tableColumn id="2" xr3:uid="{AB881DD6-B59B-4148-ADAE-EAE2D8F9A786}"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D1AB846-42B9-499B-84FF-20F51B766498}" name="Table_SourceData_FracWET" displayName="Table_SourceData_FracWET" ref="D134:E136" totalsRowShown="0">
  <autoFilter ref="D134:E136" xr:uid="{308E99BE-FE1F-47A4-B2CA-97217277C4E9}">
    <filterColumn colId="0" hiddenButton="1"/>
    <filterColumn colId="1" hiddenButton="1"/>
  </autoFilter>
  <tableColumns count="2">
    <tableColumn id="1" xr3:uid="{25A1618F-2FB6-4F3A-9B07-6FE8E92014F4}" name="Is in leaching zone">
      <calculatedColumnFormula array="1">Common_InputFunctions.Utility_DisplayArrayInTable(Common_SourceData.Common_SourceData_FracWET_Data(),Table_SourceData_FracWET[[#Headers],[Is in leaching zone]],0)</calculatedColumnFormula>
    </tableColumn>
    <tableColumn id="2" xr3:uid="{60388008-2660-4F7B-B444-0194CB0523C0}" name="FracWET" dataDxfId="32">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4E4E4495-0844-4D09-A1CF-BBEEEEA5D747}"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C33A7D38-0C2B-459B-8111-76558B6B2F1F}" name="Production system j">
      <calculatedColumnFormula array="1">Common_InputFunctions.Utility_DisplayArrayInTable(Common_SourceData.Common_SourceData_EFN2O_Data(), Table_SourceData_Common_EFN2O[[#Headers],[Production system j]], 0)</calculatedColumnFormula>
    </tableColumn>
    <tableColumn id="2" xr3:uid="{003ABF3E-423D-447B-9A96-3AE7C094F96E}" name="EFN2O">
      <calculatedColumnFormula array="1">Common_InputFunctions.Utility_DisplayArrayInTable(Common_SourceData.Common_SourceData_EFN2O_Data(), Table_SourceData_Common_EFN2O[[#Headers],[Production system j]], 0)</calculatedColumnFormula>
    </tableColumn>
    <tableColumn id="3" xr3:uid="{2B2E2851-0B00-4D9F-8575-4AAC27537776}" name="Production system only">
      <calculatedColumnFormula array="1">Common_InputFunctions.Utility_DisplayArrayInTable(Common_SourceData.Common_SourceData_EFN2O_Data(), Table_SourceData_Common_EFN2O[[#Headers],[Production system j]], 0)</calculatedColumnFormula>
    </tableColumn>
    <tableColumn id="4" xr3:uid="{82ECD86B-9C31-4770-A944-CC7E245F87B2}" name="Irrigation method">
      <calculatedColumnFormula array="1">Common_InputFunctions.Utility_DisplayArrayInTable(Common_SourceData.Common_SourceData_EFN2O_Data(), Table_SourceData_Common_EFN2O[[#Headers],[Production system j]], 0)</calculatedColumnFormula>
    </tableColumn>
    <tableColumn id="5" xr3:uid="{E162F670-2470-4EF9-8563-738EBB6E43F5}"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3A4F21DD-BD30-4F36-BFB0-A360E3D6C217}"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36CF51EB-7AF2-41FA-8521-8F61AA2EA7AC}" name="Irrigation type i">
      <calculatedColumnFormula array="1">Common_InputFunctions.Utility_DisplayArrayInTable(Common_SourceData.Common_SourceData_FracWETIrrigation_Data(), Table_SourceData_FracWETIrrigation[[#Headers],[Irrigation type i]], 0)</calculatedColumnFormula>
    </tableColumn>
    <tableColumn id="2" xr3:uid="{43D7701F-7AA1-46E0-B1BD-07A0992C9668}" name="FracWET" dataDxfId="31"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930FBD35-3C18-4164-B56A-2903E1DF8E2D}"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0561D0DC-ACA9-463B-97EA-00A2215BBCE0}"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EC762EAB-5EB9-4FA7-986D-27A021555BB2}" name="EFPRP" dataDxfId="30"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1354D81D-A397-48C1-93BD-DB6079D2ACAE}"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7BA995DD-CF8E-4942-843C-FA07D209EAF8}" name="Month">
      <calculatedColumnFormula array="1">Common_InputFunctions.Utility_DisplayArrayInTable(Common_SourceData.Common_SourceData_MonthsToSeasons_Data(), Table_SourceData_Common_MonthToSeason[[#Headers],[Month]], 0)</calculatedColumnFormula>
    </tableColumn>
    <tableColumn id="2" xr3:uid="{D19A1198-D137-45DC-88DC-3D48C19129AF}" name="Season" dataDxfId="29"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D7617E9A-258E-4A2F-B0E2-0613DD40B17A}"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8F01394-77F9-43C6-8279-FF245D49D1CB}"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5664C386-FD70-4F96-A2A3-1745E467172E}" name="MAT (ºC)"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8F8F0874-581B-45DD-B52D-BDF84DAFB13A}" name="Anaerobic lagoon"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C07D5DCA-57B4-4979-96F6-2CBC7F8B8035}" name="Digester / covered lagoons"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71C59B44-5169-4CEB-A945-BE0C4780239E}" name="Liquid system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31EFD931-530D-4F29-8773-089960C9B25B}" name="Daily spread"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92884B16-7320-4AE7-9A53-17E2FD8B964E}" name="Composting (passive windrow)"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90814C8E-A655-4F1F-8C08-C98CF566F167}" name="Solid storage"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23AEF6BB-01C8-48FF-8152-A9ADF60A90C5}" name="Pit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CAB4164-AEED-4F61-9077-E7609EEB81C7}" name="Deep litter"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9E9BE87E-02C1-4737-95B0-313A50EF45CF}" name="Poultry manure with bedding"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3462A952-B880-4CA2-8583-84F3F84B7A16}" name="Poultry manure without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D8DF64B0-8DE9-431C-8210-617BBFF2D948}" name="Direct process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C4D9857C-26D6-4A50-91CB-38B9518631D4}" name="Direct application"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A93455D6-7E16-4A9E-9520-758FA46528D7}" name="Pasture range and paddock"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9A9A46E-13BF-4587-8F9D-B0177E0402F8}" name="MAT raw"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42E076A-C3E6-4F5A-9D0B-A8E2DC30D944}"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1E368B32-8F28-4284-979B-9998690A69A8}"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C03918BF-7ABF-4D70-AB55-9B7B5B040913}" name="EFNi &amp; EFN2Oi" dataDxfId="13"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2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s>
</file>

<file path=xl/worksheets/_rels/sheet10.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18" Type="http://schemas.openxmlformats.org/officeDocument/2006/relationships/table" Target="../tables/table41.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1" Type="http://schemas.openxmlformats.org/officeDocument/2006/relationships/printerSettings" Target="../printerSettings/printerSettings6.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D20" sqref="D20"/>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7" t="e" vm="1">
        <v>#VALUE!</v>
      </c>
      <c r="C1" s="114" t="s">
        <v>162</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HYPERLINK("#'Results'!A1", "Results")</f>
        <v>Results</v>
      </c>
      <c r="C4" s="22"/>
      <c r="D4" s="6" t="s">
        <v>5</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3</v>
      </c>
      <c r="C6" s="22"/>
      <c r="D6" s="113" t="s">
        <v>114</v>
      </c>
      <c r="E6" s="113" t="s">
        <v>157</v>
      </c>
      <c r="F6" s="113" t="s">
        <v>158</v>
      </c>
      <c r="G6" s="113" t="s">
        <v>127</v>
      </c>
      <c r="H6" s="113" t="s">
        <v>159</v>
      </c>
      <c r="I6" s="113" t="s">
        <v>160</v>
      </c>
      <c r="J6" s="113" t="s">
        <v>128</v>
      </c>
      <c r="K6" s="22"/>
    </row>
    <row r="7" spans="1:11" ht="20.100000000000001" customHeight="1" x14ac:dyDescent="0.25">
      <c r="A7" s="17" t="str">
        <f>HYPERLINK("#'Input - Site'!A1", "Site")</f>
        <v>Site</v>
      </c>
      <c r="C7" s="22"/>
      <c r="D7" s="1" t="s">
        <v>163</v>
      </c>
      <c r="E7" s="110">
        <f ca="1">'4.2.1.1-2 Methane'!$E$244</f>
        <v>0.88628531326724402</v>
      </c>
      <c r="F7" s="110">
        <f ca="1">'4.2.1.1-2 Methane'!X276</f>
        <v>0.89029635334910784</v>
      </c>
      <c r="G7" s="54" t="s">
        <v>148</v>
      </c>
      <c r="H7" s="110">
        <f ca="1">'4.2.1.1-2 Methane'!$E$249</f>
        <v>24.815988771482832</v>
      </c>
      <c r="I7" s="110">
        <f ca="1">'4.2.1.1-2 Methane'!$X$281</f>
        <v>24.928297893775021</v>
      </c>
      <c r="J7" s="54" t="s">
        <v>153</v>
      </c>
      <c r="K7" s="22"/>
    </row>
    <row r="8" spans="1:11" ht="20.100000000000001" customHeight="1" x14ac:dyDescent="0.25">
      <c r="A8" s="17" t="str">
        <f>HYPERLINK("#'Input - Pasture Beef'!A1", "Pasture Beef")</f>
        <v>Pasture Beef</v>
      </c>
      <c r="C8" s="22"/>
      <c r="D8" s="1" t="s">
        <v>303</v>
      </c>
      <c r="E8" s="110">
        <f ca="1">'4.2.1.3-4 Soil direct N20'!$E$229</f>
        <v>0.19011252663030423</v>
      </c>
      <c r="F8" s="110">
        <f ca="1">'4.2.1.3-4 Soil direct N20'!$V$267</f>
        <v>0.18424525527410571</v>
      </c>
      <c r="G8" s="54" t="s">
        <v>302</v>
      </c>
      <c r="H8" s="110">
        <f ca="1">'4.2.1.3-4 Soil direct N20'!$E$234</f>
        <v>50.379819557030622</v>
      </c>
      <c r="I8" s="110">
        <f ca="1">'4.2.1.3-4 Soil direct N20'!$V$272</f>
        <v>48.824992647638012</v>
      </c>
      <c r="J8" s="54" t="s">
        <v>153</v>
      </c>
      <c r="K8" s="22"/>
    </row>
    <row r="9" spans="1:11" ht="20.100000000000001" customHeight="1" x14ac:dyDescent="0.25">
      <c r="A9" s="17"/>
      <c r="C9" s="22"/>
      <c r="D9" s="1" t="s">
        <v>304</v>
      </c>
      <c r="E9" s="110">
        <f ca="1">'4.2.1.5-6 Soil Atmos Dep'!$E$35</f>
        <v>0.11777471024747345</v>
      </c>
      <c r="F9" s="110">
        <f ca="1">'4.2.1.5-6 Soil Atmos Dep'!$O$35</f>
        <v>0.11413993564230847</v>
      </c>
      <c r="G9" s="54" t="str">
        <f>'4.2.1.5-6 Soil Atmos Dep'!$F$35</f>
        <v>t N2O</v>
      </c>
      <c r="H9" s="110">
        <f ca="1">'4.2.1.5-6 Soil Atmos Dep'!$E$40</f>
        <v>31.210298215580465</v>
      </c>
      <c r="I9" s="110">
        <f ca="1">'4.2.1.5-6 Soil Atmos Dep'!$O$40</f>
        <v>30.247082945211744</v>
      </c>
      <c r="J9" s="54" t="s">
        <v>153</v>
      </c>
      <c r="K9" s="22"/>
    </row>
    <row r="10" spans="1:11" ht="20.100000000000001" customHeight="1" x14ac:dyDescent="0.25">
      <c r="A10" s="19" t="s">
        <v>77</v>
      </c>
      <c r="C10" s="22"/>
      <c r="D10" s="1" t="s">
        <v>305</v>
      </c>
      <c r="E10" s="110">
        <f ca="1">'4.2.1.7-8 Soil leach runoff'!$E$36</f>
        <v>0.2509485351520015</v>
      </c>
      <c r="F10" s="110">
        <f ca="1">'4.2.1.7-8 Soil leach runoff'!$N$36</f>
        <v>0.24320373696181949</v>
      </c>
      <c r="G10" s="54" t="str">
        <f>'4.2.1.7-8 Soil leach runoff'!$F$36</f>
        <v>t N2O</v>
      </c>
      <c r="H10" s="110">
        <f ca="1">'4.2.1.7-8 Soil leach runoff'!$E$41</f>
        <v>66.50136181528039</v>
      </c>
      <c r="I10" s="110">
        <f ca="1">'4.2.1.7-8 Soil leach runoff'!$N$41</f>
        <v>64.448990294882165</v>
      </c>
      <c r="J10" s="54" t="s">
        <v>153</v>
      </c>
      <c r="K10" s="22"/>
    </row>
    <row r="11" spans="1:11" ht="20.100000000000001" customHeight="1" x14ac:dyDescent="0.3">
      <c r="A11" s="17" t="str">
        <f>HYPERLINK("#'4.2.1.1-2 Methane'!A1", "4.2.1.1-2 Methane")</f>
        <v>4.2.1.1-2 Methane</v>
      </c>
      <c r="C11" s="22"/>
      <c r="D11" s="29" t="s">
        <v>126</v>
      </c>
      <c r="E11" s="23"/>
      <c r="F11" s="23"/>
      <c r="G11" s="29"/>
      <c r="H11" s="112">
        <f ca="1">SUM(H7:H10)</f>
        <v>172.90746835937432</v>
      </c>
      <c r="I11" s="112">
        <f ca="1">SUM(I7:I10)</f>
        <v>168.44936378150695</v>
      </c>
      <c r="J11" s="103" t="s">
        <v>153</v>
      </c>
      <c r="K11" s="22"/>
    </row>
    <row r="12" spans="1:11" ht="20.100000000000001" customHeight="1" x14ac:dyDescent="0.25">
      <c r="A12" s="17" t="str">
        <f>HYPERLINK("#'4.2.1.3-4 Soil direct N2O'!A1", "4.2.1.3-4 Soil direct N2O")</f>
        <v>4.2.1.3-4 Soil direct N2O</v>
      </c>
      <c r="C12" s="22"/>
      <c r="D12" s="1"/>
      <c r="E12" s="1"/>
      <c r="F12" s="1"/>
      <c r="G12" s="24"/>
      <c r="H12" s="22"/>
      <c r="I12" s="1"/>
      <c r="J12" s="1"/>
      <c r="K12" s="22"/>
    </row>
    <row r="13" spans="1:11" ht="20.100000000000001" customHeight="1" x14ac:dyDescent="0.25">
      <c r="A13" s="17" t="str">
        <f>HYPERLINK("#'4.2.1.5-6 Soil Atmos Dep'!A1", "4.2.1.5-6 Soil atm. deposition")</f>
        <v>4.2.1.5-6 Soil atm. deposition</v>
      </c>
      <c r="C13" s="22"/>
      <c r="D13" s="1"/>
      <c r="E13" s="1"/>
      <c r="F13" s="1"/>
      <c r="G13" s="1"/>
      <c r="H13" s="24"/>
      <c r="I13" s="22"/>
      <c r="J13" s="22"/>
      <c r="K13" s="22"/>
    </row>
    <row r="14" spans="1:11" ht="20.100000000000001" customHeight="1" x14ac:dyDescent="0.3">
      <c r="A14" s="17" t="str">
        <f>HYPERLINK("#'4.2.1.7-8 Soil leach runoff'!A1", "4.2.1.7-8 Soil leach &amp; runoff")</f>
        <v>4.2.1.7-8 Soil leach &amp; runoff</v>
      </c>
      <c r="C14" s="22"/>
      <c r="D14" s="1"/>
      <c r="E14" s="1"/>
      <c r="F14" s="1"/>
      <c r="G14" s="1"/>
      <c r="H14" s="27"/>
      <c r="I14" s="22"/>
      <c r="J14" s="22"/>
      <c r="K14" s="22"/>
    </row>
    <row r="15" spans="1:11" ht="20.100000000000001" customHeight="1" x14ac:dyDescent="0.3">
      <c r="A15" s="17"/>
      <c r="C15" s="22"/>
      <c r="D15" s="1"/>
      <c r="E15" s="1"/>
      <c r="F15" s="1"/>
      <c r="G15" s="1"/>
      <c r="H15" s="27"/>
      <c r="I15" s="22"/>
      <c r="J15" s="22"/>
      <c r="K15" s="22"/>
    </row>
    <row r="16" spans="1:11" ht="20.100000000000001" customHeight="1" x14ac:dyDescent="0.3">
      <c r="A16" s="18" t="s">
        <v>4</v>
      </c>
      <c r="C16" s="22"/>
      <c r="D16" s="1"/>
      <c r="E16" s="1"/>
      <c r="F16" s="1"/>
      <c r="G16" s="1"/>
      <c r="H16" s="27"/>
      <c r="I16" s="22"/>
      <c r="J16" s="22"/>
      <c r="K16" s="22"/>
    </row>
    <row r="17" spans="1:11" ht="20.100000000000001" customHeight="1" x14ac:dyDescent="0.3">
      <c r="A17" s="17" t="str">
        <f>HYPERLINK("#'Constants - Pasture Beef'!A1", "Constants - Pasture Beef")</f>
        <v>Constants - Pasture Beef</v>
      </c>
      <c r="C17" s="22"/>
      <c r="D17" s="1"/>
      <c r="E17" s="1"/>
      <c r="F17" s="1"/>
      <c r="G17" s="1"/>
      <c r="H17" s="27"/>
      <c r="I17" s="22"/>
      <c r="J17" s="22"/>
      <c r="K17" s="22"/>
    </row>
    <row r="18" spans="1:11" ht="20.100000000000001" customHeight="1" x14ac:dyDescent="0.3">
      <c r="A18" s="17" t="str">
        <f>HYPERLINK("#'Constants - Livestock'!A1", "Constants - Livestock")</f>
        <v>Constants - Livestock</v>
      </c>
      <c r="C18" s="22"/>
      <c r="D18" s="1"/>
      <c r="E18" s="1"/>
      <c r="F18" s="1"/>
      <c r="G18" s="1"/>
      <c r="H18" s="27"/>
      <c r="I18" s="22"/>
      <c r="J18" s="22"/>
      <c r="K18" s="22"/>
    </row>
    <row r="19" spans="1:11" ht="20.100000000000001" customHeight="1" x14ac:dyDescent="0.3">
      <c r="A19" s="17" t="str">
        <f>HYPERLINK("#'Constants - Common'!A1", "Constants - Common")</f>
        <v>Constants - Common</v>
      </c>
      <c r="C19" s="22"/>
      <c r="D19" s="1"/>
      <c r="E19" s="1"/>
      <c r="F19" s="1"/>
      <c r="G19" s="1"/>
      <c r="H19" s="27"/>
      <c r="I19" s="22"/>
      <c r="J19" s="22"/>
      <c r="K19" s="22"/>
    </row>
    <row r="20" spans="1:11" ht="20.100000000000001" customHeight="1" x14ac:dyDescent="0.3">
      <c r="A20" s="17" t="str">
        <f>HYPERLINK("#'Acknowledgements'!A1", "Acknowledgements")</f>
        <v>Acknowledgements</v>
      </c>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9"/>
      <c r="J38" s="109"/>
      <c r="K38" s="22"/>
    </row>
    <row r="39" spans="3:11" ht="20.100000000000001" customHeight="1" x14ac:dyDescent="0.25">
      <c r="C39" s="22"/>
      <c r="D39" s="1"/>
      <c r="E39" s="1"/>
      <c r="F39" s="1"/>
      <c r="G39" s="1"/>
      <c r="H39" s="1"/>
      <c r="I39" s="109"/>
      <c r="J39" s="109"/>
      <c r="K39" s="22"/>
    </row>
    <row r="40" spans="3:11" ht="20.100000000000001" customHeight="1" x14ac:dyDescent="0.25">
      <c r="C40" s="22"/>
      <c r="D40" s="1"/>
      <c r="E40" s="1"/>
      <c r="F40" s="1"/>
      <c r="G40" s="1"/>
      <c r="H40" s="1"/>
      <c r="I40" s="109"/>
      <c r="J40" s="109"/>
      <c r="K40" s="22"/>
    </row>
    <row r="41" spans="3:11" ht="20.100000000000001" customHeight="1" x14ac:dyDescent="0.25">
      <c r="C41" s="22"/>
      <c r="D41" s="1"/>
      <c r="E41" s="1"/>
      <c r="F41" s="1"/>
      <c r="G41" s="1"/>
      <c r="H41" s="1"/>
      <c r="I41" s="109"/>
      <c r="J41" s="109"/>
      <c r="K41" s="22"/>
    </row>
    <row r="42" spans="3:11" ht="20.100000000000001" customHeight="1" x14ac:dyDescent="0.25">
      <c r="C42" s="22"/>
      <c r="D42" s="1"/>
      <c r="E42" s="1"/>
      <c r="F42" s="1"/>
      <c r="G42" s="1"/>
      <c r="H42" s="1"/>
      <c r="I42" s="109"/>
      <c r="J42" s="109"/>
      <c r="K42" s="22"/>
    </row>
    <row r="43" spans="3:11" ht="20.100000000000001" customHeight="1" x14ac:dyDescent="0.25">
      <c r="C43" s="22"/>
      <c r="D43" s="1"/>
      <c r="E43" s="1"/>
      <c r="F43" s="1"/>
      <c r="G43" s="1"/>
      <c r="H43" s="1"/>
      <c r="I43" s="109"/>
      <c r="J43" s="109"/>
      <c r="K43" s="22"/>
    </row>
    <row r="44" spans="3:11" ht="20.100000000000001" customHeight="1" x14ac:dyDescent="0.25">
      <c r="C44" s="22"/>
      <c r="D44" s="1"/>
      <c r="E44" s="1"/>
      <c r="F44" s="1"/>
      <c r="G44" s="1"/>
      <c r="H44" s="1"/>
      <c r="I44" s="109"/>
      <c r="J44" s="109"/>
      <c r="K44" s="22"/>
    </row>
    <row r="45" spans="3:11" ht="20.100000000000001" customHeight="1" x14ac:dyDescent="0.25">
      <c r="C45" s="22"/>
      <c r="D45" s="1"/>
      <c r="E45" s="1"/>
      <c r="F45" s="1"/>
      <c r="G45" s="1"/>
      <c r="H45" s="1"/>
      <c r="I45" s="109"/>
      <c r="J45" s="109"/>
      <c r="K45" s="22"/>
    </row>
    <row r="46" spans="3:11" ht="20.100000000000001" customHeight="1" x14ac:dyDescent="0.25">
      <c r="C46" s="22"/>
      <c r="D46" s="1"/>
      <c r="E46" s="1"/>
      <c r="F46" s="1"/>
      <c r="G46" s="1"/>
      <c r="H46" s="1"/>
      <c r="I46" s="109"/>
      <c r="J46" s="109"/>
      <c r="K46" s="22"/>
    </row>
    <row r="47" spans="3:11" ht="20.100000000000001" customHeight="1" x14ac:dyDescent="0.25">
      <c r="C47" s="22"/>
      <c r="D47" s="1"/>
      <c r="E47" s="1"/>
      <c r="F47" s="1"/>
      <c r="G47" s="1"/>
      <c r="H47" s="1"/>
      <c r="I47" s="109"/>
      <c r="J47" s="109"/>
      <c r="K47" s="22"/>
    </row>
    <row r="48" spans="3:11" ht="20.100000000000001" customHeight="1" x14ac:dyDescent="0.25">
      <c r="C48" s="22"/>
      <c r="D48" s="1"/>
      <c r="E48" s="1"/>
      <c r="F48" s="1"/>
      <c r="G48" s="1"/>
      <c r="H48" s="1"/>
      <c r="I48" s="109"/>
      <c r="J48" s="109"/>
      <c r="K48" s="22"/>
    </row>
    <row r="49" spans="3:11" ht="20.100000000000001" customHeight="1" x14ac:dyDescent="0.25">
      <c r="C49" s="22"/>
      <c r="D49" s="1"/>
      <c r="E49" s="1"/>
      <c r="F49" s="1"/>
      <c r="G49" s="1"/>
      <c r="H49" s="109"/>
      <c r="I49" s="109"/>
      <c r="J49" s="109"/>
      <c r="K49" s="22"/>
    </row>
    <row r="50" spans="3:11" ht="20.100000000000001" customHeight="1" x14ac:dyDescent="0.25">
      <c r="C50" s="22"/>
      <c r="D50" s="1"/>
      <c r="E50" s="1"/>
      <c r="F50" s="1"/>
      <c r="G50" s="1"/>
      <c r="H50" s="109"/>
      <c r="I50" s="109"/>
      <c r="J50" s="109"/>
      <c r="K50" s="22"/>
    </row>
    <row r="51" spans="3:11" ht="20.100000000000001" customHeight="1" x14ac:dyDescent="0.25">
      <c r="C51" s="22"/>
      <c r="D51" s="1"/>
      <c r="E51" s="1"/>
      <c r="F51" s="1"/>
      <c r="G51" s="1"/>
      <c r="H51" s="109"/>
      <c r="I51" s="109"/>
      <c r="J51" s="109"/>
      <c r="K51" s="22"/>
    </row>
    <row r="52" spans="3:11" ht="20.100000000000001" customHeight="1" x14ac:dyDescent="0.25">
      <c r="C52" s="22"/>
      <c r="D52" s="1"/>
      <c r="E52" s="1"/>
      <c r="F52" s="1"/>
      <c r="G52" s="1"/>
      <c r="H52" s="109"/>
      <c r="I52" s="109"/>
      <c r="J52" s="109"/>
      <c r="K52" s="22"/>
    </row>
    <row r="53" spans="3:11" ht="20.100000000000001" customHeight="1" x14ac:dyDescent="0.25">
      <c r="C53" s="22"/>
      <c r="D53" s="1"/>
      <c r="E53" s="1"/>
      <c r="F53" s="1"/>
      <c r="G53" s="1"/>
      <c r="H53" s="109"/>
      <c r="I53" s="109"/>
      <c r="J53" s="109"/>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topLeftCell="A6" zoomScaleNormal="100" workbookViewId="0">
      <selection activeCell="E25" sqref="E25"/>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7" t="e" vm="1">
        <v>#VALUE!</v>
      </c>
      <c r="C1" s="12" t="s">
        <v>92</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8"/>
      <c r="D4" s="68"/>
      <c r="E4" s="68"/>
      <c r="F4" s="68"/>
      <c r="G4" s="68"/>
      <c r="H4" s="68"/>
      <c r="I4" s="68"/>
      <c r="J4" s="68"/>
      <c r="K4" s="68"/>
    </row>
    <row r="5" spans="1:24" ht="20.100000000000001" customHeight="1" x14ac:dyDescent="0.25">
      <c r="D5" s="6" t="s">
        <v>15</v>
      </c>
      <c r="N5" s="40"/>
    </row>
    <row r="6" spans="1:24" ht="20.100000000000001" customHeight="1" x14ac:dyDescent="0.25">
      <c r="A6" s="20" t="s">
        <v>3</v>
      </c>
      <c r="D6" s="14"/>
      <c r="N6" s="41"/>
    </row>
    <row r="7" spans="1:24" ht="20.100000000000001" customHeight="1" x14ac:dyDescent="0.25">
      <c r="A7" s="17" t="str">
        <f>HYPERLINK("#'Input - Site'!A1", "Site")</f>
        <v>Site</v>
      </c>
      <c r="D7" s="1" t="s">
        <v>7</v>
      </c>
      <c r="E7" s="33" t="s">
        <v>6</v>
      </c>
      <c r="F7" s="2"/>
    </row>
    <row r="8" spans="1:24" ht="20.100000000000001" customHeight="1" x14ac:dyDescent="0.25">
      <c r="A8" s="17" t="str">
        <f>HYPERLINK("#'Input - Pasture Beef'!A1", "Pasture Beef")</f>
        <v>Pasture Beef</v>
      </c>
      <c r="D8" s="10" t="s">
        <v>73</v>
      </c>
      <c r="E8" s="33" t="s">
        <v>74</v>
      </c>
    </row>
    <row r="9" spans="1:24" ht="20.100000000000001" customHeight="1" x14ac:dyDescent="0.25">
      <c r="A9" s="17"/>
      <c r="N9" s="42"/>
    </row>
    <row r="10" spans="1:24" ht="20.100000000000001" customHeight="1" x14ac:dyDescent="0.25">
      <c r="A10" s="19" t="s">
        <v>77</v>
      </c>
      <c r="D10" s="93" t="s">
        <v>91</v>
      </c>
      <c r="E10" s="91"/>
      <c r="F10" s="94"/>
      <c r="G10" s="88"/>
      <c r="N10" s="42"/>
    </row>
    <row r="11" spans="1:24" ht="20.100000000000001" customHeight="1" x14ac:dyDescent="0.25">
      <c r="A11" s="17" t="str">
        <f>HYPERLINK("#'4.2.1.1-2 Methane'!A1", "4.2.1.1-2 Methane")</f>
        <v>4.2.1.1-2 Methane</v>
      </c>
      <c r="N11" s="43"/>
    </row>
    <row r="12" spans="1:24" ht="20.100000000000001" customHeight="1" x14ac:dyDescent="0.25">
      <c r="A12" s="17" t="str">
        <f>HYPERLINK("#'4.2.1.3-4 Soil direct N2O'!A1", "4.2.1.3-4 Soil direct N2O")</f>
        <v>4.2.1.3-4 Soil direct N2O</v>
      </c>
      <c r="D12" s="10" t="s">
        <v>97</v>
      </c>
      <c r="E12" s="63">
        <v>45292</v>
      </c>
      <c r="F12" s="2" t="s">
        <v>71</v>
      </c>
    </row>
    <row r="13" spans="1:24" ht="20.100000000000001" customHeight="1" x14ac:dyDescent="0.25">
      <c r="A13" s="17" t="str">
        <f>HYPERLINK("#'4.2.1.5-6 Soil Atmos Dep'!A1", "4.2.1.5-6 Soil atm. deposition")</f>
        <v>4.2.1.5-6 Soil atm. deposition</v>
      </c>
      <c r="D13" s="10" t="s">
        <v>98</v>
      </c>
      <c r="E13" s="69">
        <f>DATE(YEAR(E12)+1,MONTH(E12),DAY(E12))-1</f>
        <v>45657</v>
      </c>
      <c r="F13" s="2" t="s">
        <v>17</v>
      </c>
      <c r="N13" s="38"/>
      <c r="O13" s="38"/>
    </row>
    <row r="14" spans="1:24" ht="20.100000000000001" customHeight="1" x14ac:dyDescent="0.25">
      <c r="A14" s="17" t="str">
        <f>HYPERLINK("#'4.2.1.7-8 Soil leach runoff'!A1", "4.2.1.7-8 Soil leach &amp; runoff")</f>
        <v>4.2.1.7-8 Soil leach &amp; runoff</v>
      </c>
      <c r="N14" s="38"/>
      <c r="O14" s="38"/>
    </row>
    <row r="15" spans="1:24" ht="20.100000000000001" customHeight="1" x14ac:dyDescent="0.25">
      <c r="A15" s="17"/>
      <c r="N15" s="38"/>
      <c r="O15" s="38"/>
    </row>
    <row r="16" spans="1:24" ht="20.100000000000001" customHeight="1" x14ac:dyDescent="0.25">
      <c r="A16" s="18" t="s">
        <v>4</v>
      </c>
      <c r="D16" s="6" t="s">
        <v>14</v>
      </c>
      <c r="N16" s="38"/>
      <c r="O16" s="38"/>
    </row>
    <row r="17" spans="1:25" ht="20.100000000000001" customHeight="1" x14ac:dyDescent="0.25">
      <c r="A17" s="17" t="str">
        <f>HYPERLINK("#'Constants - Pasture Beef'!A1", "Constants - Pasture Beef")</f>
        <v>Constants - Pasture Beef</v>
      </c>
    </row>
    <row r="18" spans="1:25" ht="20.100000000000001" customHeight="1" x14ac:dyDescent="0.25">
      <c r="A18" s="17" t="str">
        <f>HYPERLINK("#'Constants - Livestock'!A1", "Constants - Livestock")</f>
        <v>Constants - Livestock</v>
      </c>
      <c r="D18" s="95" t="s">
        <v>16</v>
      </c>
      <c r="E18" s="90"/>
      <c r="F18" s="90"/>
      <c r="G18" s="86"/>
    </row>
    <row r="19" spans="1:25" ht="20.100000000000001" customHeight="1" x14ac:dyDescent="0.25">
      <c r="A19" s="17" t="str">
        <f>HYPERLINK("#'Constants - Common'!A1", "Constants - Common")</f>
        <v>Constants - Common</v>
      </c>
      <c r="D19" s="92" t="s">
        <v>72</v>
      </c>
      <c r="E19" s="89"/>
      <c r="F19" s="89"/>
      <c r="G19" s="87"/>
      <c r="N19" s="40"/>
    </row>
    <row r="20" spans="1:25" ht="20.100000000000001" customHeight="1" x14ac:dyDescent="0.25">
      <c r="A20" s="17" t="str">
        <f>HYPERLINK("#'Acknowledgements'!A1", "Acknowledgements")</f>
        <v>Acknowledgements</v>
      </c>
      <c r="D20" s="1"/>
      <c r="E20" s="31"/>
      <c r="F20" s="2"/>
      <c r="N20" s="41"/>
    </row>
    <row r="21" spans="1:25" ht="20.100000000000001" customHeight="1" x14ac:dyDescent="0.25">
      <c r="A21"/>
      <c r="D21" s="1" t="s">
        <v>8</v>
      </c>
      <c r="E21" s="39" t="s">
        <v>218</v>
      </c>
      <c r="F21" s="2" t="s">
        <v>11</v>
      </c>
    </row>
    <row r="22" spans="1:25" ht="20.100000000000001" customHeight="1" x14ac:dyDescent="0.25">
      <c r="A22" s="17"/>
      <c r="D22" s="1" t="s">
        <v>26</v>
      </c>
      <c r="E22" s="39" t="s">
        <v>35</v>
      </c>
      <c r="F22" s="2" t="s">
        <v>11</v>
      </c>
      <c r="G22" s="1"/>
    </row>
    <row r="23" spans="1:25" ht="20.100000000000001" customHeight="1" x14ac:dyDescent="0.25">
      <c r="A23" s="17"/>
      <c r="D23" s="1" t="s">
        <v>9</v>
      </c>
      <c r="E23" s="39" t="s">
        <v>96</v>
      </c>
      <c r="F23" s="2" t="s">
        <v>11</v>
      </c>
    </row>
    <row r="24" spans="1:25" ht="20.100000000000001" customHeight="1" x14ac:dyDescent="0.25">
      <c r="A24" s="17"/>
      <c r="D24" s="1" t="s">
        <v>40</v>
      </c>
      <c r="E24" s="33">
        <v>307.7</v>
      </c>
      <c r="F24" s="2" t="s">
        <v>54</v>
      </c>
    </row>
    <row r="25" spans="1:25" ht="20.100000000000001" customHeight="1" x14ac:dyDescent="0.25">
      <c r="A25"/>
      <c r="D25" s="1" t="s">
        <v>62</v>
      </c>
      <c r="E25" s="33">
        <v>18</v>
      </c>
      <c r="F25" s="2" t="s">
        <v>12</v>
      </c>
      <c r="N25" s="41"/>
    </row>
    <row r="26" spans="1:25" ht="20.100000000000001" customHeight="1" x14ac:dyDescent="0.25">
      <c r="A26"/>
      <c r="D26" s="1" t="s">
        <v>63</v>
      </c>
      <c r="E26" s="33">
        <v>601</v>
      </c>
      <c r="F26" s="2" t="s">
        <v>13</v>
      </c>
    </row>
    <row r="27" spans="1:25" ht="20.100000000000001" customHeight="1" x14ac:dyDescent="0.25">
      <c r="A27"/>
      <c r="D27" s="10" t="s">
        <v>64</v>
      </c>
      <c r="E27" s="33">
        <v>1326</v>
      </c>
      <c r="F27" s="2" t="s">
        <v>13</v>
      </c>
    </row>
    <row r="28" spans="1:25" ht="20.100000000000001" customHeight="1" x14ac:dyDescent="0.25">
      <c r="A28"/>
      <c r="D28" s="1" t="s">
        <v>65</v>
      </c>
      <c r="E28" s="33">
        <v>7</v>
      </c>
      <c r="F28" s="2" t="s">
        <v>55</v>
      </c>
    </row>
    <row r="29" spans="1:25" ht="20.100000000000001" customHeight="1" x14ac:dyDescent="0.25">
      <c r="A29"/>
      <c r="D29" s="10" t="s">
        <v>61</v>
      </c>
      <c r="E29" s="52">
        <f>E26/E27</f>
        <v>0.45324283559577677</v>
      </c>
      <c r="F29" s="2"/>
    </row>
    <row r="30" spans="1:25" ht="20.100000000000001" customHeight="1" x14ac:dyDescent="0.25">
      <c r="A30"/>
      <c r="D30" s="10" t="s">
        <v>36</v>
      </c>
      <c r="E30" s="52" t="str">
        <f>Common_InputFunctions.Utility_LookupItemFromMinMax(E26,Table_SourceData_RainfallZones[Min rainfall],Table_SourceData_RainfallZones[Max rainfall],Table_SourceData_RainfallZones[Rainfall Zone])</f>
        <v>High rainfall</v>
      </c>
      <c r="G30" s="32"/>
      <c r="L30" s="49"/>
      <c r="M30" s="49"/>
      <c r="N30" s="49"/>
      <c r="O30" s="49"/>
      <c r="P30" s="49"/>
      <c r="Q30" s="49"/>
      <c r="R30" s="49"/>
      <c r="S30" s="49"/>
      <c r="T30" s="49"/>
      <c r="U30" s="49"/>
      <c r="V30" s="49"/>
      <c r="W30" s="49"/>
      <c r="X30" s="49"/>
      <c r="Y30" s="49"/>
    </row>
    <row r="31" spans="1:25" ht="20.100000000000001" customHeight="1" x14ac:dyDescent="0.25">
      <c r="A31"/>
      <c r="D31" s="1" t="s">
        <v>10</v>
      </c>
      <c r="E31" s="52"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7"/>
      <c r="M31" s="47"/>
      <c r="N31" s="47"/>
      <c r="O31" s="47"/>
      <c r="P31" s="47"/>
      <c r="Q31" s="47"/>
      <c r="R31" s="47"/>
      <c r="S31" s="47"/>
      <c r="T31" s="47"/>
      <c r="U31" s="47"/>
      <c r="V31" s="47"/>
      <c r="W31" s="47"/>
      <c r="X31" s="47"/>
      <c r="Y31" s="47"/>
    </row>
    <row r="32" spans="1:25" ht="20.100000000000001" customHeight="1" x14ac:dyDescent="0.25">
      <c r="A32"/>
      <c r="D32" s="1" t="s">
        <v>93</v>
      </c>
      <c r="E32" s="52" t="str">
        <f>Common_InputFunctions.Utility_LookupValueInTable($E$31,Table_SourceData_WetDryZones[Climate zone],Table_SourceData_WetDryZones[Wet or Dry Zone])</f>
        <v>Dry climate zone</v>
      </c>
      <c r="F32" s="1"/>
      <c r="G32" s="31"/>
      <c r="L32" s="47"/>
      <c r="M32" s="47"/>
      <c r="N32" s="47"/>
      <c r="O32" s="47"/>
      <c r="P32" s="47"/>
      <c r="Q32" s="47"/>
      <c r="R32" s="47"/>
      <c r="S32" s="47"/>
      <c r="T32" s="47"/>
      <c r="U32" s="47"/>
      <c r="V32" s="47"/>
      <c r="W32" s="47"/>
      <c r="X32" s="47"/>
      <c r="Y32" s="47"/>
    </row>
    <row r="33" spans="1:25" ht="20.100000000000001" customHeight="1" x14ac:dyDescent="0.25">
      <c r="A33"/>
      <c r="D33" s="1" t="s">
        <v>53</v>
      </c>
      <c r="E33" s="52" t="str">
        <f>Common_InputFunctions.Utility_LookupItemFromMinMax(E25,Table_SourceData_TemperatureZones[Min MAT],Table_SourceData_TemperatureZones[Max MAT],Table_SourceData_TemperatureZones[Temperature Zone])</f>
        <v>Temperate</v>
      </c>
      <c r="G33" s="70"/>
      <c r="L33" s="47"/>
      <c r="M33" s="47"/>
      <c r="N33" s="47"/>
      <c r="O33" s="47"/>
      <c r="P33" s="47"/>
      <c r="Q33" s="47"/>
      <c r="R33" s="47"/>
      <c r="S33" s="47"/>
      <c r="T33" s="47"/>
      <c r="U33" s="47"/>
      <c r="V33" s="47"/>
      <c r="W33" s="47"/>
      <c r="X33" s="47"/>
      <c r="Y33" s="47"/>
    </row>
    <row r="34" spans="1:25" ht="20.100000000000001" customHeight="1" x14ac:dyDescent="0.25">
      <c r="A34"/>
      <c r="J34" s="60"/>
      <c r="K34" s="73"/>
      <c r="L34" s="47"/>
      <c r="M34" s="47"/>
      <c r="N34" s="47"/>
      <c r="O34" s="47"/>
      <c r="P34" s="47"/>
      <c r="Q34" s="47"/>
      <c r="R34" s="47"/>
      <c r="S34" s="47"/>
      <c r="T34" s="47"/>
      <c r="U34" s="47"/>
      <c r="V34" s="47"/>
      <c r="W34" s="47"/>
      <c r="X34" s="47"/>
      <c r="Y34" s="47"/>
    </row>
    <row r="35" spans="1:25" ht="20.100000000000001" customHeight="1" x14ac:dyDescent="0.25">
      <c r="A35"/>
      <c r="J35" s="60"/>
      <c r="K35" s="73"/>
      <c r="L35" s="47"/>
      <c r="M35" s="47"/>
      <c r="N35" s="47"/>
      <c r="O35" s="47"/>
      <c r="P35" s="47"/>
      <c r="Q35" s="47"/>
      <c r="R35" s="47"/>
      <c r="S35" s="47"/>
      <c r="T35" s="47"/>
      <c r="U35" s="47"/>
      <c r="V35" s="47"/>
      <c r="W35" s="47"/>
      <c r="X35" s="47"/>
      <c r="Y35" s="47"/>
    </row>
    <row r="36" spans="1:25" ht="20.100000000000001" customHeight="1" x14ac:dyDescent="0.25">
      <c r="A36"/>
      <c r="D36" s="71"/>
      <c r="E36" s="71"/>
      <c r="F36" s="72"/>
      <c r="G36" s="60"/>
      <c r="H36" s="60"/>
      <c r="I36" s="61"/>
      <c r="J36" s="60"/>
      <c r="K36" s="73"/>
      <c r="L36" s="47"/>
      <c r="M36" s="47"/>
      <c r="N36" s="47"/>
      <c r="O36" s="47"/>
      <c r="P36" s="47"/>
      <c r="Q36" s="47"/>
      <c r="R36" s="47"/>
      <c r="S36" s="47"/>
      <c r="T36" s="47"/>
      <c r="U36" s="47"/>
      <c r="V36" s="47"/>
      <c r="W36" s="47"/>
      <c r="X36" s="47"/>
      <c r="Y36" s="47"/>
    </row>
    <row r="37" spans="1:25" ht="20.100000000000001" customHeight="1" x14ac:dyDescent="0.25">
      <c r="A37"/>
      <c r="D37" s="71"/>
      <c r="E37" s="71"/>
      <c r="F37" s="72"/>
      <c r="G37" s="60"/>
      <c r="H37" s="60"/>
      <c r="I37" s="61"/>
      <c r="J37" s="60"/>
      <c r="K37" s="73"/>
      <c r="L37" s="47"/>
      <c r="M37" s="47"/>
      <c r="N37" s="47"/>
      <c r="O37" s="47"/>
      <c r="P37" s="47"/>
      <c r="Q37" s="47"/>
      <c r="R37" s="47"/>
      <c r="S37" s="47"/>
      <c r="T37" s="47"/>
      <c r="U37" s="47"/>
      <c r="V37" s="47"/>
      <c r="W37" s="47"/>
      <c r="X37" s="47"/>
      <c r="Y37" s="47"/>
    </row>
    <row r="38" spans="1:25" ht="20.100000000000001" customHeight="1" x14ac:dyDescent="0.25">
      <c r="A38"/>
      <c r="D38" s="71"/>
      <c r="E38" s="71"/>
      <c r="F38" s="72"/>
      <c r="G38" s="60"/>
      <c r="H38" s="60"/>
      <c r="I38" s="61"/>
      <c r="J38" s="60"/>
      <c r="K38" s="73"/>
      <c r="L38" s="47"/>
      <c r="M38" s="47"/>
      <c r="N38" s="47"/>
      <c r="O38" s="47"/>
      <c r="P38" s="47"/>
      <c r="Q38" s="47"/>
      <c r="R38" s="47"/>
      <c r="S38" s="47"/>
      <c r="T38" s="47"/>
      <c r="U38" s="47"/>
      <c r="V38" s="47"/>
      <c r="W38" s="47"/>
      <c r="X38" s="47"/>
      <c r="Y38" s="47"/>
    </row>
    <row r="39" spans="1:25" ht="20.100000000000001" customHeight="1" x14ac:dyDescent="0.25">
      <c r="A39"/>
      <c r="D39" s="71"/>
      <c r="E39" s="71"/>
      <c r="F39" s="72"/>
      <c r="G39" s="60"/>
      <c r="H39" s="60"/>
      <c r="I39" s="61"/>
      <c r="J39" s="60"/>
      <c r="K39" s="73"/>
      <c r="L39" s="47"/>
      <c r="M39" s="47"/>
      <c r="N39" s="47"/>
      <c r="O39" s="47"/>
      <c r="P39" s="47"/>
      <c r="Q39" s="47"/>
      <c r="R39" s="47"/>
      <c r="S39" s="47"/>
      <c r="T39" s="47"/>
      <c r="U39" s="47"/>
      <c r="V39" s="47"/>
      <c r="W39" s="47"/>
      <c r="X39" s="47"/>
      <c r="Y39" s="47"/>
    </row>
    <row r="40" spans="1:25" ht="20.100000000000001" customHeight="1" x14ac:dyDescent="0.25">
      <c r="A40"/>
      <c r="D40" s="74"/>
      <c r="E40" s="74"/>
      <c r="F40" s="74"/>
      <c r="G40" s="75"/>
      <c r="H40" s="76"/>
      <c r="I40" s="76"/>
      <c r="J40" s="76"/>
      <c r="K40" s="76"/>
      <c r="L40" s="50"/>
      <c r="M40" s="50"/>
      <c r="N40" s="50"/>
      <c r="O40" s="50"/>
      <c r="P40" s="50"/>
      <c r="Q40" s="50"/>
      <c r="R40" s="50"/>
      <c r="S40" s="50"/>
      <c r="T40" s="50"/>
      <c r="U40" s="50"/>
      <c r="V40" s="50"/>
      <c r="W40" s="50"/>
      <c r="X40" s="50"/>
      <c r="Y40" s="50"/>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7"/>
      <c r="E47" s="77"/>
      <c r="F47" s="77"/>
      <c r="G47" s="77"/>
      <c r="H47" s="77"/>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8"/>
      <c r="E51" s="79"/>
      <c r="F51" s="79"/>
      <c r="G51" s="79"/>
      <c r="H51" s="80"/>
    </row>
    <row r="52" spans="4:8" ht="20.100000000000001" customHeight="1" x14ac:dyDescent="0.25"/>
    <row r="53" spans="4:8" ht="20.100000000000001" customHeight="1" x14ac:dyDescent="0.25"/>
    <row r="54" spans="4:8" ht="20.100000000000001" customHeight="1" x14ac:dyDescent="0.25">
      <c r="G54" s="81"/>
    </row>
    <row r="55" spans="4:8" ht="20.100000000000001" customHeight="1" x14ac:dyDescent="0.25">
      <c r="D55" s="6"/>
    </row>
    <row r="56" spans="4:8" ht="20.100000000000001" customHeight="1" x14ac:dyDescent="0.25"/>
    <row r="57" spans="4:8" ht="20.100000000000001" customHeight="1" x14ac:dyDescent="0.25">
      <c r="D57" s="21"/>
      <c r="F57" s="82"/>
    </row>
    <row r="58" spans="4:8" ht="20.100000000000001" customHeight="1" x14ac:dyDescent="0.25">
      <c r="D58" s="1"/>
      <c r="E58" s="83"/>
    </row>
    <row r="59" spans="4:8" ht="20.100000000000001" customHeight="1" x14ac:dyDescent="0.25">
      <c r="D59" s="1"/>
      <c r="E59" s="83"/>
    </row>
    <row r="60" spans="4:8" ht="20.100000000000001" customHeight="1" x14ac:dyDescent="0.25">
      <c r="D60" s="1"/>
      <c r="E60" s="84"/>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3"/>
    </row>
    <row r="65" spans="4:9" ht="20.100000000000001" customHeight="1" x14ac:dyDescent="0.25">
      <c r="D65" s="1"/>
      <c r="E65" s="83"/>
    </row>
    <row r="66" spans="4:9" ht="20.100000000000001" customHeight="1" x14ac:dyDescent="0.25">
      <c r="D66" s="1"/>
      <c r="E66" s="84"/>
    </row>
    <row r="67" spans="4:9" ht="20.100000000000001" customHeight="1" x14ac:dyDescent="0.25"/>
    <row r="68" spans="4:9" ht="20.100000000000001" customHeight="1" x14ac:dyDescent="0.25"/>
    <row r="69" spans="4:9" ht="20.100000000000001" customHeight="1" x14ac:dyDescent="0.25">
      <c r="D69" s="59"/>
      <c r="E69" s="59"/>
      <c r="F69" s="59"/>
      <c r="G69" s="59"/>
      <c r="H69" s="59"/>
      <c r="I69" s="59"/>
    </row>
    <row r="70" spans="4:9" ht="20.100000000000001" customHeight="1" x14ac:dyDescent="0.25">
      <c r="D70" s="59"/>
      <c r="E70" s="59"/>
      <c r="F70" s="59"/>
      <c r="G70" s="59"/>
      <c r="H70" s="59"/>
      <c r="I70" s="59"/>
    </row>
    <row r="71" spans="4:9" ht="20.100000000000001" customHeight="1" x14ac:dyDescent="0.25">
      <c r="D71" s="59"/>
      <c r="E71" s="59"/>
      <c r="F71" s="59"/>
      <c r="G71" s="59"/>
      <c r="H71" s="59"/>
      <c r="I71" s="59"/>
    </row>
    <row r="72" spans="4:9" ht="20.100000000000001" customHeight="1" x14ac:dyDescent="0.25">
      <c r="D72" s="59"/>
      <c r="E72" s="59"/>
      <c r="F72" s="59"/>
      <c r="G72" s="59"/>
      <c r="H72" s="59"/>
      <c r="I72" s="59"/>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5"/>
    </row>
    <row r="79" spans="4:9" ht="20.100000000000001" customHeight="1" x14ac:dyDescent="0.25">
      <c r="D79" s="85"/>
    </row>
    <row r="80" spans="4:9" ht="20.100000000000001" customHeight="1" x14ac:dyDescent="0.25">
      <c r="D80" s="85"/>
    </row>
    <row r="81" spans="4:4" ht="20.100000000000001" customHeight="1" x14ac:dyDescent="0.25">
      <c r="D81" s="85"/>
    </row>
    <row r="82" spans="4:4" ht="20.100000000000001" customHeight="1" x14ac:dyDescent="0.25">
      <c r="D82" s="85"/>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disablePrompts="1"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topLeftCell="A17" zoomScale="70" zoomScaleNormal="70" workbookViewId="0">
      <selection activeCell="E38" sqref="E38:N41"/>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6" customWidth="1"/>
    <col min="19" max="24" width="30.7109375" style="56" customWidth="1"/>
    <col min="25" max="25" width="4.7109375" style="56" customWidth="1"/>
  </cols>
  <sheetData>
    <row r="1" spans="1:25" s="67" customFormat="1" ht="30" customHeight="1" x14ac:dyDescent="0.35">
      <c r="A1" s="67" t="e" vm="1">
        <v>#VALUE!</v>
      </c>
      <c r="C1" s="67" t="s">
        <v>161</v>
      </c>
      <c r="Q1" s="56"/>
      <c r="R1" s="56"/>
      <c r="S1" s="56"/>
      <c r="T1" s="56"/>
      <c r="U1" s="56"/>
      <c r="V1" s="56"/>
      <c r="W1" s="56"/>
      <c r="X1" s="56"/>
      <c r="Y1" s="56"/>
    </row>
    <row r="2" spans="1:25" s="9" customFormat="1" ht="20.100000000000001" customHeight="1" x14ac:dyDescent="0.25">
      <c r="Q2" s="56"/>
      <c r="R2" s="56"/>
      <c r="S2" s="56"/>
      <c r="T2" s="56"/>
      <c r="U2" s="56"/>
      <c r="V2" s="56"/>
      <c r="W2" s="56"/>
      <c r="X2" s="56"/>
      <c r="Y2" s="56"/>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101</v>
      </c>
      <c r="P5" s="3"/>
      <c r="T5" s="7"/>
    </row>
    <row r="6" spans="1:25" ht="20.100000000000001" customHeight="1" x14ac:dyDescent="0.25">
      <c r="A6" s="20" t="s">
        <v>3</v>
      </c>
      <c r="P6" s="3"/>
      <c r="T6" s="7"/>
    </row>
    <row r="7" spans="1:25" ht="20.100000000000001" customHeight="1" x14ac:dyDescent="0.25">
      <c r="A7" s="17" t="str">
        <f>HYPERLINK("#'Input - Site'!A1", "Site")</f>
        <v>Site</v>
      </c>
      <c r="D7" s="1" t="s">
        <v>8</v>
      </c>
      <c r="E7" s="52" t="str">
        <f>'Input - Site'!$E$21</f>
        <v>Western Australia</v>
      </c>
      <c r="P7" s="3"/>
      <c r="T7" s="7"/>
    </row>
    <row r="8" spans="1:25" ht="20.100000000000001" customHeight="1" x14ac:dyDescent="0.25">
      <c r="A8" s="17" t="str">
        <f>HYPERLINK("#'Input - Pasture Beef'!A1", "Pasture Beef")</f>
        <v>Pasture Beef</v>
      </c>
      <c r="D8" s="1" t="s">
        <v>204</v>
      </c>
      <c r="E8" s="39" t="s">
        <v>209</v>
      </c>
      <c r="F8" s="2" t="s">
        <v>11</v>
      </c>
      <c r="P8" s="3"/>
      <c r="T8" s="7"/>
    </row>
    <row r="9" spans="1:25" ht="20.100000000000001" customHeight="1" x14ac:dyDescent="0.25">
      <c r="A9" s="17"/>
      <c r="D9" s="1" t="s">
        <v>231</v>
      </c>
      <c r="E9" s="39" t="s">
        <v>239</v>
      </c>
      <c r="F9" s="2" t="s">
        <v>11</v>
      </c>
      <c r="T9" s="7"/>
    </row>
    <row r="10" spans="1:25" ht="20.100000000000001" customHeight="1" x14ac:dyDescent="0.25">
      <c r="A10" s="19" t="s">
        <v>77</v>
      </c>
      <c r="T10" s="7"/>
    </row>
    <row r="11" spans="1:25" ht="20.100000000000001" customHeight="1" x14ac:dyDescent="0.25">
      <c r="A11" s="17" t="str">
        <f>HYPERLINK("#'4.2.1.1-2 Methane'!A1", "4.2.1.1-2 Methane")</f>
        <v>4.2.1.1-2 Methane</v>
      </c>
      <c r="T11" s="7"/>
    </row>
    <row r="12" spans="1:25" ht="20.100000000000001" customHeight="1" x14ac:dyDescent="0.25">
      <c r="A12" s="17" t="str">
        <f>HYPERLINK("#'4.2.1.3-4 Soil direct N2O'!A1", "4.2.1.3-4 Soil direct N2O")</f>
        <v>4.2.1.3-4 Soil direct N2O</v>
      </c>
      <c r="D12" s="93" t="s">
        <v>181</v>
      </c>
      <c r="E12" s="94"/>
      <c r="F12" s="94"/>
      <c r="G12" s="88"/>
      <c r="T12" s="7"/>
    </row>
    <row r="13" spans="1:25" ht="20.100000000000001" customHeight="1" x14ac:dyDescent="0.25">
      <c r="A13" s="17" t="str">
        <f>HYPERLINK("#'4.2.1.5-6 Soil Atmos Dep'!A1", "4.2.1.5-6 Soil atm. deposition")</f>
        <v>4.2.1.5-6 Soil atm. deposition</v>
      </c>
      <c r="T13" s="38"/>
    </row>
    <row r="14" spans="1:25" ht="20.100000000000001" customHeight="1" x14ac:dyDescent="0.25">
      <c r="A14" s="17" t="str">
        <f>HYPERLINK("#'4.2.1.7-8 Soil leach runoff'!A1", "4.2.1.7-8 Soil leach &amp; runoff")</f>
        <v>4.2.1.7-8 Soil leach &amp; runoff</v>
      </c>
      <c r="D14" s="48" t="s">
        <v>178</v>
      </c>
      <c r="T14" s="38"/>
    </row>
    <row r="15" spans="1:25" ht="20.100000000000001" customHeight="1" x14ac:dyDescent="0.25">
      <c r="A15" s="17"/>
      <c r="D15" s="62" t="s">
        <v>179</v>
      </c>
      <c r="E15" s="62" t="s">
        <v>131</v>
      </c>
      <c r="F15" s="62" t="s">
        <v>130</v>
      </c>
      <c r="G15" s="62" t="s">
        <v>165</v>
      </c>
      <c r="H15" s="62" t="s">
        <v>166</v>
      </c>
      <c r="I15" s="62" t="s">
        <v>167</v>
      </c>
      <c r="J15" s="62" t="s">
        <v>168</v>
      </c>
      <c r="K15" s="62" t="s">
        <v>169</v>
      </c>
      <c r="L15" s="62" t="s">
        <v>170</v>
      </c>
      <c r="M15" s="62" t="s">
        <v>171</v>
      </c>
      <c r="N15" s="62" t="s">
        <v>172</v>
      </c>
      <c r="T15" s="38"/>
    </row>
    <row r="16" spans="1:25" ht="20.100000000000001" customHeight="1" x14ac:dyDescent="0.25">
      <c r="A16" s="18" t="s">
        <v>4</v>
      </c>
      <c r="D16" s="1" t="s">
        <v>173</v>
      </c>
      <c r="E16" s="52">
        <v>91.25</v>
      </c>
      <c r="F16" s="52">
        <v>91.25</v>
      </c>
      <c r="G16" s="52">
        <v>91.25</v>
      </c>
      <c r="H16" s="52">
        <v>91.25</v>
      </c>
      <c r="I16" s="52">
        <v>91.25</v>
      </c>
      <c r="J16" s="52">
        <v>91.25</v>
      </c>
      <c r="K16" s="52">
        <v>91.25</v>
      </c>
      <c r="L16" s="52">
        <v>91.25</v>
      </c>
      <c r="M16" s="52">
        <v>91.25</v>
      </c>
      <c r="N16" s="52">
        <v>91.25</v>
      </c>
      <c r="O16" s="2" t="s">
        <v>55</v>
      </c>
      <c r="T16" s="38"/>
    </row>
    <row r="17" spans="1:20" ht="20.100000000000001" customHeight="1" x14ac:dyDescent="0.25">
      <c r="A17" s="17" t="str">
        <f>HYPERLINK("#'Constants - Pasture Beef'!A1", "Constants - Pasture Beef")</f>
        <v>Constants - Pasture Beef</v>
      </c>
      <c r="D17" s="1" t="s">
        <v>174</v>
      </c>
      <c r="E17" s="52">
        <v>91.25</v>
      </c>
      <c r="F17" s="52">
        <v>91.25</v>
      </c>
      <c r="G17" s="52">
        <v>91.25</v>
      </c>
      <c r="H17" s="52">
        <v>91.25</v>
      </c>
      <c r="I17" s="52">
        <v>91.25</v>
      </c>
      <c r="J17" s="52">
        <v>91.25</v>
      </c>
      <c r="K17" s="52">
        <v>91.25</v>
      </c>
      <c r="L17" s="52">
        <v>91.25</v>
      </c>
      <c r="M17" s="52">
        <v>91.25</v>
      </c>
      <c r="N17" s="52">
        <v>91.25</v>
      </c>
      <c r="O17" s="2" t="s">
        <v>55</v>
      </c>
      <c r="T17" s="7"/>
    </row>
    <row r="18" spans="1:20" ht="20.100000000000001" customHeight="1" x14ac:dyDescent="0.25">
      <c r="A18" s="17" t="str">
        <f>HYPERLINK("#'Constants - Livestock'!A1", "Constants - Livestock")</f>
        <v>Constants - Livestock</v>
      </c>
      <c r="D18" s="1" t="s">
        <v>175</v>
      </c>
      <c r="E18" s="52">
        <v>91.25</v>
      </c>
      <c r="F18" s="52">
        <v>91.25</v>
      </c>
      <c r="G18" s="52">
        <v>91.25</v>
      </c>
      <c r="H18" s="52">
        <v>91.25</v>
      </c>
      <c r="I18" s="52">
        <v>91.25</v>
      </c>
      <c r="J18" s="52">
        <v>91.25</v>
      </c>
      <c r="K18" s="52">
        <v>91.25</v>
      </c>
      <c r="L18" s="52">
        <v>91.25</v>
      </c>
      <c r="M18" s="52">
        <v>91.25</v>
      </c>
      <c r="N18" s="52">
        <v>91.25</v>
      </c>
      <c r="O18" s="2" t="s">
        <v>55</v>
      </c>
      <c r="T18" s="7"/>
    </row>
    <row r="19" spans="1:20" ht="20.100000000000001" customHeight="1" x14ac:dyDescent="0.25">
      <c r="A19" s="17" t="str">
        <f>HYPERLINK("#'Constants - Common'!A1", "Constants - Common")</f>
        <v>Constants - Common</v>
      </c>
      <c r="D19" s="1" t="s">
        <v>176</v>
      </c>
      <c r="E19" s="52">
        <v>91.25</v>
      </c>
      <c r="F19" s="52">
        <v>91.25</v>
      </c>
      <c r="G19" s="52">
        <v>91.25</v>
      </c>
      <c r="H19" s="52">
        <v>91.25</v>
      </c>
      <c r="I19" s="52">
        <v>91.25</v>
      </c>
      <c r="J19" s="52">
        <v>91.25</v>
      </c>
      <c r="K19" s="52">
        <v>91.25</v>
      </c>
      <c r="L19" s="52">
        <v>91.25</v>
      </c>
      <c r="M19" s="52">
        <v>91.25</v>
      </c>
      <c r="N19" s="52">
        <v>91.25</v>
      </c>
      <c r="O19" s="2" t="s">
        <v>55</v>
      </c>
      <c r="T19" s="7"/>
    </row>
    <row r="20" spans="1:20" ht="20.100000000000001" customHeight="1" x14ac:dyDescent="0.25">
      <c r="A20" s="17" t="str">
        <f>HYPERLINK("#'Acknowledgements'!A1", "Acknowledgements")</f>
        <v>Acknowledgements</v>
      </c>
      <c r="T20" s="7"/>
    </row>
    <row r="21" spans="1:20" ht="20.100000000000001" customHeight="1" x14ac:dyDescent="0.25">
      <c r="D21" s="62" t="s">
        <v>180</v>
      </c>
      <c r="E21" s="62" t="s">
        <v>131</v>
      </c>
      <c r="F21" s="62" t="s">
        <v>130</v>
      </c>
      <c r="G21" s="62" t="s">
        <v>165</v>
      </c>
      <c r="H21" s="62" t="s">
        <v>166</v>
      </c>
      <c r="I21" s="62" t="s">
        <v>167</v>
      </c>
      <c r="J21" s="62" t="s">
        <v>168</v>
      </c>
      <c r="K21" s="62" t="s">
        <v>169</v>
      </c>
      <c r="L21" s="62" t="s">
        <v>170</v>
      </c>
      <c r="M21" s="62" t="s">
        <v>171</v>
      </c>
      <c r="N21" s="62" t="s">
        <v>172</v>
      </c>
      <c r="T21" s="7"/>
    </row>
    <row r="22" spans="1:20" ht="20.100000000000001" customHeight="1" x14ac:dyDescent="0.25">
      <c r="A22" s="17"/>
      <c r="D22" s="1" t="str">
        <f>TEXT('Input - Site'!$E$12, "mmmm yyyy")</f>
        <v>January 2024</v>
      </c>
      <c r="E22" s="65">
        <f t="shared" ref="E22:N33" si="0">DAY(EOMONTH($D22,0))</f>
        <v>31</v>
      </c>
      <c r="F22" s="65">
        <f t="shared" si="0"/>
        <v>31</v>
      </c>
      <c r="G22" s="65">
        <f t="shared" si="0"/>
        <v>31</v>
      </c>
      <c r="H22" s="65">
        <f t="shared" si="0"/>
        <v>31</v>
      </c>
      <c r="I22" s="65">
        <f t="shared" si="0"/>
        <v>31</v>
      </c>
      <c r="J22" s="65">
        <f t="shared" si="0"/>
        <v>31</v>
      </c>
      <c r="K22" s="65">
        <f t="shared" si="0"/>
        <v>31</v>
      </c>
      <c r="L22" s="65">
        <f t="shared" si="0"/>
        <v>31</v>
      </c>
      <c r="M22" s="65">
        <f t="shared" si="0"/>
        <v>31</v>
      </c>
      <c r="N22" s="65">
        <f t="shared" si="0"/>
        <v>31</v>
      </c>
      <c r="O22" s="2" t="s">
        <v>55</v>
      </c>
      <c r="T22" s="7"/>
    </row>
    <row r="23" spans="1:20" ht="20.100000000000001" customHeight="1" x14ac:dyDescent="0.25">
      <c r="A23" s="17"/>
      <c r="D23" s="1" t="str">
        <f>TEXT(EDATE('Input - Site'!$E$12,1), "mmmm yyyy")</f>
        <v>February 2024</v>
      </c>
      <c r="E23" s="65">
        <f t="shared" si="0"/>
        <v>29</v>
      </c>
      <c r="F23" s="65">
        <f t="shared" si="0"/>
        <v>29</v>
      </c>
      <c r="G23" s="65">
        <f t="shared" si="0"/>
        <v>29</v>
      </c>
      <c r="H23" s="65">
        <f t="shared" si="0"/>
        <v>29</v>
      </c>
      <c r="I23" s="65">
        <f t="shared" si="0"/>
        <v>29</v>
      </c>
      <c r="J23" s="65">
        <f t="shared" si="0"/>
        <v>29</v>
      </c>
      <c r="K23" s="65">
        <f t="shared" si="0"/>
        <v>29</v>
      </c>
      <c r="L23" s="65">
        <f t="shared" si="0"/>
        <v>29</v>
      </c>
      <c r="M23" s="65">
        <f t="shared" si="0"/>
        <v>29</v>
      </c>
      <c r="N23" s="65">
        <f t="shared" si="0"/>
        <v>29</v>
      </c>
      <c r="O23" s="2" t="s">
        <v>55</v>
      </c>
      <c r="T23" s="7"/>
    </row>
    <row r="24" spans="1:20" ht="20.100000000000001" customHeight="1" x14ac:dyDescent="0.25">
      <c r="A24" s="17"/>
      <c r="D24" s="1" t="str">
        <f>TEXT(EDATE('Input - Site'!$E$12,2), "mmmm yyyy")</f>
        <v>March 2024</v>
      </c>
      <c r="E24" s="65">
        <f t="shared" si="0"/>
        <v>31</v>
      </c>
      <c r="F24" s="65">
        <f t="shared" si="0"/>
        <v>31</v>
      </c>
      <c r="G24" s="65">
        <f t="shared" si="0"/>
        <v>31</v>
      </c>
      <c r="H24" s="65">
        <f t="shared" si="0"/>
        <v>31</v>
      </c>
      <c r="I24" s="65">
        <f t="shared" si="0"/>
        <v>31</v>
      </c>
      <c r="J24" s="65">
        <f t="shared" si="0"/>
        <v>31</v>
      </c>
      <c r="K24" s="65">
        <f t="shared" si="0"/>
        <v>31</v>
      </c>
      <c r="L24" s="65">
        <f t="shared" si="0"/>
        <v>31</v>
      </c>
      <c r="M24" s="65">
        <f t="shared" si="0"/>
        <v>31</v>
      </c>
      <c r="N24" s="65">
        <f t="shared" si="0"/>
        <v>31</v>
      </c>
      <c r="O24" s="2" t="s">
        <v>55</v>
      </c>
      <c r="T24" s="7"/>
    </row>
    <row r="25" spans="1:20" ht="20.100000000000001" customHeight="1" x14ac:dyDescent="0.25">
      <c r="D25" s="1" t="str">
        <f>TEXT(EDATE('Input - Site'!$E$12,3), "mmmm yyyy")</f>
        <v>April 2024</v>
      </c>
      <c r="E25" s="65">
        <f t="shared" si="0"/>
        <v>30</v>
      </c>
      <c r="F25" s="65">
        <f t="shared" si="0"/>
        <v>30</v>
      </c>
      <c r="G25" s="65">
        <f t="shared" si="0"/>
        <v>30</v>
      </c>
      <c r="H25" s="65">
        <f t="shared" si="0"/>
        <v>30</v>
      </c>
      <c r="I25" s="65">
        <f t="shared" si="0"/>
        <v>30</v>
      </c>
      <c r="J25" s="65">
        <f t="shared" si="0"/>
        <v>30</v>
      </c>
      <c r="K25" s="65">
        <f t="shared" si="0"/>
        <v>30</v>
      </c>
      <c r="L25" s="65">
        <f t="shared" si="0"/>
        <v>30</v>
      </c>
      <c r="M25" s="65">
        <f t="shared" si="0"/>
        <v>30</v>
      </c>
      <c r="N25" s="65">
        <f t="shared" si="0"/>
        <v>30</v>
      </c>
      <c r="O25" s="2" t="s">
        <v>55</v>
      </c>
      <c r="T25" s="7"/>
    </row>
    <row r="26" spans="1:20" ht="20.100000000000001" customHeight="1" x14ac:dyDescent="0.25">
      <c r="A26" s="17"/>
      <c r="D26" s="1" t="str">
        <f>TEXT(EDATE('Input - Site'!$E$12,4), "mmmm yyyy")</f>
        <v>May 2024</v>
      </c>
      <c r="E26" s="65">
        <f t="shared" si="0"/>
        <v>31</v>
      </c>
      <c r="F26" s="65">
        <f t="shared" si="0"/>
        <v>31</v>
      </c>
      <c r="G26" s="65">
        <f t="shared" si="0"/>
        <v>31</v>
      </c>
      <c r="H26" s="65">
        <f t="shared" si="0"/>
        <v>31</v>
      </c>
      <c r="I26" s="65">
        <f t="shared" si="0"/>
        <v>31</v>
      </c>
      <c r="J26" s="65">
        <f t="shared" si="0"/>
        <v>31</v>
      </c>
      <c r="K26" s="65">
        <f t="shared" si="0"/>
        <v>31</v>
      </c>
      <c r="L26" s="65">
        <f t="shared" si="0"/>
        <v>31</v>
      </c>
      <c r="M26" s="65">
        <f t="shared" si="0"/>
        <v>31</v>
      </c>
      <c r="N26" s="65">
        <f t="shared" si="0"/>
        <v>31</v>
      </c>
      <c r="O26" s="2" t="s">
        <v>55</v>
      </c>
      <c r="T26" s="7"/>
    </row>
    <row r="27" spans="1:20" ht="20.100000000000001" customHeight="1" x14ac:dyDescent="0.25">
      <c r="A27" s="17"/>
      <c r="D27" s="1" t="str">
        <f>TEXT(EDATE('Input - Site'!$E$12,5), "mmmm yyyy")</f>
        <v>June 2024</v>
      </c>
      <c r="E27" s="65">
        <f t="shared" si="0"/>
        <v>30</v>
      </c>
      <c r="F27" s="65">
        <f t="shared" si="0"/>
        <v>30</v>
      </c>
      <c r="G27" s="65">
        <f t="shared" si="0"/>
        <v>30</v>
      </c>
      <c r="H27" s="65">
        <f t="shared" si="0"/>
        <v>30</v>
      </c>
      <c r="I27" s="65">
        <f t="shared" si="0"/>
        <v>30</v>
      </c>
      <c r="J27" s="65">
        <f t="shared" si="0"/>
        <v>30</v>
      </c>
      <c r="K27" s="65">
        <f t="shared" si="0"/>
        <v>30</v>
      </c>
      <c r="L27" s="65">
        <f t="shared" si="0"/>
        <v>30</v>
      </c>
      <c r="M27" s="65">
        <f t="shared" si="0"/>
        <v>30</v>
      </c>
      <c r="N27" s="65">
        <f t="shared" si="0"/>
        <v>30</v>
      </c>
      <c r="O27" s="2" t="s">
        <v>55</v>
      </c>
      <c r="T27" s="7"/>
    </row>
    <row r="28" spans="1:20" ht="20.100000000000001" customHeight="1" x14ac:dyDescent="0.25">
      <c r="A28" s="17"/>
      <c r="D28" s="1" t="str">
        <f>TEXT(EDATE('Input - Site'!$E$12,6), "mmmm yyyy")</f>
        <v>July 2024</v>
      </c>
      <c r="E28" s="65">
        <f t="shared" si="0"/>
        <v>31</v>
      </c>
      <c r="F28" s="65">
        <f t="shared" si="0"/>
        <v>31</v>
      </c>
      <c r="G28" s="65">
        <f t="shared" si="0"/>
        <v>31</v>
      </c>
      <c r="H28" s="65">
        <f t="shared" si="0"/>
        <v>31</v>
      </c>
      <c r="I28" s="65">
        <f t="shared" si="0"/>
        <v>31</v>
      </c>
      <c r="J28" s="65">
        <f t="shared" si="0"/>
        <v>31</v>
      </c>
      <c r="K28" s="65">
        <f t="shared" si="0"/>
        <v>31</v>
      </c>
      <c r="L28" s="65">
        <f t="shared" si="0"/>
        <v>31</v>
      </c>
      <c r="M28" s="65">
        <f t="shared" si="0"/>
        <v>31</v>
      </c>
      <c r="N28" s="65">
        <f t="shared" si="0"/>
        <v>31</v>
      </c>
      <c r="O28" s="2" t="s">
        <v>55</v>
      </c>
      <c r="T28" s="7"/>
    </row>
    <row r="29" spans="1:20" ht="20.100000000000001" customHeight="1" x14ac:dyDescent="0.25">
      <c r="A29" s="17"/>
      <c r="D29" s="1" t="str">
        <f>TEXT(EDATE('Input - Site'!$E$12,7), "mmmm yyyy")</f>
        <v>August 2024</v>
      </c>
      <c r="E29" s="65">
        <f t="shared" si="0"/>
        <v>31</v>
      </c>
      <c r="F29" s="65">
        <f t="shared" si="0"/>
        <v>31</v>
      </c>
      <c r="G29" s="65">
        <f t="shared" si="0"/>
        <v>31</v>
      </c>
      <c r="H29" s="65">
        <f t="shared" si="0"/>
        <v>31</v>
      </c>
      <c r="I29" s="65">
        <f t="shared" si="0"/>
        <v>31</v>
      </c>
      <c r="J29" s="65">
        <f t="shared" si="0"/>
        <v>31</v>
      </c>
      <c r="K29" s="65">
        <f t="shared" si="0"/>
        <v>31</v>
      </c>
      <c r="L29" s="65">
        <f t="shared" si="0"/>
        <v>31</v>
      </c>
      <c r="M29" s="65">
        <f t="shared" si="0"/>
        <v>31</v>
      </c>
      <c r="N29" s="65">
        <f t="shared" si="0"/>
        <v>31</v>
      </c>
      <c r="O29" s="2" t="s">
        <v>55</v>
      </c>
      <c r="T29" s="7"/>
    </row>
    <row r="30" spans="1:20" ht="20.100000000000001" customHeight="1" x14ac:dyDescent="0.25">
      <c r="A30" s="17"/>
      <c r="D30" s="1" t="str">
        <f>TEXT(EDATE('Input - Site'!$E$12,8), "mmmm yyyy")</f>
        <v>September 2024</v>
      </c>
      <c r="E30" s="65">
        <f t="shared" si="0"/>
        <v>30</v>
      </c>
      <c r="F30" s="65">
        <f t="shared" si="0"/>
        <v>30</v>
      </c>
      <c r="G30" s="65">
        <f t="shared" si="0"/>
        <v>30</v>
      </c>
      <c r="H30" s="65">
        <f t="shared" si="0"/>
        <v>30</v>
      </c>
      <c r="I30" s="65">
        <f t="shared" si="0"/>
        <v>30</v>
      </c>
      <c r="J30" s="65">
        <f t="shared" si="0"/>
        <v>30</v>
      </c>
      <c r="K30" s="65">
        <f t="shared" si="0"/>
        <v>30</v>
      </c>
      <c r="L30" s="65">
        <f t="shared" si="0"/>
        <v>30</v>
      </c>
      <c r="M30" s="65">
        <f t="shared" si="0"/>
        <v>30</v>
      </c>
      <c r="N30" s="65">
        <f t="shared" si="0"/>
        <v>30</v>
      </c>
      <c r="O30" s="2" t="s">
        <v>55</v>
      </c>
      <c r="T30" s="7"/>
    </row>
    <row r="31" spans="1:20" ht="20.100000000000001" customHeight="1" x14ac:dyDescent="0.25">
      <c r="A31" s="66"/>
      <c r="D31" s="1" t="str">
        <f>TEXT(EDATE('Input - Site'!$E$12,9), "mmmm yyyy")</f>
        <v>October 2024</v>
      </c>
      <c r="E31" s="65">
        <f t="shared" si="0"/>
        <v>31</v>
      </c>
      <c r="F31" s="65">
        <f t="shared" si="0"/>
        <v>31</v>
      </c>
      <c r="G31" s="65">
        <f t="shared" si="0"/>
        <v>31</v>
      </c>
      <c r="H31" s="65">
        <f t="shared" si="0"/>
        <v>31</v>
      </c>
      <c r="I31" s="65">
        <f t="shared" si="0"/>
        <v>31</v>
      </c>
      <c r="J31" s="65">
        <f t="shared" si="0"/>
        <v>31</v>
      </c>
      <c r="K31" s="65">
        <f t="shared" si="0"/>
        <v>31</v>
      </c>
      <c r="L31" s="65">
        <f t="shared" si="0"/>
        <v>31</v>
      </c>
      <c r="M31" s="65">
        <f t="shared" si="0"/>
        <v>31</v>
      </c>
      <c r="N31" s="65">
        <f t="shared" si="0"/>
        <v>31</v>
      </c>
      <c r="O31" s="2" t="s">
        <v>55</v>
      </c>
      <c r="T31" s="7"/>
    </row>
    <row r="32" spans="1:20" ht="20.100000000000001" customHeight="1" x14ac:dyDescent="0.25">
      <c r="A32" s="66"/>
      <c r="D32" s="1" t="str">
        <f>TEXT(EDATE('Input - Site'!$E$12,10), "mmmm yyyy")</f>
        <v>November 2024</v>
      </c>
      <c r="E32" s="65">
        <f t="shared" si="0"/>
        <v>30</v>
      </c>
      <c r="F32" s="65">
        <f t="shared" si="0"/>
        <v>30</v>
      </c>
      <c r="G32" s="65">
        <f t="shared" si="0"/>
        <v>30</v>
      </c>
      <c r="H32" s="65">
        <f t="shared" si="0"/>
        <v>30</v>
      </c>
      <c r="I32" s="65">
        <f t="shared" si="0"/>
        <v>30</v>
      </c>
      <c r="J32" s="65">
        <f t="shared" si="0"/>
        <v>30</v>
      </c>
      <c r="K32" s="65">
        <f t="shared" si="0"/>
        <v>30</v>
      </c>
      <c r="L32" s="65">
        <f t="shared" si="0"/>
        <v>30</v>
      </c>
      <c r="M32" s="65">
        <f t="shared" si="0"/>
        <v>30</v>
      </c>
      <c r="N32" s="65">
        <f t="shared" si="0"/>
        <v>30</v>
      </c>
      <c r="O32" s="2" t="s">
        <v>55</v>
      </c>
      <c r="T32" s="7"/>
    </row>
    <row r="33" spans="1:20" ht="20.100000000000001" customHeight="1" x14ac:dyDescent="0.25">
      <c r="A33" s="17"/>
      <c r="D33" s="1" t="str">
        <f>TEXT(EDATE('Input - Site'!$E$12,11), "mmmm yyyy")</f>
        <v>December 2024</v>
      </c>
      <c r="E33" s="65">
        <f t="shared" si="0"/>
        <v>31</v>
      </c>
      <c r="F33" s="65">
        <f t="shared" si="0"/>
        <v>31</v>
      </c>
      <c r="G33" s="65">
        <f t="shared" si="0"/>
        <v>31</v>
      </c>
      <c r="H33" s="65">
        <f t="shared" si="0"/>
        <v>31</v>
      </c>
      <c r="I33" s="65">
        <f t="shared" si="0"/>
        <v>31</v>
      </c>
      <c r="J33" s="65">
        <f t="shared" si="0"/>
        <v>31</v>
      </c>
      <c r="K33" s="65">
        <f t="shared" si="0"/>
        <v>31</v>
      </c>
      <c r="L33" s="65">
        <f t="shared" si="0"/>
        <v>31</v>
      </c>
      <c r="M33" s="65">
        <f t="shared" si="0"/>
        <v>31</v>
      </c>
      <c r="N33" s="65">
        <f t="shared" si="0"/>
        <v>31</v>
      </c>
      <c r="O33" s="2" t="s">
        <v>55</v>
      </c>
      <c r="T33" s="7"/>
    </row>
    <row r="34" spans="1:20" ht="20.100000000000001" customHeight="1" x14ac:dyDescent="0.25">
      <c r="T34" s="7"/>
    </row>
    <row r="35" spans="1:20" ht="20.100000000000001" customHeight="1" x14ac:dyDescent="0.25">
      <c r="T35" s="7"/>
    </row>
    <row r="36" spans="1:20" ht="20.100000000000001" customHeight="1" x14ac:dyDescent="0.25">
      <c r="D36" s="48" t="s">
        <v>103</v>
      </c>
      <c r="T36" s="7"/>
    </row>
    <row r="37" spans="1:20" ht="20.100000000000001" customHeight="1" x14ac:dyDescent="0.25">
      <c r="D37" s="62" t="s">
        <v>136</v>
      </c>
      <c r="E37" s="62" t="s">
        <v>131</v>
      </c>
      <c r="F37" s="62" t="s">
        <v>130</v>
      </c>
      <c r="G37" s="62" t="s">
        <v>165</v>
      </c>
      <c r="H37" s="62" t="s">
        <v>166</v>
      </c>
      <c r="I37" s="62" t="s">
        <v>167</v>
      </c>
      <c r="J37" s="62" t="s">
        <v>168</v>
      </c>
      <c r="K37" s="62" t="s">
        <v>169</v>
      </c>
      <c r="L37" s="62" t="s">
        <v>170</v>
      </c>
      <c r="M37" s="62" t="s">
        <v>171</v>
      </c>
      <c r="N37" s="62" t="s">
        <v>172</v>
      </c>
      <c r="T37" s="7"/>
    </row>
    <row r="38" spans="1:20" ht="20.100000000000001" customHeight="1" x14ac:dyDescent="0.25">
      <c r="D38" s="1" t="s">
        <v>173</v>
      </c>
      <c r="E38" s="65">
        <v>100</v>
      </c>
      <c r="F38" s="65">
        <v>100</v>
      </c>
      <c r="G38" s="65">
        <v>100</v>
      </c>
      <c r="H38" s="65">
        <v>100</v>
      </c>
      <c r="I38" s="65">
        <v>100</v>
      </c>
      <c r="J38" s="65">
        <v>100</v>
      </c>
      <c r="K38" s="65">
        <v>100</v>
      </c>
      <c r="L38" s="65">
        <v>100</v>
      </c>
      <c r="M38" s="65">
        <v>100</v>
      </c>
      <c r="N38" s="65">
        <v>100</v>
      </c>
      <c r="O38" s="2" t="s">
        <v>103</v>
      </c>
      <c r="T38" s="7"/>
    </row>
    <row r="39" spans="1:20" ht="20.100000000000001" customHeight="1" x14ac:dyDescent="0.25">
      <c r="A39" s="17"/>
      <c r="D39" s="1" t="s">
        <v>174</v>
      </c>
      <c r="E39" s="65">
        <v>100</v>
      </c>
      <c r="F39" s="65">
        <v>100</v>
      </c>
      <c r="G39" s="65">
        <v>100</v>
      </c>
      <c r="H39" s="65">
        <v>100</v>
      </c>
      <c r="I39" s="65">
        <v>100</v>
      </c>
      <c r="J39" s="65">
        <v>100</v>
      </c>
      <c r="K39" s="65">
        <v>100</v>
      </c>
      <c r="L39" s="65">
        <v>100</v>
      </c>
      <c r="M39" s="65">
        <v>100</v>
      </c>
      <c r="N39" s="65">
        <v>100</v>
      </c>
      <c r="O39" s="2" t="s">
        <v>103</v>
      </c>
      <c r="T39" s="7"/>
    </row>
    <row r="40" spans="1:20" ht="20.100000000000001" customHeight="1" x14ac:dyDescent="0.25">
      <c r="D40" s="1" t="s">
        <v>175</v>
      </c>
      <c r="E40" s="65">
        <v>100</v>
      </c>
      <c r="F40" s="65">
        <v>100</v>
      </c>
      <c r="G40" s="65">
        <v>100</v>
      </c>
      <c r="H40" s="65">
        <v>100</v>
      </c>
      <c r="I40" s="65">
        <v>100</v>
      </c>
      <c r="J40" s="65">
        <v>100</v>
      </c>
      <c r="K40" s="65">
        <v>100</v>
      </c>
      <c r="L40" s="65">
        <v>100</v>
      </c>
      <c r="M40" s="65">
        <v>100</v>
      </c>
      <c r="N40" s="65">
        <v>100</v>
      </c>
      <c r="O40" s="2" t="s">
        <v>103</v>
      </c>
      <c r="T40" s="7"/>
    </row>
    <row r="41" spans="1:20" ht="20.100000000000001" customHeight="1" x14ac:dyDescent="0.25">
      <c r="A41" s="44"/>
      <c r="D41" s="1" t="s">
        <v>176</v>
      </c>
      <c r="E41" s="65">
        <v>100</v>
      </c>
      <c r="F41" s="65">
        <v>100</v>
      </c>
      <c r="G41" s="65">
        <v>100</v>
      </c>
      <c r="H41" s="65">
        <v>100</v>
      </c>
      <c r="I41" s="65">
        <v>100</v>
      </c>
      <c r="J41" s="65">
        <v>100</v>
      </c>
      <c r="K41" s="65">
        <v>100</v>
      </c>
      <c r="L41" s="65">
        <v>100</v>
      </c>
      <c r="M41" s="65">
        <v>100</v>
      </c>
      <c r="N41" s="65">
        <v>100</v>
      </c>
      <c r="O41" s="2" t="s">
        <v>103</v>
      </c>
      <c r="T41" s="7"/>
    </row>
    <row r="42" spans="1:20" ht="20.100000000000001" customHeight="1" x14ac:dyDescent="0.25">
      <c r="O42" s="2"/>
      <c r="T42" s="7"/>
    </row>
    <row r="43" spans="1:20" ht="20.100000000000001" customHeight="1" x14ac:dyDescent="0.25">
      <c r="D43" s="62" t="s">
        <v>137</v>
      </c>
      <c r="E43" s="62" t="s">
        <v>131</v>
      </c>
      <c r="F43" s="62" t="s">
        <v>130</v>
      </c>
      <c r="G43" s="62" t="s">
        <v>165</v>
      </c>
      <c r="H43" s="62" t="s">
        <v>166</v>
      </c>
      <c r="I43" s="62" t="s">
        <v>167</v>
      </c>
      <c r="J43" s="62" t="s">
        <v>168</v>
      </c>
      <c r="K43" s="62" t="s">
        <v>169</v>
      </c>
      <c r="L43" s="62" t="s">
        <v>170</v>
      </c>
      <c r="M43" s="62" t="s">
        <v>171</v>
      </c>
      <c r="N43" s="62" t="s">
        <v>172</v>
      </c>
      <c r="O43" s="2"/>
      <c r="T43" s="7"/>
    </row>
    <row r="44" spans="1:20" ht="20.100000000000001" customHeight="1" x14ac:dyDescent="0.25">
      <c r="D44" s="1" t="str">
        <f>TEXT('Input - Site'!$E$12, "mmmm yyyy")</f>
        <v>January 2024</v>
      </c>
      <c r="E44" s="65">
        <v>100</v>
      </c>
      <c r="F44" s="65">
        <v>100</v>
      </c>
      <c r="G44" s="65">
        <v>100</v>
      </c>
      <c r="H44" s="65">
        <v>100</v>
      </c>
      <c r="I44" s="65">
        <v>100</v>
      </c>
      <c r="J44" s="65">
        <v>100</v>
      </c>
      <c r="K44" s="65">
        <v>100</v>
      </c>
      <c r="L44" s="65">
        <v>100</v>
      </c>
      <c r="M44" s="65">
        <v>100</v>
      </c>
      <c r="N44" s="65">
        <v>100</v>
      </c>
      <c r="O44" s="2" t="s">
        <v>103</v>
      </c>
      <c r="T44" s="7"/>
    </row>
    <row r="45" spans="1:20" ht="20.100000000000001" customHeight="1" x14ac:dyDescent="0.25">
      <c r="D45" s="1" t="str">
        <f>TEXT(EDATE('Input - Site'!$E$12,1), "mmmm yyyy")</f>
        <v>February 2024</v>
      </c>
      <c r="E45" s="65">
        <v>100</v>
      </c>
      <c r="F45" s="65">
        <v>100</v>
      </c>
      <c r="G45" s="65">
        <v>100</v>
      </c>
      <c r="H45" s="65">
        <v>100</v>
      </c>
      <c r="I45" s="65">
        <v>100</v>
      </c>
      <c r="J45" s="65">
        <v>100</v>
      </c>
      <c r="K45" s="65">
        <v>100</v>
      </c>
      <c r="L45" s="65">
        <v>100</v>
      </c>
      <c r="M45" s="65">
        <v>100</v>
      </c>
      <c r="N45" s="65">
        <v>100</v>
      </c>
      <c r="O45" s="2" t="s">
        <v>103</v>
      </c>
      <c r="T45" s="7"/>
    </row>
    <row r="46" spans="1:20" ht="20.100000000000001" customHeight="1" x14ac:dyDescent="0.25">
      <c r="D46" s="1" t="str">
        <f>TEXT(EDATE('Input - Site'!$E$12,2), "mmmm yyyy")</f>
        <v>March 2024</v>
      </c>
      <c r="E46" s="65">
        <v>100</v>
      </c>
      <c r="F46" s="65">
        <v>100</v>
      </c>
      <c r="G46" s="65">
        <v>100</v>
      </c>
      <c r="H46" s="65">
        <v>100</v>
      </c>
      <c r="I46" s="65">
        <v>100</v>
      </c>
      <c r="J46" s="65">
        <v>100</v>
      </c>
      <c r="K46" s="65">
        <v>100</v>
      </c>
      <c r="L46" s="65">
        <v>100</v>
      </c>
      <c r="M46" s="65">
        <v>100</v>
      </c>
      <c r="N46" s="65">
        <v>100</v>
      </c>
      <c r="O46" s="2" t="s">
        <v>103</v>
      </c>
      <c r="T46" s="7"/>
    </row>
    <row r="47" spans="1:20" ht="20.100000000000001" customHeight="1" x14ac:dyDescent="0.25">
      <c r="D47" s="1" t="str">
        <f>TEXT(EDATE('Input - Site'!$E$12,3), "mmmm yyyy")</f>
        <v>April 2024</v>
      </c>
      <c r="E47" s="65">
        <v>100</v>
      </c>
      <c r="F47" s="65">
        <v>100</v>
      </c>
      <c r="G47" s="65">
        <v>100</v>
      </c>
      <c r="H47" s="65">
        <v>100</v>
      </c>
      <c r="I47" s="65">
        <v>100</v>
      </c>
      <c r="J47" s="65">
        <v>100</v>
      </c>
      <c r="K47" s="65">
        <v>100</v>
      </c>
      <c r="L47" s="65">
        <v>100</v>
      </c>
      <c r="M47" s="65">
        <v>100</v>
      </c>
      <c r="N47" s="65">
        <v>100</v>
      </c>
      <c r="O47" s="2" t="s">
        <v>103</v>
      </c>
      <c r="T47" s="7"/>
    </row>
    <row r="48" spans="1:20" ht="20.100000000000001" customHeight="1" x14ac:dyDescent="0.25">
      <c r="D48" s="1" t="str">
        <f>TEXT(EDATE('Input - Site'!$E$12,4), "mmmm yyyy")</f>
        <v>May 2024</v>
      </c>
      <c r="E48" s="65">
        <v>100</v>
      </c>
      <c r="F48" s="65">
        <v>100</v>
      </c>
      <c r="G48" s="65">
        <v>100</v>
      </c>
      <c r="H48" s="65">
        <v>100</v>
      </c>
      <c r="I48" s="65">
        <v>100</v>
      </c>
      <c r="J48" s="65">
        <v>100</v>
      </c>
      <c r="K48" s="65">
        <v>100</v>
      </c>
      <c r="L48" s="65">
        <v>100</v>
      </c>
      <c r="M48" s="65">
        <v>100</v>
      </c>
      <c r="N48" s="65">
        <v>100</v>
      </c>
      <c r="O48" s="2" t="s">
        <v>103</v>
      </c>
      <c r="T48" s="7"/>
    </row>
    <row r="49" spans="4:20" ht="20.100000000000001" customHeight="1" x14ac:dyDescent="0.25">
      <c r="D49" s="1" t="str">
        <f>TEXT(EDATE('Input - Site'!$E$12,5), "mmmm yyyy")</f>
        <v>June 2024</v>
      </c>
      <c r="E49" s="65">
        <v>100</v>
      </c>
      <c r="F49" s="65">
        <v>100</v>
      </c>
      <c r="G49" s="65">
        <v>100</v>
      </c>
      <c r="H49" s="65">
        <v>100</v>
      </c>
      <c r="I49" s="65">
        <v>100</v>
      </c>
      <c r="J49" s="65">
        <v>100</v>
      </c>
      <c r="K49" s="65">
        <v>100</v>
      </c>
      <c r="L49" s="65">
        <v>100</v>
      </c>
      <c r="M49" s="65">
        <v>100</v>
      </c>
      <c r="N49" s="65">
        <v>100</v>
      </c>
      <c r="O49" s="2" t="s">
        <v>103</v>
      </c>
      <c r="T49" s="7"/>
    </row>
    <row r="50" spans="4:20" ht="20.100000000000001" customHeight="1" x14ac:dyDescent="0.25">
      <c r="D50" s="1" t="str">
        <f>TEXT(EDATE('Input - Site'!$E$12,6), "mmmm yyyy")</f>
        <v>July 2024</v>
      </c>
      <c r="E50" s="65">
        <v>100</v>
      </c>
      <c r="F50" s="65">
        <v>100</v>
      </c>
      <c r="G50" s="65">
        <v>100</v>
      </c>
      <c r="H50" s="65">
        <v>100</v>
      </c>
      <c r="I50" s="65">
        <v>100</v>
      </c>
      <c r="J50" s="65">
        <v>100</v>
      </c>
      <c r="K50" s="65">
        <v>100</v>
      </c>
      <c r="L50" s="65">
        <v>100</v>
      </c>
      <c r="M50" s="65">
        <v>100</v>
      </c>
      <c r="N50" s="65">
        <v>100</v>
      </c>
      <c r="O50" s="2" t="s">
        <v>103</v>
      </c>
      <c r="P50" s="3"/>
      <c r="T50" s="7"/>
    </row>
    <row r="51" spans="4:20" ht="20.100000000000001" customHeight="1" x14ac:dyDescent="0.25">
      <c r="D51" s="1" t="str">
        <f>TEXT(EDATE('Input - Site'!$E$12,7), "mmmm yyyy")</f>
        <v>August 2024</v>
      </c>
      <c r="E51" s="65">
        <v>100</v>
      </c>
      <c r="F51" s="65">
        <v>100</v>
      </c>
      <c r="G51" s="65">
        <v>100</v>
      </c>
      <c r="H51" s="65">
        <v>100</v>
      </c>
      <c r="I51" s="65">
        <v>100</v>
      </c>
      <c r="J51" s="65">
        <v>100</v>
      </c>
      <c r="K51" s="65">
        <v>100</v>
      </c>
      <c r="L51" s="65">
        <v>100</v>
      </c>
      <c r="M51" s="65">
        <v>100</v>
      </c>
      <c r="N51" s="65">
        <v>100</v>
      </c>
      <c r="O51" s="2" t="s">
        <v>103</v>
      </c>
      <c r="P51" s="3"/>
      <c r="T51" s="7"/>
    </row>
    <row r="52" spans="4:20" ht="20.100000000000001" customHeight="1" x14ac:dyDescent="0.25">
      <c r="D52" s="1" t="str">
        <f>TEXT(EDATE('Input - Site'!$E$12,8), "mmmm yyyy")</f>
        <v>September 2024</v>
      </c>
      <c r="E52" s="65">
        <v>100</v>
      </c>
      <c r="F52" s="65">
        <v>100</v>
      </c>
      <c r="G52" s="65">
        <v>100</v>
      </c>
      <c r="H52" s="65">
        <v>100</v>
      </c>
      <c r="I52" s="65">
        <v>100</v>
      </c>
      <c r="J52" s="65">
        <v>100</v>
      </c>
      <c r="K52" s="65">
        <v>100</v>
      </c>
      <c r="L52" s="65">
        <v>100</v>
      </c>
      <c r="M52" s="65">
        <v>100</v>
      </c>
      <c r="N52" s="65">
        <v>100</v>
      </c>
      <c r="O52" s="2" t="s">
        <v>103</v>
      </c>
      <c r="P52" s="3"/>
      <c r="T52" s="7"/>
    </row>
    <row r="53" spans="4:20" ht="20.100000000000001" customHeight="1" x14ac:dyDescent="0.25">
      <c r="D53" s="1" t="str">
        <f>TEXT(EDATE('Input - Site'!$E$12,9), "mmmm yyyy")</f>
        <v>October 2024</v>
      </c>
      <c r="E53" s="65">
        <v>100</v>
      </c>
      <c r="F53" s="65">
        <v>100</v>
      </c>
      <c r="G53" s="65">
        <v>100</v>
      </c>
      <c r="H53" s="65">
        <v>100</v>
      </c>
      <c r="I53" s="65">
        <v>100</v>
      </c>
      <c r="J53" s="65">
        <v>100</v>
      </c>
      <c r="K53" s="65">
        <v>100</v>
      </c>
      <c r="L53" s="65">
        <v>100</v>
      </c>
      <c r="M53" s="65">
        <v>100</v>
      </c>
      <c r="N53" s="65">
        <v>100</v>
      </c>
      <c r="O53" s="2" t="s">
        <v>103</v>
      </c>
      <c r="P53" s="3"/>
      <c r="T53" s="7"/>
    </row>
    <row r="54" spans="4:20" ht="20.100000000000001" customHeight="1" x14ac:dyDescent="0.25">
      <c r="D54" s="1" t="str">
        <f>TEXT(EDATE('Input - Site'!$E$12,10), "mmmm yyyy")</f>
        <v>November 2024</v>
      </c>
      <c r="E54" s="65">
        <v>100</v>
      </c>
      <c r="F54" s="65">
        <v>100</v>
      </c>
      <c r="G54" s="65">
        <v>100</v>
      </c>
      <c r="H54" s="65">
        <v>100</v>
      </c>
      <c r="I54" s="65">
        <v>100</v>
      </c>
      <c r="J54" s="65">
        <v>100</v>
      </c>
      <c r="K54" s="65">
        <v>100</v>
      </c>
      <c r="L54" s="65">
        <v>100</v>
      </c>
      <c r="M54" s="65">
        <v>100</v>
      </c>
      <c r="N54" s="65">
        <v>100</v>
      </c>
      <c r="O54" s="2" t="s">
        <v>103</v>
      </c>
      <c r="P54" s="3"/>
      <c r="T54" s="7"/>
    </row>
    <row r="55" spans="4:20" ht="20.100000000000001" customHeight="1" x14ac:dyDescent="0.25">
      <c r="D55" s="1" t="str">
        <f>TEXT(EDATE('Input - Site'!$E$12,11), "mmmm yyyy")</f>
        <v>December 2024</v>
      </c>
      <c r="E55" s="65">
        <v>100</v>
      </c>
      <c r="F55" s="65">
        <v>100</v>
      </c>
      <c r="G55" s="65">
        <v>100</v>
      </c>
      <c r="H55" s="65">
        <v>100</v>
      </c>
      <c r="I55" s="65">
        <v>100</v>
      </c>
      <c r="J55" s="65">
        <v>100</v>
      </c>
      <c r="K55" s="65">
        <v>100</v>
      </c>
      <c r="L55" s="65">
        <v>100</v>
      </c>
      <c r="M55" s="65">
        <v>100</v>
      </c>
      <c r="N55" s="65">
        <v>100</v>
      </c>
      <c r="O55" s="2" t="s">
        <v>103</v>
      </c>
      <c r="P55" s="3"/>
      <c r="T55" s="7"/>
    </row>
    <row r="56" spans="4:20" ht="20.100000000000001" customHeight="1" x14ac:dyDescent="0.25">
      <c r="P56" s="3"/>
      <c r="T56" s="7"/>
    </row>
    <row r="57" spans="4:20" ht="20.100000000000001" customHeight="1" x14ac:dyDescent="0.25">
      <c r="P57" s="3"/>
      <c r="T57" s="7"/>
    </row>
    <row r="58" spans="4:20" ht="20.100000000000001" customHeight="1" x14ac:dyDescent="0.25">
      <c r="D58" s="48" t="s">
        <v>140</v>
      </c>
      <c r="P58" s="3"/>
      <c r="T58" s="7"/>
    </row>
    <row r="59" spans="4:20" ht="20.100000000000001" customHeight="1" x14ac:dyDescent="0.25">
      <c r="D59" s="62" t="s">
        <v>179</v>
      </c>
      <c r="E59" s="62" t="s">
        <v>131</v>
      </c>
      <c r="F59" s="62" t="s">
        <v>130</v>
      </c>
      <c r="G59" s="62" t="s">
        <v>165</v>
      </c>
      <c r="H59" s="62" t="s">
        <v>166</v>
      </c>
      <c r="I59" s="62" t="s">
        <v>167</v>
      </c>
      <c r="J59" s="62" t="s">
        <v>168</v>
      </c>
      <c r="K59" s="62" t="s">
        <v>169</v>
      </c>
      <c r="L59" s="62" t="s">
        <v>170</v>
      </c>
      <c r="M59" s="62" t="s">
        <v>171</v>
      </c>
      <c r="N59" s="62" t="s">
        <v>172</v>
      </c>
      <c r="P59" s="3"/>
      <c r="T59" s="7"/>
    </row>
    <row r="60" spans="4:20" ht="20.100000000000001" customHeight="1" x14ac:dyDescent="0.25">
      <c r="D60" s="1" t="s">
        <v>173</v>
      </c>
      <c r="E60" s="52">
        <f>InputFunctions_PastureBeef.LookupLiveweightFromSeason($E$7,$E$8,$D60,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F60" s="52">
        <f>InputFunctions_PastureBeef.LookupLiveweightFromSeason($E$7,$E$8,$D60,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800</v>
      </c>
      <c r="G60" s="52">
        <f>InputFunctions_PastureBeef.LookupLiveweightFromSeason($E$7,$E$8,$D60,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H60" s="52">
        <f>InputFunctions_PastureBeef.LookupLiveweightFromSeason($E$7,$E$8,$D60,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420</v>
      </c>
      <c r="I60" s="52">
        <f>InputFunctions_PastureBeef.LookupLiveweightFromSeason($E$7,$E$8,$D60,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J60" s="52">
        <f>InputFunctions_PastureBeef.LookupLiveweightFromSeason($E$7,$E$8,$D60,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K60" s="52">
        <f>InputFunctions_PastureBeef.LookupLiveweightFromSeason($E$7,$E$8,$D60,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L60" s="52">
        <f>InputFunctions_PastureBeef.LookupLiveweightFromSeason($E$7,$E$8,$D60,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M60" s="52">
        <f>InputFunctions_PastureBeef.LookupLiveweightFromSeason($E$7,$E$8,$D60,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N60" s="52">
        <f>InputFunctions_PastureBeef.LookupLiveweightFromSeason($E$7,$E$8,$D60,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O60" s="2" t="s">
        <v>133</v>
      </c>
      <c r="P60" s="3"/>
      <c r="T60" s="7"/>
    </row>
    <row r="61" spans="4:20" ht="20.100000000000001" customHeight="1" x14ac:dyDescent="0.25">
      <c r="D61" s="1" t="s">
        <v>174</v>
      </c>
      <c r="E61" s="52">
        <f>InputFunctions_PastureBeef.LookupLiveweightFromSeason($E$7,$E$8,$D61,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380</v>
      </c>
      <c r="F61" s="52">
        <f>InputFunctions_PastureBeef.LookupLiveweightFromSeason($E$7,$E$8,$D61,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780</v>
      </c>
      <c r="G61" s="52">
        <f>InputFunctions_PastureBeef.LookupLiveweightFromSeason($E$7,$E$8,$D61,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H61" s="52">
        <f>InputFunctions_PastureBeef.LookupLiveweightFromSeason($E$7,$E$8,$D61,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450</v>
      </c>
      <c r="I61" s="52">
        <f>InputFunctions_PastureBeef.LookupLiveweightFromSeason($E$7,$E$8,$D61,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J61" s="52">
        <f>InputFunctions_PastureBeef.LookupLiveweightFromSeason($E$7,$E$8,$D61,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K61" s="52">
        <f>InputFunctions_PastureBeef.LookupLiveweightFromSeason($E$7,$E$8,$D61,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L61" s="52">
        <f>InputFunctions_PastureBeef.LookupLiveweightFromSeason($E$7,$E$8,$D61,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M61" s="52">
        <f>InputFunctions_PastureBeef.LookupLiveweightFromSeason($E$7,$E$8,$D61,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N61" s="52">
        <f>InputFunctions_PastureBeef.LookupLiveweightFromSeason($E$7,$E$8,$D61,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O61" s="2" t="s">
        <v>133</v>
      </c>
      <c r="P61" s="3"/>
      <c r="T61" s="7"/>
    </row>
    <row r="62" spans="4:20" ht="20.100000000000001" customHeight="1" x14ac:dyDescent="0.25">
      <c r="D62" s="1" t="s">
        <v>175</v>
      </c>
      <c r="E62" s="52">
        <f>InputFunctions_PastureBeef.LookupLiveweightFromSeason($E$7,$E$8,$D62,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F62" s="52">
        <f>InputFunctions_PastureBeef.LookupLiveweightFromSeason($E$7,$E$8,$D62,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680</v>
      </c>
      <c r="G62" s="52">
        <f>InputFunctions_PastureBeef.LookupLiveweightFromSeason($E$7,$E$8,$D62,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v>
      </c>
      <c r="H62" s="52">
        <f>InputFunctions_PastureBeef.LookupLiveweightFromSeason($E$7,$E$8,$D62,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320</v>
      </c>
      <c r="I62" s="52">
        <f>InputFunctions_PastureBeef.LookupLiveweightFromSeason($E$7,$E$8,$D62,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J62" s="52">
        <f>InputFunctions_PastureBeef.LookupLiveweightFromSeason($E$7,$E$8,$D62,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K62" s="52">
        <f>InputFunctions_PastureBeef.LookupLiveweightFromSeason($E$7,$E$8,$D62,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L62" s="52">
        <f>InputFunctions_PastureBeef.LookupLiveweightFromSeason($E$7,$E$8,$D62,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M62" s="52">
        <f>InputFunctions_PastureBeef.LookupLiveweightFromSeason($E$7,$E$8,$D62,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N62" s="52">
        <f>InputFunctions_PastureBeef.LookupLiveweightFromSeason($E$7,$E$8,$D62,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O62" s="2" t="s">
        <v>133</v>
      </c>
      <c r="P62" s="3"/>
      <c r="T62" s="7"/>
    </row>
    <row r="63" spans="4:20" ht="20.100000000000001" customHeight="1" x14ac:dyDescent="0.25">
      <c r="D63" s="1" t="s">
        <v>176</v>
      </c>
      <c r="E63" s="52">
        <f>InputFunctions_PastureBeef.LookupLiveweightFromSeason($E$7,$E$8,$D63,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190</v>
      </c>
      <c r="F63" s="52">
        <f>InputFunctions_PastureBeef.LookupLiveweightFromSeason($E$7,$E$8,$D63,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700</v>
      </c>
      <c r="G63" s="52">
        <f>InputFunctions_PastureBeef.LookupLiveweightFromSeason($E$7,$E$8,$D63,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150</v>
      </c>
      <c r="H63" s="52">
        <f>InputFunctions_PastureBeef.LookupLiveweightFromSeason($E$7,$E$8,$D63,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330</v>
      </c>
      <c r="I63" s="52">
        <f>InputFunctions_PastureBeef.LookupLiveweightFromSeason($E$7,$E$8,$D63,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J63" s="52">
        <f>InputFunctions_PastureBeef.LookupLiveweightFromSeason($E$7,$E$8,$D63,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K63" s="52">
        <f>InputFunctions_PastureBeef.LookupLiveweightFromSeason($E$7,$E$8,$D63,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170</v>
      </c>
      <c r="L63" s="52">
        <f>InputFunctions_PastureBeef.LookupLiveweightFromSeason($E$7,$E$8,$D63,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M63" s="52">
        <f>InputFunctions_PastureBeef.LookupLiveweightFromSeason($E$7,$E$8,$D63,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N63" s="52">
        <f>InputFunctions_PastureBeef.LookupLiveweightFromSeason($E$7,$E$8,$D63,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O63" s="2" t="s">
        <v>133</v>
      </c>
      <c r="P63" s="3"/>
      <c r="T63" s="7"/>
    </row>
    <row r="64" spans="4:20" ht="20.100000000000001" customHeight="1" x14ac:dyDescent="0.25">
      <c r="O64" s="2"/>
      <c r="P64" s="3"/>
      <c r="T64" s="7"/>
    </row>
    <row r="65" spans="4:20" ht="20.100000000000001" customHeight="1" x14ac:dyDescent="0.25">
      <c r="D65" s="62" t="s">
        <v>180</v>
      </c>
      <c r="E65" s="62" t="s">
        <v>131</v>
      </c>
      <c r="F65" s="62" t="s">
        <v>130</v>
      </c>
      <c r="G65" s="62" t="s">
        <v>165</v>
      </c>
      <c r="H65" s="62" t="s">
        <v>166</v>
      </c>
      <c r="I65" s="62" t="s">
        <v>167</v>
      </c>
      <c r="J65" s="62" t="s">
        <v>168</v>
      </c>
      <c r="K65" s="62" t="s">
        <v>169</v>
      </c>
      <c r="L65" s="62" t="s">
        <v>170</v>
      </c>
      <c r="M65" s="62" t="s">
        <v>171</v>
      </c>
      <c r="N65" s="62" t="s">
        <v>172</v>
      </c>
      <c r="O65" s="2"/>
      <c r="P65" s="3"/>
      <c r="T65" s="7"/>
    </row>
    <row r="66" spans="4:20" ht="20.100000000000001" customHeight="1" x14ac:dyDescent="0.25">
      <c r="D66" s="1" t="str">
        <f>TEXT('Input - Site'!$E$12, "mmmm yyyy")</f>
        <v>January 2024</v>
      </c>
      <c r="E66" s="65">
        <f>InputFunctions_PastureBeef.LookupLiveweightFromMonth($E$7,$E$8,$D66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6" s="65">
        <f>InputFunctions_PastureBeef.LookupLiveweightFromMonth($E$7,$E$8,$D66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6" s="65">
        <f>InputFunctions_PastureBeef.LookupLiveweightFromMonth($E$7,$E$8,$D66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6" s="65">
        <f>InputFunctions_PastureBeef.LookupLiveweightFromMonth($E$7,$E$8,$D66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6" s="65">
        <f>InputFunctions_PastureBeef.LookupLiveweightFromMonth($E$7,$E$8,$D66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6" s="65">
        <f>InputFunctions_PastureBeef.LookupLiveweightFromMonth($E$7,$E$8,$D66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6" s="65">
        <f>InputFunctions_PastureBeef.LookupLiveweightFromMonth($E$7,$E$8,$D66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6" s="65">
        <f>InputFunctions_PastureBeef.LookupLiveweightFromMonth($E$7,$E$8,$D66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6" s="65">
        <f>InputFunctions_PastureBeef.LookupLiveweightFromMonth($E$7,$E$8,$D66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6" s="65">
        <f>InputFunctions_PastureBeef.LookupLiveweightFromMonth($E$7,$E$8,$D66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6" s="2" t="s">
        <v>133</v>
      </c>
      <c r="P66" s="3"/>
      <c r="T66" s="7"/>
    </row>
    <row r="67" spans="4:20" ht="20.100000000000001" customHeight="1" x14ac:dyDescent="0.25">
      <c r="D67" s="1" t="str">
        <f>TEXT(EDATE('Input - Site'!$E$12,1), "mmmm yyyy")</f>
        <v>February 2024</v>
      </c>
      <c r="E67" s="65">
        <f>InputFunctions_PastureBeef.LookupLiveweightFromMonth($E$7,$E$8,$D67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7" s="65">
        <f>InputFunctions_PastureBeef.LookupLiveweightFromMonth($E$7,$E$8,$D67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7" s="65">
        <f>InputFunctions_PastureBeef.LookupLiveweightFromMonth($E$7,$E$8,$D67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7" s="65">
        <f>InputFunctions_PastureBeef.LookupLiveweightFromMonth($E$7,$E$8,$D67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7" s="65">
        <f>InputFunctions_PastureBeef.LookupLiveweightFromMonth($E$7,$E$8,$D67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7" s="65">
        <f>InputFunctions_PastureBeef.LookupLiveweightFromMonth($E$7,$E$8,$D67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7" s="65">
        <f>InputFunctions_PastureBeef.LookupLiveweightFromMonth($E$7,$E$8,$D67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7" s="65">
        <f>InputFunctions_PastureBeef.LookupLiveweightFromMonth($E$7,$E$8,$D67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7" s="65">
        <f>InputFunctions_PastureBeef.LookupLiveweightFromMonth($E$7,$E$8,$D67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7" s="65">
        <f>InputFunctions_PastureBeef.LookupLiveweightFromMonth($E$7,$E$8,$D67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7" s="2" t="s">
        <v>133</v>
      </c>
      <c r="P67" s="3"/>
      <c r="T67" s="7"/>
    </row>
    <row r="68" spans="4:20" ht="20.100000000000001" customHeight="1" x14ac:dyDescent="0.25">
      <c r="D68" s="1" t="str">
        <f>TEXT(EDATE('Input - Site'!$E$12,2), "mmmm yyyy")</f>
        <v>March 2024</v>
      </c>
      <c r="E68" s="65">
        <f>InputFunctions_PastureBeef.LookupLiveweightFromMonth($E$7,$E$8,$D68,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8" s="65">
        <f>InputFunctions_PastureBeef.LookupLiveweightFromMonth($E$7,$E$8,$D68,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8" s="65">
        <f>InputFunctions_PastureBeef.LookupLiveweightFromMonth($E$7,$E$8,$D68,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8" s="65">
        <f>InputFunctions_PastureBeef.LookupLiveweightFromMonth($E$7,$E$8,$D68,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8" s="65">
        <f>InputFunctions_PastureBeef.LookupLiveweightFromMonth($E$7,$E$8,$D68,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8" s="65">
        <f>InputFunctions_PastureBeef.LookupLiveweightFromMonth($E$7,$E$8,$D68,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8" s="65">
        <f>InputFunctions_PastureBeef.LookupLiveweightFromMonth($E$7,$E$8,$D68,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8" s="65">
        <f>InputFunctions_PastureBeef.LookupLiveweightFromMonth($E$7,$E$8,$D68,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8" s="65">
        <f>InputFunctions_PastureBeef.LookupLiveweightFromMonth($E$7,$E$8,$D68,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8" s="65">
        <f>InputFunctions_PastureBeef.LookupLiveweightFromMonth($E$7,$E$8,$D68,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8" s="2" t="s">
        <v>133</v>
      </c>
      <c r="P68" s="3"/>
      <c r="T68" s="7"/>
    </row>
    <row r="69" spans="4:20" ht="20.100000000000001" customHeight="1" x14ac:dyDescent="0.25">
      <c r="D69" s="1" t="str">
        <f>TEXT(EDATE('Input - Site'!$E$12,3), "mmmm yyyy")</f>
        <v>April 2024</v>
      </c>
      <c r="E69" s="65">
        <f>InputFunctions_PastureBeef.LookupLiveweightFromMonth($E$7,$E$8,$D69,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9" s="65">
        <f>InputFunctions_PastureBeef.LookupLiveweightFromMonth($E$7,$E$8,$D69,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9" s="65">
        <f>InputFunctions_PastureBeef.LookupLiveweightFromMonth($E$7,$E$8,$D69,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9" s="65">
        <f>InputFunctions_PastureBeef.LookupLiveweightFromMonth($E$7,$E$8,$D69,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9" s="65">
        <f>InputFunctions_PastureBeef.LookupLiveweightFromMonth($E$7,$E$8,$D69,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9" s="65">
        <f>InputFunctions_PastureBeef.LookupLiveweightFromMonth($E$7,$E$8,$D69,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9" s="65">
        <f>InputFunctions_PastureBeef.LookupLiveweightFromMonth($E$7,$E$8,$D69,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9" s="65">
        <f>InputFunctions_PastureBeef.LookupLiveweightFromMonth($E$7,$E$8,$D69,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9" s="65">
        <f>InputFunctions_PastureBeef.LookupLiveweightFromMonth($E$7,$E$8,$D69,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9" s="65">
        <f>InputFunctions_PastureBeef.LookupLiveweightFromMonth($E$7,$E$8,$D69,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9" s="2" t="s">
        <v>133</v>
      </c>
      <c r="P69" s="3"/>
      <c r="T69" s="7"/>
    </row>
    <row r="70" spans="4:20" ht="20.100000000000001" customHeight="1" x14ac:dyDescent="0.25">
      <c r="D70" s="1" t="str">
        <f>TEXT(EDATE('Input - Site'!$E$12,4), "mmmm yyyy")</f>
        <v>May 2024</v>
      </c>
      <c r="E70" s="65">
        <f>InputFunctions_PastureBeef.LookupLiveweightFromMonth($E$7,$E$8,$D70,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0" s="65">
        <f>InputFunctions_PastureBeef.LookupLiveweightFromMonth($E$7,$E$8,$D70,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0" s="65">
        <f>InputFunctions_PastureBeef.LookupLiveweightFromMonth($E$7,$E$8,$D70,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0" s="65">
        <f>InputFunctions_PastureBeef.LookupLiveweightFromMonth($E$7,$E$8,$D70,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0" s="65">
        <f>InputFunctions_PastureBeef.LookupLiveweightFromMonth($E$7,$E$8,$D70,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0" s="65">
        <f>InputFunctions_PastureBeef.LookupLiveweightFromMonth($E$7,$E$8,$D70,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0" s="65">
        <f>InputFunctions_PastureBeef.LookupLiveweightFromMonth($E$7,$E$8,$D70,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0" s="65">
        <f>InputFunctions_PastureBeef.LookupLiveweightFromMonth($E$7,$E$8,$D70,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0" s="65">
        <f>InputFunctions_PastureBeef.LookupLiveweightFromMonth($E$7,$E$8,$D70,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0" s="65">
        <f>InputFunctions_PastureBeef.LookupLiveweightFromMonth($E$7,$E$8,$D70,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0" s="2" t="s">
        <v>133</v>
      </c>
      <c r="P70" s="3"/>
      <c r="T70" s="7"/>
    </row>
    <row r="71" spans="4:20" ht="20.100000000000001" customHeight="1" x14ac:dyDescent="0.25">
      <c r="D71" s="1" t="str">
        <f>TEXT(EDATE('Input - Site'!$E$12,5), "mmmm yyyy")</f>
        <v>June 2024</v>
      </c>
      <c r="E71" s="65">
        <f>InputFunctions_PastureBeef.LookupLiveweightFromMonth($E$7,$E$8,$D71,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1" s="65">
        <f>InputFunctions_PastureBeef.LookupLiveweightFromMonth($E$7,$E$8,$D71,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1" s="65">
        <f>InputFunctions_PastureBeef.LookupLiveweightFromMonth($E$7,$E$8,$D71,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1" s="65">
        <f>InputFunctions_PastureBeef.LookupLiveweightFromMonth($E$7,$E$8,$D71,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1" s="65">
        <f>InputFunctions_PastureBeef.LookupLiveweightFromMonth($E$7,$E$8,$D71,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1" s="65">
        <f>InputFunctions_PastureBeef.LookupLiveweightFromMonth($E$7,$E$8,$D71,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1" s="65">
        <f>InputFunctions_PastureBeef.LookupLiveweightFromMonth($E$7,$E$8,$D71,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1" s="65">
        <f>InputFunctions_PastureBeef.LookupLiveweightFromMonth($E$7,$E$8,$D71,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1" s="65">
        <f>InputFunctions_PastureBeef.LookupLiveweightFromMonth($E$7,$E$8,$D71,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1" s="65">
        <f>InputFunctions_PastureBeef.LookupLiveweightFromMonth($E$7,$E$8,$D71,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1" s="2" t="s">
        <v>133</v>
      </c>
      <c r="P71" s="3"/>
      <c r="T71" s="7"/>
    </row>
    <row r="72" spans="4:20" ht="20.100000000000001" customHeight="1" x14ac:dyDescent="0.25">
      <c r="D72" s="1" t="str">
        <f>TEXT(EDATE('Input - Site'!$E$12,6), "mmmm yyyy")</f>
        <v>July 2024</v>
      </c>
      <c r="E72" s="65">
        <f>InputFunctions_PastureBeef.LookupLiveweightFromMonth($E$7,$E$8,$D72,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2" s="65">
        <f>InputFunctions_PastureBeef.LookupLiveweightFromMonth($E$7,$E$8,$D72,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2" s="65">
        <f>InputFunctions_PastureBeef.LookupLiveweightFromMonth($E$7,$E$8,$D72,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2" s="65">
        <f>InputFunctions_PastureBeef.LookupLiveweightFromMonth($E$7,$E$8,$D72,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2" s="65">
        <f>InputFunctions_PastureBeef.LookupLiveweightFromMonth($E$7,$E$8,$D72,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2" s="65">
        <f>InputFunctions_PastureBeef.LookupLiveweightFromMonth($E$7,$E$8,$D72,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2" s="65">
        <f>InputFunctions_PastureBeef.LookupLiveweightFromMonth($E$7,$E$8,$D72,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2" s="65">
        <f>InputFunctions_PastureBeef.LookupLiveweightFromMonth($E$7,$E$8,$D72,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2" s="65">
        <f>InputFunctions_PastureBeef.LookupLiveweightFromMonth($E$7,$E$8,$D72,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2" s="65">
        <f>InputFunctions_PastureBeef.LookupLiveweightFromMonth($E$7,$E$8,$D72,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2" s="2" t="s">
        <v>133</v>
      </c>
      <c r="T72" s="7"/>
    </row>
    <row r="73" spans="4:20" ht="20.100000000000001" customHeight="1" x14ac:dyDescent="0.25">
      <c r="D73" s="1" t="str">
        <f>TEXT(EDATE('Input - Site'!$E$12,7), "mmmm yyyy")</f>
        <v>August 2024</v>
      </c>
      <c r="E73" s="65">
        <f>InputFunctions_PastureBeef.LookupLiveweightFromMonth($E$7,$E$8,$D73,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3" s="65">
        <f>InputFunctions_PastureBeef.LookupLiveweightFromMonth($E$7,$E$8,$D73,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3" s="65">
        <f>InputFunctions_PastureBeef.LookupLiveweightFromMonth($E$7,$E$8,$D73,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3" s="65">
        <f>InputFunctions_PastureBeef.LookupLiveweightFromMonth($E$7,$E$8,$D73,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3" s="65">
        <f>InputFunctions_PastureBeef.LookupLiveweightFromMonth($E$7,$E$8,$D73,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3" s="65">
        <f>InputFunctions_PastureBeef.LookupLiveweightFromMonth($E$7,$E$8,$D73,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3" s="65">
        <f>InputFunctions_PastureBeef.LookupLiveweightFromMonth($E$7,$E$8,$D73,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3" s="65">
        <f>InputFunctions_PastureBeef.LookupLiveweightFromMonth($E$7,$E$8,$D73,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3" s="65">
        <f>InputFunctions_PastureBeef.LookupLiveweightFromMonth($E$7,$E$8,$D73,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3" s="65">
        <f>InputFunctions_PastureBeef.LookupLiveweightFromMonth($E$7,$E$8,$D73,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3" s="2" t="s">
        <v>133</v>
      </c>
      <c r="T73" s="7"/>
    </row>
    <row r="74" spans="4:20" ht="20.100000000000001" customHeight="1" x14ac:dyDescent="0.25">
      <c r="D74" s="1" t="str">
        <f>TEXT(EDATE('Input - Site'!$E$12,8), "mmmm yyyy")</f>
        <v>September 2024</v>
      </c>
      <c r="E74" s="65">
        <f>InputFunctions_PastureBeef.LookupLiveweightFromMonth($E$7,$E$8,$D74,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4" s="65">
        <f>InputFunctions_PastureBeef.LookupLiveweightFromMonth($E$7,$E$8,$D74,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4" s="65">
        <f>InputFunctions_PastureBeef.LookupLiveweightFromMonth($E$7,$E$8,$D74,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4" s="65">
        <f>InputFunctions_PastureBeef.LookupLiveweightFromMonth($E$7,$E$8,$D74,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4" s="65">
        <f>InputFunctions_PastureBeef.LookupLiveweightFromMonth($E$7,$E$8,$D74,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4" s="65">
        <f>InputFunctions_PastureBeef.LookupLiveweightFromMonth($E$7,$E$8,$D74,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4" s="65">
        <f>InputFunctions_PastureBeef.LookupLiveweightFromMonth($E$7,$E$8,$D74,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4" s="65">
        <f>InputFunctions_PastureBeef.LookupLiveweightFromMonth($E$7,$E$8,$D74,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4" s="65">
        <f>InputFunctions_PastureBeef.LookupLiveweightFromMonth($E$7,$E$8,$D74,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4" s="65">
        <f>InputFunctions_PastureBeef.LookupLiveweightFromMonth($E$7,$E$8,$D74,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4" s="2" t="s">
        <v>133</v>
      </c>
      <c r="T74" s="7"/>
    </row>
    <row r="75" spans="4:20" ht="20.100000000000001" customHeight="1" x14ac:dyDescent="0.25">
      <c r="D75" s="1" t="str">
        <f>TEXT(EDATE('Input - Site'!$E$12,9), "mmmm yyyy")</f>
        <v>October 2024</v>
      </c>
      <c r="E75" s="65">
        <f>InputFunctions_PastureBeef.LookupLiveweightFromMonth($E$7,$E$8,$D75,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5" s="65">
        <f>InputFunctions_PastureBeef.LookupLiveweightFromMonth($E$7,$E$8,$D75,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5" s="65">
        <f>InputFunctions_PastureBeef.LookupLiveweightFromMonth($E$7,$E$8,$D75,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5" s="65">
        <f>InputFunctions_PastureBeef.LookupLiveweightFromMonth($E$7,$E$8,$D75,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5" s="65">
        <f>InputFunctions_PastureBeef.LookupLiveweightFromMonth($E$7,$E$8,$D75,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5" s="65">
        <f>InputFunctions_PastureBeef.LookupLiveweightFromMonth($E$7,$E$8,$D75,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5" s="65">
        <f>InputFunctions_PastureBeef.LookupLiveweightFromMonth($E$7,$E$8,$D75,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5" s="65">
        <f>InputFunctions_PastureBeef.LookupLiveweightFromMonth($E$7,$E$8,$D75,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5" s="65">
        <f>InputFunctions_PastureBeef.LookupLiveweightFromMonth($E$7,$E$8,$D75,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5" s="65">
        <f>InputFunctions_PastureBeef.LookupLiveweightFromMonth($E$7,$E$8,$D75,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5" s="2" t="s">
        <v>133</v>
      </c>
      <c r="T75" s="7"/>
    </row>
    <row r="76" spans="4:20" ht="20.100000000000001" customHeight="1" x14ac:dyDescent="0.25">
      <c r="D76" s="1" t="str">
        <f>TEXT(EDATE('Input - Site'!$E$12,10), "mmmm yyyy")</f>
        <v>November 2024</v>
      </c>
      <c r="E76" s="65">
        <f>InputFunctions_PastureBeef.LookupLiveweightFromMonth($E$7,$E$8,$D76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6" s="65">
        <f>InputFunctions_PastureBeef.LookupLiveweightFromMonth($E$7,$E$8,$D76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6" s="65">
        <f>InputFunctions_PastureBeef.LookupLiveweightFromMonth($E$7,$E$8,$D76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6" s="65">
        <f>InputFunctions_PastureBeef.LookupLiveweightFromMonth($E$7,$E$8,$D76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6" s="65">
        <f>InputFunctions_PastureBeef.LookupLiveweightFromMonth($E$7,$E$8,$D76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6" s="65">
        <f>InputFunctions_PastureBeef.LookupLiveweightFromMonth($E$7,$E$8,$D76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6" s="65">
        <f>InputFunctions_PastureBeef.LookupLiveweightFromMonth($E$7,$E$8,$D76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6" s="65">
        <f>InputFunctions_PastureBeef.LookupLiveweightFromMonth($E$7,$E$8,$D76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6" s="65">
        <f>InputFunctions_PastureBeef.LookupLiveweightFromMonth($E$7,$E$8,$D76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6" s="65">
        <f>InputFunctions_PastureBeef.LookupLiveweightFromMonth($E$7,$E$8,$D76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6" s="2" t="s">
        <v>133</v>
      </c>
      <c r="T76" s="7"/>
    </row>
    <row r="77" spans="4:20" ht="20.100000000000001" customHeight="1" x14ac:dyDescent="0.25">
      <c r="D77" s="1" t="str">
        <f>TEXT(EDATE('Input - Site'!$E$12,11), "mmmm yyyy")</f>
        <v>December 2024</v>
      </c>
      <c r="E77" s="65">
        <f>InputFunctions_PastureBeef.LookupLiveweightFromMonth($E$7,$E$8,$D77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77" s="65">
        <f>InputFunctions_PastureBeef.LookupLiveweightFromMonth($E$7,$E$8,$D77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77" s="65">
        <f>InputFunctions_PastureBeef.LookupLiveweightFromMonth($E$7,$E$8,$D77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77" s="65">
        <f>InputFunctions_PastureBeef.LookupLiveweightFromMonth($E$7,$E$8,$D77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77" s="65">
        <f>InputFunctions_PastureBeef.LookupLiveweightFromMonth($E$7,$E$8,$D77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77" s="65">
        <f>InputFunctions_PastureBeef.LookupLiveweightFromMonth($E$7,$E$8,$D77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77" s="65">
        <f>InputFunctions_PastureBeef.LookupLiveweightFromMonth($E$7,$E$8,$D77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77" s="65">
        <f>InputFunctions_PastureBeef.LookupLiveweightFromMonth($E$7,$E$8,$D77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77" s="65">
        <f>InputFunctions_PastureBeef.LookupLiveweightFromMonth($E$7,$E$8,$D77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77" s="65">
        <f>InputFunctions_PastureBeef.LookupLiveweightFromMonth($E$7,$E$8,$D77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77" s="2" t="s">
        <v>133</v>
      </c>
      <c r="T77" s="7"/>
    </row>
    <row r="78" spans="4:20" ht="20.100000000000001" customHeight="1" x14ac:dyDescent="0.25">
      <c r="T78" s="7"/>
    </row>
    <row r="79" spans="4:20" ht="20.100000000000001" customHeight="1" x14ac:dyDescent="0.25">
      <c r="T79" s="7"/>
    </row>
    <row r="80" spans="4:20" ht="20.100000000000001" customHeight="1" x14ac:dyDescent="0.25">
      <c r="D80" s="48" t="s">
        <v>177</v>
      </c>
      <c r="T80" s="7"/>
    </row>
    <row r="81" spans="4:20" ht="20.100000000000001" customHeight="1" x14ac:dyDescent="0.25">
      <c r="D81" s="62" t="s">
        <v>179</v>
      </c>
      <c r="E81" s="62" t="s">
        <v>131</v>
      </c>
      <c r="F81" s="62" t="s">
        <v>130</v>
      </c>
      <c r="G81" s="62" t="s">
        <v>165</v>
      </c>
      <c r="H81" s="62" t="s">
        <v>166</v>
      </c>
      <c r="I81" s="62" t="s">
        <v>167</v>
      </c>
      <c r="J81" s="62" t="s">
        <v>168</v>
      </c>
      <c r="K81" s="62" t="s">
        <v>169</v>
      </c>
      <c r="L81" s="62" t="s">
        <v>170</v>
      </c>
      <c r="M81" s="62" t="s">
        <v>171</v>
      </c>
      <c r="N81" s="62" t="s">
        <v>172</v>
      </c>
      <c r="T81" s="7"/>
    </row>
    <row r="82" spans="4:20" ht="20.100000000000001" customHeight="1" x14ac:dyDescent="0.25">
      <c r="D82" s="1" t="s">
        <v>173</v>
      </c>
      <c r="E82" s="52">
        <f>InputFunctions_PastureBeef.LookupLiveweightFromSeason($E$7,$E$8,$D82,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1.64</v>
      </c>
      <c r="F82" s="52">
        <f>InputFunctions_PastureBeef.LookupLiveweightFromSeason($E$7,$E$8,$D82,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G82" s="52">
        <f>InputFunctions_PastureBeef.LookupLiveweightFromSeason($E$7,$E$8,$D82,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1.21</v>
      </c>
      <c r="H82" s="52">
        <f>InputFunctions_PastureBeef.LookupLiveweightFromSeason($E$7,$E$8,$D82,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I82" s="52">
        <f>InputFunctions_PastureBeef.LookupLiveweightFromSeason($E$7,$E$8,$D82,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J82" s="52">
        <f>InputFunctions_PastureBeef.LookupLiveweightFromSeason($E$7,$E$8,$D82,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K82" s="52">
        <f>InputFunctions_PastureBeef.LookupLiveweightFromSeason($E$7,$E$8,$D82,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1.42</v>
      </c>
      <c r="L82" s="52">
        <f>InputFunctions_PastureBeef.LookupLiveweightFromSeason($E$7,$E$8,$D82,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M82" s="52">
        <f>InputFunctions_PastureBeef.LookupLiveweightFromSeason($E$7,$E$8,$D82,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N82" s="52">
        <f>InputFunctions_PastureBeef.LookupLiveweightFromSeason($E$7,$E$8,$D82,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O82" s="2" t="s">
        <v>134</v>
      </c>
      <c r="T82" s="7"/>
    </row>
    <row r="83" spans="4:20" ht="20.100000000000001" customHeight="1" x14ac:dyDescent="0.25">
      <c r="D83" s="1" t="s">
        <v>174</v>
      </c>
      <c r="E83" s="52">
        <f>InputFunctions_PastureBeef.LookupLiveweightFromSeason($E$7,$E$8,$D83,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F83" s="52">
        <f>InputFunctions_PastureBeef.LookupLiveweightFromSeason($E$7,$E$8,$D83,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3" s="52">
        <f>InputFunctions_PastureBeef.LookupLiveweightFromSeason($E$7,$E$8,$D83,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H83" s="52">
        <f>InputFunctions_PastureBeef.LookupLiveweightFromSeason($E$7,$E$8,$D83,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0.33</v>
      </c>
      <c r="I83" s="52">
        <f>InputFunctions_PastureBeef.LookupLiveweightFromSeason($E$7,$E$8,$D83,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J83" s="52">
        <f>InputFunctions_PastureBeef.LookupLiveweightFromSeason($E$7,$E$8,$D83,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K83" s="52">
        <f>InputFunctions_PastureBeef.LookupLiveweightFromSeason($E$7,$E$8,$D83,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L83" s="52">
        <f>InputFunctions_PastureBeef.LookupLiveweightFromSeason($E$7,$E$8,$D83,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M83" s="52">
        <f>InputFunctions_PastureBeef.LookupLiveweightFromSeason($E$7,$E$8,$D83,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N83" s="52">
        <f>InputFunctions_PastureBeef.LookupLiveweightFromSeason($E$7,$E$8,$D83,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O83" s="2" t="s">
        <v>134</v>
      </c>
      <c r="T83" s="7"/>
    </row>
    <row r="84" spans="4:20" ht="20.100000000000001" customHeight="1" x14ac:dyDescent="0.25">
      <c r="D84" s="1" t="s">
        <v>175</v>
      </c>
      <c r="E84" s="52">
        <f>InputFunctions_PastureBeef.LookupLiveweightFromSeason($E$7,$E$8,$D84,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F84" s="52">
        <f>InputFunctions_PastureBeef.LookupLiveweightFromSeason($E$7,$E$8,$D84,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G84" s="52">
        <f>InputFunctions_PastureBeef.LookupLiveweightFromSeason($E$7,$E$8,$D84,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H84" s="52">
        <f>InputFunctions_PastureBeef.LookupLiveweightFromSeason($E$7,$E$8,$D84,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I84" s="52">
        <f>InputFunctions_PastureBeef.LookupLiveweightFromSeason($E$7,$E$8,$D84,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J84" s="52">
        <f>InputFunctions_PastureBeef.LookupLiveweightFromSeason($E$7,$E$8,$D84,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K84" s="52">
        <f>InputFunctions_PastureBeef.LookupLiveweightFromSeason($E$7,$E$8,$D84,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L84" s="52">
        <f>InputFunctions_PastureBeef.LookupLiveweightFromSeason($E$7,$E$8,$D84,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M84" s="52">
        <f>InputFunctions_PastureBeef.LookupLiveweightFromSeason($E$7,$E$8,$D84,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N84" s="52">
        <f>InputFunctions_PastureBeef.LookupLiveweightFromSeason($E$7,$E$8,$D84,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O84" s="2" t="s">
        <v>134</v>
      </c>
      <c r="T84" s="7"/>
    </row>
    <row r="85" spans="4:20" ht="20.100000000000001" customHeight="1" x14ac:dyDescent="0.25">
      <c r="D85" s="1" t="s">
        <v>176</v>
      </c>
      <c r="E85" s="52">
        <f>InputFunctions_PastureBeef.LookupLiveweightFromSeason($E$7,$E$8,$D85,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F85" s="52">
        <f>InputFunctions_PastureBeef.LookupLiveweightFromSeason($E$7,$E$8,$D85,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5" s="52">
        <f>InputFunctions_PastureBeef.LookupLiveweightFromSeason($E$7,$E$8,$D85,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H85" s="52">
        <f>InputFunctions_PastureBeef.LookupLiveweightFromSeason($E$7,$E$8,$D85,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I85" s="52">
        <f>InputFunctions_PastureBeef.LookupLiveweightFromSeason($E$7,$E$8,$D85,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J85" s="52">
        <f>InputFunctions_PastureBeef.LookupLiveweightFromSeason($E$7,$E$8,$D85,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K85" s="52">
        <f>InputFunctions_PastureBeef.LookupLiveweightFromSeason($E$7,$E$8,$D85,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L85" s="52">
        <f>InputFunctions_PastureBeef.LookupLiveweightFromSeason($E$7,$E$8,$D85,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M85" s="52">
        <f>InputFunctions_PastureBeef.LookupLiveweightFromSeason($E$7,$E$8,$D85,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N85" s="52">
        <f>InputFunctions_PastureBeef.LookupLiveweightFromSeason($E$7,$E$8,$D85,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O85" s="2" t="s">
        <v>134</v>
      </c>
      <c r="T85" s="7"/>
    </row>
    <row r="86" spans="4:20" ht="20.100000000000001" customHeight="1" x14ac:dyDescent="0.25">
      <c r="O86" s="2"/>
      <c r="T86" s="7"/>
    </row>
    <row r="87" spans="4:20" ht="20.100000000000001" customHeight="1" x14ac:dyDescent="0.25">
      <c r="D87" s="62" t="s">
        <v>180</v>
      </c>
      <c r="E87" s="62" t="s">
        <v>131</v>
      </c>
      <c r="F87" s="62" t="s">
        <v>130</v>
      </c>
      <c r="G87" s="62" t="s">
        <v>165</v>
      </c>
      <c r="H87" s="62" t="s">
        <v>166</v>
      </c>
      <c r="I87" s="62" t="s">
        <v>167</v>
      </c>
      <c r="J87" s="62" t="s">
        <v>168</v>
      </c>
      <c r="K87" s="62" t="s">
        <v>169</v>
      </c>
      <c r="L87" s="62" t="s">
        <v>170</v>
      </c>
      <c r="M87" s="62" t="s">
        <v>171</v>
      </c>
      <c r="N87" s="62" t="s">
        <v>172</v>
      </c>
      <c r="O87" s="2"/>
      <c r="T87" s="7"/>
    </row>
    <row r="88" spans="4:20" ht="20.100000000000001" customHeight="1" x14ac:dyDescent="0.25">
      <c r="D88" s="1" t="str">
        <f>TEXT('Input - Site'!$E$12, "mmmm yyyy")</f>
        <v>January 2024</v>
      </c>
      <c r="E88" s="65">
        <f>InputFunctions_PastureBeef.LookupLiveweightFromMonth($E$7,$E$8,$D88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8" s="65">
        <f>InputFunctions_PastureBeef.LookupLiveweightFromMonth($E$7,$E$8,$D88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8" s="65">
        <f>InputFunctions_PastureBeef.LookupLiveweightFromMonth($E$7,$E$8,$D88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8" s="65">
        <f>InputFunctions_PastureBeef.LookupLiveweightFromMonth($E$7,$E$8,$D88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8" s="65">
        <f>InputFunctions_PastureBeef.LookupLiveweightFromMonth($E$7,$E$8,$D88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8" s="65">
        <f>InputFunctions_PastureBeef.LookupLiveweightFromMonth($E$7,$E$8,$D88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8" s="65">
        <f>InputFunctions_PastureBeef.LookupLiveweightFromMonth($E$7,$E$8,$D88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8" s="65">
        <f>InputFunctions_PastureBeef.LookupLiveweightFromMonth($E$7,$E$8,$D88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8" s="65">
        <f>InputFunctions_PastureBeef.LookupLiveweightFromMonth($E$7,$E$8,$D88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8" s="65">
        <f>InputFunctions_PastureBeef.LookupLiveweightFromMonth($E$7,$E$8,$D88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8" s="2" t="s">
        <v>134</v>
      </c>
      <c r="T88" s="7"/>
    </row>
    <row r="89" spans="4:20" ht="20.100000000000001" customHeight="1" x14ac:dyDescent="0.25">
      <c r="D89" s="1" t="str">
        <f>TEXT(EDATE('Input - Site'!$E$12,1), "mmmm yyyy")</f>
        <v>February 2024</v>
      </c>
      <c r="E89" s="65">
        <f>InputFunctions_PastureBeef.LookupLiveweightFromMonth($E$7,$E$8,$D89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9" s="65">
        <f>InputFunctions_PastureBeef.LookupLiveweightFromMonth($E$7,$E$8,$D89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9" s="65">
        <f>InputFunctions_PastureBeef.LookupLiveweightFromMonth($E$7,$E$8,$D89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9" s="65">
        <f>InputFunctions_PastureBeef.LookupLiveweightFromMonth($E$7,$E$8,$D89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9" s="65">
        <f>InputFunctions_PastureBeef.LookupLiveweightFromMonth($E$7,$E$8,$D89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9" s="65">
        <f>InputFunctions_PastureBeef.LookupLiveweightFromMonth($E$7,$E$8,$D89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9" s="65">
        <f>InputFunctions_PastureBeef.LookupLiveweightFromMonth($E$7,$E$8,$D89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9" s="65">
        <f>InputFunctions_PastureBeef.LookupLiveweightFromMonth($E$7,$E$8,$D89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9" s="65">
        <f>InputFunctions_PastureBeef.LookupLiveweightFromMonth($E$7,$E$8,$D89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9" s="65">
        <f>InputFunctions_PastureBeef.LookupLiveweightFromMonth($E$7,$E$8,$D89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9" s="2" t="s">
        <v>134</v>
      </c>
      <c r="T89" s="7"/>
    </row>
    <row r="90" spans="4:20" ht="20.100000000000001" customHeight="1" x14ac:dyDescent="0.25">
      <c r="D90" s="1" t="str">
        <f>TEXT(EDATE('Input - Site'!$E$12,2), "mmmm yyyy")</f>
        <v>March 2024</v>
      </c>
      <c r="E90" s="65">
        <f>InputFunctions_PastureBeef.LookupLiveweightFromMonth($E$7,$E$8,$D90,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0" s="65">
        <f>InputFunctions_PastureBeef.LookupLiveweightFromMonth($E$7,$E$8,$D90,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0" s="65">
        <f>InputFunctions_PastureBeef.LookupLiveweightFromMonth($E$7,$E$8,$D90,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0" s="65">
        <f>InputFunctions_PastureBeef.LookupLiveweightFromMonth($E$7,$E$8,$D90,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0" s="65">
        <f>InputFunctions_PastureBeef.LookupLiveweightFromMonth($E$7,$E$8,$D90,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0" s="65">
        <f>InputFunctions_PastureBeef.LookupLiveweightFromMonth($E$7,$E$8,$D90,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0" s="65">
        <f>InputFunctions_PastureBeef.LookupLiveweightFromMonth($E$7,$E$8,$D90,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0" s="65">
        <f>InputFunctions_PastureBeef.LookupLiveweightFromMonth($E$7,$E$8,$D90,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0" s="65">
        <f>InputFunctions_PastureBeef.LookupLiveweightFromMonth($E$7,$E$8,$D90,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0" s="65">
        <f>InputFunctions_PastureBeef.LookupLiveweightFromMonth($E$7,$E$8,$D90,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0" s="2" t="s">
        <v>134</v>
      </c>
      <c r="T90" s="7"/>
    </row>
    <row r="91" spans="4:20" ht="20.100000000000001" customHeight="1" x14ac:dyDescent="0.25">
      <c r="D91" s="1" t="str">
        <f>TEXT(EDATE('Input - Site'!$E$12,3), "mmmm yyyy")</f>
        <v>April 2024</v>
      </c>
      <c r="E91" s="65">
        <f>InputFunctions_PastureBeef.LookupLiveweightFromMonth($E$7,$E$8,$D91,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1" s="65">
        <f>InputFunctions_PastureBeef.LookupLiveweightFromMonth($E$7,$E$8,$D91,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1" s="65">
        <f>InputFunctions_PastureBeef.LookupLiveweightFromMonth($E$7,$E$8,$D91,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1" s="65">
        <f>InputFunctions_PastureBeef.LookupLiveweightFromMonth($E$7,$E$8,$D91,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1" s="65">
        <f>InputFunctions_PastureBeef.LookupLiveweightFromMonth($E$7,$E$8,$D91,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1" s="65">
        <f>InputFunctions_PastureBeef.LookupLiveweightFromMonth($E$7,$E$8,$D91,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1" s="65">
        <f>InputFunctions_PastureBeef.LookupLiveweightFromMonth($E$7,$E$8,$D91,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1" s="65">
        <f>InputFunctions_PastureBeef.LookupLiveweightFromMonth($E$7,$E$8,$D91,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1" s="65">
        <f>InputFunctions_PastureBeef.LookupLiveweightFromMonth($E$7,$E$8,$D91,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1" s="65">
        <f>InputFunctions_PastureBeef.LookupLiveweightFromMonth($E$7,$E$8,$D91,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1" s="2" t="s">
        <v>134</v>
      </c>
      <c r="T91" s="7"/>
    </row>
    <row r="92" spans="4:20" ht="20.100000000000001" customHeight="1" x14ac:dyDescent="0.25">
      <c r="D92" s="1" t="str">
        <f>TEXT(EDATE('Input - Site'!$E$12,4), "mmmm yyyy")</f>
        <v>May 2024</v>
      </c>
      <c r="E92" s="65">
        <f>InputFunctions_PastureBeef.LookupLiveweightFromMonth($E$7,$E$8,$D92,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2" s="65">
        <f>InputFunctions_PastureBeef.LookupLiveweightFromMonth($E$7,$E$8,$D92,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2" s="65">
        <f>InputFunctions_PastureBeef.LookupLiveweightFromMonth($E$7,$E$8,$D92,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2" s="65">
        <f>InputFunctions_PastureBeef.LookupLiveweightFromMonth($E$7,$E$8,$D92,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2" s="65">
        <f>InputFunctions_PastureBeef.LookupLiveweightFromMonth($E$7,$E$8,$D92,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2" s="65">
        <f>InputFunctions_PastureBeef.LookupLiveweightFromMonth($E$7,$E$8,$D92,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2" s="65">
        <f>InputFunctions_PastureBeef.LookupLiveweightFromMonth($E$7,$E$8,$D92,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2" s="65">
        <f>InputFunctions_PastureBeef.LookupLiveweightFromMonth($E$7,$E$8,$D92,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2" s="65">
        <f>InputFunctions_PastureBeef.LookupLiveweightFromMonth($E$7,$E$8,$D92,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2" s="65">
        <f>InputFunctions_PastureBeef.LookupLiveweightFromMonth($E$7,$E$8,$D92,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2" s="2" t="s">
        <v>134</v>
      </c>
      <c r="T92" s="7"/>
    </row>
    <row r="93" spans="4:20" ht="20.100000000000001" customHeight="1" x14ac:dyDescent="0.25">
      <c r="D93" s="1" t="str">
        <f>TEXT(EDATE('Input - Site'!$E$12,5), "mmmm yyyy")</f>
        <v>June 2024</v>
      </c>
      <c r="E93" s="65">
        <f>InputFunctions_PastureBeef.LookupLiveweightFromMonth($E$7,$E$8,$D93,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3" s="65">
        <f>InputFunctions_PastureBeef.LookupLiveweightFromMonth($E$7,$E$8,$D93,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3" s="65">
        <f>InputFunctions_PastureBeef.LookupLiveweightFromMonth($E$7,$E$8,$D93,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3" s="65">
        <f>InputFunctions_PastureBeef.LookupLiveweightFromMonth($E$7,$E$8,$D93,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3" s="65">
        <f>InputFunctions_PastureBeef.LookupLiveweightFromMonth($E$7,$E$8,$D93,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3" s="65">
        <f>InputFunctions_PastureBeef.LookupLiveweightFromMonth($E$7,$E$8,$D93,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3" s="65">
        <f>InputFunctions_PastureBeef.LookupLiveweightFromMonth($E$7,$E$8,$D93,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3" s="65">
        <f>InputFunctions_PastureBeef.LookupLiveweightFromMonth($E$7,$E$8,$D93,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3" s="65">
        <f>InputFunctions_PastureBeef.LookupLiveweightFromMonth($E$7,$E$8,$D93,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3" s="65">
        <f>InputFunctions_PastureBeef.LookupLiveweightFromMonth($E$7,$E$8,$D93,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3" s="2" t="s">
        <v>134</v>
      </c>
      <c r="T93" s="7"/>
    </row>
    <row r="94" spans="4:20" ht="20.100000000000001" customHeight="1" x14ac:dyDescent="0.25">
      <c r="D94" s="1" t="str">
        <f>TEXT(EDATE('Input - Site'!$E$12,6), "mmmm yyyy")</f>
        <v>July 2024</v>
      </c>
      <c r="E94" s="65">
        <f>InputFunctions_PastureBeef.LookupLiveweightFromMonth($E$7,$E$8,$D94,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4" s="65">
        <f>InputFunctions_PastureBeef.LookupLiveweightFromMonth($E$7,$E$8,$D94,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4" s="65">
        <f>InputFunctions_PastureBeef.LookupLiveweightFromMonth($E$7,$E$8,$D94,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4" s="65">
        <f>InputFunctions_PastureBeef.LookupLiveweightFromMonth($E$7,$E$8,$D94,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4" s="65">
        <f>InputFunctions_PastureBeef.LookupLiveweightFromMonth($E$7,$E$8,$D94,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4" s="65">
        <f>InputFunctions_PastureBeef.LookupLiveweightFromMonth($E$7,$E$8,$D94,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4" s="65">
        <f>InputFunctions_PastureBeef.LookupLiveweightFromMonth($E$7,$E$8,$D94,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4" s="65">
        <f>InputFunctions_PastureBeef.LookupLiveweightFromMonth($E$7,$E$8,$D94,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4" s="65">
        <f>InputFunctions_PastureBeef.LookupLiveweightFromMonth($E$7,$E$8,$D94,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4" s="65">
        <f>InputFunctions_PastureBeef.LookupLiveweightFromMonth($E$7,$E$8,$D94,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4" s="2" t="s">
        <v>134</v>
      </c>
      <c r="T94" s="7"/>
    </row>
    <row r="95" spans="4:20" ht="20.100000000000001" customHeight="1" x14ac:dyDescent="0.25">
      <c r="D95" s="1" t="str">
        <f>TEXT(EDATE('Input - Site'!$E$12,7), "mmmm yyyy")</f>
        <v>August 2024</v>
      </c>
      <c r="E95" s="65">
        <f>InputFunctions_PastureBeef.LookupLiveweightFromMonth($E$7,$E$8,$D95,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5" s="65">
        <f>InputFunctions_PastureBeef.LookupLiveweightFromMonth($E$7,$E$8,$D95,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5" s="65">
        <f>InputFunctions_PastureBeef.LookupLiveweightFromMonth($E$7,$E$8,$D95,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5" s="65">
        <f>InputFunctions_PastureBeef.LookupLiveweightFromMonth($E$7,$E$8,$D95,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5" s="65">
        <f>InputFunctions_PastureBeef.LookupLiveweightFromMonth($E$7,$E$8,$D95,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5" s="65">
        <f>InputFunctions_PastureBeef.LookupLiveweightFromMonth($E$7,$E$8,$D95,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5" s="65">
        <f>InputFunctions_PastureBeef.LookupLiveweightFromMonth($E$7,$E$8,$D95,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5" s="65">
        <f>InputFunctions_PastureBeef.LookupLiveweightFromMonth($E$7,$E$8,$D95,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5" s="65">
        <f>InputFunctions_PastureBeef.LookupLiveweightFromMonth($E$7,$E$8,$D95,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5" s="65">
        <f>InputFunctions_PastureBeef.LookupLiveweightFromMonth($E$7,$E$8,$D95,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5" s="2" t="s">
        <v>134</v>
      </c>
      <c r="T95" s="7"/>
    </row>
    <row r="96" spans="4:20" ht="20.100000000000001" customHeight="1" x14ac:dyDescent="0.25">
      <c r="D96" s="1" t="str">
        <f>TEXT(EDATE('Input - Site'!$E$12,8), "mmmm yyyy")</f>
        <v>September 2024</v>
      </c>
      <c r="E96" s="65">
        <f>InputFunctions_PastureBeef.LookupLiveweightFromMonth($E$7,$E$8,$D96,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6" s="65">
        <f>InputFunctions_PastureBeef.LookupLiveweightFromMonth($E$7,$E$8,$D96,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6" s="65">
        <f>InputFunctions_PastureBeef.LookupLiveweightFromMonth($E$7,$E$8,$D96,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6" s="65">
        <f>InputFunctions_PastureBeef.LookupLiveweightFromMonth($E$7,$E$8,$D96,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6" s="65">
        <f>InputFunctions_PastureBeef.LookupLiveweightFromMonth($E$7,$E$8,$D96,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6" s="65">
        <f>InputFunctions_PastureBeef.LookupLiveweightFromMonth($E$7,$E$8,$D96,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6" s="65">
        <f>InputFunctions_PastureBeef.LookupLiveweightFromMonth($E$7,$E$8,$D96,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6" s="65">
        <f>InputFunctions_PastureBeef.LookupLiveweightFromMonth($E$7,$E$8,$D96,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6" s="65">
        <f>InputFunctions_PastureBeef.LookupLiveweightFromMonth($E$7,$E$8,$D96,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6" s="65">
        <f>InputFunctions_PastureBeef.LookupLiveweightFromMonth($E$7,$E$8,$D96,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6" s="2" t="s">
        <v>134</v>
      </c>
      <c r="T96" s="7"/>
    </row>
    <row r="97" spans="4:20" ht="20.100000000000001" customHeight="1" x14ac:dyDescent="0.25">
      <c r="D97" s="1" t="str">
        <f>TEXT(EDATE('Input - Site'!$E$12,9), "mmmm yyyy")</f>
        <v>October 2024</v>
      </c>
      <c r="E97" s="65">
        <f>InputFunctions_PastureBeef.LookupLiveweightFromMonth($E$7,$E$8,$D97,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7" s="65">
        <f>InputFunctions_PastureBeef.LookupLiveweightFromMonth($E$7,$E$8,$D97,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7" s="65">
        <f>InputFunctions_PastureBeef.LookupLiveweightFromMonth($E$7,$E$8,$D97,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7" s="65">
        <f>InputFunctions_PastureBeef.LookupLiveweightFromMonth($E$7,$E$8,$D97,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7" s="65">
        <f>InputFunctions_PastureBeef.LookupLiveweightFromMonth($E$7,$E$8,$D97,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7" s="65">
        <f>InputFunctions_PastureBeef.LookupLiveweightFromMonth($E$7,$E$8,$D97,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7" s="65">
        <f>InputFunctions_PastureBeef.LookupLiveweightFromMonth($E$7,$E$8,$D97,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7" s="65">
        <f>InputFunctions_PastureBeef.LookupLiveweightFromMonth($E$7,$E$8,$D97,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7" s="65">
        <f>InputFunctions_PastureBeef.LookupLiveweightFromMonth($E$7,$E$8,$D97,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7" s="65">
        <f>InputFunctions_PastureBeef.LookupLiveweightFromMonth($E$7,$E$8,$D97,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7" s="2" t="s">
        <v>134</v>
      </c>
      <c r="T97" s="7"/>
    </row>
    <row r="98" spans="4:20" ht="20.100000000000001" customHeight="1" x14ac:dyDescent="0.25">
      <c r="D98" s="1" t="str">
        <f>TEXT(EDATE('Input - Site'!$E$12,10), "mmmm yyyy")</f>
        <v>November 2024</v>
      </c>
      <c r="E98" s="65">
        <f>InputFunctions_PastureBeef.LookupLiveweightFromMonth($E$7,$E$8,$D98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8" s="65">
        <f>InputFunctions_PastureBeef.LookupLiveweightFromMonth($E$7,$E$8,$D98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8" s="65">
        <f>InputFunctions_PastureBeef.LookupLiveweightFromMonth($E$7,$E$8,$D98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8" s="65">
        <f>InputFunctions_PastureBeef.LookupLiveweightFromMonth($E$7,$E$8,$D98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8" s="65">
        <f>InputFunctions_PastureBeef.LookupLiveweightFromMonth($E$7,$E$8,$D98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8" s="65">
        <f>InputFunctions_PastureBeef.LookupLiveweightFromMonth($E$7,$E$8,$D98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8" s="65">
        <f>InputFunctions_PastureBeef.LookupLiveweightFromMonth($E$7,$E$8,$D98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8" s="65">
        <f>InputFunctions_PastureBeef.LookupLiveweightFromMonth($E$7,$E$8,$D98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8" s="65">
        <f>InputFunctions_PastureBeef.LookupLiveweightFromMonth($E$7,$E$8,$D98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8" s="65">
        <f>InputFunctions_PastureBeef.LookupLiveweightFromMonth($E$7,$E$8,$D98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8" s="2" t="s">
        <v>134</v>
      </c>
      <c r="T98" s="7"/>
    </row>
    <row r="99" spans="4:20" ht="20.100000000000001" customHeight="1" x14ac:dyDescent="0.25">
      <c r="D99" s="1" t="str">
        <f>TEXT(EDATE('Input - Site'!$E$12,11), "mmmm yyyy")</f>
        <v>December 2024</v>
      </c>
      <c r="E99" s="65">
        <f>InputFunctions_PastureBeef.LookupLiveweightFromMonth($E$7,$E$8,$D99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99" s="65">
        <f>InputFunctions_PastureBeef.LookupLiveweightFromMonth($E$7,$E$8,$D99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9" s="65">
        <f>InputFunctions_PastureBeef.LookupLiveweightFromMonth($E$7,$E$8,$D99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99" s="65">
        <f>InputFunctions_PastureBeef.LookupLiveweightFromMonth($E$7,$E$8,$D99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99" s="65">
        <f>InputFunctions_PastureBeef.LookupLiveweightFromMonth($E$7,$E$8,$D99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99" s="65">
        <f>InputFunctions_PastureBeef.LookupLiveweightFromMonth($E$7,$E$8,$D99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99" s="65">
        <f>InputFunctions_PastureBeef.LookupLiveweightFromMonth($E$7,$E$8,$D99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99" s="65">
        <f>InputFunctions_PastureBeef.LookupLiveweightFromMonth($E$7,$E$8,$D99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99" s="65">
        <f>InputFunctions_PastureBeef.LookupLiveweightFromMonth($E$7,$E$8,$D99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99" s="65">
        <f>InputFunctions_PastureBeef.LookupLiveweightFromMonth($E$7,$E$8,$D99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99" s="2" t="s">
        <v>134</v>
      </c>
      <c r="T99" s="7"/>
    </row>
    <row r="100" spans="4:20" ht="20.100000000000001" customHeight="1" x14ac:dyDescent="0.25">
      <c r="T100" s="7"/>
    </row>
    <row r="101" spans="4:20" ht="20.100000000000001" customHeight="1" x14ac:dyDescent="0.25">
      <c r="T101" s="7"/>
    </row>
    <row r="102" spans="4:20" ht="20.100000000000001" customHeight="1" x14ac:dyDescent="0.25">
      <c r="D102" s="48" t="s">
        <v>229</v>
      </c>
      <c r="K102" s="2"/>
      <c r="L102" s="2"/>
      <c r="M102" s="2"/>
      <c r="N102" s="2"/>
      <c r="O102" s="2"/>
      <c r="T102" s="7"/>
    </row>
    <row r="103" spans="4:20" ht="20.100000000000001" customHeight="1" x14ac:dyDescent="0.25">
      <c r="D103" s="62" t="s">
        <v>136</v>
      </c>
      <c r="E103" s="62"/>
      <c r="F103" s="62"/>
      <c r="G103" s="62"/>
      <c r="T103" s="7"/>
    </row>
    <row r="104" spans="4:20" ht="20.100000000000001" customHeight="1" x14ac:dyDescent="0.25">
      <c r="D104" s="1" t="s">
        <v>246</v>
      </c>
      <c r="E104" s="39" t="s">
        <v>176</v>
      </c>
      <c r="F104" s="2" t="s">
        <v>11</v>
      </c>
      <c r="T104" s="7"/>
    </row>
    <row r="105" spans="4:20" ht="20.100000000000001" customHeight="1" x14ac:dyDescent="0.25">
      <c r="T105" s="7"/>
    </row>
    <row r="106" spans="4:20" ht="20.100000000000001" customHeight="1" x14ac:dyDescent="0.25">
      <c r="T106" s="7"/>
    </row>
    <row r="107" spans="4:20" ht="20.100000000000001" customHeight="1" x14ac:dyDescent="0.25">
      <c r="K107" s="1" t="s">
        <v>354</v>
      </c>
    </row>
    <row r="108" spans="4:20" ht="20.100000000000001" customHeight="1" x14ac:dyDescent="0.25"/>
    <row r="109" spans="4:20" ht="20.100000000000001" customHeight="1" x14ac:dyDescent="0.25">
      <c r="E109" s="62" t="s">
        <v>350</v>
      </c>
      <c r="F109" s="62" t="s">
        <v>166</v>
      </c>
      <c r="G109" s="62" t="s">
        <v>167</v>
      </c>
      <c r="H109" s="62" t="s">
        <v>168</v>
      </c>
      <c r="L109" s="1" t="s">
        <v>165</v>
      </c>
      <c r="M109" s="1" t="s">
        <v>169</v>
      </c>
      <c r="N109" s="2"/>
      <c r="O109" s="2"/>
    </row>
    <row r="110" spans="4:20" ht="20.100000000000001" customHeight="1" x14ac:dyDescent="0.25">
      <c r="D110" s="1" t="str">
        <f>"Proportion of cows &gt; 1 years in calf in " &amp; E104</f>
        <v>Proportion of cows &gt; 1 years in calf in Winter</v>
      </c>
      <c r="E110" s="39" t="s">
        <v>349</v>
      </c>
      <c r="F110" s="46">
        <v>0.7</v>
      </c>
      <c r="G110" s="46">
        <v>0.5</v>
      </c>
      <c r="H110" s="46">
        <v>0.5</v>
      </c>
      <c r="I110" s="2" t="s">
        <v>19</v>
      </c>
      <c r="L110" s="52">
        <f>MAX(0, G41-G40)</f>
        <v>0</v>
      </c>
      <c r="M110" s="52">
        <f>MAX(0,K41-K40)</f>
        <v>0</v>
      </c>
      <c r="N110" s="2"/>
      <c r="O110" s="2"/>
    </row>
    <row r="111" spans="4:20" ht="20.100000000000001" customHeight="1" x14ac:dyDescent="0.25">
      <c r="D111" s="1" t="s">
        <v>173</v>
      </c>
      <c r="E111" s="39" t="s">
        <v>349</v>
      </c>
      <c r="F111" s="46">
        <v>0.1</v>
      </c>
      <c r="G111" s="46">
        <v>0.4</v>
      </c>
      <c r="H111" s="46">
        <v>0.4</v>
      </c>
      <c r="I111" s="2" t="s">
        <v>19</v>
      </c>
      <c r="L111" s="52">
        <f>MAX(0, G38-G41)</f>
        <v>0</v>
      </c>
      <c r="M111" s="52">
        <f>MAX(0,K38-K41)</f>
        <v>0</v>
      </c>
    </row>
    <row r="112" spans="4:20" ht="20.100000000000001" customHeight="1" x14ac:dyDescent="0.25">
      <c r="D112" s="1" t="s">
        <v>174</v>
      </c>
      <c r="E112" s="39" t="s">
        <v>349</v>
      </c>
      <c r="F112" s="46">
        <v>0.1</v>
      </c>
      <c r="G112" s="46">
        <v>0</v>
      </c>
      <c r="H112" s="46">
        <v>0</v>
      </c>
      <c r="I112" s="2" t="s">
        <v>19</v>
      </c>
      <c r="L112" s="52">
        <f>MAX(0, G39-G38)</f>
        <v>0</v>
      </c>
      <c r="M112" s="52">
        <f>MAX(0,K39-K38)</f>
        <v>0</v>
      </c>
    </row>
    <row r="113" spans="4:15" ht="20.100000000000001" customHeight="1" x14ac:dyDescent="0.25">
      <c r="D113" s="1" t="s">
        <v>175</v>
      </c>
      <c r="E113" s="39" t="s">
        <v>139</v>
      </c>
      <c r="F113" s="46">
        <v>0</v>
      </c>
      <c r="G113" s="46">
        <v>0</v>
      </c>
      <c r="H113" s="46">
        <v>0</v>
      </c>
      <c r="I113" s="2" t="s">
        <v>19</v>
      </c>
      <c r="L113" s="52">
        <f>MAX(0,G40-G39)</f>
        <v>0</v>
      </c>
      <c r="M113" s="52">
        <f>MAX(0,K40-K39)</f>
        <v>0</v>
      </c>
    </row>
    <row r="114" spans="4:15" ht="20.100000000000001" customHeight="1" x14ac:dyDescent="0.25">
      <c r="J114" s="1" t="s">
        <v>355</v>
      </c>
    </row>
    <row r="115" spans="4:15" ht="20.100000000000001" customHeight="1" x14ac:dyDescent="0.25"/>
    <row r="116" spans="4:15" ht="20.100000000000001" customHeight="1" x14ac:dyDescent="0.25"/>
    <row r="117" spans="4:15" ht="20.100000000000001" customHeight="1" x14ac:dyDescent="0.25">
      <c r="D117" s="62" t="s">
        <v>137</v>
      </c>
      <c r="E117" s="62"/>
      <c r="F117" s="62"/>
      <c r="G117" s="62"/>
      <c r="L117" s="127" t="s">
        <v>360</v>
      </c>
    </row>
    <row r="118" spans="4:15" ht="20.100000000000001" customHeight="1" x14ac:dyDescent="0.25">
      <c r="D118" s="1" t="s">
        <v>346</v>
      </c>
      <c r="E118" s="39" t="s">
        <v>342</v>
      </c>
      <c r="F118" s="2" t="s">
        <v>11</v>
      </c>
      <c r="J118" s="53" t="s">
        <v>131</v>
      </c>
    </row>
    <row r="119" spans="4:15" ht="20.100000000000001" customHeight="1" x14ac:dyDescent="0.25">
      <c r="D119" s="1" t="s">
        <v>340</v>
      </c>
      <c r="E119" s="52" t="str">
        <f>TEXT(EDATE(E118,1), "mmmm yyyy")</f>
        <v>September 2024</v>
      </c>
      <c r="J119" s="1" t="s">
        <v>103</v>
      </c>
      <c r="K119" s="1" t="s">
        <v>358</v>
      </c>
      <c r="L119" s="1" t="s">
        <v>355</v>
      </c>
      <c r="M119" s="1" t="s">
        <v>356</v>
      </c>
      <c r="N119" s="1" t="s">
        <v>357</v>
      </c>
      <c r="O119" s="1" t="s">
        <v>359</v>
      </c>
    </row>
    <row r="120" spans="4:15" ht="20.100000000000001" customHeight="1" x14ac:dyDescent="0.25">
      <c r="D120" s="1" t="s">
        <v>341</v>
      </c>
      <c r="E120" s="52" t="str">
        <f>TEXT(EDATE(E118,2), "mmmm yyyy")</f>
        <v>October 2024</v>
      </c>
      <c r="J120" s="52">
        <f>E38</f>
        <v>100</v>
      </c>
      <c r="K120" s="52">
        <f>MAX(0, E38-E41)</f>
        <v>0</v>
      </c>
      <c r="L120" s="1">
        <f>K120/J120</f>
        <v>0</v>
      </c>
      <c r="M120" s="1">
        <f>K123/J120</f>
        <v>0</v>
      </c>
      <c r="N120" s="2">
        <f>1-(L120+M120)</f>
        <v>1</v>
      </c>
      <c r="O120" s="53">
        <f>(L120*6)+(M120*4)+(N120*0)</f>
        <v>0</v>
      </c>
    </row>
    <row r="121" spans="4:15" ht="20.100000000000001" customHeight="1" x14ac:dyDescent="0.25">
      <c r="J121" s="52">
        <f>E39</f>
        <v>100</v>
      </c>
      <c r="K121" s="52">
        <f>MAX(0, E39-E38)</f>
        <v>0</v>
      </c>
      <c r="L121" s="1">
        <f>K121/J121</f>
        <v>0</v>
      </c>
      <c r="M121" s="1">
        <f>K120/J121</f>
        <v>0</v>
      </c>
      <c r="N121" s="2">
        <f>1-(L121+M121)</f>
        <v>1</v>
      </c>
      <c r="O121" s="53">
        <f t="shared" ref="O121:O123" si="1">(L121*6)+(M121*4)+(N121*0)</f>
        <v>0</v>
      </c>
    </row>
    <row r="122" spans="4:15" ht="20.100000000000001" customHeight="1" x14ac:dyDescent="0.25">
      <c r="J122" s="52">
        <f>E40</f>
        <v>100</v>
      </c>
      <c r="K122" s="52">
        <f>MAX(0,E40-E39)</f>
        <v>0</v>
      </c>
      <c r="L122" s="1">
        <f>K122/J122</f>
        <v>0</v>
      </c>
      <c r="M122" s="1">
        <f>K121/J122</f>
        <v>0</v>
      </c>
      <c r="N122" s="2">
        <f>1-(L122+M122)</f>
        <v>1</v>
      </c>
      <c r="O122" s="53">
        <f t="shared" si="1"/>
        <v>0</v>
      </c>
    </row>
    <row r="123" spans="4:15" ht="20.100000000000001" customHeight="1" x14ac:dyDescent="0.25">
      <c r="E123" s="62" t="s">
        <v>166</v>
      </c>
      <c r="F123" s="62" t="s">
        <v>167</v>
      </c>
      <c r="G123" s="62" t="s">
        <v>168</v>
      </c>
      <c r="J123" s="52">
        <f>E41</f>
        <v>100</v>
      </c>
      <c r="K123" s="52">
        <f>MAX(0, E41-E40)</f>
        <v>0</v>
      </c>
      <c r="L123" s="1">
        <f>K123/J123</f>
        <v>0</v>
      </c>
      <c r="M123" s="2">
        <f>K122/J123</f>
        <v>0</v>
      </c>
      <c r="N123" s="2">
        <f>1-(L123+M123)</f>
        <v>1</v>
      </c>
      <c r="O123" s="53">
        <f t="shared" si="1"/>
        <v>0</v>
      </c>
    </row>
    <row r="124" spans="4:15" ht="20.100000000000001" customHeight="1" x14ac:dyDescent="0.25">
      <c r="D124" s="1" t="str">
        <f>E118</f>
        <v>August 2024</v>
      </c>
      <c r="E124" s="46">
        <v>0.25</v>
      </c>
      <c r="F124" s="46">
        <v>0.25</v>
      </c>
      <c r="G124" s="46">
        <v>0.25</v>
      </c>
      <c r="H124" s="2" t="s">
        <v>19</v>
      </c>
      <c r="L124" s="2"/>
      <c r="M124" s="2"/>
      <c r="N124" s="2"/>
      <c r="O124" s="2"/>
    </row>
    <row r="125" spans="4:15" ht="20.100000000000001" customHeight="1" x14ac:dyDescent="0.25">
      <c r="D125" s="1" t="str">
        <f>E119</f>
        <v>September 2024</v>
      </c>
      <c r="E125" s="46">
        <v>0.25</v>
      </c>
      <c r="F125" s="46">
        <v>0.25</v>
      </c>
      <c r="G125" s="46">
        <v>0.25</v>
      </c>
      <c r="H125" s="2" t="s">
        <v>19</v>
      </c>
    </row>
    <row r="126" spans="4:15" ht="20.100000000000001" customHeight="1" x14ac:dyDescent="0.25">
      <c r="D126" s="1" t="str">
        <f>E120</f>
        <v>October 2024</v>
      </c>
      <c r="E126" s="46">
        <v>0.25</v>
      </c>
      <c r="F126" s="46">
        <v>0.25</v>
      </c>
      <c r="G126" s="46">
        <v>0.25</v>
      </c>
      <c r="H126" s="2" t="s">
        <v>19</v>
      </c>
    </row>
    <row r="127" spans="4:15" ht="20.100000000000001" customHeight="1" x14ac:dyDescent="0.25">
      <c r="D127" s="1" t="str">
        <f>"Proportion of cows &gt; 1 years in calf in " &amp; D124 &amp; " to " &amp; D126</f>
        <v>Proportion of cows &gt; 1 years in calf in August 2024 to October 2024</v>
      </c>
      <c r="E127" s="96">
        <f>SUM(E124:E126)</f>
        <v>0.75</v>
      </c>
      <c r="F127" s="96">
        <f>SUM(F124:F126)</f>
        <v>0.75</v>
      </c>
      <c r="G127" s="96">
        <f>SUM(G124:G126)</f>
        <v>0.75</v>
      </c>
      <c r="H127" s="2" t="s">
        <v>19</v>
      </c>
    </row>
    <row r="128" spans="4:15" ht="20.100000000000001" customHeight="1" x14ac:dyDescent="0.25"/>
    <row r="129" spans="4:15" ht="20.100000000000001" customHeight="1" x14ac:dyDescent="0.25">
      <c r="K129" s="2"/>
      <c r="L129" s="2"/>
      <c r="M129" s="2"/>
      <c r="N129" s="2"/>
      <c r="O129" s="2"/>
    </row>
    <row r="130" spans="4:15" ht="20.100000000000001" customHeight="1" x14ac:dyDescent="0.25">
      <c r="D130" s="48" t="s">
        <v>18</v>
      </c>
      <c r="K130" s="2"/>
      <c r="L130" s="2"/>
      <c r="M130" s="2"/>
      <c r="N130" s="2"/>
      <c r="O130" s="2"/>
    </row>
    <row r="131" spans="4:15" ht="20.100000000000001" customHeight="1" x14ac:dyDescent="0.25">
      <c r="D131" s="62" t="s">
        <v>179</v>
      </c>
      <c r="E131" s="62" t="s">
        <v>131</v>
      </c>
      <c r="F131" s="62" t="s">
        <v>130</v>
      </c>
      <c r="G131" s="62" t="s">
        <v>165</v>
      </c>
      <c r="H131" s="62" t="s">
        <v>166</v>
      </c>
      <c r="I131" s="62" t="s">
        <v>167</v>
      </c>
      <c r="J131" s="62" t="s">
        <v>168</v>
      </c>
      <c r="K131" s="62" t="s">
        <v>169</v>
      </c>
      <c r="L131" s="62" t="s">
        <v>170</v>
      </c>
      <c r="M131" s="62" t="s">
        <v>171</v>
      </c>
      <c r="N131" s="62" t="s">
        <v>172</v>
      </c>
    </row>
    <row r="132" spans="4:15" ht="20.100000000000001" customHeight="1" x14ac:dyDescent="0.25">
      <c r="D132" s="1" t="s">
        <v>173</v>
      </c>
      <c r="E132" s="52">
        <f>InputFunctions_PastureBeef.LookupValueFromStateRegionSeason($E$7,$E$8,$D132,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F132" s="52">
        <f>InputFunctions_PastureBeef.LookupValueFromStateRegionSeason($E$7,$E$8,$D132,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G132" s="52">
        <f>InputFunctions_PastureBeef.LookupValueFromStateRegionSeason($E$7,$E$8,$D132,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H132" s="52">
        <f>InputFunctions_PastureBeef.LookupValueFromStateRegionSeason($E$7,$E$8,$D132,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I132" s="52">
        <f>InputFunctions_PastureBeef.LookupValueFromStateRegionSeason($E$7,$E$8,$D132,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J132" s="52">
        <f>InputFunctions_PastureBeef.LookupValueFromStateRegionSeason($E$7,$E$8,$D132,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K132" s="52">
        <f>InputFunctions_PastureBeef.LookupValueFromStateRegionSeason($E$7,$E$8,$D132,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L132" s="52">
        <f>InputFunctions_PastureBeef.LookupValueFromStateRegionSeason($E$7,$E$8,$D132,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M132" s="52">
        <f>InputFunctions_PastureBeef.LookupValueFromStateRegionSeason($E$7,$E$8,$D132,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N132" s="52">
        <f>InputFunctions_PastureBeef.LookupValueFromStateRegionSeason($E$7,$E$8,$D132,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O132" s="2" t="s">
        <v>141</v>
      </c>
    </row>
    <row r="133" spans="4:15" ht="20.100000000000001" customHeight="1" x14ac:dyDescent="0.25">
      <c r="D133" s="1" t="s">
        <v>174</v>
      </c>
      <c r="E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F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G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H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I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J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K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L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M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N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O133" s="2" t="s">
        <v>141</v>
      </c>
    </row>
    <row r="134" spans="4:15" ht="20.100000000000001" customHeight="1" x14ac:dyDescent="0.25">
      <c r="D134" s="1" t="s">
        <v>175</v>
      </c>
      <c r="E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F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G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H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I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J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K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L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M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N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O134" s="2" t="s">
        <v>141</v>
      </c>
    </row>
    <row r="135" spans="4:15" ht="20.100000000000001" customHeight="1" x14ac:dyDescent="0.25">
      <c r="D135" s="1" t="s">
        <v>176</v>
      </c>
      <c r="E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F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G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H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I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J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K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L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M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N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O135" s="2" t="s">
        <v>141</v>
      </c>
    </row>
    <row r="136" spans="4:15" ht="20.100000000000001" customHeight="1" x14ac:dyDescent="0.25"/>
    <row r="137" spans="4:15" ht="20.100000000000001" customHeight="1" x14ac:dyDescent="0.25">
      <c r="D137" s="62" t="s">
        <v>180</v>
      </c>
      <c r="E137" s="62" t="s">
        <v>131</v>
      </c>
      <c r="F137" s="62" t="s">
        <v>130</v>
      </c>
      <c r="G137" s="62" t="s">
        <v>165</v>
      </c>
      <c r="H137" s="62" t="s">
        <v>166</v>
      </c>
      <c r="I137" s="62" t="s">
        <v>167</v>
      </c>
      <c r="J137" s="62" t="s">
        <v>168</v>
      </c>
      <c r="K137" s="62" t="s">
        <v>169</v>
      </c>
      <c r="L137" s="62" t="s">
        <v>170</v>
      </c>
      <c r="M137" s="62" t="s">
        <v>171</v>
      </c>
      <c r="N137" s="62" t="s">
        <v>172</v>
      </c>
    </row>
    <row r="138" spans="4:15" ht="20.100000000000001" customHeight="1" x14ac:dyDescent="0.25">
      <c r="D138" s="1" t="str">
        <f>TEXT('Input - Site'!$E$12, "mmmm yyyy")</f>
        <v>January 2024</v>
      </c>
      <c r="E138" s="65">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8" s="65">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8" s="65">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8" s="65">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8" s="65">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8" s="65">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8" s="65">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8" s="65">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8" s="65">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8" s="65">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8" s="2" t="s">
        <v>141</v>
      </c>
    </row>
    <row r="139" spans="4:15" ht="20.100000000000001" customHeight="1" x14ac:dyDescent="0.25">
      <c r="D139" s="1" t="str">
        <f>TEXT(EDATE('Input - Site'!$E$12,1), "mmmm yyyy")</f>
        <v>February 2024</v>
      </c>
      <c r="E139" s="65">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9" s="65">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9" s="65">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9" s="65">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9" s="65">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9" s="65">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9" s="65">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9" s="65">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9" s="65">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9" s="65">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9" s="2" t="s">
        <v>141</v>
      </c>
    </row>
    <row r="140" spans="4:15" ht="20.100000000000001" customHeight="1" x14ac:dyDescent="0.25">
      <c r="D140" s="1" t="str">
        <f>TEXT(EDATE('Input - Site'!$E$12,2), "mmmm yyyy")</f>
        <v>March 2024</v>
      </c>
      <c r="E140" s="65">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0" s="65">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0" s="65">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0" s="65">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0" s="65">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0" s="65">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0" s="65">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0" s="65">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0" s="65">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0" s="65">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0" s="2" t="s">
        <v>141</v>
      </c>
    </row>
    <row r="141" spans="4:15" ht="20.100000000000001" customHeight="1" x14ac:dyDescent="0.25">
      <c r="D141" s="1" t="str">
        <f>TEXT(EDATE('Input - Site'!$E$12,3), "mmmm yyyy")</f>
        <v>April 2024</v>
      </c>
      <c r="E141" s="65">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1" s="65">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1" s="65">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1" s="65">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1" s="65">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1" s="65">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1" s="65">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1" s="65">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1" s="65">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1" s="65">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1" s="2" t="s">
        <v>141</v>
      </c>
    </row>
    <row r="142" spans="4:15" ht="20.100000000000001" customHeight="1" x14ac:dyDescent="0.25">
      <c r="D142" s="1" t="str">
        <f>TEXT(EDATE('Input - Site'!$E$12,4), "mmmm yyyy")</f>
        <v>May 2024</v>
      </c>
      <c r="E142" s="65">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2" s="65">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2" s="65">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2" s="65">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2" s="65">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2" s="65">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2" s="65">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2" s="65">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2" s="65">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2" s="65">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2" s="2" t="s">
        <v>141</v>
      </c>
    </row>
    <row r="143" spans="4:15" ht="20.100000000000001" customHeight="1" x14ac:dyDescent="0.25">
      <c r="D143" s="1" t="str">
        <f>TEXT(EDATE('Input - Site'!$E$12,5), "mmmm yyyy")</f>
        <v>June 2024</v>
      </c>
      <c r="E143" s="65">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43" s="65">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43" s="65">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43" s="65">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43" s="65">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43" s="65">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43" s="65">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43" s="65">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43" s="65">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43" s="65">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43" s="2" t="s">
        <v>141</v>
      </c>
    </row>
    <row r="144" spans="4:15" ht="20.100000000000001" customHeight="1" x14ac:dyDescent="0.25">
      <c r="D144" s="1" t="str">
        <f>TEXT(EDATE('Input - Site'!$E$12,6), "mmmm yyyy")</f>
        <v>July 2024</v>
      </c>
      <c r="E144" s="65">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44" s="65">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44" s="65">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44" s="65">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44" s="65">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44" s="65">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44" s="65">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44" s="65">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44" s="65">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44" s="65">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44" s="2" t="s">
        <v>141</v>
      </c>
    </row>
    <row r="145" spans="4:15" ht="20.100000000000001" customHeight="1" x14ac:dyDescent="0.25">
      <c r="D145" s="1" t="str">
        <f>TEXT(EDATE('Input - Site'!$E$12,7), "mmmm yyyy")</f>
        <v>August 2024</v>
      </c>
      <c r="E145" s="65">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45" s="65">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45" s="65">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45" s="65">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45" s="65">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45" s="65">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45" s="65">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45" s="65">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45" s="65">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45" s="65">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45" s="2" t="s">
        <v>141</v>
      </c>
    </row>
    <row r="146" spans="4:15" ht="20.100000000000001" customHeight="1" x14ac:dyDescent="0.25">
      <c r="D146" s="1" t="str">
        <f>TEXT(EDATE('Input - Site'!$E$12,8), "mmmm yyyy")</f>
        <v>September 2024</v>
      </c>
      <c r="E146" s="65">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6" s="65">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6" s="65">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6" s="65">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6" s="65">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6" s="65">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6" s="65">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6" s="65">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6" s="65">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6" s="65">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6" s="2" t="s">
        <v>141</v>
      </c>
    </row>
    <row r="147" spans="4:15" ht="20.100000000000001" customHeight="1" x14ac:dyDescent="0.25">
      <c r="D147" s="1" t="str">
        <f>TEXT(EDATE('Input - Site'!$E$12,9), "mmmm yyyy")</f>
        <v>October 2024</v>
      </c>
      <c r="E147" s="65">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7" s="65">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7" s="65">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7" s="65">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7" s="65">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7" s="65">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7" s="65">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7" s="65">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7" s="65">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7" s="65">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7" s="2" t="s">
        <v>141</v>
      </c>
    </row>
    <row r="148" spans="4:15" ht="20.100000000000001" customHeight="1" x14ac:dyDescent="0.25">
      <c r="D148" s="1" t="str">
        <f>TEXT(EDATE('Input - Site'!$E$12,10), "mmmm yyyy")</f>
        <v>November 2024</v>
      </c>
      <c r="E148" s="65">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8" s="65">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8" s="65">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8" s="65">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8" s="65">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8" s="65">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8" s="65">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8" s="65">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8" s="65">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8" s="65">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8" s="2" t="s">
        <v>141</v>
      </c>
    </row>
    <row r="149" spans="4:15" ht="20.100000000000001" customHeight="1" x14ac:dyDescent="0.25">
      <c r="D149" s="1" t="str">
        <f>TEXT(EDATE('Input - Site'!$E$12,11), "mmmm yyyy")</f>
        <v>December 2024</v>
      </c>
      <c r="E149" s="65">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49" s="65">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49" s="65">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49" s="65">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49" s="65">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49" s="65">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49" s="65">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49" s="65">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49" s="65">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49" s="65">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49" s="2" t="s">
        <v>141</v>
      </c>
    </row>
    <row r="150" spans="4:15" ht="20.100000000000001" customHeight="1" x14ac:dyDescent="0.25"/>
    <row r="151" spans="4:15" ht="20.100000000000001" customHeight="1" x14ac:dyDescent="0.25"/>
    <row r="152" spans="4:15" ht="20.100000000000001" customHeight="1" x14ac:dyDescent="0.25">
      <c r="D152" s="48" t="s">
        <v>105</v>
      </c>
      <c r="K152" s="2"/>
      <c r="L152" s="2"/>
      <c r="M152" s="2"/>
      <c r="N152" s="2"/>
      <c r="O152" s="2"/>
    </row>
    <row r="153" spans="4:15" ht="20.100000000000001" customHeight="1" x14ac:dyDescent="0.25">
      <c r="D153" s="62" t="s">
        <v>179</v>
      </c>
      <c r="E153" s="62" t="s">
        <v>131</v>
      </c>
      <c r="F153" s="62" t="s">
        <v>130</v>
      </c>
      <c r="G153" s="62" t="s">
        <v>165</v>
      </c>
      <c r="H153" s="62" t="s">
        <v>166</v>
      </c>
      <c r="I153" s="62" t="s">
        <v>167</v>
      </c>
      <c r="J153" s="62" t="s">
        <v>168</v>
      </c>
      <c r="K153" s="62" t="s">
        <v>169</v>
      </c>
      <c r="L153" s="62" t="s">
        <v>170</v>
      </c>
      <c r="M153" s="62" t="s">
        <v>171</v>
      </c>
      <c r="N153" s="62" t="s">
        <v>172</v>
      </c>
    </row>
    <row r="154" spans="4:15" ht="20.100000000000001" customHeight="1" x14ac:dyDescent="0.25">
      <c r="D154" s="1" t="s">
        <v>173</v>
      </c>
      <c r="E154" s="52">
        <f>InputFunctions_PastureBeef.LookupValueFromStateRegionSeason($E$7,$E$8,$D154, Table_SourceData_PastureBeef_CrudeProtein[State],Table_SourceData_PastureBeef_CrudeProtein[Region],Table_SourceData_PastureBeef_CrudeProtein[#Headers],Table_SourceData_PastureBeef_CrudeProtein[],Table_AustralianStates[Common Name],Table_AustralianStates[Abbreviation])</f>
        <v>0.2</v>
      </c>
      <c r="F154" s="52">
        <f>InputFunctions_PastureBeef.LookupValueFromStateRegionSeason($E$7,$E$8,$D154, Table_SourceData_PastureBeef_CrudeProtein[State],Table_SourceData_PastureBeef_CrudeProtein[Region],Table_SourceData_PastureBeef_CrudeProtein[#Headers],Table_SourceData_PastureBeef_CrudeProtein[],Table_AustralianStates[Common Name],Table_AustralianStates[Abbreviation])</f>
        <v>0.2</v>
      </c>
      <c r="G154" s="52">
        <f>InputFunctions_PastureBeef.LookupValueFromStateRegionSeason($E$7,$E$8,$D154, Table_SourceData_PastureBeef_CrudeProtein[State],Table_SourceData_PastureBeef_CrudeProtein[Region],Table_SourceData_PastureBeef_CrudeProtein[#Headers],Table_SourceData_PastureBeef_CrudeProtein[],Table_AustralianStates[Common Name],Table_AustralianStates[Abbreviation])</f>
        <v>0.2</v>
      </c>
      <c r="H154" s="52">
        <f>InputFunctions_PastureBeef.LookupValueFromStateRegionSeason($E$7,$E$8,$D154, Table_SourceData_PastureBeef_CrudeProtein[State],Table_SourceData_PastureBeef_CrudeProtein[Region],Table_SourceData_PastureBeef_CrudeProtein[#Headers],Table_SourceData_PastureBeef_CrudeProtein[],Table_AustralianStates[Common Name],Table_AustralianStates[Abbreviation])</f>
        <v>0.2</v>
      </c>
      <c r="I154" s="52">
        <f>InputFunctions_PastureBeef.LookupValueFromStateRegionSeason($E$7,$E$8,$D154, Table_SourceData_PastureBeef_CrudeProtein[State],Table_SourceData_PastureBeef_CrudeProtein[Region],Table_SourceData_PastureBeef_CrudeProtein[#Headers],Table_SourceData_PastureBeef_CrudeProtein[],Table_AustralianStates[Common Name],Table_AustralianStates[Abbreviation])</f>
        <v>0.2</v>
      </c>
      <c r="J154" s="52">
        <f>InputFunctions_PastureBeef.LookupValueFromStateRegionSeason($E$7,$E$8,$D154, Table_SourceData_PastureBeef_CrudeProtein[State],Table_SourceData_PastureBeef_CrudeProtein[Region],Table_SourceData_PastureBeef_CrudeProtein[#Headers],Table_SourceData_PastureBeef_CrudeProtein[],Table_AustralianStates[Common Name],Table_AustralianStates[Abbreviation])</f>
        <v>0.2</v>
      </c>
      <c r="K154" s="52">
        <f>InputFunctions_PastureBeef.LookupValueFromStateRegionSeason($E$7,$E$8,$D154, Table_SourceData_PastureBeef_CrudeProtein[State],Table_SourceData_PastureBeef_CrudeProtein[Region],Table_SourceData_PastureBeef_CrudeProtein[#Headers],Table_SourceData_PastureBeef_CrudeProtein[],Table_AustralianStates[Common Name],Table_AustralianStates[Abbreviation])</f>
        <v>0.2</v>
      </c>
      <c r="L154" s="52">
        <f>InputFunctions_PastureBeef.LookupValueFromStateRegionSeason($E$7,$E$8,$D154, Table_SourceData_PastureBeef_CrudeProtein[State],Table_SourceData_PastureBeef_CrudeProtein[Region],Table_SourceData_PastureBeef_CrudeProtein[#Headers],Table_SourceData_PastureBeef_CrudeProtein[],Table_AustralianStates[Common Name],Table_AustralianStates[Abbreviation])</f>
        <v>0.2</v>
      </c>
      <c r="M154" s="52">
        <f>InputFunctions_PastureBeef.LookupValueFromStateRegionSeason($E$7,$E$8,$D154, Table_SourceData_PastureBeef_CrudeProtein[State],Table_SourceData_PastureBeef_CrudeProtein[Region],Table_SourceData_PastureBeef_CrudeProtein[#Headers],Table_SourceData_PastureBeef_CrudeProtein[],Table_AustralianStates[Common Name],Table_AustralianStates[Abbreviation])</f>
        <v>0.2</v>
      </c>
      <c r="N154" s="52">
        <f>InputFunctions_PastureBeef.LookupValueFromStateRegionSeason($E$7,$E$8,$D154, Table_SourceData_PastureBeef_CrudeProtein[State],Table_SourceData_PastureBeef_CrudeProtein[Region],Table_SourceData_PastureBeef_CrudeProtein[#Headers],Table_SourceData_PastureBeef_CrudeProtein[],Table_AustralianStates[Common Name],Table_AustralianStates[Abbreviation])</f>
        <v>0.2</v>
      </c>
      <c r="O154" s="2" t="s">
        <v>141</v>
      </c>
    </row>
    <row r="155" spans="4:15" ht="20.100000000000001" customHeight="1" x14ac:dyDescent="0.25">
      <c r="D155" s="1" t="s">
        <v>174</v>
      </c>
      <c r="E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0.09</v>
      </c>
      <c r="F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0.09</v>
      </c>
      <c r="G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0.09</v>
      </c>
      <c r="H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0.09</v>
      </c>
      <c r="I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0.09</v>
      </c>
      <c r="J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0.09</v>
      </c>
      <c r="K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0.09</v>
      </c>
      <c r="L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0.09</v>
      </c>
      <c r="M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0.09</v>
      </c>
      <c r="N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0.09</v>
      </c>
      <c r="O155" s="2" t="s">
        <v>141</v>
      </c>
    </row>
    <row r="156" spans="4:15" ht="20.100000000000001" customHeight="1" x14ac:dyDescent="0.25">
      <c r="D156" s="1" t="s">
        <v>175</v>
      </c>
      <c r="E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0.06</v>
      </c>
      <c r="F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0.06</v>
      </c>
      <c r="G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0.06</v>
      </c>
      <c r="H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0.06</v>
      </c>
      <c r="I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0.06</v>
      </c>
      <c r="J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0.06</v>
      </c>
      <c r="K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0.06</v>
      </c>
      <c r="L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0.06</v>
      </c>
      <c r="M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0.06</v>
      </c>
      <c r="N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0.06</v>
      </c>
      <c r="O156" s="2" t="s">
        <v>141</v>
      </c>
    </row>
    <row r="157" spans="4:15" ht="20.100000000000001" customHeight="1" x14ac:dyDescent="0.25">
      <c r="D157" s="1" t="s">
        <v>176</v>
      </c>
      <c r="E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0.2</v>
      </c>
      <c r="F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0.2</v>
      </c>
      <c r="G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0.2</v>
      </c>
      <c r="H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0.2</v>
      </c>
      <c r="I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0.2</v>
      </c>
      <c r="J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0.2</v>
      </c>
      <c r="K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0.2</v>
      </c>
      <c r="L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0.2</v>
      </c>
      <c r="M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0.2</v>
      </c>
      <c r="N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0.2</v>
      </c>
      <c r="O157" s="2" t="s">
        <v>141</v>
      </c>
    </row>
    <row r="158" spans="4:15" ht="20.100000000000001" customHeight="1" x14ac:dyDescent="0.25"/>
    <row r="159" spans="4:15" ht="20.100000000000001" customHeight="1" x14ac:dyDescent="0.25">
      <c r="D159" s="62" t="s">
        <v>180</v>
      </c>
      <c r="E159" s="62" t="s">
        <v>131</v>
      </c>
      <c r="F159" s="62" t="s">
        <v>130</v>
      </c>
      <c r="G159" s="62" t="s">
        <v>165</v>
      </c>
      <c r="H159" s="62" t="s">
        <v>166</v>
      </c>
      <c r="I159" s="62" t="s">
        <v>167</v>
      </c>
      <c r="J159" s="62" t="s">
        <v>168</v>
      </c>
      <c r="K159" s="62" t="s">
        <v>169</v>
      </c>
      <c r="L159" s="62" t="s">
        <v>170</v>
      </c>
      <c r="M159" s="62" t="s">
        <v>171</v>
      </c>
      <c r="N159" s="62" t="s">
        <v>172</v>
      </c>
    </row>
    <row r="160" spans="4:15" ht="20.100000000000001" customHeight="1" x14ac:dyDescent="0.25">
      <c r="D160" s="1" t="str">
        <f>TEXT('Input - Site'!$E$12, "mmmm yyyy")</f>
        <v>January 2024</v>
      </c>
      <c r="E160" s="65">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0" s="65">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0" s="65">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0" s="65">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0" s="65">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0" s="65">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0" s="65">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0" s="65">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0" s="65">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0" s="65">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0" s="2" t="s">
        <v>141</v>
      </c>
    </row>
    <row r="161" spans="4:15" ht="20.100000000000001" customHeight="1" x14ac:dyDescent="0.25">
      <c r="D161" s="1" t="str">
        <f>TEXT(EDATE('Input - Site'!$E$12,1), "mmmm yyyy")</f>
        <v>February 2024</v>
      </c>
      <c r="E161" s="65">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1" s="65">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1" s="65">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1" s="65">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1" s="65">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1" s="65">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1" s="65">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1" s="65">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1" s="65">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1" s="65">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1" s="2" t="s">
        <v>141</v>
      </c>
    </row>
    <row r="162" spans="4:15" ht="20.100000000000001" customHeight="1" x14ac:dyDescent="0.25">
      <c r="D162" s="1" t="str">
        <f>TEXT(EDATE('Input - Site'!$E$12,2), "mmmm yyyy")</f>
        <v>March 2024</v>
      </c>
      <c r="E162" s="65">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2" s="65">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2" s="65">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2" s="65">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2" s="65">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2" s="65">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2" s="65">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2" s="65">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2" s="65">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2" s="65">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2" s="2" t="s">
        <v>141</v>
      </c>
    </row>
    <row r="163" spans="4:15" ht="20.100000000000001" customHeight="1" x14ac:dyDescent="0.25">
      <c r="D163" s="1" t="str">
        <f>TEXT(EDATE('Input - Site'!$E$12,3), "mmmm yyyy")</f>
        <v>April 2024</v>
      </c>
      <c r="E163" s="65">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3" s="65">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3" s="65">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3" s="65">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3" s="65">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3" s="65">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3" s="65">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3" s="65">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3" s="65">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3" s="65">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3" s="2" t="s">
        <v>141</v>
      </c>
    </row>
    <row r="164" spans="4:15" ht="20.100000000000001" customHeight="1" x14ac:dyDescent="0.25">
      <c r="D164" s="1" t="str">
        <f>TEXT(EDATE('Input - Site'!$E$12,4), "mmmm yyyy")</f>
        <v>May 2024</v>
      </c>
      <c r="E164" s="65">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4" s="65">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4" s="65">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4" s="65">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4" s="65">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4" s="65">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4" s="65">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4" s="65">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4" s="65">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4" s="65">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4" s="2" t="s">
        <v>141</v>
      </c>
    </row>
    <row r="165" spans="4:15" ht="20.100000000000001" customHeight="1" x14ac:dyDescent="0.25">
      <c r="D165" s="1" t="str">
        <f>TEXT(EDATE('Input - Site'!$E$12,5), "mmmm yyyy")</f>
        <v>June 2024</v>
      </c>
      <c r="E165" s="65">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5" s="65">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5" s="65">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5" s="65">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5" s="65">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5" s="65">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5" s="65">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5" s="65">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5" s="65">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5" s="65">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5" s="2" t="s">
        <v>141</v>
      </c>
    </row>
    <row r="166" spans="4:15" x14ac:dyDescent="0.25">
      <c r="D166" s="1" t="str">
        <f>TEXT(EDATE('Input - Site'!$E$12,6), "mmmm yyyy")</f>
        <v>July 2024</v>
      </c>
      <c r="E166" s="65">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6" s="65">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6" s="65">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6" s="65">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6" s="65">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6" s="65">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6" s="65">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6" s="65">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6" s="65">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6" s="65">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6" s="2" t="s">
        <v>141</v>
      </c>
    </row>
    <row r="167" spans="4:15" x14ac:dyDescent="0.25">
      <c r="D167" s="1" t="str">
        <f>TEXT(EDATE('Input - Site'!$E$12,7), "mmmm yyyy")</f>
        <v>August 2024</v>
      </c>
      <c r="E167" s="65">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7" s="65">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7" s="65">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7" s="65">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7" s="65">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7" s="65">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7" s="65">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7" s="65">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7" s="65">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7" s="65">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7" s="2" t="s">
        <v>141</v>
      </c>
    </row>
    <row r="168" spans="4:15" x14ac:dyDescent="0.25">
      <c r="D168" s="1" t="str">
        <f>TEXT(EDATE('Input - Site'!$E$12,8), "mmmm yyyy")</f>
        <v>September 2024</v>
      </c>
      <c r="E168" s="65">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8" s="65">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8" s="65">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8" s="65">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8" s="65">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8" s="65">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8" s="65">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8" s="65">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8" s="65">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8" s="65">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8" s="2" t="s">
        <v>141</v>
      </c>
    </row>
    <row r="169" spans="4:15" x14ac:dyDescent="0.25">
      <c r="D169" s="1" t="str">
        <f>TEXT(EDATE('Input - Site'!$E$12,9), "mmmm yyyy")</f>
        <v>October 2024</v>
      </c>
      <c r="E169" s="65">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9" s="65">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9" s="65">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9" s="65">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9" s="65">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9" s="65">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9" s="65">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9" s="65">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9" s="65">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9" s="65">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9" s="2" t="s">
        <v>141</v>
      </c>
    </row>
    <row r="170" spans="4:15" x14ac:dyDescent="0.25">
      <c r="D170" s="1" t="str">
        <f>TEXT(EDATE('Input - Site'!$E$12,10), "mmmm yyyy")</f>
        <v>November 2024</v>
      </c>
      <c r="E170" s="65">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70" s="65">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70" s="65">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70" s="65">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70" s="65">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70" s="65">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70" s="65">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70" s="65">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70" s="65">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70" s="65">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70" s="2" t="s">
        <v>141</v>
      </c>
    </row>
    <row r="171" spans="4:15" x14ac:dyDescent="0.25">
      <c r="D171" s="1" t="str">
        <f>TEXT(EDATE('Input - Site'!$E$12,11), "mmmm yyyy")</f>
        <v>December 2024</v>
      </c>
      <c r="E171" s="65">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71" s="65">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71" s="65">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71" s="65">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71" s="65">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71" s="65">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71" s="65">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71" s="65">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71" s="65">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71" s="65">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71" s="2" t="s">
        <v>141</v>
      </c>
    </row>
    <row r="172" spans="4:15" x14ac:dyDescent="0.25">
      <c r="L172" s="2"/>
      <c r="M172" s="2"/>
      <c r="N172" s="2"/>
      <c r="O172" s="2"/>
    </row>
    <row r="173" spans="4:15" x14ac:dyDescent="0.25">
      <c r="L173" s="2"/>
      <c r="M173" s="2"/>
      <c r="N173" s="2"/>
      <c r="O173" s="2"/>
    </row>
    <row r="174" spans="4:15" ht="18.75" x14ac:dyDescent="0.25">
      <c r="D174" s="48" t="s">
        <v>263</v>
      </c>
      <c r="L174" s="2"/>
      <c r="M174" s="2"/>
      <c r="N174" s="2"/>
      <c r="O174" s="2"/>
    </row>
    <row r="176" spans="4:15" x14ac:dyDescent="0.25">
      <c r="D176" s="1" t="s">
        <v>264</v>
      </c>
      <c r="E176" s="39" t="s">
        <v>139</v>
      </c>
      <c r="F176" s="2" t="s">
        <v>11</v>
      </c>
      <c r="L176" s="2"/>
      <c r="M176" s="2"/>
      <c r="N176" s="2"/>
      <c r="O176" s="2"/>
    </row>
    <row r="178" spans="4:15" x14ac:dyDescent="0.25">
      <c r="D178" s="62" t="s">
        <v>21</v>
      </c>
      <c r="E178" s="62" t="s">
        <v>265</v>
      </c>
      <c r="L178" s="2"/>
      <c r="M178" s="2"/>
      <c r="N178" s="2"/>
      <c r="O178" s="2"/>
    </row>
    <row r="179" spans="4:15" x14ac:dyDescent="0.25">
      <c r="D179" s="1" t="s">
        <v>138</v>
      </c>
      <c r="E179" s="117">
        <f>IF($E$176="Yes",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79" s="2" t="s">
        <v>19</v>
      </c>
      <c r="L179" s="2"/>
      <c r="M179" s="2"/>
      <c r="N179" s="2"/>
      <c r="O179" s="2"/>
    </row>
    <row r="180" spans="4:15" x14ac:dyDescent="0.25">
      <c r="D180" s="1" t="s">
        <v>266</v>
      </c>
      <c r="E180" s="117">
        <f>IF($E$176="Yes",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80" s="2" t="s">
        <v>19</v>
      </c>
      <c r="L180" s="2"/>
      <c r="M180" s="2"/>
      <c r="N180" s="2"/>
      <c r="O180" s="2"/>
    </row>
    <row r="181" spans="4:15" x14ac:dyDescent="0.25">
      <c r="L181" s="2"/>
      <c r="M181" s="2"/>
      <c r="N181" s="2"/>
      <c r="O181" s="2"/>
    </row>
    <row r="183" spans="4:15" x14ac:dyDescent="0.25">
      <c r="D183" s="1" t="s">
        <v>320</v>
      </c>
      <c r="E183" s="39" t="s">
        <v>325</v>
      </c>
      <c r="F183" s="2" t="s">
        <v>11</v>
      </c>
      <c r="L183" s="2"/>
      <c r="M183" s="2"/>
      <c r="N183" s="2"/>
      <c r="O183" s="2"/>
    </row>
    <row r="184" spans="4:15" x14ac:dyDescent="0.25">
      <c r="E184" s="39" t="s">
        <v>123</v>
      </c>
      <c r="F184" s="2" t="s">
        <v>11</v>
      </c>
    </row>
    <row r="199" spans="12:15" x14ac:dyDescent="0.25">
      <c r="L199" s="2"/>
      <c r="M199" s="2"/>
      <c r="N199" s="2"/>
      <c r="O199" s="2"/>
    </row>
    <row r="202" spans="12:15" x14ac:dyDescent="0.25">
      <c r="L202" s="2"/>
      <c r="M202" s="2"/>
      <c r="N202" s="2"/>
      <c r="O202"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4"/>
    </row>
  </sheetData>
  <conditionalFormatting sqref="E102:O102 L109:O110 M123:N123 I124 L124:O124 L172:O174 L176:O176 L178:O181 L183:O183 L199:O199 L202:O202 L207:O210 L212:O212 L214:O217 L219:O219 J223:J225 J228:J230 J243:K243 J248:K248 J253:K253 J258:K262 J264:K264 J266:K269 J271:K271 J277:K277 J282:K282 J287:K287 J292:K296 J298:K298 J300:K303 J305:K305">
    <cfRule type="cellIs" dxfId="12" priority="36" operator="lessThan">
      <formula>0</formula>
    </cfRule>
  </conditionalFormatting>
  <conditionalFormatting sqref="F245:F246">
    <cfRule type="cellIs" dxfId="11" priority="27" operator="lessThan">
      <formula>0</formula>
    </cfRule>
  </conditionalFormatting>
  <conditionalFormatting sqref="F250:F251">
    <cfRule type="cellIs" dxfId="10" priority="26" operator="lessThan">
      <formula>0</formula>
    </cfRule>
  </conditionalFormatting>
  <conditionalFormatting sqref="F255:F256">
    <cfRule type="cellIs" dxfId="9" priority="25" operator="lessThan">
      <formula>0</formula>
    </cfRule>
  </conditionalFormatting>
  <conditionalFormatting sqref="F279:F280">
    <cfRule type="cellIs" dxfId="8" priority="19" operator="lessThan">
      <formula>0</formula>
    </cfRule>
  </conditionalFormatting>
  <conditionalFormatting sqref="F284:F285">
    <cfRule type="cellIs" dxfId="7" priority="18" operator="lessThan">
      <formula>0</formula>
    </cfRule>
  </conditionalFormatting>
  <conditionalFormatting sqref="F289:F290">
    <cfRule type="cellIs" dxfId="6" priority="17" operator="lessThan">
      <formula>0</formula>
    </cfRule>
  </conditionalFormatting>
  <conditionalFormatting sqref="H123:K123">
    <cfRule type="cellIs" dxfId="5" priority="7" operator="lessThan">
      <formula>0</formula>
    </cfRule>
  </conditionalFormatting>
  <conditionalFormatting sqref="I129:O130">
    <cfRule type="cellIs" dxfId="4" priority="13" operator="lessThan">
      <formula>0</formula>
    </cfRule>
  </conditionalFormatting>
  <conditionalFormatting sqref="I152:O152">
    <cfRule type="cellIs" dxfId="3" priority="5" operator="lessThan">
      <formula>0</formula>
    </cfRule>
  </conditionalFormatting>
  <conditionalFormatting sqref="K122:K123">
    <cfRule type="cellIs" dxfId="2" priority="4" operator="lessThan">
      <formula>0</formula>
    </cfRule>
  </conditionalFormatting>
  <conditionalFormatting sqref="N120:N122">
    <cfRule type="cellIs" dxfId="1" priority="1" operator="lessThan">
      <formula>0</formula>
    </cfRule>
  </conditionalFormatting>
  <conditionalFormatting sqref="P43:R43">
    <cfRule type="cellIs" dxfId="0" priority="37" operator="lessThan">
      <formula>0</formula>
    </cfRule>
  </conditionalFormatting>
  <dataValidations count="10">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76"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84" xr:uid="{964CB593-5D4D-4584-9033-0C54780AC43E}">
      <formula1>INDIRECT("Table_SourceData_PastureBeef_IrrigationMethods[Irrigation method]")</formula1>
    </dataValidation>
    <dataValidation type="list" allowBlank="1" showInputMessage="1" showErrorMessage="1" sqref="E183" xr:uid="{EB9B83E0-A891-43A7-9523-094EA6EFCDCF}">
      <formula1>INDIRECT("Table_SourceData_PastureBeef_CropProdSystems[Production system]")</formula1>
    </dataValidation>
    <dataValidation type="list" allowBlank="1" showInputMessage="1" showErrorMessage="1" sqref="E104" xr:uid="{F19D713C-D639-4E0B-97FE-4871A2D0DBE9}">
      <formula1>"Spring, Summer, Autumn, Winter"</formula1>
    </dataValidation>
    <dataValidation type="list" allowBlank="1" showInputMessage="1" showErrorMessage="1" sqref="E118" xr:uid="{201520A7-DD52-4880-9064-2B6F553814DB}">
      <formula1>$D$22:$D$33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K281"/>
  <sheetViews>
    <sheetView showGridLines="0" topLeftCell="N252" zoomScale="70" zoomScaleNormal="70" workbookViewId="0">
      <selection activeCell="X276" sqref="X276"/>
    </sheetView>
  </sheetViews>
  <sheetFormatPr defaultRowHeight="15.75" x14ac:dyDescent="0.25"/>
  <cols>
    <col min="1" max="1" width="30.7109375" customWidth="1"/>
    <col min="2" max="2" width="4.7109375" customWidth="1"/>
    <col min="3" max="3" width="4.7109375" style="1" customWidth="1"/>
    <col min="4" max="19" width="30.7109375" style="1" customWidth="1"/>
    <col min="20" max="20" width="4.7109375" style="1" customWidth="1"/>
    <col min="21" max="21" width="4.7109375" customWidth="1"/>
    <col min="22" max="22" width="4.7109375" style="1" customWidth="1"/>
    <col min="23" max="36" width="30.7109375" style="1" customWidth="1"/>
    <col min="37" max="37" width="4.7109375" style="1" customWidth="1"/>
  </cols>
  <sheetData>
    <row r="1" spans="1:37" s="8" customFormat="1" ht="30" customHeight="1" x14ac:dyDescent="0.35">
      <c r="A1" s="67" t="e" vm="1">
        <v>#VALUE!</v>
      </c>
      <c r="C1" s="8" t="s">
        <v>164</v>
      </c>
    </row>
    <row r="2" spans="1:37" s="9" customFormat="1" ht="20.100000000000001" customHeight="1" x14ac:dyDescent="0.25"/>
    <row r="3" spans="1:37" ht="20.100000000000001" customHeight="1" x14ac:dyDescent="0.25">
      <c r="A3" s="17" t="str">
        <f>HYPERLINK("#'Home'!A1", "Home")</f>
        <v>Home</v>
      </c>
      <c r="C3" s="4"/>
      <c r="D3" s="4" t="s">
        <v>108</v>
      </c>
      <c r="E3" s="4"/>
      <c r="F3" s="4"/>
      <c r="G3" s="4"/>
      <c r="H3" s="4"/>
      <c r="I3" s="4"/>
      <c r="J3" s="4"/>
      <c r="K3" s="4"/>
      <c r="L3" s="4"/>
      <c r="M3" s="4"/>
      <c r="N3" s="4"/>
      <c r="O3" s="4"/>
      <c r="P3" s="4"/>
      <c r="Q3" s="4"/>
      <c r="R3" s="4"/>
      <c r="S3" s="4"/>
      <c r="T3" s="4"/>
      <c r="V3" s="4"/>
      <c r="W3" s="4" t="s">
        <v>109</v>
      </c>
      <c r="X3" s="4"/>
      <c r="Y3" s="4"/>
      <c r="Z3" s="4"/>
      <c r="AA3" s="4"/>
      <c r="AB3" s="4"/>
      <c r="AC3" s="4"/>
      <c r="AD3" s="4"/>
      <c r="AE3" s="4"/>
      <c r="AF3" s="4"/>
      <c r="AG3" s="4"/>
      <c r="AH3" s="4"/>
      <c r="AI3" s="4"/>
      <c r="AJ3" s="4"/>
      <c r="AK3" s="4"/>
    </row>
    <row r="4" spans="1:37" ht="20.100000000000001" customHeight="1" x14ac:dyDescent="0.25">
      <c r="A4" s="17" t="str">
        <f>HYPERLINK("#'Results'!A1", "Results")</f>
        <v>Results</v>
      </c>
    </row>
    <row r="5" spans="1:37"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7" ht="20.100000000000001" customHeight="1" x14ac:dyDescent="0.25">
      <c r="A6" s="20" t="s">
        <v>3</v>
      </c>
      <c r="D6" s="5" t="str" cm="1">
        <f t="array" ref="D6">EntericMethane_PastureBeef_Equations.VEERG_3_2_1_1__4_AdditionalIntakeForMilkProduction_Source()</f>
        <v>VEERG 2026: 3.2.1.1, Equation (4)</v>
      </c>
    </row>
    <row r="7" spans="1:37" ht="20.100000000000001" customHeight="1" x14ac:dyDescent="0.25">
      <c r="A7" s="17" t="str">
        <f>HYPERLINK("#'Input - Site'!A1", "Site")</f>
        <v>Site</v>
      </c>
      <c r="D7" s="13" t="s">
        <v>27</v>
      </c>
      <c r="E7" s="13" t="s">
        <v>343</v>
      </c>
    </row>
    <row r="8" spans="1:37" ht="20.100000000000001" customHeight="1" x14ac:dyDescent="0.25">
      <c r="A8" s="17" t="str">
        <f>HYPERLINK("#'Input - Pasture Beef'!A1", "Pasture Beef")</f>
        <v>Pasture Beef</v>
      </c>
    </row>
    <row r="9" spans="1:37" ht="20.100000000000001" customHeight="1" x14ac:dyDescent="0.25">
      <c r="A9" s="17"/>
    </row>
    <row r="10" spans="1:37" ht="20.100000000000001" customHeight="1" x14ac:dyDescent="0.25">
      <c r="A10" s="19" t="s">
        <v>77</v>
      </c>
      <c r="D10" s="53" t="s">
        <v>30</v>
      </c>
      <c r="E10" s="1" t="str" cm="1">
        <f t="array" ref="E10">EntericMethane_PastureBeef_Equations.VEERG_3_2_1_1__4_AdditionalIntakeForMilkProduction_Variable()</f>
        <v>MA_jk45</v>
      </c>
    </row>
    <row r="11" spans="1:37" ht="20.100000000000001" customHeight="1" x14ac:dyDescent="0.25">
      <c r="A11" s="17" t="str">
        <f>HYPERLINK("#'4.2.1.1-2 Methane'!A1", "4.2.1.1-2 Methane")</f>
        <v>4.2.1.1-2 Methane</v>
      </c>
      <c r="D11" s="53" t="s">
        <v>20</v>
      </c>
      <c r="E11" s="54" t="str" cm="1">
        <f t="array" ref="E11">EntericMethane_PastureBeef_Equations.VEERG_3_2_1_1__4_AdditionalIntakeForMilkProduction_Unit()</f>
        <v>fraction</v>
      </c>
    </row>
    <row r="12" spans="1:37" ht="20.100000000000001" customHeight="1" x14ac:dyDescent="0.25">
      <c r="A12" s="17" t="str">
        <f>HYPERLINK("#'4.2.1.3-4 Soil direct N2O'!A1", "4.2.1.3-4 Soil direct N2O")</f>
        <v>4.2.1.3-4 Soil direct N2O</v>
      </c>
    </row>
    <row r="13" spans="1:37" ht="20.100000000000001" customHeight="1" x14ac:dyDescent="0.25">
      <c r="A13" s="17" t="str">
        <f>HYPERLINK("#'4.2.1.5-6 Soil Atmos Dep'!A1", "4.2.1.5-6 Soil atm. deposition")</f>
        <v>4.2.1.5-6 Soil atm. deposition</v>
      </c>
      <c r="D13" s="119" t="str" cm="1">
        <f t="array" ref="D13:E16">_xlfn.CHOOSECOLS(EntericMethane_PastureBeef_Equations.VEERG_3_2_1_1__4_AdditionalIntakeForMilkProduction_ArgumentsVariation(), 1, 2)</f>
        <v>LC_jk45</v>
      </c>
      <c r="E13" s="124" t="str">
        <v>proportion of cows greater than 1 year in calf in the season of calving expressed as a fraction</v>
      </c>
      <c r="F13" s="125"/>
      <c r="G13" s="123"/>
      <c r="H13" s="119" t="str" cm="1">
        <f t="array" ref="H13:I16">_xlfn.CHOOSECOLS(EntericMethane_PastureBeef_Equations.VEERG_3_2_1_1__4_AdditionalIntakeForMilkProduction_ArgumentsVariation(), 3,4)</f>
        <v>fraction</v>
      </c>
      <c r="I13" s="121" t="str">
        <v>Input</v>
      </c>
      <c r="J13" s="118" t="str" cm="1">
        <f t="array" aca="1" ref="J13" ca="1">HYPERLINK(Common_InputFunctions.Utility_SourceHyperlink($D$19), $D$19)</f>
        <v>M1_Table_LC_j_k-4-5</v>
      </c>
    </row>
    <row r="14" spans="1:37" ht="20.100000000000001" customHeight="1" x14ac:dyDescent="0.25">
      <c r="A14" s="17" t="str">
        <f>HYPERLINK("#'4.2.1.7-8 Soil leach runoff'!A1", "4.2.1.7-8 Soil leach &amp; runoff")</f>
        <v>4.2.1.7-8 Soil leach &amp; runoff</v>
      </c>
      <c r="D14" s="119" t="str">
        <v>FA_jk45calv</v>
      </c>
      <c r="E14" s="124" t="str">
        <v>feed adjustment value for lactating cows in the season of calving expressed as a fraction</v>
      </c>
      <c r="F14" s="125"/>
      <c r="G14" s="123"/>
      <c r="H14" s="119" t="str">
        <v>fraction</v>
      </c>
      <c r="I14" s="120" t="str">
        <v>Constant</v>
      </c>
      <c r="J14" s="119"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7" ht="20.100000000000001" customHeight="1" x14ac:dyDescent="0.25">
      <c r="A15" s="17"/>
      <c r="D15" s="119" t="str">
        <v>FA_jk45after</v>
      </c>
      <c r="E15" s="124" t="str">
        <v>feed adjustment value for lactating cows in the season immediately after calving expressed as a fraction</v>
      </c>
      <c r="F15" s="125"/>
      <c r="G15" s="123"/>
      <c r="H15" s="119" t="str">
        <v>fraction</v>
      </c>
      <c r="I15" s="120" t="str">
        <v>Constant</v>
      </c>
      <c r="J15" s="119"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7" ht="20.100000000000001" customHeight="1" x14ac:dyDescent="0.25">
      <c r="A16" s="18" t="s">
        <v>4</v>
      </c>
      <c r="D16" s="119" t="str">
        <v>b</v>
      </c>
      <c r="E16" s="124" t="str">
        <v>breed of cattle</v>
      </c>
      <c r="F16" s="125"/>
      <c r="G16" s="123"/>
      <c r="H16" s="119" t="str">
        <v/>
      </c>
      <c r="I16" s="121" t="str">
        <v>Input</v>
      </c>
      <c r="J16" s="119" t="str">
        <f>X_Cell_PastureBeef_Breed</f>
        <v>Hereford or Shorthorn breeds</v>
      </c>
    </row>
    <row r="17" spans="1:36" ht="20.100000000000001" customHeight="1" x14ac:dyDescent="0.25">
      <c r="A17" s="17" t="str">
        <f>HYPERLINK("#'Constants - Pasture Beef'!A1", "Constants - Pasture Beef")</f>
        <v>Constants - Pasture Beef</v>
      </c>
    </row>
    <row r="18" spans="1:36" ht="20.100000000000001" customHeight="1" x14ac:dyDescent="0.25">
      <c r="A18" s="17" t="str">
        <f>HYPERLINK("#'Constants - Livestock'!A1", "Constants - Livestock")</f>
        <v>Constants - Livestock</v>
      </c>
    </row>
    <row r="19" spans="1:36" ht="20.100000000000001" customHeight="1" x14ac:dyDescent="0.25">
      <c r="A19" s="17" t="str">
        <f>HYPERLINK("#'Constants - Common'!A1", "Constants - Common")</f>
        <v>Constants - Common</v>
      </c>
      <c r="D19" s="98" t="s">
        <v>230</v>
      </c>
      <c r="W19" s="98" t="s">
        <v>249</v>
      </c>
    </row>
    <row r="20" spans="1:36" ht="20.100000000000001" customHeight="1" x14ac:dyDescent="0.25">
      <c r="A20" s="17" t="str">
        <f>HYPERLINK("#'Acknowledgements'!A1", "Acknowledgements")</f>
        <v>Acknowledgements</v>
      </c>
      <c r="D20" s="97" t="s">
        <v>253</v>
      </c>
      <c r="W20" s="97" t="s">
        <v>250</v>
      </c>
    </row>
    <row r="21" spans="1:36" ht="20.100000000000001" customHeight="1" x14ac:dyDescent="0.25">
      <c r="D21" s="51" t="s">
        <v>184</v>
      </c>
      <c r="E21" s="122" t="s">
        <v>246</v>
      </c>
      <c r="F21" s="122" t="s">
        <v>166</v>
      </c>
      <c r="G21" s="122" t="s">
        <v>167</v>
      </c>
      <c r="H21" s="122" t="s">
        <v>168</v>
      </c>
      <c r="W21" s="51" t="s">
        <v>132</v>
      </c>
      <c r="X21" s="122" t="s">
        <v>166</v>
      </c>
      <c r="Y21" s="122" t="s">
        <v>167</v>
      </c>
      <c r="Z21" s="122" t="s">
        <v>168</v>
      </c>
    </row>
    <row r="22" spans="1:36" ht="20.100000000000001" customHeight="1" x14ac:dyDescent="0.25">
      <c r="A22" s="17"/>
      <c r="D22" s="52" t="s">
        <v>173</v>
      </c>
      <c r="E22" s="52" t="str">
        <f>'Input - Pasture Beef'!$E111</f>
        <v>Yes</v>
      </c>
      <c r="F22" s="52">
        <f>'Input - Pasture Beef'!$F111</f>
        <v>0.1</v>
      </c>
      <c r="G22" s="52">
        <f>'Input - Pasture Beef'!$G111</f>
        <v>0.4</v>
      </c>
      <c r="H22" s="52">
        <f>'Input - Pasture Beef'!$H111</f>
        <v>0.4</v>
      </c>
      <c r="I22" s="2" t="s">
        <v>100</v>
      </c>
      <c r="W22" s="52" t="str">
        <f>TEXT(EDATE('Input - Pasture Beef'!$D$124,0), "mmmm") &amp; ", " &amp; TEXT(EDATE('Input - Pasture Beef'!$D$125,0), "mmmm") &amp; ", " &amp; TEXT(EDATE('Input - Pasture Beef'!$D$126,0), "mmmm")</f>
        <v>August, September, October</v>
      </c>
      <c r="X22" s="52">
        <f>'Input - Pasture Beef'!$E$127</f>
        <v>0.75</v>
      </c>
      <c r="Y22" s="52">
        <f>'Input - Pasture Beef'!$F$127</f>
        <v>0.75</v>
      </c>
      <c r="Z22" s="52">
        <f>'Input - Pasture Beef'!$G$127</f>
        <v>0.75</v>
      </c>
      <c r="AA22" s="2" t="s">
        <v>100</v>
      </c>
    </row>
    <row r="23" spans="1:36" ht="20.100000000000001" customHeight="1" x14ac:dyDescent="0.25">
      <c r="A23" s="17"/>
      <c r="D23" s="52" t="s">
        <v>174</v>
      </c>
      <c r="E23" s="52" t="str">
        <f>'Input - Pasture Beef'!$E112</f>
        <v>Yes</v>
      </c>
      <c r="F23" s="52">
        <f>'Input - Pasture Beef'!$F112</f>
        <v>0.1</v>
      </c>
      <c r="G23" s="52">
        <f>'Input - Pasture Beef'!$G112</f>
        <v>0</v>
      </c>
      <c r="H23" s="52">
        <f>'Input - Pasture Beef'!$H112</f>
        <v>0</v>
      </c>
      <c r="W23" s="52" t="str">
        <f>TEXT(EDATE('Input - Pasture Beef'!$D$126,1), "mmmm") &amp; ", " &amp; TEXT(EDATE('Input - Pasture Beef'!$D$126,2), "mmmm") &amp; ", " &amp; TEXT(EDATE('Input - Pasture Beef'!$D$126,3), "mmmm")</f>
        <v>November, December, January</v>
      </c>
      <c r="AA23" s="2"/>
    </row>
    <row r="24" spans="1:36" ht="20.100000000000001" customHeight="1" x14ac:dyDescent="0.25">
      <c r="D24" s="52" t="s">
        <v>175</v>
      </c>
      <c r="E24" s="52" t="str">
        <f>'Input - Pasture Beef'!$E113</f>
        <v>No</v>
      </c>
      <c r="F24" s="52">
        <f>'Input - Pasture Beef'!$F113</f>
        <v>0</v>
      </c>
      <c r="G24" s="52">
        <f>'Input - Pasture Beef'!$G113</f>
        <v>0</v>
      </c>
      <c r="H24" s="52">
        <f>'Input - Pasture Beef'!$H113</f>
        <v>0</v>
      </c>
      <c r="AA24" s="2"/>
    </row>
    <row r="25" spans="1:36" ht="20.100000000000001" customHeight="1" x14ac:dyDescent="0.25">
      <c r="D25" s="52" t="s">
        <v>176</v>
      </c>
      <c r="E25" s="52" t="str">
        <f>'Input - Pasture Beef'!$E111</f>
        <v>Yes</v>
      </c>
      <c r="F25" s="52">
        <f>'Input - Pasture Beef'!$F$110</f>
        <v>0.7</v>
      </c>
      <c r="G25" s="52">
        <f>'Input - Pasture Beef'!$G$110</f>
        <v>0.5</v>
      </c>
      <c r="H25" s="52">
        <f>'Input - Pasture Beef'!$H$110</f>
        <v>0.5</v>
      </c>
      <c r="W25" s="98" t="s">
        <v>251</v>
      </c>
    </row>
    <row r="26" spans="1:36" ht="20.100000000000001" customHeight="1" x14ac:dyDescent="0.25">
      <c r="W26" s="97" t="s">
        <v>252</v>
      </c>
    </row>
    <row r="27" spans="1:36" ht="20.100000000000001" customHeight="1" x14ac:dyDescent="0.25">
      <c r="D27" s="98" t="s">
        <v>240</v>
      </c>
      <c r="W27" s="51" t="s">
        <v>132</v>
      </c>
      <c r="X27" s="51" t="s">
        <v>246</v>
      </c>
      <c r="Y27" s="51" t="s">
        <v>339</v>
      </c>
      <c r="Z27" s="51" t="s">
        <v>131</v>
      </c>
      <c r="AA27" s="51" t="s">
        <v>130</v>
      </c>
      <c r="AB27" s="51" t="s">
        <v>165</v>
      </c>
      <c r="AC27" s="51" t="s">
        <v>166</v>
      </c>
      <c r="AD27" s="51" t="s">
        <v>167</v>
      </c>
      <c r="AE27" s="51" t="s">
        <v>168</v>
      </c>
      <c r="AF27" s="51" t="s">
        <v>169</v>
      </c>
      <c r="AG27" s="51" t="s">
        <v>170</v>
      </c>
      <c r="AH27" s="51" t="s">
        <v>171</v>
      </c>
      <c r="AI27" s="51" t="s">
        <v>172</v>
      </c>
    </row>
    <row r="28" spans="1:36" ht="20.100000000000001" customHeight="1" x14ac:dyDescent="0.25">
      <c r="D28" s="97" t="s">
        <v>241</v>
      </c>
      <c r="W28" s="52" t="str">
        <f>TEXT('Input - Site'!$E$12,"mmmm")</f>
        <v>January</v>
      </c>
      <c r="X28" s="52" t="str" cm="1">
        <f t="array" ref="X28">IFERROR(_xlfn.IFS(SUMPRODUCT(ISNUMBER(SEARCH(TRIM(_xlfn.TEXTSPLIT($W$22,",")),W28))*1)&gt;0,"Calving season",SUMPRODUCT(ISNUMBER(SEARCH(TRIM(_xlfn.TEXTSPLIT($W$23,",")),W28))*1)&gt;0,"Season after calving"), "")</f>
        <v>Season after calving</v>
      </c>
      <c r="Y28" s="52" cm="1">
        <f t="array" ref="Y28">_xlfn.IFS(X28="Calving season", $J$14, X28="Season after calving", $J$15, X28="", "")</f>
        <v>1.1000000000000001</v>
      </c>
      <c r="Z28" s="52">
        <v>1</v>
      </c>
      <c r="AA28" s="52">
        <v>1</v>
      </c>
      <c r="AB28" s="52">
        <v>1</v>
      </c>
      <c r="AC28" s="52" cm="1">
        <f t="array" ref="AC28">IFERROR(EntericMethane_PastureBeef_Equations.VEERG_3_2_1_1__4_AdditionalIntakeForMilkProduction(X$22,$Y28), 1)</f>
        <v>1.0750000000000002</v>
      </c>
      <c r="AD28" s="52" cm="1">
        <f t="array" ref="AD28">IFERROR(EntericMethane_PastureBeef_Equations.VEERG_3_2_1_1__4_AdditionalIntakeForMilkProduction(Y$22,$Y28), 1)</f>
        <v>1.0750000000000002</v>
      </c>
      <c r="AE28" s="52" cm="1">
        <f t="array" ref="AE28">IFERROR(EntericMethane_PastureBeef_Equations.VEERG_3_2_1_1__4_AdditionalIntakeForMilkProduction(Z$22,$Y28), 1)</f>
        <v>1.0750000000000002</v>
      </c>
      <c r="AF28" s="52">
        <v>1</v>
      </c>
      <c r="AG28" s="52">
        <v>1</v>
      </c>
      <c r="AH28" s="52">
        <v>1</v>
      </c>
      <c r="AI28" s="52">
        <v>1</v>
      </c>
      <c r="AJ28" s="2" t="str">
        <f>$E$11</f>
        <v>fraction</v>
      </c>
    </row>
    <row r="29" spans="1:36" ht="20.100000000000001" customHeight="1" x14ac:dyDescent="0.25">
      <c r="D29" s="51" t="s">
        <v>184</v>
      </c>
      <c r="E29" s="51" t="s">
        <v>246</v>
      </c>
      <c r="F29" s="51" t="s">
        <v>247</v>
      </c>
      <c r="G29" s="51" t="s">
        <v>339</v>
      </c>
      <c r="H29" s="51" t="s">
        <v>339</v>
      </c>
      <c r="I29" s="51" t="s">
        <v>131</v>
      </c>
      <c r="J29" s="51" t="s">
        <v>130</v>
      </c>
      <c r="K29" s="51" t="s">
        <v>165</v>
      </c>
      <c r="L29" s="51" t="s">
        <v>166</v>
      </c>
      <c r="M29" s="51" t="s">
        <v>167</v>
      </c>
      <c r="N29" s="51" t="s">
        <v>168</v>
      </c>
      <c r="O29" s="51" t="s">
        <v>169</v>
      </c>
      <c r="P29" s="51" t="s">
        <v>170</v>
      </c>
      <c r="Q29" s="51" t="s">
        <v>171</v>
      </c>
      <c r="R29" s="51" t="s">
        <v>172</v>
      </c>
      <c r="W29" s="52" t="str">
        <f>TEXT(EDATE('Input - Site'!$E$12,1), "mmmm")</f>
        <v>February</v>
      </c>
      <c r="X29" s="52" t="str" cm="1">
        <f t="array" ref="X29">IFERROR(_xlfn.IFS(SUMPRODUCT(ISNUMBER(SEARCH(TRIM(_xlfn.TEXTSPLIT($W$22,",")),W29))*1)&gt;0,"Calving season",SUMPRODUCT(ISNUMBER(SEARCH(TRIM(_xlfn.TEXTSPLIT($W$23,",")),W29))*1)&gt;0,"Season after calving"), "")</f>
        <v/>
      </c>
      <c r="Y29" s="52" t="str" cm="1">
        <f t="array" ref="Y29">_xlfn.IFS(X29="Calving season", $J$14, X29="Season after calving", $J$15, X29="", "")</f>
        <v/>
      </c>
      <c r="Z29" s="52">
        <v>1</v>
      </c>
      <c r="AA29" s="52">
        <v>1</v>
      </c>
      <c r="AB29" s="52">
        <v>1</v>
      </c>
      <c r="AC29" s="52" cm="1">
        <f t="array" ref="AC29">IFERROR(EntericMethane_PastureBeef_Equations.VEERG_3_2_1_1__4_AdditionalIntakeForMilkProduction(X$22,$Y29), 1)</f>
        <v>1</v>
      </c>
      <c r="AD29" s="52" cm="1">
        <f t="array" ref="AD29">IFERROR(EntericMethane_PastureBeef_Equations.VEERG_3_2_1_1__4_AdditionalIntakeForMilkProduction(Y$22,$Y29), 1)</f>
        <v>1</v>
      </c>
      <c r="AE29" s="52" cm="1">
        <f t="array" ref="AE29">IFERROR(EntericMethane_PastureBeef_Equations.VEERG_3_2_1_1__4_AdditionalIntakeForMilkProduction(Z$22,$Y29), 1)</f>
        <v>1</v>
      </c>
      <c r="AF29" s="52">
        <v>1</v>
      </c>
      <c r="AG29" s="52">
        <v>1</v>
      </c>
      <c r="AH29" s="52">
        <v>1</v>
      </c>
      <c r="AI29" s="52">
        <v>1</v>
      </c>
      <c r="AJ29" s="2" t="str">
        <f t="shared" ref="AJ29:AJ39" si="0">$E$11</f>
        <v>fraction</v>
      </c>
    </row>
    <row r="30" spans="1:36" ht="20.100000000000001" customHeight="1" x14ac:dyDescent="0.25">
      <c r="D30" s="52" t="s">
        <v>173</v>
      </c>
      <c r="E30" s="52" t="str">
        <f>IF('Input - Pasture Beef'!E111="Yes", "Calving season", "")</f>
        <v>Calving season</v>
      </c>
      <c r="F30" s="52" t="str">
        <f>IF('Input - Pasture Beef'!E110="Yes", "Season after calving","")</f>
        <v>Season after calving</v>
      </c>
      <c r="G30" s="52">
        <f>IF(E30="Calving season", $J$14, 1)</f>
        <v>1.3</v>
      </c>
      <c r="H30" s="52">
        <f>IF(F30="Season after calving", $J$15, 1)</f>
        <v>1.1000000000000001</v>
      </c>
      <c r="I30" s="52">
        <v>1</v>
      </c>
      <c r="J30" s="52">
        <v>1</v>
      </c>
      <c r="K30" s="52">
        <v>1</v>
      </c>
      <c r="L30" s="126" cm="1">
        <f t="array" ref="L30">EntericMethane_PastureBeef_Equations.VEERG_3_2_1_1__4_AdditionalIntakeForMilkProductionVariation(F22,F25,$G30,$H30)</f>
        <v>1.1000000000000001</v>
      </c>
      <c r="M30" s="126" cm="1">
        <f t="array" ref="M30">EntericMethane_PastureBeef_Equations.VEERG_3_2_1_1__4_AdditionalIntakeForMilkProductionVariation(G22,G25,$G30,$H30)</f>
        <v>1.17</v>
      </c>
      <c r="N30" s="126" cm="1">
        <f t="array" ref="N30">EntericMethane_PastureBeef_Equations.VEERG_3_2_1_1__4_AdditionalIntakeForMilkProductionVariation(H22,H25,$G30,$H30)</f>
        <v>1.17</v>
      </c>
      <c r="O30" s="52">
        <v>1</v>
      </c>
      <c r="P30" s="52">
        <v>1</v>
      </c>
      <c r="Q30" s="52">
        <v>1</v>
      </c>
      <c r="R30" s="52">
        <v>1</v>
      </c>
      <c r="S30" s="2" t="str">
        <f>$E$11</f>
        <v>fraction</v>
      </c>
      <c r="W30" s="52" t="str">
        <f>TEXT(EDATE('Input - Site'!$E$12,2), "mmmm")</f>
        <v>March</v>
      </c>
      <c r="X30" s="52" t="str" cm="1">
        <f t="array" ref="X30">IFERROR(_xlfn.IFS(SUMPRODUCT(ISNUMBER(SEARCH(TRIM(_xlfn.TEXTSPLIT($W$22,",")),W30))*1)&gt;0,"Calving season",SUMPRODUCT(ISNUMBER(SEARCH(TRIM(_xlfn.TEXTSPLIT($W$23,",")),W30))*1)&gt;0,"Season after calving"), "")</f>
        <v/>
      </c>
      <c r="Y30" s="52" t="str" cm="1">
        <f t="array" ref="Y30">_xlfn.IFS(X30="Calving season", $J$14, X30="Season after calving", $J$15, X30="", "")</f>
        <v/>
      </c>
      <c r="Z30" s="52">
        <v>1</v>
      </c>
      <c r="AA30" s="52">
        <v>1</v>
      </c>
      <c r="AB30" s="52">
        <v>1</v>
      </c>
      <c r="AC30" s="52" cm="1">
        <f t="array" ref="AC30">IFERROR(EntericMethane_PastureBeef_Equations.VEERG_3_2_1_1__4_AdditionalIntakeForMilkProduction(X$22,$Y30), 1)</f>
        <v>1</v>
      </c>
      <c r="AD30" s="52" cm="1">
        <f t="array" ref="AD30">IFERROR(EntericMethane_PastureBeef_Equations.VEERG_3_2_1_1__4_AdditionalIntakeForMilkProduction(Y$22,$Y30), 1)</f>
        <v>1</v>
      </c>
      <c r="AE30" s="52" cm="1">
        <f t="array" ref="AE30">IFERROR(EntericMethane_PastureBeef_Equations.VEERG_3_2_1_1__4_AdditionalIntakeForMilkProduction(Z$22,$Y30), 1)</f>
        <v>1</v>
      </c>
      <c r="AF30" s="52">
        <v>1</v>
      </c>
      <c r="AG30" s="52">
        <v>1</v>
      </c>
      <c r="AH30" s="52">
        <v>1</v>
      </c>
      <c r="AI30" s="52">
        <v>1</v>
      </c>
      <c r="AJ30" s="2" t="str">
        <f t="shared" si="0"/>
        <v>fraction</v>
      </c>
    </row>
    <row r="31" spans="1:36" ht="20.100000000000001" customHeight="1" x14ac:dyDescent="0.25">
      <c r="D31" s="52" t="s">
        <v>174</v>
      </c>
      <c r="E31" s="52" t="str">
        <f>IF('Input - Pasture Beef'!E112="Yes", "Calving season", "")</f>
        <v>Calving season</v>
      </c>
      <c r="F31" s="52" t="str">
        <f>IF('Input - Pasture Beef'!E111="Yes", "Season after calving","")</f>
        <v>Season after calving</v>
      </c>
      <c r="G31" s="52">
        <f>IF(E31="Calving season", $J$14, 1)</f>
        <v>1.3</v>
      </c>
      <c r="H31" s="52">
        <f>IF(F31="Season after calving", $J$15, 1)</f>
        <v>1.1000000000000001</v>
      </c>
      <c r="I31" s="52">
        <v>1</v>
      </c>
      <c r="J31" s="52">
        <v>1</v>
      </c>
      <c r="K31" s="52">
        <v>1</v>
      </c>
      <c r="L31" s="126" cm="1">
        <f t="array" ref="L31">EntericMethane_PastureBeef_Equations.VEERG_3_2_1_1__4_AdditionalIntakeForMilkProductionVariation(F23,F22,$G31,$H31)</f>
        <v>1.04</v>
      </c>
      <c r="M31" s="126" cm="1">
        <f t="array" ref="M31">EntericMethane_PastureBeef_Equations.VEERG_3_2_1_1__4_AdditionalIntakeForMilkProductionVariation(G23,G22,$G31,$H31)</f>
        <v>1.04</v>
      </c>
      <c r="N31" s="126" cm="1">
        <f t="array" ref="N31">EntericMethane_PastureBeef_Equations.VEERG_3_2_1_1__4_AdditionalIntakeForMilkProductionVariation(H23,H22,$G31,$H31)</f>
        <v>1.04</v>
      </c>
      <c r="O31" s="52">
        <v>1</v>
      </c>
      <c r="P31" s="52">
        <v>1</v>
      </c>
      <c r="Q31" s="52">
        <v>1</v>
      </c>
      <c r="R31" s="52">
        <v>1</v>
      </c>
      <c r="S31" s="2" t="str">
        <f t="shared" ref="S31:S33" si="1">$E$11</f>
        <v>fraction</v>
      </c>
      <c r="W31" s="52" t="str">
        <f>TEXT(EDATE('Input - Site'!$E$12,3), "mmmm")</f>
        <v>April</v>
      </c>
      <c r="X31" s="52" t="str" cm="1">
        <f t="array" ref="X31">IFERROR(_xlfn.IFS(SUMPRODUCT(ISNUMBER(SEARCH(TRIM(_xlfn.TEXTSPLIT($W$22,",")),W31))*1)&gt;0,"Calving season",SUMPRODUCT(ISNUMBER(SEARCH(TRIM(_xlfn.TEXTSPLIT($W$23,",")),W31))*1)&gt;0,"Season after calving"), "")</f>
        <v/>
      </c>
      <c r="Y31" s="52" t="str" cm="1">
        <f t="array" ref="Y31">_xlfn.IFS(X31="Calving season", $J$14, X31="Season after calving", $J$15, X31="", "")</f>
        <v/>
      </c>
      <c r="Z31" s="52">
        <v>1</v>
      </c>
      <c r="AA31" s="52">
        <v>1</v>
      </c>
      <c r="AB31" s="52">
        <v>1</v>
      </c>
      <c r="AC31" s="52" cm="1">
        <f t="array" ref="AC31">IFERROR(EntericMethane_PastureBeef_Equations.VEERG_3_2_1_1__4_AdditionalIntakeForMilkProduction(X$22,$Y31), 1)</f>
        <v>1</v>
      </c>
      <c r="AD31" s="52" cm="1">
        <f t="array" ref="AD31">IFERROR(EntericMethane_PastureBeef_Equations.VEERG_3_2_1_1__4_AdditionalIntakeForMilkProduction(Y$22,$Y31), 1)</f>
        <v>1</v>
      </c>
      <c r="AE31" s="52" cm="1">
        <f t="array" ref="AE31">IFERROR(EntericMethane_PastureBeef_Equations.VEERG_3_2_1_1__4_AdditionalIntakeForMilkProduction(Z$22,$Y31), 1)</f>
        <v>1</v>
      </c>
      <c r="AF31" s="52">
        <v>1</v>
      </c>
      <c r="AG31" s="52">
        <v>1</v>
      </c>
      <c r="AH31" s="52">
        <v>1</v>
      </c>
      <c r="AI31" s="52">
        <v>1</v>
      </c>
      <c r="AJ31" s="2" t="str">
        <f t="shared" si="0"/>
        <v>fraction</v>
      </c>
    </row>
    <row r="32" spans="1:36" ht="20.100000000000001" customHeight="1" x14ac:dyDescent="0.25">
      <c r="D32" s="52" t="s">
        <v>175</v>
      </c>
      <c r="E32" s="52" t="str">
        <f>IF('Input - Pasture Beef'!E113="Yes", "Calving season", "")</f>
        <v/>
      </c>
      <c r="F32" s="52" t="str">
        <f>IF('Input - Pasture Beef'!E112="Yes", "Season after calving","")</f>
        <v>Season after calving</v>
      </c>
      <c r="G32" s="52">
        <f>IF(E32="Calving season", $J$14, 1)</f>
        <v>1</v>
      </c>
      <c r="H32" s="52">
        <f>IF(F32="Season after calving", $J$15, 1)</f>
        <v>1.1000000000000001</v>
      </c>
      <c r="I32" s="52">
        <v>1</v>
      </c>
      <c r="J32" s="52">
        <v>1</v>
      </c>
      <c r="K32" s="52">
        <v>1</v>
      </c>
      <c r="L32" s="126" cm="1">
        <f t="array" ref="L32">EntericMethane_PastureBeef_Equations.VEERG_3_2_1_1__4_AdditionalIntakeForMilkProductionVariation(F24,F23,$G32,$H32)</f>
        <v>1.01</v>
      </c>
      <c r="M32" s="126" cm="1">
        <f t="array" ref="M32">EntericMethane_PastureBeef_Equations.VEERG_3_2_1_1__4_AdditionalIntakeForMilkProductionVariation(G24,G23,$G32,$H32)</f>
        <v>1</v>
      </c>
      <c r="N32" s="126" cm="1">
        <f t="array" ref="N32">EntericMethane_PastureBeef_Equations.VEERG_3_2_1_1__4_AdditionalIntakeForMilkProductionVariation(H24,H23,$G32,$H32)</f>
        <v>1</v>
      </c>
      <c r="O32" s="52">
        <v>1</v>
      </c>
      <c r="P32" s="52">
        <v>1</v>
      </c>
      <c r="Q32" s="52">
        <v>1</v>
      </c>
      <c r="R32" s="52">
        <v>1</v>
      </c>
      <c r="S32" s="2" t="str">
        <f t="shared" si="1"/>
        <v>fraction</v>
      </c>
      <c r="W32" s="52" t="str">
        <f>TEXT(EDATE('Input - Site'!$E$12,4), "mmmm")</f>
        <v>May</v>
      </c>
      <c r="X32" s="52" t="str" cm="1">
        <f t="array" ref="X32">IFERROR(_xlfn.IFS(SUMPRODUCT(ISNUMBER(SEARCH(TRIM(_xlfn.TEXTSPLIT($W$22,",")),W32))*1)&gt;0,"Calving season",SUMPRODUCT(ISNUMBER(SEARCH(TRIM(_xlfn.TEXTSPLIT($W$23,",")),W32))*1)&gt;0,"Season after calving"), "")</f>
        <v/>
      </c>
      <c r="Y32" s="52" t="str" cm="1">
        <f t="array" ref="Y32">_xlfn.IFS(X32="Calving season", $J$14, X32="Season after calving", $J$15, X32="", "")</f>
        <v/>
      </c>
      <c r="Z32" s="52">
        <v>1</v>
      </c>
      <c r="AA32" s="52">
        <v>1</v>
      </c>
      <c r="AB32" s="52">
        <v>1</v>
      </c>
      <c r="AC32" s="52" cm="1">
        <f t="array" ref="AC32">IFERROR(EntericMethane_PastureBeef_Equations.VEERG_3_2_1_1__4_AdditionalIntakeForMilkProduction(X$22,$Y32), 1)</f>
        <v>1</v>
      </c>
      <c r="AD32" s="52" cm="1">
        <f t="array" ref="AD32">IFERROR(EntericMethane_PastureBeef_Equations.VEERG_3_2_1_1__4_AdditionalIntakeForMilkProduction(Y$22,$Y32), 1)</f>
        <v>1</v>
      </c>
      <c r="AE32" s="52" cm="1">
        <f t="array" ref="AE32">IFERROR(EntericMethane_PastureBeef_Equations.VEERG_3_2_1_1__4_AdditionalIntakeForMilkProduction(Z$22,$Y32), 1)</f>
        <v>1</v>
      </c>
      <c r="AF32" s="52">
        <v>1</v>
      </c>
      <c r="AG32" s="52">
        <v>1</v>
      </c>
      <c r="AH32" s="52">
        <v>1</v>
      </c>
      <c r="AI32" s="52">
        <v>1</v>
      </c>
      <c r="AJ32" s="2" t="str">
        <f t="shared" si="0"/>
        <v>fraction</v>
      </c>
    </row>
    <row r="33" spans="3:36" ht="20.100000000000001" customHeight="1" x14ac:dyDescent="0.25">
      <c r="D33" s="52" t="s">
        <v>176</v>
      </c>
      <c r="E33" s="52" t="str">
        <f>IF('Input - Pasture Beef'!E110="Yes", "Calving season", "")</f>
        <v>Calving season</v>
      </c>
      <c r="F33" s="52" t="str">
        <f>IF('Input - Pasture Beef'!E113="Yes", "Season after calving","")</f>
        <v/>
      </c>
      <c r="G33" s="52">
        <f>IF(E33="Calving season", $J$14, 1)</f>
        <v>1.3</v>
      </c>
      <c r="H33" s="52">
        <f>IF(F33="Season after calving", $J$15, 1)</f>
        <v>1</v>
      </c>
      <c r="I33" s="52">
        <v>1</v>
      </c>
      <c r="J33" s="52">
        <v>1</v>
      </c>
      <c r="K33" s="52">
        <v>1</v>
      </c>
      <c r="L33" s="126" cm="1">
        <f t="array" ref="L33">EntericMethane_PastureBeef_Equations.VEERG_3_2_1_1__4_AdditionalIntakeForMilkProductionVariation(F25,F24,$G33,$H33)</f>
        <v>1.21</v>
      </c>
      <c r="M33" s="126" cm="1">
        <f t="array" ref="M33">EntericMethane_PastureBeef_Equations.VEERG_3_2_1_1__4_AdditionalIntakeForMilkProductionVariation(G25,G24,$G33,$H33)</f>
        <v>1.1499999999999999</v>
      </c>
      <c r="N33" s="126" cm="1">
        <f t="array" ref="N33">EntericMethane_PastureBeef_Equations.VEERG_3_2_1_1__4_AdditionalIntakeForMilkProductionVariation(H25,H24,$G33,$H33)</f>
        <v>1.1499999999999999</v>
      </c>
      <c r="O33" s="52">
        <v>1</v>
      </c>
      <c r="P33" s="52">
        <v>1</v>
      </c>
      <c r="Q33" s="52">
        <v>1</v>
      </c>
      <c r="R33" s="52">
        <v>1</v>
      </c>
      <c r="S33" s="2" t="str">
        <f t="shared" si="1"/>
        <v>fraction</v>
      </c>
      <c r="W33" s="52" t="str">
        <f>TEXT(EDATE('Input - Site'!$E$12,5), "mmmm")</f>
        <v>June</v>
      </c>
      <c r="X33" s="52" t="str" cm="1">
        <f t="array" ref="X33">IFERROR(_xlfn.IFS(SUMPRODUCT(ISNUMBER(SEARCH(TRIM(_xlfn.TEXTSPLIT($W$22,",")),W33))*1)&gt;0,"Calving season",SUMPRODUCT(ISNUMBER(SEARCH(TRIM(_xlfn.TEXTSPLIT($W$23,",")),W33))*1)&gt;0,"Season after calving"), "")</f>
        <v/>
      </c>
      <c r="Y33" s="52" t="str" cm="1">
        <f t="array" ref="Y33">_xlfn.IFS(X33="Calving season", $J$14, X33="Season after calving", $J$15, X33="", "")</f>
        <v/>
      </c>
      <c r="Z33" s="52">
        <v>1</v>
      </c>
      <c r="AA33" s="52">
        <v>1</v>
      </c>
      <c r="AB33" s="52">
        <v>1</v>
      </c>
      <c r="AC33" s="52" cm="1">
        <f t="array" ref="AC33">IFERROR(EntericMethane_PastureBeef_Equations.VEERG_3_2_1_1__4_AdditionalIntakeForMilkProduction(X$22,$Y33), 1)</f>
        <v>1</v>
      </c>
      <c r="AD33" s="52" cm="1">
        <f t="array" ref="AD33">IFERROR(EntericMethane_PastureBeef_Equations.VEERG_3_2_1_1__4_AdditionalIntakeForMilkProduction(Y$22,$Y33), 1)</f>
        <v>1</v>
      </c>
      <c r="AE33" s="52" cm="1">
        <f t="array" ref="AE33">IFERROR(EntericMethane_PastureBeef_Equations.VEERG_3_2_1_1__4_AdditionalIntakeForMilkProduction(Z$22,$Y33), 1)</f>
        <v>1</v>
      </c>
      <c r="AF33" s="52">
        <v>1</v>
      </c>
      <c r="AG33" s="52">
        <v>1</v>
      </c>
      <c r="AH33" s="52">
        <v>1</v>
      </c>
      <c r="AI33" s="52">
        <v>1</v>
      </c>
      <c r="AJ33" s="2" t="str">
        <f t="shared" si="0"/>
        <v>fraction</v>
      </c>
    </row>
    <row r="34" spans="3:36" ht="20.100000000000001" customHeight="1" x14ac:dyDescent="0.25">
      <c r="W34" s="52" t="str">
        <f>TEXT(EDATE('Input - Site'!$E$12,6), "mmmm")</f>
        <v>July</v>
      </c>
      <c r="X34" s="52" t="str" cm="1">
        <f t="array" ref="X34">IFERROR(_xlfn.IFS(SUMPRODUCT(ISNUMBER(SEARCH(TRIM(_xlfn.TEXTSPLIT($W$22,",")),W34))*1)&gt;0,"Calving season",SUMPRODUCT(ISNUMBER(SEARCH(TRIM(_xlfn.TEXTSPLIT($W$23,",")),W34))*1)&gt;0,"Season after calving"), "")</f>
        <v/>
      </c>
      <c r="Y34" s="52" t="str" cm="1">
        <f t="array" ref="Y34">_xlfn.IFS(X34="Calving season", $J$14, X34="Season after calving", $J$15, X34="", "")</f>
        <v/>
      </c>
      <c r="Z34" s="52">
        <v>1</v>
      </c>
      <c r="AA34" s="52">
        <v>1</v>
      </c>
      <c r="AB34" s="52">
        <v>1</v>
      </c>
      <c r="AC34" s="52" cm="1">
        <f t="array" ref="AC34">IFERROR(EntericMethane_PastureBeef_Equations.VEERG_3_2_1_1__4_AdditionalIntakeForMilkProduction(X$22,$Y34), 1)</f>
        <v>1</v>
      </c>
      <c r="AD34" s="52" cm="1">
        <f t="array" ref="AD34">IFERROR(EntericMethane_PastureBeef_Equations.VEERG_3_2_1_1__4_AdditionalIntakeForMilkProduction(Y$22,$Y34), 1)</f>
        <v>1</v>
      </c>
      <c r="AE34" s="52" cm="1">
        <f t="array" ref="AE34">IFERROR(EntericMethane_PastureBeef_Equations.VEERG_3_2_1_1__4_AdditionalIntakeForMilkProduction(Z$22,$Y34), 1)</f>
        <v>1</v>
      </c>
      <c r="AF34" s="52">
        <v>1</v>
      </c>
      <c r="AG34" s="52">
        <v>1</v>
      </c>
      <c r="AH34" s="52">
        <v>1</v>
      </c>
      <c r="AI34" s="52">
        <v>1</v>
      </c>
      <c r="AJ34" s="2" t="str">
        <f t="shared" si="0"/>
        <v>fraction</v>
      </c>
    </row>
    <row r="35" spans="3:36" ht="20.100000000000001" customHeight="1" x14ac:dyDescent="0.25">
      <c r="W35" s="52" t="str">
        <f>TEXT(EDATE('Input - Site'!$E$12,7), "mmmm")</f>
        <v>August</v>
      </c>
      <c r="X35" s="52" t="str" cm="1">
        <f t="array" ref="X35">IFERROR(_xlfn.IFS(SUMPRODUCT(ISNUMBER(SEARCH(TRIM(_xlfn.TEXTSPLIT($W$22,",")),W35))*1)&gt;0,"Calving season",SUMPRODUCT(ISNUMBER(SEARCH(TRIM(_xlfn.TEXTSPLIT($W$23,",")),W35))*1)&gt;0,"Season after calving"), "")</f>
        <v>Calving season</v>
      </c>
      <c r="Y35" s="52" cm="1">
        <f t="array" ref="Y35">_xlfn.IFS(X35="Calving season", $J$14, X35="Season after calving", $J$15, X35="", "")</f>
        <v>1.3</v>
      </c>
      <c r="Z35" s="52">
        <v>1</v>
      </c>
      <c r="AA35" s="52">
        <v>1</v>
      </c>
      <c r="AB35" s="52">
        <v>1</v>
      </c>
      <c r="AC35" s="52" cm="1">
        <f t="array" ref="AC35">IFERROR(EntericMethane_PastureBeef_Equations.VEERG_3_2_1_1__4_AdditionalIntakeForMilkProduction(X$22,$Y35), 1)</f>
        <v>1.2250000000000001</v>
      </c>
      <c r="AD35" s="52" cm="1">
        <f t="array" ref="AD35">IFERROR(EntericMethane_PastureBeef_Equations.VEERG_3_2_1_1__4_AdditionalIntakeForMilkProduction(Y$22,$Y35), 1)</f>
        <v>1.2250000000000001</v>
      </c>
      <c r="AE35" s="52" cm="1">
        <f t="array" ref="AE35">IFERROR(EntericMethane_PastureBeef_Equations.VEERG_3_2_1_1__4_AdditionalIntakeForMilkProduction(Z$22,$Y35), 1)</f>
        <v>1.2250000000000001</v>
      </c>
      <c r="AF35" s="52">
        <v>1</v>
      </c>
      <c r="AG35" s="52">
        <v>1</v>
      </c>
      <c r="AH35" s="52">
        <v>1</v>
      </c>
      <c r="AI35" s="52">
        <v>1</v>
      </c>
      <c r="AJ35" s="2" t="str">
        <f t="shared" si="0"/>
        <v>fraction</v>
      </c>
    </row>
    <row r="36" spans="3:36" ht="20.100000000000001" customHeight="1" x14ac:dyDescent="0.25">
      <c r="C36" s="45"/>
      <c r="D36" s="45"/>
      <c r="E36" s="45"/>
      <c r="F36" s="45"/>
      <c r="G36" s="45"/>
      <c r="H36" s="45"/>
      <c r="I36" s="45"/>
      <c r="J36" s="45"/>
      <c r="K36" s="45"/>
      <c r="L36" s="45"/>
      <c r="M36" s="45"/>
      <c r="N36" s="45"/>
      <c r="O36" s="45"/>
      <c r="P36" s="45"/>
      <c r="Q36" s="45"/>
      <c r="R36" s="45"/>
      <c r="S36" s="45"/>
      <c r="T36" s="45"/>
      <c r="W36" s="52" t="str">
        <f>TEXT(EDATE('Input - Site'!$E$12,8), "mmmm")</f>
        <v>September</v>
      </c>
      <c r="X36" s="52" t="str" cm="1">
        <f t="array" ref="X36">IFERROR(_xlfn.IFS(SUMPRODUCT(ISNUMBER(SEARCH(TRIM(_xlfn.TEXTSPLIT($W$22,",")),W36))*1)&gt;0,"Calving season",SUMPRODUCT(ISNUMBER(SEARCH(TRIM(_xlfn.TEXTSPLIT($W$23,",")),W36))*1)&gt;0,"Season after calving"), "")</f>
        <v>Calving season</v>
      </c>
      <c r="Y36" s="52" cm="1">
        <f t="array" ref="Y36">_xlfn.IFS(X36="Calving season", $J$14, X36="Season after calving", $J$15, X36="", "")</f>
        <v>1.3</v>
      </c>
      <c r="Z36" s="52">
        <v>1</v>
      </c>
      <c r="AA36" s="52">
        <v>1</v>
      </c>
      <c r="AB36" s="52">
        <v>1</v>
      </c>
      <c r="AC36" s="52" cm="1">
        <f t="array" ref="AC36">IFERROR(EntericMethane_PastureBeef_Equations.VEERG_3_2_1_1__4_AdditionalIntakeForMilkProduction(X$22,$Y36), 1)</f>
        <v>1.2250000000000001</v>
      </c>
      <c r="AD36" s="52" cm="1">
        <f t="array" ref="AD36">IFERROR(EntericMethane_PastureBeef_Equations.VEERG_3_2_1_1__4_AdditionalIntakeForMilkProduction(Y$22,$Y36), 1)</f>
        <v>1.2250000000000001</v>
      </c>
      <c r="AE36" s="52" cm="1">
        <f t="array" ref="AE36">IFERROR(EntericMethane_PastureBeef_Equations.VEERG_3_2_1_1__4_AdditionalIntakeForMilkProduction(Z$22,$Y36), 1)</f>
        <v>1.2250000000000001</v>
      </c>
      <c r="AF36" s="52">
        <v>1</v>
      </c>
      <c r="AG36" s="52">
        <v>1</v>
      </c>
      <c r="AH36" s="52">
        <v>1</v>
      </c>
      <c r="AI36" s="52">
        <v>1</v>
      </c>
      <c r="AJ36" s="2" t="str">
        <f t="shared" si="0"/>
        <v>fraction</v>
      </c>
    </row>
    <row r="37" spans="3:36" ht="20.100000000000001" customHeight="1" x14ac:dyDescent="0.25">
      <c r="D37" s="6" t="str" cm="1">
        <f t="array" ref="D37">EntericMethane_PastureBeef_Equations.VEERG_3_2_1_1__3_FeedIntakeForGrazingBeef_Title()</f>
        <v>Feed intake for grazing beef cattle</v>
      </c>
      <c r="W37" s="52" t="str">
        <f>TEXT(EDATE('Input - Site'!$E$12,9), "mmmm")</f>
        <v>October</v>
      </c>
      <c r="X37" s="52" t="str" cm="1">
        <f t="array" ref="X37">IFERROR(_xlfn.IFS(SUMPRODUCT(ISNUMBER(SEARCH(TRIM(_xlfn.TEXTSPLIT($W$22,",")),W37))*1)&gt;0,"Calving season",SUMPRODUCT(ISNUMBER(SEARCH(TRIM(_xlfn.TEXTSPLIT($W$23,",")),W37))*1)&gt;0,"Season after calving"), "")</f>
        <v>Calving season</v>
      </c>
      <c r="Y37" s="52" cm="1">
        <f t="array" ref="Y37">_xlfn.IFS(X37="Calving season", $J$14, X37="Season after calving", $J$15, X37="", "")</f>
        <v>1.3</v>
      </c>
      <c r="Z37" s="52">
        <v>1</v>
      </c>
      <c r="AA37" s="52">
        <v>1</v>
      </c>
      <c r="AB37" s="52">
        <v>1</v>
      </c>
      <c r="AC37" s="52" cm="1">
        <f t="array" ref="AC37">IFERROR(EntericMethane_PastureBeef_Equations.VEERG_3_2_1_1__4_AdditionalIntakeForMilkProduction(X$22,$Y37), 1)</f>
        <v>1.2250000000000001</v>
      </c>
      <c r="AD37" s="52" cm="1">
        <f t="array" ref="AD37">IFERROR(EntericMethane_PastureBeef_Equations.VEERG_3_2_1_1__4_AdditionalIntakeForMilkProduction(Y$22,$Y37), 1)</f>
        <v>1.2250000000000001</v>
      </c>
      <c r="AE37" s="52" cm="1">
        <f t="array" ref="AE37">IFERROR(EntericMethane_PastureBeef_Equations.VEERG_3_2_1_1__4_AdditionalIntakeForMilkProduction(Z$22,$Y37), 1)</f>
        <v>1.2250000000000001</v>
      </c>
      <c r="AF37" s="52">
        <v>1</v>
      </c>
      <c r="AG37" s="52">
        <v>1</v>
      </c>
      <c r="AH37" s="52">
        <v>1</v>
      </c>
      <c r="AI37" s="52">
        <v>1</v>
      </c>
      <c r="AJ37" s="2" t="str">
        <f t="shared" si="0"/>
        <v>fraction</v>
      </c>
    </row>
    <row r="38" spans="3:36" ht="20.100000000000001" customHeight="1" x14ac:dyDescent="0.25">
      <c r="D38" s="5" t="str" cm="1">
        <f t="array" ref="D38">EntericMethane_PastureBeef_Equations.VEERG_3_2_1_1__3_FeedIntakeForGrazingBeef_Source()</f>
        <v>VEERG 2026: 3.2.1.1, Equation (3)</v>
      </c>
      <c r="K38" s="1" t="s">
        <v>353</v>
      </c>
      <c r="L38" s="1" t="s">
        <v>351</v>
      </c>
      <c r="M38" s="1" t="s">
        <v>352</v>
      </c>
      <c r="W38" s="52" t="str">
        <f>TEXT(EDATE('Input - Site'!$E$12,10), "mmmm")</f>
        <v>November</v>
      </c>
      <c r="X38" s="52" t="str" cm="1">
        <f t="array" ref="X38">IFERROR(_xlfn.IFS(SUMPRODUCT(ISNUMBER(SEARCH(TRIM(_xlfn.TEXTSPLIT($W$22,",")),W38))*1)&gt;0,"Calving season",SUMPRODUCT(ISNUMBER(SEARCH(TRIM(_xlfn.TEXTSPLIT($W$23,",")),W38))*1)&gt;0,"Season after calving"), "")</f>
        <v>Season after calving</v>
      </c>
      <c r="Y38" s="52" cm="1">
        <f t="array" ref="Y38">_xlfn.IFS(X38="Calving season", $J$14, X38="Season after calving", $J$15, X38="", "")</f>
        <v>1.1000000000000001</v>
      </c>
      <c r="Z38" s="52">
        <v>1</v>
      </c>
      <c r="AA38" s="52">
        <v>1</v>
      </c>
      <c r="AB38" s="52">
        <v>1</v>
      </c>
      <c r="AC38" s="52" cm="1">
        <f t="array" ref="AC38">IFERROR(EntericMethane_PastureBeef_Equations.VEERG_3_2_1_1__4_AdditionalIntakeForMilkProduction(X$22,$Y38), 1)</f>
        <v>1.0750000000000002</v>
      </c>
      <c r="AD38" s="52" cm="1">
        <f t="array" ref="AD38">IFERROR(EntericMethane_PastureBeef_Equations.VEERG_3_2_1_1__4_AdditionalIntakeForMilkProduction(Y$22,$Y38), 1)</f>
        <v>1.0750000000000002</v>
      </c>
      <c r="AE38" s="52" cm="1">
        <f t="array" ref="AE38">IFERROR(EntericMethane_PastureBeef_Equations.VEERG_3_2_1_1__4_AdditionalIntakeForMilkProduction(Z$22,$Y38), 1)</f>
        <v>1.0750000000000002</v>
      </c>
      <c r="AF38" s="52">
        <v>1</v>
      </c>
      <c r="AG38" s="52">
        <v>1</v>
      </c>
      <c r="AH38" s="52">
        <v>1</v>
      </c>
      <c r="AI38" s="52">
        <v>1</v>
      </c>
      <c r="AJ38" s="2" t="str">
        <f t="shared" si="0"/>
        <v>fraction</v>
      </c>
    </row>
    <row r="39" spans="3:36" ht="20.100000000000001" customHeight="1" x14ac:dyDescent="0.25">
      <c r="D39" s="13" t="s">
        <v>27</v>
      </c>
      <c r="E39" s="13" t="str" cm="1">
        <f t="array" aca="1" ref="E39" ca="1">Common_InputFunctions.Utility_DisplayFunctionName($E$84)</f>
        <v>=EntericMethane_PastureBeef_Equations.VEERG_3_2_1_1__3_FeedIntakeForGrazingBeef</v>
      </c>
      <c r="W39" s="52" t="str">
        <f>TEXT(EDATE('Input - Site'!$E$12,11), "mmmm")</f>
        <v>December</v>
      </c>
      <c r="X39" s="52" t="str" cm="1">
        <f t="array" ref="X39">IFERROR(_xlfn.IFS(SUMPRODUCT(ISNUMBER(SEARCH(TRIM(_xlfn.TEXTSPLIT($W$22,",")),W39))*1)&gt;0,"Calving season",SUMPRODUCT(ISNUMBER(SEARCH(TRIM(_xlfn.TEXTSPLIT($W$23,",")),W39))*1)&gt;0,"Season after calving"), "")</f>
        <v>Season after calving</v>
      </c>
      <c r="Y39" s="52" cm="1">
        <f t="array" ref="Y39">_xlfn.IFS(X39="Calving season", $J$14, X39="Season after calving", $J$15, X39="", "")</f>
        <v>1.1000000000000001</v>
      </c>
      <c r="Z39" s="52">
        <v>1</v>
      </c>
      <c r="AA39" s="52">
        <v>1</v>
      </c>
      <c r="AB39" s="52">
        <v>1</v>
      </c>
      <c r="AC39" s="52" cm="1">
        <f t="array" ref="AC39">IFERROR(EntericMethane_PastureBeef_Equations.VEERG_3_2_1_1__4_AdditionalIntakeForMilkProduction(X$22,$Y39), 1)</f>
        <v>1.0750000000000002</v>
      </c>
      <c r="AD39" s="52" cm="1">
        <f t="array" ref="AD39">IFERROR(EntericMethane_PastureBeef_Equations.VEERG_3_2_1_1__4_AdditionalIntakeForMilkProduction(Y$22,$Y39), 1)</f>
        <v>1.0750000000000002</v>
      </c>
      <c r="AE39" s="52" cm="1">
        <f t="array" ref="AE39">IFERROR(EntericMethane_PastureBeef_Equations.VEERG_3_2_1_1__4_AdditionalIntakeForMilkProduction(Z$22,$Y39), 1)</f>
        <v>1.0750000000000002</v>
      </c>
      <c r="AF39" s="52">
        <v>1</v>
      </c>
      <c r="AG39" s="52">
        <v>1</v>
      </c>
      <c r="AH39" s="52">
        <v>1</v>
      </c>
      <c r="AI39" s="52">
        <v>1</v>
      </c>
      <c r="AJ39" s="2" t="str">
        <f t="shared" si="0"/>
        <v>fraction</v>
      </c>
    </row>
    <row r="40" spans="3:36" ht="20.100000000000001" customHeight="1" x14ac:dyDescent="0.25"/>
    <row r="41" spans="3:36" ht="20.100000000000001" customHeight="1" x14ac:dyDescent="0.25">
      <c r="W41" s="98" t="s">
        <v>347</v>
      </c>
    </row>
    <row r="42" spans="3:36" ht="20.100000000000001" customHeight="1" x14ac:dyDescent="0.25">
      <c r="D42" s="53" t="s">
        <v>30</v>
      </c>
      <c r="E42" s="1" t="str" cm="1">
        <f t="array" ref="E42">EntericMethane_PastureBeef_Equations.VEERG_3_2_1_1__3_FeedIntakeForGrazingBeef_Variable()</f>
        <v>I_jkl</v>
      </c>
      <c r="W42" s="97" t="s">
        <v>255</v>
      </c>
    </row>
    <row r="43" spans="3:36" ht="20.100000000000001" customHeight="1" x14ac:dyDescent="0.25">
      <c r="D43" s="53" t="s">
        <v>20</v>
      </c>
      <c r="E43" s="54" t="str" cm="1">
        <f t="array" ref="E43">EntericMethane_PastureBeef_Equations.VEERG_3_2_1_1__3_FeedIntakeForGrazingBeef_Unit()</f>
        <v>kg DM/head/day</v>
      </c>
      <c r="W43" s="51" t="s">
        <v>132</v>
      </c>
      <c r="X43" s="122" t="s">
        <v>131</v>
      </c>
      <c r="Y43" s="122" t="s">
        <v>130</v>
      </c>
      <c r="Z43" s="122" t="s">
        <v>165</v>
      </c>
      <c r="AA43" s="122" t="s">
        <v>166</v>
      </c>
      <c r="AB43" s="122" t="s">
        <v>167</v>
      </c>
      <c r="AC43" s="122" t="s">
        <v>168</v>
      </c>
      <c r="AD43" s="122" t="s">
        <v>169</v>
      </c>
      <c r="AE43" s="122" t="s">
        <v>170</v>
      </c>
      <c r="AF43" s="122" t="s">
        <v>171</v>
      </c>
      <c r="AG43" s="122" t="s">
        <v>172</v>
      </c>
      <c r="AH43" s="2"/>
    </row>
    <row r="44" spans="3:36" ht="20.100000000000001" customHeight="1" x14ac:dyDescent="0.25">
      <c r="W44" s="52" t="str">
        <f>TEXT('Input - Site'!$E$12, "mmmm yyyy")</f>
        <v>January 2024</v>
      </c>
      <c r="X44" s="52" cm="1">
        <f t="array" aca="1" ref="X44:AG55" ca="1">OFFSET(X_Table_PastureBeef_Liveweight_Method2, 1,1, 12,10)</f>
        <v>380</v>
      </c>
      <c r="Y44" s="52">
        <f ca="1"/>
        <v>780</v>
      </c>
      <c r="Z44" s="52">
        <f ca="1"/>
        <v>300</v>
      </c>
      <c r="AA44" s="52">
        <f ca="1"/>
        <v>450</v>
      </c>
      <c r="AB44" s="52">
        <f ca="1"/>
        <v>530</v>
      </c>
      <c r="AC44" s="52">
        <f ca="1"/>
        <v>530</v>
      </c>
      <c r="AD44" s="52">
        <f ca="1"/>
        <v>340</v>
      </c>
      <c r="AE44" s="52">
        <f ca="1"/>
        <v>470</v>
      </c>
      <c r="AF44" s="52">
        <f ca="1"/>
        <v>470</v>
      </c>
      <c r="AG44" s="52">
        <f ca="1"/>
        <v>470</v>
      </c>
      <c r="AH44" s="2" t="s">
        <v>133</v>
      </c>
    </row>
    <row r="45" spans="3:36" ht="20.100000000000001" customHeight="1" x14ac:dyDescent="0.25">
      <c r="D45" s="119" t="str" cm="1">
        <f t="array" ref="D45:E47">_xlfn.CHOOSECOLS(EntericMethane_PastureBeef_Equations.VEERG_3_2_1_1__3_FeedIntakeForGrazingBeef_Arguments(), 1, 2)</f>
        <v>W_jkl</v>
      </c>
      <c r="E45" s="124" t="str">
        <v>liveweight (kg)</v>
      </c>
      <c r="F45" s="123"/>
      <c r="G45" s="119" t="str" cm="1">
        <f t="array" ref="G45:H47">_xlfn.CHOOSECOLS(EntericMethane_PastureBeef_Equations.VEERG_3_2_1_1__3_FeedIntakeForGrazingBeef_Arguments(), 3,4)</f>
        <v>kg</v>
      </c>
      <c r="H45" s="121" t="str">
        <v>Input</v>
      </c>
      <c r="I45" s="118" t="str" cm="1">
        <f t="array" aca="1" ref="I45" ca="1">HYPERLINK(Common_InputFunctions.Utility_SourceHyperlink($D$49), $D$49)</f>
        <v>M1_Table_W_j_k_l</v>
      </c>
      <c r="W45" s="52" t="str">
        <f>TEXT(EDATE('Input - Site'!$E$12,1), "mmmm yyyy")</f>
        <v>February 2024</v>
      </c>
      <c r="X45" s="52">
        <f ca="1"/>
        <v>380</v>
      </c>
      <c r="Y45" s="52">
        <f ca="1"/>
        <v>780</v>
      </c>
      <c r="Z45" s="52">
        <f ca="1"/>
        <v>300</v>
      </c>
      <c r="AA45" s="52">
        <f ca="1"/>
        <v>450</v>
      </c>
      <c r="AB45" s="52">
        <f ca="1"/>
        <v>530</v>
      </c>
      <c r="AC45" s="52">
        <f ca="1"/>
        <v>530</v>
      </c>
      <c r="AD45" s="52">
        <f ca="1"/>
        <v>340</v>
      </c>
      <c r="AE45" s="52">
        <f ca="1"/>
        <v>470</v>
      </c>
      <c r="AF45" s="52">
        <f ca="1"/>
        <v>470</v>
      </c>
      <c r="AG45" s="52">
        <f ca="1"/>
        <v>470</v>
      </c>
      <c r="AH45" s="2" t="s">
        <v>133</v>
      </c>
    </row>
    <row r="46" spans="3:36" ht="20.100000000000001" customHeight="1" x14ac:dyDescent="0.25">
      <c r="D46" s="119" t="str">
        <v>LWG_jkl</v>
      </c>
      <c r="E46" s="124" t="str">
        <v>live weight gain (kg/head/day)</v>
      </c>
      <c r="F46" s="123"/>
      <c r="G46" s="119" t="str">
        <v>kg/head/day</v>
      </c>
      <c r="H46" s="121" t="str">
        <v>Input</v>
      </c>
      <c r="I46" s="118" t="str" cm="1">
        <f t="array" aca="1" ref="I46" ca="1">HYPERLINK(Common_InputFunctions.Utility_SourceHyperlink($D$65), $D$65)</f>
        <v>M1_Table_LWG_j_k_l</v>
      </c>
      <c r="W46" s="52" t="str">
        <f>TEXT(EDATE('Input - Site'!$E$12,2), "mmmm yyyy")</f>
        <v>March 2024</v>
      </c>
      <c r="X46" s="52">
        <f ca="1"/>
        <v>100</v>
      </c>
      <c r="Y46" s="52">
        <f ca="1"/>
        <v>680</v>
      </c>
      <c r="Z46" s="52">
        <f ca="1"/>
        <v>80</v>
      </c>
      <c r="AA46" s="52">
        <f ca="1"/>
        <v>320</v>
      </c>
      <c r="AB46" s="52">
        <f ca="1"/>
        <v>480</v>
      </c>
      <c r="AC46" s="52">
        <f ca="1"/>
        <v>480</v>
      </c>
      <c r="AD46" s="52">
        <f ca="1"/>
        <v>100</v>
      </c>
      <c r="AE46" s="52">
        <f ca="1"/>
        <v>340</v>
      </c>
      <c r="AF46" s="52">
        <f ca="1"/>
        <v>340</v>
      </c>
      <c r="AG46" s="52">
        <f ca="1"/>
        <v>340</v>
      </c>
      <c r="AH46" s="2" t="s">
        <v>133</v>
      </c>
    </row>
    <row r="47" spans="3:36" ht="20.100000000000001" customHeight="1" x14ac:dyDescent="0.25">
      <c r="D47" s="119" t="str">
        <v>MA_jk45</v>
      </c>
      <c r="E47" s="124" t="str">
        <v>additional intake for milk production in cows greater than 2 years</v>
      </c>
      <c r="F47" s="123"/>
      <c r="G47" s="119" t="str">
        <v>kg/head/day</v>
      </c>
      <c r="H47" s="120" t="str">
        <v>Calculated from 3.2.1.1, (4)</v>
      </c>
      <c r="I47" s="118" t="str" cm="1">
        <f t="array" aca="1" ref="I47" ca="1">HYPERLINK(Common_InputFunctions.Utility_SourceHyperlink($D$27), $D$27)</f>
        <v>M1_Table_MA_j_k-4-5</v>
      </c>
      <c r="W47" s="52" t="str">
        <f>TEXT(EDATE('Input - Site'!$E$12,3), "mmmm yyyy")</f>
        <v>April 2024</v>
      </c>
      <c r="X47" s="52">
        <f ca="1"/>
        <v>100</v>
      </c>
      <c r="Y47" s="52">
        <f ca="1"/>
        <v>680</v>
      </c>
      <c r="Z47" s="52">
        <f ca="1"/>
        <v>80</v>
      </c>
      <c r="AA47" s="52">
        <f ca="1"/>
        <v>320</v>
      </c>
      <c r="AB47" s="52">
        <f ca="1"/>
        <v>480</v>
      </c>
      <c r="AC47" s="52">
        <f ca="1"/>
        <v>480</v>
      </c>
      <c r="AD47" s="52">
        <f ca="1"/>
        <v>100</v>
      </c>
      <c r="AE47" s="52">
        <f ca="1"/>
        <v>340</v>
      </c>
      <c r="AF47" s="52">
        <f ca="1"/>
        <v>340</v>
      </c>
      <c r="AG47" s="52">
        <f ca="1"/>
        <v>340</v>
      </c>
      <c r="AH47" s="2" t="s">
        <v>133</v>
      </c>
    </row>
    <row r="48" spans="3:36" ht="20.100000000000001" customHeight="1" x14ac:dyDescent="0.25">
      <c r="W48" s="52" t="str">
        <f>TEXT(EDATE('Input - Site'!$E$12,4), "mmmm yyyy")</f>
        <v>May 2024</v>
      </c>
      <c r="X48" s="52">
        <f ca="1"/>
        <v>100</v>
      </c>
      <c r="Y48" s="52">
        <f ca="1"/>
        <v>680</v>
      </c>
      <c r="Z48" s="52">
        <f ca="1"/>
        <v>80</v>
      </c>
      <c r="AA48" s="52">
        <f ca="1"/>
        <v>320</v>
      </c>
      <c r="AB48" s="52">
        <f ca="1"/>
        <v>480</v>
      </c>
      <c r="AC48" s="52">
        <f ca="1"/>
        <v>480</v>
      </c>
      <c r="AD48" s="52">
        <f ca="1"/>
        <v>100</v>
      </c>
      <c r="AE48" s="52">
        <f ca="1"/>
        <v>340</v>
      </c>
      <c r="AF48" s="52">
        <f ca="1"/>
        <v>340</v>
      </c>
      <c r="AG48" s="52">
        <f ca="1"/>
        <v>340</v>
      </c>
      <c r="AH48" s="2" t="s">
        <v>133</v>
      </c>
    </row>
    <row r="49" spans="4:36" ht="20.100000000000001" customHeight="1" x14ac:dyDescent="0.25">
      <c r="D49" s="98" t="s">
        <v>285</v>
      </c>
      <c r="W49" s="52" t="str">
        <f>TEXT(EDATE('Input - Site'!$E$12,5), "mmmm yyyy")</f>
        <v>June 2024</v>
      </c>
      <c r="X49" s="52">
        <f ca="1"/>
        <v>190</v>
      </c>
      <c r="Y49" s="52">
        <f ca="1"/>
        <v>700</v>
      </c>
      <c r="Z49" s="52">
        <f ca="1"/>
        <v>150</v>
      </c>
      <c r="AA49" s="52">
        <f ca="1"/>
        <v>330</v>
      </c>
      <c r="AB49" s="52">
        <f ca="1"/>
        <v>490</v>
      </c>
      <c r="AC49" s="52">
        <f ca="1"/>
        <v>490</v>
      </c>
      <c r="AD49" s="52">
        <f ca="1"/>
        <v>170</v>
      </c>
      <c r="AE49" s="52">
        <f ca="1"/>
        <v>360</v>
      </c>
      <c r="AF49" s="52">
        <f ca="1"/>
        <v>360</v>
      </c>
      <c r="AG49" s="52">
        <f ca="1"/>
        <v>360</v>
      </c>
      <c r="AH49" s="2" t="s">
        <v>133</v>
      </c>
    </row>
    <row r="50" spans="4:36" ht="20.100000000000001" customHeight="1" x14ac:dyDescent="0.25">
      <c r="D50" s="97" t="s">
        <v>244</v>
      </c>
      <c r="W50" s="52" t="str">
        <f>TEXT(EDATE('Input - Site'!$E$12,6), "mmmm yyyy")</f>
        <v>July 2024</v>
      </c>
      <c r="X50" s="52">
        <f ca="1"/>
        <v>190</v>
      </c>
      <c r="Y50" s="52">
        <f ca="1"/>
        <v>700</v>
      </c>
      <c r="Z50" s="52">
        <f ca="1"/>
        <v>150</v>
      </c>
      <c r="AA50" s="52">
        <f ca="1"/>
        <v>330</v>
      </c>
      <c r="AB50" s="52">
        <f ca="1"/>
        <v>490</v>
      </c>
      <c r="AC50" s="52">
        <f ca="1"/>
        <v>490</v>
      </c>
      <c r="AD50" s="52">
        <f ca="1"/>
        <v>170</v>
      </c>
      <c r="AE50" s="52">
        <f ca="1"/>
        <v>360</v>
      </c>
      <c r="AF50" s="52">
        <f ca="1"/>
        <v>360</v>
      </c>
      <c r="AG50" s="52">
        <f ca="1"/>
        <v>360</v>
      </c>
      <c r="AH50" s="2" t="s">
        <v>133</v>
      </c>
    </row>
    <row r="51" spans="4:36" ht="20.100000000000001" customHeight="1" x14ac:dyDescent="0.25">
      <c r="D51" s="51" t="s">
        <v>184</v>
      </c>
      <c r="E51" s="122" t="s">
        <v>131</v>
      </c>
      <c r="F51" s="122" t="s">
        <v>130</v>
      </c>
      <c r="G51" s="122" t="s">
        <v>165</v>
      </c>
      <c r="H51" s="122" t="s">
        <v>166</v>
      </c>
      <c r="I51" s="122" t="s">
        <v>167</v>
      </c>
      <c r="J51" s="122" t="s">
        <v>168</v>
      </c>
      <c r="K51" s="122" t="s">
        <v>169</v>
      </c>
      <c r="L51" s="122" t="s">
        <v>170</v>
      </c>
      <c r="M51" s="122" t="s">
        <v>171</v>
      </c>
      <c r="N51" s="122" t="s">
        <v>172</v>
      </c>
      <c r="W51" s="52" t="str">
        <f>TEXT(EDATE('Input - Site'!$E$12,7), "mmmm yyyy")</f>
        <v>August 2024</v>
      </c>
      <c r="X51" s="52">
        <f ca="1"/>
        <v>190</v>
      </c>
      <c r="Y51" s="52">
        <f ca="1"/>
        <v>700</v>
      </c>
      <c r="Z51" s="52">
        <f ca="1"/>
        <v>150</v>
      </c>
      <c r="AA51" s="52">
        <f ca="1"/>
        <v>330</v>
      </c>
      <c r="AB51" s="52">
        <f ca="1"/>
        <v>490</v>
      </c>
      <c r="AC51" s="52">
        <f ca="1"/>
        <v>490</v>
      </c>
      <c r="AD51" s="52">
        <f ca="1"/>
        <v>170</v>
      </c>
      <c r="AE51" s="52">
        <f ca="1"/>
        <v>360</v>
      </c>
      <c r="AF51" s="52">
        <f ca="1"/>
        <v>360</v>
      </c>
      <c r="AG51" s="52">
        <f ca="1"/>
        <v>360</v>
      </c>
      <c r="AH51" s="2" t="s">
        <v>133</v>
      </c>
      <c r="AI51" s="2"/>
      <c r="AJ51" s="2"/>
    </row>
    <row r="52" spans="4:36" ht="20.100000000000001" customHeight="1" x14ac:dyDescent="0.25">
      <c r="D52" s="52" t="str">
        <f>'Input - Pasture Beef'!D60</f>
        <v>Spring</v>
      </c>
      <c r="E52" s="52" cm="1">
        <f t="array" aca="1" ref="E52:N55" ca="1">OFFSET(X_Table_PastureBeef_Liveweight_Method1, 1,1, 4,10)</f>
        <v>340</v>
      </c>
      <c r="F52" s="52">
        <f ca="1"/>
        <v>800</v>
      </c>
      <c r="G52" s="52">
        <f ca="1"/>
        <v>260</v>
      </c>
      <c r="H52" s="52">
        <f ca="1"/>
        <v>420</v>
      </c>
      <c r="I52" s="52">
        <f ca="1"/>
        <v>550</v>
      </c>
      <c r="J52" s="52">
        <f ca="1"/>
        <v>550</v>
      </c>
      <c r="K52" s="52">
        <f ca="1"/>
        <v>300</v>
      </c>
      <c r="L52" s="52">
        <f ca="1"/>
        <v>480</v>
      </c>
      <c r="M52" s="52">
        <f ca="1"/>
        <v>480</v>
      </c>
      <c r="N52" s="52">
        <f ca="1"/>
        <v>480</v>
      </c>
      <c r="O52" s="2" t="s">
        <v>133</v>
      </c>
      <c r="P52" s="2"/>
      <c r="Q52" s="2"/>
      <c r="R52" s="2"/>
      <c r="S52" s="2"/>
      <c r="W52" s="52" t="str">
        <f>TEXT(EDATE('Input - Site'!$E$12,8), "mmmm yyyy")</f>
        <v>September 2024</v>
      </c>
      <c r="X52" s="52">
        <f ca="1"/>
        <v>340</v>
      </c>
      <c r="Y52" s="52">
        <f ca="1"/>
        <v>800</v>
      </c>
      <c r="Z52" s="52">
        <f ca="1"/>
        <v>260</v>
      </c>
      <c r="AA52" s="52">
        <f ca="1"/>
        <v>420</v>
      </c>
      <c r="AB52" s="52">
        <f ca="1"/>
        <v>550</v>
      </c>
      <c r="AC52" s="52">
        <f ca="1"/>
        <v>550</v>
      </c>
      <c r="AD52" s="52">
        <f ca="1"/>
        <v>300</v>
      </c>
      <c r="AE52" s="52">
        <f ca="1"/>
        <v>480</v>
      </c>
      <c r="AF52" s="52">
        <f ca="1"/>
        <v>480</v>
      </c>
      <c r="AG52" s="52">
        <f ca="1"/>
        <v>480</v>
      </c>
      <c r="AH52" s="2" t="s">
        <v>133</v>
      </c>
      <c r="AI52" s="2"/>
      <c r="AJ52" s="2"/>
    </row>
    <row r="53" spans="4:36" ht="20.100000000000001" customHeight="1" x14ac:dyDescent="0.25">
      <c r="D53" s="52" t="str">
        <f>'Input - Pasture Beef'!D61</f>
        <v>Summer</v>
      </c>
      <c r="E53" s="52">
        <f ca="1"/>
        <v>380</v>
      </c>
      <c r="F53" s="52">
        <f ca="1"/>
        <v>780</v>
      </c>
      <c r="G53" s="52">
        <f ca="1"/>
        <v>300</v>
      </c>
      <c r="H53" s="52">
        <f ca="1"/>
        <v>450</v>
      </c>
      <c r="I53" s="52">
        <f ca="1"/>
        <v>530</v>
      </c>
      <c r="J53" s="52">
        <f ca="1"/>
        <v>530</v>
      </c>
      <c r="K53" s="52">
        <f ca="1"/>
        <v>340</v>
      </c>
      <c r="L53" s="52">
        <f ca="1"/>
        <v>470</v>
      </c>
      <c r="M53" s="52">
        <f ca="1"/>
        <v>470</v>
      </c>
      <c r="N53" s="52">
        <f ca="1"/>
        <v>470</v>
      </c>
      <c r="O53" s="2" t="s">
        <v>133</v>
      </c>
      <c r="P53" s="2"/>
      <c r="Q53" s="2"/>
      <c r="R53" s="2"/>
      <c r="S53" s="2"/>
      <c r="W53" s="52" t="str">
        <f>TEXT(EDATE('Input - Site'!$E$12,9), "mmmm yyyy")</f>
        <v>October 2024</v>
      </c>
      <c r="X53" s="52">
        <f ca="1"/>
        <v>340</v>
      </c>
      <c r="Y53" s="52">
        <f ca="1"/>
        <v>800</v>
      </c>
      <c r="Z53" s="52">
        <f ca="1"/>
        <v>260</v>
      </c>
      <c r="AA53" s="52">
        <f ca="1"/>
        <v>420</v>
      </c>
      <c r="AB53" s="52">
        <f ca="1"/>
        <v>550</v>
      </c>
      <c r="AC53" s="52">
        <f ca="1"/>
        <v>550</v>
      </c>
      <c r="AD53" s="52">
        <f ca="1"/>
        <v>300</v>
      </c>
      <c r="AE53" s="52">
        <f ca="1"/>
        <v>480</v>
      </c>
      <c r="AF53" s="52">
        <f ca="1"/>
        <v>480</v>
      </c>
      <c r="AG53" s="52">
        <f ca="1"/>
        <v>480</v>
      </c>
      <c r="AH53" s="2" t="s">
        <v>133</v>
      </c>
      <c r="AI53" s="2"/>
      <c r="AJ53" s="2"/>
    </row>
    <row r="54" spans="4:36" ht="20.100000000000001" customHeight="1" x14ac:dyDescent="0.25">
      <c r="D54" s="52" t="str">
        <f>'Input - Pasture Beef'!D62</f>
        <v>Autumn</v>
      </c>
      <c r="E54" s="52">
        <f ca="1"/>
        <v>100</v>
      </c>
      <c r="F54" s="52">
        <f ca="1"/>
        <v>680</v>
      </c>
      <c r="G54" s="52">
        <f ca="1"/>
        <v>80</v>
      </c>
      <c r="H54" s="52">
        <f ca="1"/>
        <v>320</v>
      </c>
      <c r="I54" s="52">
        <f ca="1"/>
        <v>480</v>
      </c>
      <c r="J54" s="52">
        <f ca="1"/>
        <v>480</v>
      </c>
      <c r="K54" s="52">
        <f ca="1"/>
        <v>100</v>
      </c>
      <c r="L54" s="52">
        <f ca="1"/>
        <v>340</v>
      </c>
      <c r="M54" s="52">
        <f ca="1"/>
        <v>340</v>
      </c>
      <c r="N54" s="52">
        <f ca="1"/>
        <v>340</v>
      </c>
      <c r="O54" s="2" t="s">
        <v>133</v>
      </c>
      <c r="P54" s="2"/>
      <c r="Q54" s="2"/>
      <c r="R54" s="2"/>
      <c r="S54" s="2"/>
      <c r="W54" s="52" t="str">
        <f>TEXT(EDATE('Input - Site'!$E$12,10), "mmmm yyyy")</f>
        <v>November 2024</v>
      </c>
      <c r="X54" s="52">
        <f ca="1"/>
        <v>340</v>
      </c>
      <c r="Y54" s="52">
        <f ca="1"/>
        <v>800</v>
      </c>
      <c r="Z54" s="52">
        <f ca="1"/>
        <v>260</v>
      </c>
      <c r="AA54" s="52">
        <f ca="1"/>
        <v>420</v>
      </c>
      <c r="AB54" s="52">
        <f ca="1"/>
        <v>550</v>
      </c>
      <c r="AC54" s="52">
        <f ca="1"/>
        <v>550</v>
      </c>
      <c r="AD54" s="52">
        <f ca="1"/>
        <v>300</v>
      </c>
      <c r="AE54" s="52">
        <f ca="1"/>
        <v>480</v>
      </c>
      <c r="AF54" s="52">
        <f ca="1"/>
        <v>480</v>
      </c>
      <c r="AG54" s="52">
        <f ca="1"/>
        <v>480</v>
      </c>
      <c r="AH54" s="2" t="s">
        <v>133</v>
      </c>
      <c r="AI54" s="2"/>
      <c r="AJ54" s="2"/>
    </row>
    <row r="55" spans="4:36" ht="20.100000000000001" customHeight="1" x14ac:dyDescent="0.25">
      <c r="D55" s="52" t="str">
        <f>'Input - Pasture Beef'!D63</f>
        <v>Winter</v>
      </c>
      <c r="E55" s="52">
        <f ca="1"/>
        <v>190</v>
      </c>
      <c r="F55" s="52">
        <f ca="1"/>
        <v>700</v>
      </c>
      <c r="G55" s="52">
        <f ca="1"/>
        <v>150</v>
      </c>
      <c r="H55" s="52">
        <f ca="1"/>
        <v>330</v>
      </c>
      <c r="I55" s="52">
        <f ca="1"/>
        <v>490</v>
      </c>
      <c r="J55" s="52">
        <f ca="1"/>
        <v>490</v>
      </c>
      <c r="K55" s="52">
        <f ca="1"/>
        <v>170</v>
      </c>
      <c r="L55" s="52">
        <f ca="1"/>
        <v>360</v>
      </c>
      <c r="M55" s="52">
        <f ca="1"/>
        <v>360</v>
      </c>
      <c r="N55" s="52">
        <f ca="1"/>
        <v>360</v>
      </c>
      <c r="O55" s="2" t="s">
        <v>133</v>
      </c>
      <c r="P55" s="2"/>
      <c r="Q55" s="2"/>
      <c r="R55" s="2"/>
      <c r="S55" s="2"/>
      <c r="W55" s="52" t="str">
        <f>TEXT(EDATE('Input - Site'!$E$12,11), "mmmm yyyy")</f>
        <v>December 2024</v>
      </c>
      <c r="X55" s="52">
        <f ca="1"/>
        <v>380</v>
      </c>
      <c r="Y55" s="52">
        <f ca="1"/>
        <v>780</v>
      </c>
      <c r="Z55" s="52">
        <f ca="1"/>
        <v>300</v>
      </c>
      <c r="AA55" s="52">
        <f ca="1"/>
        <v>450</v>
      </c>
      <c r="AB55" s="52">
        <f ca="1"/>
        <v>530</v>
      </c>
      <c r="AC55" s="52">
        <f ca="1"/>
        <v>530</v>
      </c>
      <c r="AD55" s="52">
        <f ca="1"/>
        <v>340</v>
      </c>
      <c r="AE55" s="52">
        <f ca="1"/>
        <v>470</v>
      </c>
      <c r="AF55" s="52">
        <f ca="1"/>
        <v>470</v>
      </c>
      <c r="AG55" s="52">
        <f ca="1"/>
        <v>470</v>
      </c>
      <c r="AH55" s="2" t="s">
        <v>133</v>
      </c>
      <c r="AI55" s="2"/>
      <c r="AJ55" s="2"/>
    </row>
    <row r="56" spans="4:36" ht="20.100000000000001" customHeight="1" x14ac:dyDescent="0.25">
      <c r="AI56" s="2"/>
      <c r="AJ56" s="2"/>
    </row>
    <row r="57" spans="4:36" ht="20.100000000000001" customHeight="1" x14ac:dyDescent="0.25">
      <c r="W57" s="98" t="s">
        <v>256</v>
      </c>
      <c r="AI57" s="2"/>
      <c r="AJ57" s="2"/>
    </row>
    <row r="58" spans="4:36" ht="20.100000000000001" customHeight="1" x14ac:dyDescent="0.25">
      <c r="W58" s="97" t="s">
        <v>257</v>
      </c>
      <c r="AI58" s="2"/>
      <c r="AJ58" s="2"/>
    </row>
    <row r="59" spans="4:36" ht="20.100000000000001" customHeight="1" x14ac:dyDescent="0.25">
      <c r="W59" s="51" t="s">
        <v>132</v>
      </c>
      <c r="X59" s="122" t="s">
        <v>131</v>
      </c>
      <c r="Y59" s="122" t="s">
        <v>130</v>
      </c>
      <c r="Z59" s="122" t="s">
        <v>165</v>
      </c>
      <c r="AA59" s="122" t="s">
        <v>166</v>
      </c>
      <c r="AB59" s="122" t="s">
        <v>167</v>
      </c>
      <c r="AC59" s="122" t="s">
        <v>168</v>
      </c>
      <c r="AD59" s="122" t="s">
        <v>169</v>
      </c>
      <c r="AE59" s="122" t="s">
        <v>170</v>
      </c>
      <c r="AF59" s="122" t="s">
        <v>171</v>
      </c>
      <c r="AG59" s="122" t="s">
        <v>172</v>
      </c>
      <c r="AI59" s="2"/>
      <c r="AJ59" s="2"/>
    </row>
    <row r="60" spans="4:36" ht="20.100000000000001" customHeight="1" x14ac:dyDescent="0.25">
      <c r="W60" s="52" t="str">
        <f>TEXT('Input - Site'!$E$12, "mmmm yyyy")</f>
        <v>January 2024</v>
      </c>
      <c r="X60" s="52" cm="1">
        <f t="array" aca="1" ref="X60:AG71" ca="1">OFFSET(X_Table_PastureBeef_LiveweightGain_Method2, 1,1, 12,10)</f>
        <v>0.44</v>
      </c>
      <c r="Y60" s="52">
        <f ca="1"/>
        <v>-0.22</v>
      </c>
      <c r="Z60" s="52">
        <f ca="1"/>
        <v>0.44</v>
      </c>
      <c r="AA60" s="52">
        <f ca="1"/>
        <v>0.33</v>
      </c>
      <c r="AB60" s="52">
        <f ca="1"/>
        <v>-0.22</v>
      </c>
      <c r="AC60" s="52">
        <f ca="1"/>
        <v>-0.22</v>
      </c>
      <c r="AD60" s="52">
        <f ca="1"/>
        <v>0.44</v>
      </c>
      <c r="AE60" s="52">
        <f ca="1"/>
        <v>-0.11</v>
      </c>
      <c r="AF60" s="52">
        <f ca="1"/>
        <v>-0.11</v>
      </c>
      <c r="AG60" s="52">
        <f ca="1"/>
        <v>-0.11</v>
      </c>
      <c r="AH60" s="2" t="s">
        <v>134</v>
      </c>
      <c r="AI60" s="2"/>
      <c r="AJ60" s="2"/>
    </row>
    <row r="61" spans="4:36" ht="20.100000000000001" customHeight="1" x14ac:dyDescent="0.25">
      <c r="W61" s="52" t="str">
        <f>TEXT(EDATE('Input - Site'!$E$12,1), "mmmm yyyy")</f>
        <v>February 2024</v>
      </c>
      <c r="X61" s="52">
        <f ca="1"/>
        <v>0.44</v>
      </c>
      <c r="Y61" s="52">
        <f ca="1"/>
        <v>-0.22</v>
      </c>
      <c r="Z61" s="52">
        <f ca="1"/>
        <v>0.44</v>
      </c>
      <c r="AA61" s="52">
        <f ca="1"/>
        <v>0.33</v>
      </c>
      <c r="AB61" s="52">
        <f ca="1"/>
        <v>-0.22</v>
      </c>
      <c r="AC61" s="52">
        <f ca="1"/>
        <v>-0.22</v>
      </c>
      <c r="AD61" s="52">
        <f ca="1"/>
        <v>0.44</v>
      </c>
      <c r="AE61" s="52">
        <f ca="1"/>
        <v>-0.11</v>
      </c>
      <c r="AF61" s="52">
        <f ca="1"/>
        <v>-0.11</v>
      </c>
      <c r="AG61" s="52">
        <f ca="1"/>
        <v>-0.11</v>
      </c>
      <c r="AH61" s="2" t="s">
        <v>134</v>
      </c>
      <c r="AI61" s="2"/>
      <c r="AJ61" s="2"/>
    </row>
    <row r="62" spans="4:36" ht="20.100000000000001" customHeight="1" x14ac:dyDescent="0.25">
      <c r="W62" s="52" t="str">
        <f>TEXT(EDATE('Input - Site'!$E$12,2), "mmmm yyyy")</f>
        <v>March 2024</v>
      </c>
      <c r="X62" s="52">
        <f ca="1"/>
        <v>0.6</v>
      </c>
      <c r="Y62" s="52">
        <f ca="1"/>
        <v>0</v>
      </c>
      <c r="Z62" s="52">
        <f ca="1"/>
        <v>0.6</v>
      </c>
      <c r="AA62" s="52">
        <f ca="1"/>
        <v>0.22</v>
      </c>
      <c r="AB62" s="52">
        <f ca="1"/>
        <v>-0.55000000000000004</v>
      </c>
      <c r="AC62" s="52">
        <f ca="1"/>
        <v>-0.55000000000000004</v>
      </c>
      <c r="AD62" s="52">
        <f ca="1"/>
        <v>0.6</v>
      </c>
      <c r="AE62" s="52">
        <f ca="1"/>
        <v>0</v>
      </c>
      <c r="AF62" s="52">
        <f ca="1"/>
        <v>0</v>
      </c>
      <c r="AG62" s="52">
        <f ca="1"/>
        <v>0</v>
      </c>
      <c r="AH62" s="2" t="s">
        <v>134</v>
      </c>
      <c r="AI62" s="2"/>
      <c r="AJ62" s="2"/>
    </row>
    <row r="63" spans="4:36" ht="20.100000000000001" customHeight="1" x14ac:dyDescent="0.25">
      <c r="W63" s="52" t="str">
        <f>TEXT(EDATE('Input - Site'!$E$12,3), "mmmm yyyy")</f>
        <v>April 2024</v>
      </c>
      <c r="X63" s="52">
        <f ca="1"/>
        <v>0.6</v>
      </c>
      <c r="Y63" s="52">
        <f ca="1"/>
        <v>0</v>
      </c>
      <c r="Z63" s="52">
        <f ca="1"/>
        <v>0.6</v>
      </c>
      <c r="AA63" s="52">
        <f ca="1"/>
        <v>0.22</v>
      </c>
      <c r="AB63" s="52">
        <f ca="1"/>
        <v>-0.55000000000000004</v>
      </c>
      <c r="AC63" s="52">
        <f ca="1"/>
        <v>-0.55000000000000004</v>
      </c>
      <c r="AD63" s="52">
        <f ca="1"/>
        <v>0.6</v>
      </c>
      <c r="AE63" s="52">
        <f ca="1"/>
        <v>0</v>
      </c>
      <c r="AF63" s="52">
        <f ca="1"/>
        <v>0</v>
      </c>
      <c r="AG63" s="52">
        <f ca="1"/>
        <v>0</v>
      </c>
      <c r="AH63" s="2" t="s">
        <v>134</v>
      </c>
      <c r="AI63" s="2"/>
      <c r="AJ63" s="2"/>
    </row>
    <row r="64" spans="4:36" ht="20.100000000000001" customHeight="1" x14ac:dyDescent="0.25">
      <c r="W64" s="52" t="str">
        <f>TEXT(EDATE('Input - Site'!$E$12,4), "mmmm yyyy")</f>
        <v>May 2024</v>
      </c>
      <c r="X64" s="52">
        <f ca="1"/>
        <v>0.6</v>
      </c>
      <c r="Y64" s="52">
        <f ca="1"/>
        <v>0</v>
      </c>
      <c r="Z64" s="52">
        <f ca="1"/>
        <v>0.6</v>
      </c>
      <c r="AA64" s="52">
        <f ca="1"/>
        <v>0.22</v>
      </c>
      <c r="AB64" s="52">
        <f ca="1"/>
        <v>-0.55000000000000004</v>
      </c>
      <c r="AC64" s="52">
        <f ca="1"/>
        <v>-0.55000000000000004</v>
      </c>
      <c r="AD64" s="52">
        <f ca="1"/>
        <v>0.6</v>
      </c>
      <c r="AE64" s="52">
        <f ca="1"/>
        <v>0</v>
      </c>
      <c r="AF64" s="52">
        <f ca="1"/>
        <v>0</v>
      </c>
      <c r="AG64" s="52">
        <f ca="1"/>
        <v>0</v>
      </c>
      <c r="AH64" s="2" t="s">
        <v>134</v>
      </c>
    </row>
    <row r="65" spans="4:36" ht="20.100000000000001" customHeight="1" x14ac:dyDescent="0.25">
      <c r="D65" s="98" t="s">
        <v>242</v>
      </c>
      <c r="W65" s="52" t="str">
        <f>TEXT(EDATE('Input - Site'!$E$12,5), "mmmm yyyy")</f>
        <v>June 2024</v>
      </c>
      <c r="X65" s="52">
        <f ca="1"/>
        <v>0.99</v>
      </c>
      <c r="Y65" s="52">
        <f ca="1"/>
        <v>0.22</v>
      </c>
      <c r="Z65" s="52">
        <f ca="1"/>
        <v>0.77</v>
      </c>
      <c r="AA65" s="52">
        <f ca="1"/>
        <v>0.11</v>
      </c>
      <c r="AB65" s="52">
        <f ca="1"/>
        <v>0.11</v>
      </c>
      <c r="AC65" s="52">
        <f ca="1"/>
        <v>0.11</v>
      </c>
      <c r="AD65" s="52">
        <f ca="1"/>
        <v>0.77</v>
      </c>
      <c r="AE65" s="52">
        <f ca="1"/>
        <v>0.44</v>
      </c>
      <c r="AF65" s="52">
        <f ca="1"/>
        <v>0.44</v>
      </c>
      <c r="AG65" s="52">
        <f ca="1"/>
        <v>0.44</v>
      </c>
      <c r="AH65" s="2" t="s">
        <v>134</v>
      </c>
    </row>
    <row r="66" spans="4:36" ht="20.100000000000001" customHeight="1" x14ac:dyDescent="0.25">
      <c r="D66" s="97" t="s">
        <v>243</v>
      </c>
      <c r="W66" s="52" t="str">
        <f>TEXT(EDATE('Input - Site'!$E$12,6), "mmmm yyyy")</f>
        <v>July 2024</v>
      </c>
      <c r="X66" s="52">
        <f ca="1"/>
        <v>0.99</v>
      </c>
      <c r="Y66" s="52">
        <f ca="1"/>
        <v>0.22</v>
      </c>
      <c r="Z66" s="52">
        <f ca="1"/>
        <v>0.77</v>
      </c>
      <c r="AA66" s="52">
        <f ca="1"/>
        <v>0.11</v>
      </c>
      <c r="AB66" s="52">
        <f ca="1"/>
        <v>0.11</v>
      </c>
      <c r="AC66" s="52">
        <f ca="1"/>
        <v>0.11</v>
      </c>
      <c r="AD66" s="52">
        <f ca="1"/>
        <v>0.77</v>
      </c>
      <c r="AE66" s="52">
        <f ca="1"/>
        <v>0.44</v>
      </c>
      <c r="AF66" s="52">
        <f ca="1"/>
        <v>0.44</v>
      </c>
      <c r="AG66" s="52">
        <f ca="1"/>
        <v>0.44</v>
      </c>
      <c r="AH66" s="2" t="s">
        <v>134</v>
      </c>
    </row>
    <row r="67" spans="4:36" ht="20.100000000000001" customHeight="1" x14ac:dyDescent="0.25">
      <c r="D67" s="51" t="s">
        <v>184</v>
      </c>
      <c r="E67" s="122" t="s">
        <v>131</v>
      </c>
      <c r="F67" s="122" t="s">
        <v>130</v>
      </c>
      <c r="G67" s="122" t="s">
        <v>165</v>
      </c>
      <c r="H67" s="122" t="s">
        <v>166</v>
      </c>
      <c r="I67" s="122" t="s">
        <v>167</v>
      </c>
      <c r="J67" s="122" t="s">
        <v>168</v>
      </c>
      <c r="K67" s="122" t="s">
        <v>169</v>
      </c>
      <c r="L67" s="122" t="s">
        <v>170</v>
      </c>
      <c r="M67" s="122" t="s">
        <v>171</v>
      </c>
      <c r="N67" s="122" t="s">
        <v>172</v>
      </c>
      <c r="W67" s="52" t="str">
        <f>TEXT(EDATE('Input - Site'!$E$12,7), "mmmm yyyy")</f>
        <v>August 2024</v>
      </c>
      <c r="X67" s="52">
        <f ca="1"/>
        <v>0.99</v>
      </c>
      <c r="Y67" s="52">
        <f ca="1"/>
        <v>0.22</v>
      </c>
      <c r="Z67" s="52">
        <f ca="1"/>
        <v>0.77</v>
      </c>
      <c r="AA67" s="52">
        <f ca="1"/>
        <v>0.11</v>
      </c>
      <c r="AB67" s="52">
        <f ca="1"/>
        <v>0.11</v>
      </c>
      <c r="AC67" s="52">
        <f ca="1"/>
        <v>0.11</v>
      </c>
      <c r="AD67" s="52">
        <f ca="1"/>
        <v>0.77</v>
      </c>
      <c r="AE67" s="52">
        <f ca="1"/>
        <v>0.44</v>
      </c>
      <c r="AF67" s="52">
        <f ca="1"/>
        <v>0.44</v>
      </c>
      <c r="AG67" s="52">
        <f ca="1"/>
        <v>0.44</v>
      </c>
      <c r="AH67" s="2" t="s">
        <v>134</v>
      </c>
    </row>
    <row r="68" spans="4:36" ht="20.100000000000001" customHeight="1" x14ac:dyDescent="0.25">
      <c r="D68" s="52" t="str">
        <f>'Input - Pasture Beef'!D82</f>
        <v>Spring</v>
      </c>
      <c r="E68" s="52" cm="1">
        <f t="array" aca="1" ref="E68:N71" ca="1">OFFSET(X_Table_PastureBeef_LiveweightGain_Method1, 1,1, 4,10)</f>
        <v>1.64</v>
      </c>
      <c r="F68" s="52">
        <f ca="1"/>
        <v>1.1000000000000001</v>
      </c>
      <c r="G68" s="52">
        <f ca="1"/>
        <v>1.21</v>
      </c>
      <c r="H68" s="52">
        <f ca="1"/>
        <v>0.99</v>
      </c>
      <c r="I68" s="52">
        <f ca="1"/>
        <v>0.66</v>
      </c>
      <c r="J68" s="52">
        <f ca="1"/>
        <v>0.66</v>
      </c>
      <c r="K68" s="52">
        <f ca="1"/>
        <v>1.42</v>
      </c>
      <c r="L68" s="52">
        <f ca="1"/>
        <v>1.1000000000000001</v>
      </c>
      <c r="M68" s="52">
        <f ca="1"/>
        <v>1.1000000000000001</v>
      </c>
      <c r="N68" s="52">
        <f ca="1"/>
        <v>1.1000000000000001</v>
      </c>
      <c r="O68" s="2" t="s">
        <v>133</v>
      </c>
      <c r="P68" s="2"/>
      <c r="Q68" s="2"/>
      <c r="R68" s="2"/>
      <c r="S68" s="2"/>
      <c r="W68" s="52" t="str">
        <f>TEXT(EDATE('Input - Site'!$E$12,8), "mmmm yyyy")</f>
        <v>September 2024</v>
      </c>
      <c r="X68" s="52">
        <f ca="1"/>
        <v>1.64</v>
      </c>
      <c r="Y68" s="52">
        <f ca="1"/>
        <v>1.1000000000000001</v>
      </c>
      <c r="Z68" s="52">
        <f ca="1"/>
        <v>1.21</v>
      </c>
      <c r="AA68" s="52">
        <f ca="1"/>
        <v>0.99</v>
      </c>
      <c r="AB68" s="52">
        <f ca="1"/>
        <v>0.66</v>
      </c>
      <c r="AC68" s="52">
        <f ca="1"/>
        <v>0.66</v>
      </c>
      <c r="AD68" s="52">
        <f ca="1"/>
        <v>1.42</v>
      </c>
      <c r="AE68" s="52">
        <f ca="1"/>
        <v>1.1000000000000001</v>
      </c>
      <c r="AF68" s="52">
        <f ca="1"/>
        <v>1.1000000000000001</v>
      </c>
      <c r="AG68" s="52">
        <f ca="1"/>
        <v>1.1000000000000001</v>
      </c>
      <c r="AH68" s="2" t="s">
        <v>134</v>
      </c>
      <c r="AI68" s="2"/>
      <c r="AJ68" s="2"/>
    </row>
    <row r="69" spans="4:36" ht="20.100000000000001" customHeight="1" x14ac:dyDescent="0.25">
      <c r="D69" s="52" t="str">
        <f>'Input - Pasture Beef'!D83</f>
        <v>Summer</v>
      </c>
      <c r="E69" s="52">
        <f ca="1"/>
        <v>0.44</v>
      </c>
      <c r="F69" s="52">
        <f ca="1"/>
        <v>-0.22</v>
      </c>
      <c r="G69" s="52">
        <f ca="1"/>
        <v>0.44</v>
      </c>
      <c r="H69" s="52">
        <f ca="1"/>
        <v>0.33</v>
      </c>
      <c r="I69" s="52">
        <f ca="1"/>
        <v>-0.22</v>
      </c>
      <c r="J69" s="52">
        <f ca="1"/>
        <v>-0.22</v>
      </c>
      <c r="K69" s="52">
        <f ca="1"/>
        <v>0.44</v>
      </c>
      <c r="L69" s="52">
        <f ca="1"/>
        <v>-0.11</v>
      </c>
      <c r="M69" s="52">
        <f ca="1"/>
        <v>-0.11</v>
      </c>
      <c r="N69" s="52">
        <f ca="1"/>
        <v>-0.11</v>
      </c>
      <c r="O69" s="2" t="s">
        <v>133</v>
      </c>
      <c r="P69" s="2"/>
      <c r="Q69" s="2"/>
      <c r="R69" s="2"/>
      <c r="S69" s="2"/>
      <c r="W69" s="52" t="str">
        <f>TEXT(EDATE('Input - Site'!$E$12,9), "mmmm yyyy")</f>
        <v>October 2024</v>
      </c>
      <c r="X69" s="52">
        <f ca="1"/>
        <v>1.64</v>
      </c>
      <c r="Y69" s="52">
        <f ca="1"/>
        <v>1.1000000000000001</v>
      </c>
      <c r="Z69" s="52">
        <f ca="1"/>
        <v>1.21</v>
      </c>
      <c r="AA69" s="52">
        <f ca="1"/>
        <v>0.99</v>
      </c>
      <c r="AB69" s="52">
        <f ca="1"/>
        <v>0.66</v>
      </c>
      <c r="AC69" s="52">
        <f ca="1"/>
        <v>0.66</v>
      </c>
      <c r="AD69" s="52">
        <f ca="1"/>
        <v>1.42</v>
      </c>
      <c r="AE69" s="52">
        <f ca="1"/>
        <v>1.1000000000000001</v>
      </c>
      <c r="AF69" s="52">
        <f ca="1"/>
        <v>1.1000000000000001</v>
      </c>
      <c r="AG69" s="52">
        <f ca="1"/>
        <v>1.1000000000000001</v>
      </c>
      <c r="AH69" s="2" t="s">
        <v>134</v>
      </c>
      <c r="AI69" s="2"/>
      <c r="AJ69" s="2"/>
    </row>
    <row r="70" spans="4:36" ht="20.100000000000001" customHeight="1" x14ac:dyDescent="0.25">
      <c r="D70" s="52" t="str">
        <f>'Input - Pasture Beef'!D84</f>
        <v>Autumn</v>
      </c>
      <c r="E70" s="52">
        <f ca="1"/>
        <v>0.6</v>
      </c>
      <c r="F70" s="52">
        <f ca="1"/>
        <v>0</v>
      </c>
      <c r="G70" s="52">
        <f ca="1"/>
        <v>0.6</v>
      </c>
      <c r="H70" s="52">
        <f ca="1"/>
        <v>0.22</v>
      </c>
      <c r="I70" s="52">
        <f ca="1"/>
        <v>-0.55000000000000004</v>
      </c>
      <c r="J70" s="52">
        <f ca="1"/>
        <v>-0.55000000000000004</v>
      </c>
      <c r="K70" s="52">
        <f ca="1"/>
        <v>0.6</v>
      </c>
      <c r="L70" s="52">
        <f ca="1"/>
        <v>0</v>
      </c>
      <c r="M70" s="52">
        <f ca="1"/>
        <v>0</v>
      </c>
      <c r="N70" s="52">
        <f ca="1"/>
        <v>0</v>
      </c>
      <c r="O70" s="2" t="s">
        <v>133</v>
      </c>
      <c r="P70" s="2"/>
      <c r="Q70" s="2"/>
      <c r="R70" s="2"/>
      <c r="S70" s="2"/>
      <c r="W70" s="52" t="str">
        <f>TEXT(EDATE('Input - Site'!$E$12,10), "mmmm yyyy")</f>
        <v>November 2024</v>
      </c>
      <c r="X70" s="52">
        <f ca="1"/>
        <v>1.64</v>
      </c>
      <c r="Y70" s="52">
        <f ca="1"/>
        <v>1.1000000000000001</v>
      </c>
      <c r="Z70" s="52">
        <f ca="1"/>
        <v>1.21</v>
      </c>
      <c r="AA70" s="52">
        <f ca="1"/>
        <v>0.99</v>
      </c>
      <c r="AB70" s="52">
        <f ca="1"/>
        <v>0.66</v>
      </c>
      <c r="AC70" s="52">
        <f ca="1"/>
        <v>0.66</v>
      </c>
      <c r="AD70" s="52">
        <f ca="1"/>
        <v>1.42</v>
      </c>
      <c r="AE70" s="52">
        <f ca="1"/>
        <v>1.1000000000000001</v>
      </c>
      <c r="AF70" s="52">
        <f ca="1"/>
        <v>1.1000000000000001</v>
      </c>
      <c r="AG70" s="52">
        <f ca="1"/>
        <v>1.1000000000000001</v>
      </c>
      <c r="AH70" s="2" t="s">
        <v>134</v>
      </c>
      <c r="AI70" s="2"/>
      <c r="AJ70" s="2"/>
    </row>
    <row r="71" spans="4:36" ht="20.100000000000001" customHeight="1" x14ac:dyDescent="0.25">
      <c r="D71" s="52" t="str">
        <f>'Input - Pasture Beef'!D85</f>
        <v>Winter</v>
      </c>
      <c r="E71" s="52">
        <f ca="1"/>
        <v>0.99</v>
      </c>
      <c r="F71" s="52">
        <f ca="1"/>
        <v>0.22</v>
      </c>
      <c r="G71" s="52">
        <f ca="1"/>
        <v>0.77</v>
      </c>
      <c r="H71" s="52">
        <f ca="1"/>
        <v>0.11</v>
      </c>
      <c r="I71" s="52">
        <f ca="1"/>
        <v>0.11</v>
      </c>
      <c r="J71" s="52">
        <f ca="1"/>
        <v>0.11</v>
      </c>
      <c r="K71" s="52">
        <f ca="1"/>
        <v>0.77</v>
      </c>
      <c r="L71" s="52">
        <f ca="1"/>
        <v>0.44</v>
      </c>
      <c r="M71" s="52">
        <f ca="1"/>
        <v>0.44</v>
      </c>
      <c r="N71" s="52">
        <f ca="1"/>
        <v>0.44</v>
      </c>
      <c r="O71" s="2" t="s">
        <v>133</v>
      </c>
      <c r="P71" s="2"/>
      <c r="Q71" s="2"/>
      <c r="R71" s="2"/>
      <c r="S71" s="2"/>
      <c r="W71" s="52" t="str">
        <f>TEXT(EDATE('Input - Site'!$E$12,11), "mmmm yyyy")</f>
        <v>December 2024</v>
      </c>
      <c r="X71" s="52">
        <f ca="1"/>
        <v>0.44</v>
      </c>
      <c r="Y71" s="52">
        <f ca="1"/>
        <v>-0.22</v>
      </c>
      <c r="Z71" s="52">
        <f ca="1"/>
        <v>0.44</v>
      </c>
      <c r="AA71" s="52">
        <f ca="1"/>
        <v>0.33</v>
      </c>
      <c r="AB71" s="52">
        <f ca="1"/>
        <v>-0.22</v>
      </c>
      <c r="AC71" s="52">
        <f ca="1"/>
        <v>-0.22</v>
      </c>
      <c r="AD71" s="52">
        <f ca="1"/>
        <v>0.44</v>
      </c>
      <c r="AE71" s="52">
        <f ca="1"/>
        <v>-0.11</v>
      </c>
      <c r="AF71" s="52">
        <f ca="1"/>
        <v>-0.11</v>
      </c>
      <c r="AG71" s="52">
        <f ca="1"/>
        <v>-0.11</v>
      </c>
      <c r="AH71" s="2" t="s">
        <v>134</v>
      </c>
      <c r="AI71" s="2"/>
      <c r="AJ71" s="2"/>
    </row>
    <row r="72" spans="4:36" ht="20.100000000000001" customHeight="1" x14ac:dyDescent="0.25">
      <c r="AI72" s="2"/>
      <c r="AJ72" s="2"/>
    </row>
    <row r="73" spans="4:36" ht="20.100000000000001" customHeight="1" x14ac:dyDescent="0.25">
      <c r="W73" s="98" t="s">
        <v>258</v>
      </c>
      <c r="AI73" s="2"/>
      <c r="AJ73" s="2"/>
    </row>
    <row r="74" spans="4:36" ht="20.100000000000001" customHeight="1" x14ac:dyDescent="0.25">
      <c r="W74" s="97" t="s">
        <v>143</v>
      </c>
      <c r="AI74" s="2"/>
      <c r="AJ74" s="2"/>
    </row>
    <row r="75" spans="4:36" ht="20.100000000000001" customHeight="1" x14ac:dyDescent="0.25">
      <c r="W75" s="51" t="s">
        <v>132</v>
      </c>
      <c r="X75" s="51" t="s">
        <v>131</v>
      </c>
      <c r="Y75" s="51" t="s">
        <v>130</v>
      </c>
      <c r="Z75" s="51" t="s">
        <v>165</v>
      </c>
      <c r="AA75" s="51" t="s">
        <v>166</v>
      </c>
      <c r="AB75" s="51" t="s">
        <v>167</v>
      </c>
      <c r="AC75" s="51" t="s">
        <v>168</v>
      </c>
      <c r="AD75" s="51" t="s">
        <v>169</v>
      </c>
      <c r="AE75" s="51" t="s">
        <v>170</v>
      </c>
      <c r="AF75" s="51" t="s">
        <v>171</v>
      </c>
      <c r="AG75" s="51" t="s">
        <v>172</v>
      </c>
      <c r="AI75" s="2"/>
      <c r="AJ75" s="2"/>
    </row>
    <row r="76" spans="4:36" ht="20.100000000000001" customHeight="1" x14ac:dyDescent="0.25">
      <c r="W76" s="52" t="str">
        <f>TEXT('Input - Site'!$E$12, "mmmm yyyy")</f>
        <v>January 2024</v>
      </c>
      <c r="X76" s="52" cm="1">
        <f t="array" aca="1" ref="X76" ca="1">EntericMethane_PastureBeef_Equations.VEERG_3_2_1_1__3_FeedIntakeForGrazingBeef(X44,X60,Z28)</f>
        <v>7.1468536895999959</v>
      </c>
      <c r="Y76" s="52" cm="1">
        <f t="array" aca="1" ref="Y76" ca="1">EntericMethane_PastureBeef_Equations.VEERG_3_2_1_1__3_FeedIntakeForGrazingBeef(Y44,Y60,AA28)</f>
        <v>9.4559940036000008</v>
      </c>
      <c r="Z76" s="52" cm="1">
        <f t="array" aca="1" ref="Z76" ca="1">EntericMethane_PastureBeef_Equations.VEERG_3_2_1_1__3_FeedIntakeForGrazingBeef(Z44,Z60,AB28)</f>
        <v>6.010342559999998</v>
      </c>
      <c r="AA76" s="52" cm="1">
        <f t="array" aca="1" ref="AA76" ca="1">EntericMethane_PastureBeef_Equations.VEERG_3_2_1_1__3_FeedIntakeForGrazingBeef(AA44,AA60,AC28)</f>
        <v>8.4608409301875014</v>
      </c>
      <c r="AB76" s="52" cm="1">
        <f t="array" aca="1" ref="AB76" ca="1">EntericMethane_PastureBeef_Equations.VEERG_3_2_1_1__3_FeedIntakeForGrazingBeef(AB44,AB60,AD28)</f>
        <v>8.3772677761199983</v>
      </c>
      <c r="AC76" s="52" cm="1">
        <f t="array" aca="1" ref="AC76" ca="1">EntericMethane_PastureBeef_Equations.VEERG_3_2_1_1__3_FeedIntakeForGrazingBeef(AC44,AC60,AE28)</f>
        <v>8.3772677761199983</v>
      </c>
      <c r="AD76" s="52" cm="1">
        <f t="array" aca="1" ref="AD76" ca="1">EntericMethane_PastureBeef_Equations.VEERG_3_2_1_1__3_FeedIntakeForGrazingBeef(AD44,AD60,AF28)</f>
        <v>6.5876408896000003</v>
      </c>
      <c r="AE76" s="52" cm="1">
        <f t="array" aca="1" ref="AE76" ca="1">EntericMethane_PastureBeef_Equations.VEERG_3_2_1_1__3_FeedIntakeForGrazingBeef(AE44,AE60,AG28)</f>
        <v>7.3430702361</v>
      </c>
      <c r="AF76" s="52" cm="1">
        <f t="array" aca="1" ref="AF76" ca="1">EntericMethane_PastureBeef_Equations.VEERG_3_2_1_1__3_FeedIntakeForGrazingBeef(AF44,AF60,AH28)</f>
        <v>7.3430702361</v>
      </c>
      <c r="AG76" s="52" cm="1">
        <f t="array" aca="1" ref="AG76" ca="1">EntericMethane_PastureBeef_Equations.VEERG_3_2_1_1__3_FeedIntakeForGrazingBeef(AG44,AG60,AI28)</f>
        <v>7.3430702361</v>
      </c>
      <c r="AH76" s="2" t="str">
        <f t="shared" ref="AH76:AH87" si="2">$E$43</f>
        <v>kg DM/head/day</v>
      </c>
      <c r="AI76" s="2"/>
      <c r="AJ76" s="2"/>
    </row>
    <row r="77" spans="4:36" ht="20.100000000000001" customHeight="1" x14ac:dyDescent="0.25">
      <c r="W77" s="52" t="str">
        <f>TEXT(EDATE('Input - Site'!$E$12,1), "mmmm yyyy")</f>
        <v>February 2024</v>
      </c>
      <c r="X77" s="52" cm="1">
        <f t="array" aca="1" ref="X77" ca="1">EntericMethane_PastureBeef_Equations.VEERG_3_2_1_1__3_FeedIntakeForGrazingBeef(X45,X61,Z29)</f>
        <v>7.1468536895999959</v>
      </c>
      <c r="Y77" s="52" cm="1">
        <f t="array" aca="1" ref="Y77" ca="1">EntericMethane_PastureBeef_Equations.VEERG_3_2_1_1__3_FeedIntakeForGrazingBeef(Y45,Y61,AA29)</f>
        <v>9.4559940036000008</v>
      </c>
      <c r="Z77" s="52" cm="1">
        <f t="array" aca="1" ref="Z77" ca="1">EntericMethane_PastureBeef_Equations.VEERG_3_2_1_1__3_FeedIntakeForGrazingBeef(Z45,Z61,AB29)</f>
        <v>6.010342559999998</v>
      </c>
      <c r="AA77" s="52" cm="1">
        <f t="array" aca="1" ref="AA77" ca="1">EntericMethane_PastureBeef_Equations.VEERG_3_2_1_1__3_FeedIntakeForGrazingBeef(AA45,AA61,AC29)</f>
        <v>7.8705497025</v>
      </c>
      <c r="AB77" s="52" cm="1">
        <f t="array" aca="1" ref="AB77" ca="1">EntericMethane_PastureBeef_Equations.VEERG_3_2_1_1__3_FeedIntakeForGrazingBeef(AB45,AB61,AD29)</f>
        <v>7.7928072335999978</v>
      </c>
      <c r="AC77" s="52" cm="1">
        <f t="array" aca="1" ref="AC77" ca="1">EntericMethane_PastureBeef_Equations.VEERG_3_2_1_1__3_FeedIntakeForGrazingBeef(AC45,AC61,AE29)</f>
        <v>7.7928072335999978</v>
      </c>
      <c r="AD77" s="52" cm="1">
        <f t="array" aca="1" ref="AD77" ca="1">EntericMethane_PastureBeef_Equations.VEERG_3_2_1_1__3_FeedIntakeForGrazingBeef(AD45,AD61,AF29)</f>
        <v>6.5876408896000003</v>
      </c>
      <c r="AE77" s="52" cm="1">
        <f t="array" aca="1" ref="AE77" ca="1">EntericMethane_PastureBeef_Equations.VEERG_3_2_1_1__3_FeedIntakeForGrazingBeef(AE45,AE61,AG29)</f>
        <v>7.3430702361</v>
      </c>
      <c r="AF77" s="52" cm="1">
        <f t="array" aca="1" ref="AF77" ca="1">EntericMethane_PastureBeef_Equations.VEERG_3_2_1_1__3_FeedIntakeForGrazingBeef(AF45,AF61,AH29)</f>
        <v>7.3430702361</v>
      </c>
      <c r="AG77" s="52" cm="1">
        <f t="array" aca="1" ref="AG77" ca="1">EntericMethane_PastureBeef_Equations.VEERG_3_2_1_1__3_FeedIntakeForGrazingBeef(AG45,AG61,AI29)</f>
        <v>7.3430702361</v>
      </c>
      <c r="AH77" s="2" t="str">
        <f t="shared" si="2"/>
        <v>kg DM/head/day</v>
      </c>
      <c r="AI77" s="2"/>
      <c r="AJ77" s="2"/>
    </row>
    <row r="78" spans="4:36" ht="20.100000000000001" customHeight="1" x14ac:dyDescent="0.25">
      <c r="W78" s="52" t="str">
        <f>TEXT(EDATE('Input - Site'!$E$12,2), "mmmm yyyy")</f>
        <v>March 2024</v>
      </c>
      <c r="X78" s="52" cm="1">
        <f t="array" aca="1" ref="X78" ca="1">EntericMethane_PastureBeef_Equations.VEERG_3_2_1_1__3_FeedIntakeForGrazingBeef(X46,X62,Z30)</f>
        <v>3.247204</v>
      </c>
      <c r="Y78" s="52" cm="1">
        <f t="array" aca="1" ref="Y78" ca="1">EntericMethane_PastureBeef_Equations.VEERG_3_2_1_1__3_FeedIntakeForGrazingBeef(Y46,Y62,AA30)</f>
        <v>9.4246544015999998</v>
      </c>
      <c r="Z78" s="52" cm="1">
        <f t="array" aca="1" ref="Z78" ca="1">EntericMethane_PastureBeef_Equations.VEERG_3_2_1_1__3_FeedIntakeForGrazingBeef(Z46,Z62,AB30)</f>
        <v>2.9603267136000002</v>
      </c>
      <c r="AA78" s="52" cm="1">
        <f t="array" aca="1" ref="AA78" ca="1">EntericMethane_PastureBeef_Equations.VEERG_3_2_1_1__3_FeedIntakeForGrazingBeef(AA46,AA62,AC30)</f>
        <v>5.9577975395999987</v>
      </c>
      <c r="AB78" s="52" cm="1">
        <f t="array" aca="1" ref="AB78" ca="1">EntericMethane_PastureBeef_Equations.VEERG_3_2_1_1__3_FeedIntakeForGrazingBeef(AB46,AB62,AD30)</f>
        <v>6.7179974480999993</v>
      </c>
      <c r="AC78" s="52" cm="1">
        <f t="array" aca="1" ref="AC78" ca="1">EntericMethane_PastureBeef_Equations.VEERG_3_2_1_1__3_FeedIntakeForGrazingBeef(AC46,AC62,AE30)</f>
        <v>6.7179974480999993</v>
      </c>
      <c r="AD78" s="52" cm="1">
        <f t="array" aca="1" ref="AD78" ca="1">EntericMethane_PastureBeef_Equations.VEERG_3_2_1_1__3_FeedIntakeForGrazingBeef(AD46,AD62,AF30)</f>
        <v>3.247204</v>
      </c>
      <c r="AE78" s="52" cm="1">
        <f t="array" aca="1" ref="AE78" ca="1">EntericMethane_PastureBeef_Equations.VEERG_3_2_1_1__3_FeedIntakeForGrazingBeef(AE46,AE62,AG30)</f>
        <v>5.8953782416000013</v>
      </c>
      <c r="AF78" s="52" cm="1">
        <f t="array" aca="1" ref="AF78" ca="1">EntericMethane_PastureBeef_Equations.VEERG_3_2_1_1__3_FeedIntakeForGrazingBeef(AF46,AF62,AH30)</f>
        <v>5.8953782416000013</v>
      </c>
      <c r="AG78" s="52" cm="1">
        <f t="array" aca="1" ref="AG78" ca="1">EntericMethane_PastureBeef_Equations.VEERG_3_2_1_1__3_FeedIntakeForGrazingBeef(AG46,AG62,AI30)</f>
        <v>5.8953782416000013</v>
      </c>
      <c r="AH78" s="2" t="str">
        <f t="shared" si="2"/>
        <v>kg DM/head/day</v>
      </c>
      <c r="AI78" s="2"/>
      <c r="AJ78" s="2"/>
    </row>
    <row r="79" spans="4:36" ht="20.100000000000001" customHeight="1" x14ac:dyDescent="0.25">
      <c r="W79" s="52" t="str">
        <f>TEXT(EDATE('Input - Site'!$E$12,3), "mmmm yyyy")</f>
        <v>April 2024</v>
      </c>
      <c r="X79" s="52" cm="1">
        <f t="array" aca="1" ref="X79" ca="1">EntericMethane_PastureBeef_Equations.VEERG_3_2_1_1__3_FeedIntakeForGrazingBeef(X47,X63,Z31)</f>
        <v>3.247204</v>
      </c>
      <c r="Y79" s="52" cm="1">
        <f t="array" aca="1" ref="Y79" ca="1">EntericMethane_PastureBeef_Equations.VEERG_3_2_1_1__3_FeedIntakeForGrazingBeef(Y47,Y63,AA31)</f>
        <v>9.4246544015999998</v>
      </c>
      <c r="Z79" s="52" cm="1">
        <f t="array" aca="1" ref="Z79" ca="1">EntericMethane_PastureBeef_Equations.VEERG_3_2_1_1__3_FeedIntakeForGrazingBeef(Z47,Z63,AB31)</f>
        <v>2.9603267136000002</v>
      </c>
      <c r="AA79" s="52" cm="1">
        <f t="array" aca="1" ref="AA79" ca="1">EntericMethane_PastureBeef_Equations.VEERG_3_2_1_1__3_FeedIntakeForGrazingBeef(AA47,AA63,AC31)</f>
        <v>5.9577975395999987</v>
      </c>
      <c r="AB79" s="52" cm="1">
        <f t="array" aca="1" ref="AB79" ca="1">EntericMethane_PastureBeef_Equations.VEERG_3_2_1_1__3_FeedIntakeForGrazingBeef(AB47,AB63,AD31)</f>
        <v>6.7179974480999993</v>
      </c>
      <c r="AC79" s="52" cm="1">
        <f t="array" aca="1" ref="AC79" ca="1">EntericMethane_PastureBeef_Equations.VEERG_3_2_1_1__3_FeedIntakeForGrazingBeef(AC47,AC63,AE31)</f>
        <v>6.7179974480999993</v>
      </c>
      <c r="AD79" s="52" cm="1">
        <f t="array" aca="1" ref="AD79" ca="1">EntericMethane_PastureBeef_Equations.VEERG_3_2_1_1__3_FeedIntakeForGrazingBeef(AD47,AD63,AF31)</f>
        <v>3.247204</v>
      </c>
      <c r="AE79" s="52" cm="1">
        <f t="array" aca="1" ref="AE79" ca="1">EntericMethane_PastureBeef_Equations.VEERG_3_2_1_1__3_FeedIntakeForGrazingBeef(AE47,AE63,AG31)</f>
        <v>5.8953782416000013</v>
      </c>
      <c r="AF79" s="52" cm="1">
        <f t="array" aca="1" ref="AF79" ca="1">EntericMethane_PastureBeef_Equations.VEERG_3_2_1_1__3_FeedIntakeForGrazingBeef(AF47,AF63,AH31)</f>
        <v>5.8953782416000013</v>
      </c>
      <c r="AG79" s="52" cm="1">
        <f t="array" aca="1" ref="AG79" ca="1">EntericMethane_PastureBeef_Equations.VEERG_3_2_1_1__3_FeedIntakeForGrazingBeef(AG47,AG63,AI31)</f>
        <v>5.8953782416000013</v>
      </c>
      <c r="AH79" s="2" t="str">
        <f t="shared" si="2"/>
        <v>kg DM/head/day</v>
      </c>
      <c r="AI79" s="2"/>
      <c r="AJ79" s="2"/>
    </row>
    <row r="80" spans="4:36" ht="20.100000000000001" customHeight="1" x14ac:dyDescent="0.25">
      <c r="W80" s="52" t="str">
        <f>TEXT(EDATE('Input - Site'!$E$12,4), "mmmm yyyy")</f>
        <v>May 2024</v>
      </c>
      <c r="X80" s="52" cm="1">
        <f t="array" aca="1" ref="X80" ca="1">EntericMethane_PastureBeef_Equations.VEERG_3_2_1_1__3_FeedIntakeForGrazingBeef(X48,X64,Z32)</f>
        <v>3.247204</v>
      </c>
      <c r="Y80" s="52" cm="1">
        <f t="array" aca="1" ref="Y80" ca="1">EntericMethane_PastureBeef_Equations.VEERG_3_2_1_1__3_FeedIntakeForGrazingBeef(Y48,Y64,AA32)</f>
        <v>9.4246544015999998</v>
      </c>
      <c r="Z80" s="52" cm="1">
        <f t="array" aca="1" ref="Z80" ca="1">EntericMethane_PastureBeef_Equations.VEERG_3_2_1_1__3_FeedIntakeForGrazingBeef(Z48,Z64,AB32)</f>
        <v>2.9603267136000002</v>
      </c>
      <c r="AA80" s="52" cm="1">
        <f t="array" aca="1" ref="AA80" ca="1">EntericMethane_PastureBeef_Equations.VEERG_3_2_1_1__3_FeedIntakeForGrazingBeef(AA48,AA64,AC32)</f>
        <v>5.9577975395999987</v>
      </c>
      <c r="AB80" s="52" cm="1">
        <f t="array" aca="1" ref="AB80" ca="1">EntericMethane_PastureBeef_Equations.VEERG_3_2_1_1__3_FeedIntakeForGrazingBeef(AB48,AB64,AD32)</f>
        <v>6.7179974480999993</v>
      </c>
      <c r="AC80" s="52" cm="1">
        <f t="array" aca="1" ref="AC80" ca="1">EntericMethane_PastureBeef_Equations.VEERG_3_2_1_1__3_FeedIntakeForGrazingBeef(AC48,AC64,AE32)</f>
        <v>6.7179974480999993</v>
      </c>
      <c r="AD80" s="52" cm="1">
        <f t="array" aca="1" ref="AD80" ca="1">EntericMethane_PastureBeef_Equations.VEERG_3_2_1_1__3_FeedIntakeForGrazingBeef(AD48,AD64,AF32)</f>
        <v>3.247204</v>
      </c>
      <c r="AE80" s="52" cm="1">
        <f t="array" aca="1" ref="AE80" ca="1">EntericMethane_PastureBeef_Equations.VEERG_3_2_1_1__3_FeedIntakeForGrazingBeef(AE48,AE64,AG32)</f>
        <v>5.8953782416000013</v>
      </c>
      <c r="AF80" s="52" cm="1">
        <f t="array" aca="1" ref="AF80" ca="1">EntericMethane_PastureBeef_Equations.VEERG_3_2_1_1__3_FeedIntakeForGrazingBeef(AF48,AF64,AH32)</f>
        <v>5.8953782416000013</v>
      </c>
      <c r="AG80" s="52" cm="1">
        <f t="array" aca="1" ref="AG80" ca="1">EntericMethane_PastureBeef_Equations.VEERG_3_2_1_1__3_FeedIntakeForGrazingBeef(AG48,AG64,AI32)</f>
        <v>5.8953782416000013</v>
      </c>
      <c r="AH80" s="2" t="str">
        <f t="shared" si="2"/>
        <v>kg DM/head/day</v>
      </c>
    </row>
    <row r="81" spans="4:36" ht="20.100000000000001" customHeight="1" x14ac:dyDescent="0.25">
      <c r="D81" s="98" t="s">
        <v>245</v>
      </c>
      <c r="W81" s="52" t="str">
        <f>TEXT(EDATE('Input - Site'!$E$12,5), "mmmm yyyy")</f>
        <v>June 2024</v>
      </c>
      <c r="X81" s="52" cm="1">
        <f t="array" aca="1" ref="X81" ca="1">EntericMethane_PastureBeef_Equations.VEERG_3_2_1_1__3_FeedIntakeForGrazingBeef(X49,X65,Z33)</f>
        <v>5.1328980481000004</v>
      </c>
      <c r="Y81" s="52" cm="1">
        <f t="array" aca="1" ref="Y81" ca="1">EntericMethane_PastureBeef_Equations.VEERG_3_2_1_1__3_FeedIntakeForGrazingBeef(Y49,Y65,AA33)</f>
        <v>9.9748588899999984</v>
      </c>
      <c r="Z81" s="52" cm="1">
        <f t="array" aca="1" ref="Z81" ca="1">EntericMethane_PastureBeef_Equations.VEERG_3_2_1_1__3_FeedIntakeForGrazingBeef(Z49,Z65,AB33)</f>
        <v>4.202705002500001</v>
      </c>
      <c r="AA81" s="52" cm="1">
        <f t="array" aca="1" ref="AA81" ca="1">EntericMethane_PastureBeef_Equations.VEERG_3_2_1_1__3_FeedIntakeForGrazingBeef(AA49,AA65,AC33)</f>
        <v>5.9278127841000021</v>
      </c>
      <c r="AB81" s="52" cm="1">
        <f t="array" aca="1" ref="AB81" ca="1">EntericMethane_PastureBeef_Equations.VEERG_3_2_1_1__3_FeedIntakeForGrazingBeef(AB49,AB65,AD33)</f>
        <v>7.952343600099999</v>
      </c>
      <c r="AC81" s="52" cm="1">
        <f t="array" aca="1" ref="AC81" ca="1">EntericMethane_PastureBeef_Equations.VEERG_3_2_1_1__3_FeedIntakeForGrazingBeef(AC49,AC65,AE33)</f>
        <v>7.952343600099999</v>
      </c>
      <c r="AD81" s="52" cm="1">
        <f t="array" aca="1" ref="AD81" ca="1">EntericMethane_PastureBeef_Equations.VEERG_3_2_1_1__3_FeedIntakeForGrazingBeef(AD49,AD65,AF33)</f>
        <v>4.5122681240999984</v>
      </c>
      <c r="AE81" s="52" cm="1">
        <f t="array" aca="1" ref="AE81" ca="1">EntericMethane_PastureBeef_Equations.VEERG_3_2_1_1__3_FeedIntakeForGrazingBeef(AE49,AE65,AG33)</f>
        <v>6.8698506815999991</v>
      </c>
      <c r="AF81" s="52" cm="1">
        <f t="array" aca="1" ref="AF81" ca="1">EntericMethane_PastureBeef_Equations.VEERG_3_2_1_1__3_FeedIntakeForGrazingBeef(AF49,AF65,AH33)</f>
        <v>6.8698506815999991</v>
      </c>
      <c r="AG81" s="52" cm="1">
        <f t="array" aca="1" ref="AG81" ca="1">EntericMethane_PastureBeef_Equations.VEERG_3_2_1_1__3_FeedIntakeForGrazingBeef(AG49,AG65,AI33)</f>
        <v>6.8698506815999991</v>
      </c>
      <c r="AH81" s="2" t="str">
        <f t="shared" si="2"/>
        <v>kg DM/head/day</v>
      </c>
    </row>
    <row r="82" spans="4:36" ht="20.100000000000001" customHeight="1" x14ac:dyDescent="0.25">
      <c r="D82" s="97" t="s">
        <v>144</v>
      </c>
      <c r="W82" s="52" t="str">
        <f>TEXT(EDATE('Input - Site'!$E$12,6), "mmmm yyyy")</f>
        <v>July 2024</v>
      </c>
      <c r="X82" s="52" cm="1">
        <f t="array" aca="1" ref="X82" ca="1">EntericMethane_PastureBeef_Equations.VEERG_3_2_1_1__3_FeedIntakeForGrazingBeef(X50,X66,Z34)</f>
        <v>5.1328980481000004</v>
      </c>
      <c r="Y82" s="52" cm="1">
        <f t="array" aca="1" ref="Y82" ca="1">EntericMethane_PastureBeef_Equations.VEERG_3_2_1_1__3_FeedIntakeForGrazingBeef(Y50,Y66,AA34)</f>
        <v>9.9748588899999984</v>
      </c>
      <c r="Z82" s="52" cm="1">
        <f t="array" aca="1" ref="Z82" ca="1">EntericMethane_PastureBeef_Equations.VEERG_3_2_1_1__3_FeedIntakeForGrazingBeef(Z50,Z66,AB34)</f>
        <v>4.202705002500001</v>
      </c>
      <c r="AA82" s="52" cm="1">
        <f t="array" aca="1" ref="AA82" ca="1">EntericMethane_PastureBeef_Equations.VEERG_3_2_1_1__3_FeedIntakeForGrazingBeef(AA50,AA66,AC34)</f>
        <v>5.9278127841000021</v>
      </c>
      <c r="AB82" s="52" cm="1">
        <f t="array" aca="1" ref="AB82" ca="1">EntericMethane_PastureBeef_Equations.VEERG_3_2_1_1__3_FeedIntakeForGrazingBeef(AB50,AB66,AD34)</f>
        <v>7.952343600099999</v>
      </c>
      <c r="AC82" s="52" cm="1">
        <f t="array" aca="1" ref="AC82" ca="1">EntericMethane_PastureBeef_Equations.VEERG_3_2_1_1__3_FeedIntakeForGrazingBeef(AC50,AC66,AE34)</f>
        <v>7.952343600099999</v>
      </c>
      <c r="AD82" s="52" cm="1">
        <f t="array" aca="1" ref="AD82" ca="1">EntericMethane_PastureBeef_Equations.VEERG_3_2_1_1__3_FeedIntakeForGrazingBeef(AD50,AD66,AF34)</f>
        <v>4.5122681240999984</v>
      </c>
      <c r="AE82" s="52" cm="1">
        <f t="array" aca="1" ref="AE82" ca="1">EntericMethane_PastureBeef_Equations.VEERG_3_2_1_1__3_FeedIntakeForGrazingBeef(AE50,AE66,AG34)</f>
        <v>6.8698506815999991</v>
      </c>
      <c r="AF82" s="52" cm="1">
        <f t="array" aca="1" ref="AF82" ca="1">EntericMethane_PastureBeef_Equations.VEERG_3_2_1_1__3_FeedIntakeForGrazingBeef(AF50,AF66,AH34)</f>
        <v>6.8698506815999991</v>
      </c>
      <c r="AG82" s="52" cm="1">
        <f t="array" aca="1" ref="AG82" ca="1">EntericMethane_PastureBeef_Equations.VEERG_3_2_1_1__3_FeedIntakeForGrazingBeef(AG50,AG66,AI34)</f>
        <v>6.8698506815999991</v>
      </c>
      <c r="AH82" s="2" t="str">
        <f t="shared" si="2"/>
        <v>kg DM/head/day</v>
      </c>
    </row>
    <row r="83" spans="4:36" ht="20.100000000000001" customHeight="1" x14ac:dyDescent="0.25">
      <c r="D83" s="51" t="s">
        <v>184</v>
      </c>
      <c r="E83" s="51" t="s">
        <v>131</v>
      </c>
      <c r="F83" s="51" t="s">
        <v>130</v>
      </c>
      <c r="G83" s="51" t="s">
        <v>165</v>
      </c>
      <c r="H83" s="51" t="s">
        <v>166</v>
      </c>
      <c r="I83" s="51" t="s">
        <v>167</v>
      </c>
      <c r="J83" s="51" t="s">
        <v>168</v>
      </c>
      <c r="K83" s="51" t="s">
        <v>169</v>
      </c>
      <c r="L83" s="51" t="s">
        <v>170</v>
      </c>
      <c r="M83" s="51" t="s">
        <v>171</v>
      </c>
      <c r="N83" s="51" t="s">
        <v>172</v>
      </c>
      <c r="W83" s="52" t="str">
        <f>TEXT(EDATE('Input - Site'!$E$12,7), "mmmm yyyy")</f>
        <v>August 2024</v>
      </c>
      <c r="X83" s="52" cm="1">
        <f t="array" aca="1" ref="X83" ca="1">EntericMethane_PastureBeef_Equations.VEERG_3_2_1_1__3_FeedIntakeForGrazingBeef(X51,X67,Z35)</f>
        <v>5.1328980481000004</v>
      </c>
      <c r="Y83" s="52" cm="1">
        <f t="array" aca="1" ref="Y83" ca="1">EntericMethane_PastureBeef_Equations.VEERG_3_2_1_1__3_FeedIntakeForGrazingBeef(Y51,Y67,AA35)</f>
        <v>9.9748588899999984</v>
      </c>
      <c r="Z83" s="52" cm="1">
        <f t="array" aca="1" ref="Z83" ca="1">EntericMethane_PastureBeef_Equations.VEERG_3_2_1_1__3_FeedIntakeForGrazingBeef(Z51,Z67,AB35)</f>
        <v>4.202705002500001</v>
      </c>
      <c r="AA83" s="52" cm="1">
        <f t="array" aca="1" ref="AA83" ca="1">EntericMethane_PastureBeef_Equations.VEERG_3_2_1_1__3_FeedIntakeForGrazingBeef(AA51,AA67,AC35)</f>
        <v>7.2615706605225032</v>
      </c>
      <c r="AB83" s="52" cm="1">
        <f t="array" aca="1" ref="AB83" ca="1">EntericMethane_PastureBeef_Equations.VEERG_3_2_1_1__3_FeedIntakeForGrazingBeef(AB51,AB67,AD35)</f>
        <v>9.7416209101224993</v>
      </c>
      <c r="AC83" s="52" cm="1">
        <f t="array" aca="1" ref="AC83" ca="1">EntericMethane_PastureBeef_Equations.VEERG_3_2_1_1__3_FeedIntakeForGrazingBeef(AC51,AC67,AE35)</f>
        <v>9.7416209101224993</v>
      </c>
      <c r="AD83" s="52" cm="1">
        <f t="array" aca="1" ref="AD83" ca="1">EntericMethane_PastureBeef_Equations.VEERG_3_2_1_1__3_FeedIntakeForGrazingBeef(AD51,AD67,AF35)</f>
        <v>4.5122681240999984</v>
      </c>
      <c r="AE83" s="52" cm="1">
        <f t="array" aca="1" ref="AE83" ca="1">EntericMethane_PastureBeef_Equations.VEERG_3_2_1_1__3_FeedIntakeForGrazingBeef(AE51,AE67,AG35)</f>
        <v>6.8698506815999991</v>
      </c>
      <c r="AF83" s="52" cm="1">
        <f t="array" aca="1" ref="AF83" ca="1">EntericMethane_PastureBeef_Equations.VEERG_3_2_1_1__3_FeedIntakeForGrazingBeef(AF51,AF67,AH35)</f>
        <v>6.8698506815999991</v>
      </c>
      <c r="AG83" s="52" cm="1">
        <f t="array" aca="1" ref="AG83" ca="1">EntericMethane_PastureBeef_Equations.VEERG_3_2_1_1__3_FeedIntakeForGrazingBeef(AG51,AG67,AI35)</f>
        <v>6.8698506815999991</v>
      </c>
      <c r="AH83" s="2" t="str">
        <f t="shared" si="2"/>
        <v>kg DM/head/day</v>
      </c>
    </row>
    <row r="84" spans="4:36" ht="20.100000000000001" customHeight="1" x14ac:dyDescent="0.25">
      <c r="D84" s="52" t="s">
        <v>173</v>
      </c>
      <c r="E84" s="52" cm="1">
        <f t="array" aca="1" ref="E84" ca="1">EntericMethane_PastureBeef_Equations.VEERG_3_2_1_1__3_FeedIntakeForGrazingBeef(E52,E68,I30)</f>
        <v>8.6709047296000001</v>
      </c>
      <c r="F84" s="52" cm="1">
        <f t="array" aca="1" ref="F84" ca="1">EntericMethane_PastureBeef_Equations.VEERG_3_2_1_1__3_FeedIntakeForGrazingBeef(F52,F68,J30)</f>
        <v>12.246500250000002</v>
      </c>
      <c r="G84" s="52" cm="1">
        <f t="array" aca="1" ref="G84" ca="1">EntericMethane_PastureBeef_Equations.VEERG_3_2_1_1__3_FeedIntakeForGrazingBeef(G52,G68,K30)</f>
        <v>6.6089612241000006</v>
      </c>
      <c r="H84" s="52" cm="1">
        <f t="array" aca="1" ref="H84" ca="1">EntericMethane_PastureBeef_Equations.VEERG_3_2_1_1__3_FeedIntakeForGrazingBeef(H52,H68,L30)</f>
        <v>9.5403922901100024</v>
      </c>
      <c r="I84" s="52" cm="1">
        <f t="array" aca="1" ref="I84" ca="1">EntericMethane_PastureBeef_Equations.VEERG_3_2_1_1__3_FeedIntakeForGrazingBeef(I52,I68,M30)</f>
        <v>11.268377125200001</v>
      </c>
      <c r="J84" s="52" cm="1">
        <f t="array" aca="1" ref="J84" ca="1">EntericMethane_PastureBeef_Equations.VEERG_3_2_1_1__3_FeedIntakeForGrazingBeef(J52,J68,N30)</f>
        <v>11.268377125200001</v>
      </c>
      <c r="K84" s="52" cm="1">
        <f t="array" aca="1" ref="K84" ca="1">EntericMethane_PastureBeef_Equations.VEERG_3_2_1_1__3_FeedIntakeForGrazingBeef(K52,K68,O30)</f>
        <v>7.6192560899999977</v>
      </c>
      <c r="L84" s="52" cm="1">
        <f t="array" aca="1" ref="L84" ca="1">EntericMethane_PastureBeef_Equations.VEERG_3_2_1_1__3_FeedIntakeForGrazingBeef(L52,L68,P30)</f>
        <v>9.6824279555999979</v>
      </c>
      <c r="M84" s="52" cm="1">
        <f t="array" aca="1" ref="M84" ca="1">EntericMethane_PastureBeef_Equations.VEERG_3_2_1_1__3_FeedIntakeForGrazingBeef(M52,M68,Q30)</f>
        <v>9.6824279555999979</v>
      </c>
      <c r="N84" s="52" cm="1">
        <f t="array" aca="1" ref="N84" ca="1">EntericMethane_PastureBeef_Equations.VEERG_3_2_1_1__3_FeedIntakeForGrazingBeef(N52,N68,R30)</f>
        <v>9.6824279555999979</v>
      </c>
      <c r="O84" s="2" t="str">
        <f>$E$43</f>
        <v>kg DM/head/day</v>
      </c>
      <c r="P84" s="2"/>
      <c r="Q84" s="2"/>
      <c r="R84" s="2"/>
      <c r="S84" s="2"/>
      <c r="W84" s="52" t="str">
        <f>TEXT(EDATE('Input - Site'!$E$12,8), "mmmm yyyy")</f>
        <v>September 2024</v>
      </c>
      <c r="X84" s="52" cm="1">
        <f t="array" aca="1" ref="X84" ca="1">EntericMethane_PastureBeef_Equations.VEERG_3_2_1_1__3_FeedIntakeForGrazingBeef(X52,X68,Z36)</f>
        <v>8.6709047296000001</v>
      </c>
      <c r="Y84" s="52" cm="1">
        <f t="array" aca="1" ref="Y84" ca="1">EntericMethane_PastureBeef_Equations.VEERG_3_2_1_1__3_FeedIntakeForGrazingBeef(Y52,Y68,AA36)</f>
        <v>12.246500250000002</v>
      </c>
      <c r="Z84" s="52" cm="1">
        <f t="array" aca="1" ref="Z84" ca="1">EntericMethane_PastureBeef_Equations.VEERG_3_2_1_1__3_FeedIntakeForGrazingBeef(Z52,Z68,AB36)</f>
        <v>6.6089612241000006</v>
      </c>
      <c r="AA84" s="52" cm="1">
        <f t="array" aca="1" ref="AA84" ca="1">EntericMethane_PastureBeef_Equations.VEERG_3_2_1_1__3_FeedIntakeForGrazingBeef(AA52,AA68,AC36)</f>
        <v>10.624527777622504</v>
      </c>
      <c r="AB84" s="52" cm="1">
        <f t="array" aca="1" ref="AB84" ca="1">EntericMethane_PastureBeef_Equations.VEERG_3_2_1_1__3_FeedIntakeForGrazingBeef(AB52,AB68,AD36)</f>
        <v>11.798087161000003</v>
      </c>
      <c r="AC84" s="52" cm="1">
        <f t="array" aca="1" ref="AC84" ca="1">EntericMethane_PastureBeef_Equations.VEERG_3_2_1_1__3_FeedIntakeForGrazingBeef(AC52,AC68,AE36)</f>
        <v>11.798087161000003</v>
      </c>
      <c r="AD84" s="52" cm="1">
        <f t="array" aca="1" ref="AD84" ca="1">EntericMethane_PastureBeef_Equations.VEERG_3_2_1_1__3_FeedIntakeForGrazingBeef(AD52,AD68,AF36)</f>
        <v>7.6192560899999977</v>
      </c>
      <c r="AE84" s="52" cm="1">
        <f t="array" aca="1" ref="AE84" ca="1">EntericMethane_PastureBeef_Equations.VEERG_3_2_1_1__3_FeedIntakeForGrazingBeef(AE52,AE68,AG36)</f>
        <v>9.6824279555999979</v>
      </c>
      <c r="AF84" s="52" cm="1">
        <f t="array" aca="1" ref="AF84" ca="1">EntericMethane_PastureBeef_Equations.VEERG_3_2_1_1__3_FeedIntakeForGrazingBeef(AF52,AF68,AH36)</f>
        <v>9.6824279555999979</v>
      </c>
      <c r="AG84" s="52" cm="1">
        <f t="array" aca="1" ref="AG84" ca="1">EntericMethane_PastureBeef_Equations.VEERG_3_2_1_1__3_FeedIntakeForGrazingBeef(AG52,AG68,AI36)</f>
        <v>9.6824279555999979</v>
      </c>
      <c r="AH84" s="2" t="str">
        <f t="shared" si="2"/>
        <v>kg DM/head/day</v>
      </c>
      <c r="AI84" s="2"/>
      <c r="AJ84" s="2"/>
    </row>
    <row r="85" spans="4:36" ht="20.100000000000001" customHeight="1" x14ac:dyDescent="0.25">
      <c r="D85" s="52" t="s">
        <v>174</v>
      </c>
      <c r="E85" s="52" cm="1">
        <f t="array" aca="1" ref="E85" ca="1">EntericMethane_PastureBeef_Equations.VEERG_3_2_1_1__3_FeedIntakeForGrazingBeef(E53,E69,I31)</f>
        <v>7.1468536895999959</v>
      </c>
      <c r="F85" s="52" cm="1">
        <f t="array" aca="1" ref="F85" ca="1">EntericMethane_PastureBeef_Equations.VEERG_3_2_1_1__3_FeedIntakeForGrazingBeef(F53,F69,J31)</f>
        <v>9.4559940036000008</v>
      </c>
      <c r="G85" s="52" cm="1">
        <f t="array" aca="1" ref="G85" ca="1">EntericMethane_PastureBeef_Equations.VEERG_3_2_1_1__3_FeedIntakeForGrazingBeef(G53,G69,K31)</f>
        <v>6.010342559999998</v>
      </c>
      <c r="H85" s="52" cm="1">
        <f t="array" aca="1" ref="H85" ca="1">EntericMethane_PastureBeef_Equations.VEERG_3_2_1_1__3_FeedIntakeForGrazingBeef(H53,H69,L31)</f>
        <v>8.1853716906000002</v>
      </c>
      <c r="I85" s="52" cm="1">
        <f t="array" aca="1" ref="I85" ca="1">EntericMethane_PastureBeef_Equations.VEERG_3_2_1_1__3_FeedIntakeForGrazingBeef(I53,I69,M31)</f>
        <v>8.1045195229439972</v>
      </c>
      <c r="J85" s="52" cm="1">
        <f t="array" aca="1" ref="J85" ca="1">EntericMethane_PastureBeef_Equations.VEERG_3_2_1_1__3_FeedIntakeForGrazingBeef(J53,J69,N31)</f>
        <v>8.1045195229439972</v>
      </c>
      <c r="K85" s="52" cm="1">
        <f t="array" aca="1" ref="K85" ca="1">EntericMethane_PastureBeef_Equations.VEERG_3_2_1_1__3_FeedIntakeForGrazingBeef(K53,K69,O31)</f>
        <v>6.5876408896000003</v>
      </c>
      <c r="L85" s="52" cm="1">
        <f t="array" aca="1" ref="L85" ca="1">EntericMethane_PastureBeef_Equations.VEERG_3_2_1_1__3_FeedIntakeForGrazingBeef(L53,L69,P31)</f>
        <v>7.3430702361</v>
      </c>
      <c r="M85" s="52" cm="1">
        <f t="array" aca="1" ref="M85" ca="1">EntericMethane_PastureBeef_Equations.VEERG_3_2_1_1__3_FeedIntakeForGrazingBeef(M53,M69,Q31)</f>
        <v>7.3430702361</v>
      </c>
      <c r="N85" s="52" cm="1">
        <f t="array" aca="1" ref="N85" ca="1">EntericMethane_PastureBeef_Equations.VEERG_3_2_1_1__3_FeedIntakeForGrazingBeef(N53,N69,R31)</f>
        <v>7.3430702361</v>
      </c>
      <c r="O85" s="2" t="str">
        <f>$E$43</f>
        <v>kg DM/head/day</v>
      </c>
      <c r="P85" s="2"/>
      <c r="Q85" s="2"/>
      <c r="R85" s="2"/>
      <c r="S85" s="2"/>
      <c r="W85" s="52" t="str">
        <f>TEXT(EDATE('Input - Site'!$E$12,9), "mmmm yyyy")</f>
        <v>October 2024</v>
      </c>
      <c r="X85" s="52" cm="1">
        <f t="array" aca="1" ref="X85" ca="1">EntericMethane_PastureBeef_Equations.VEERG_3_2_1_1__3_FeedIntakeForGrazingBeef(X53,X69,Z37)</f>
        <v>8.6709047296000001</v>
      </c>
      <c r="Y85" s="52" cm="1">
        <f t="array" aca="1" ref="Y85" ca="1">EntericMethane_PastureBeef_Equations.VEERG_3_2_1_1__3_FeedIntakeForGrazingBeef(Y53,Y69,AA37)</f>
        <v>12.246500250000002</v>
      </c>
      <c r="Z85" s="52" cm="1">
        <f t="array" aca="1" ref="Z85" ca="1">EntericMethane_PastureBeef_Equations.VEERG_3_2_1_1__3_FeedIntakeForGrazingBeef(Z53,Z69,AB37)</f>
        <v>6.6089612241000006</v>
      </c>
      <c r="AA85" s="52" cm="1">
        <f t="array" aca="1" ref="AA85" ca="1">EntericMethane_PastureBeef_Equations.VEERG_3_2_1_1__3_FeedIntakeForGrazingBeef(AA53,AA69,AC37)</f>
        <v>10.624527777622504</v>
      </c>
      <c r="AB85" s="52" cm="1">
        <f t="array" aca="1" ref="AB85" ca="1">EntericMethane_PastureBeef_Equations.VEERG_3_2_1_1__3_FeedIntakeForGrazingBeef(AB53,AB69,AD37)</f>
        <v>11.798087161000003</v>
      </c>
      <c r="AC85" s="52" cm="1">
        <f t="array" aca="1" ref="AC85" ca="1">EntericMethane_PastureBeef_Equations.VEERG_3_2_1_1__3_FeedIntakeForGrazingBeef(AC53,AC69,AE37)</f>
        <v>11.798087161000003</v>
      </c>
      <c r="AD85" s="52" cm="1">
        <f t="array" aca="1" ref="AD85" ca="1">EntericMethane_PastureBeef_Equations.VEERG_3_2_1_1__3_FeedIntakeForGrazingBeef(AD53,AD69,AF37)</f>
        <v>7.6192560899999977</v>
      </c>
      <c r="AE85" s="52" cm="1">
        <f t="array" aca="1" ref="AE85" ca="1">EntericMethane_PastureBeef_Equations.VEERG_3_2_1_1__3_FeedIntakeForGrazingBeef(AE53,AE69,AG37)</f>
        <v>9.6824279555999979</v>
      </c>
      <c r="AF85" s="52" cm="1">
        <f t="array" aca="1" ref="AF85" ca="1">EntericMethane_PastureBeef_Equations.VEERG_3_2_1_1__3_FeedIntakeForGrazingBeef(AF53,AF69,AH37)</f>
        <v>9.6824279555999979</v>
      </c>
      <c r="AG85" s="52" cm="1">
        <f t="array" aca="1" ref="AG85" ca="1">EntericMethane_PastureBeef_Equations.VEERG_3_2_1_1__3_FeedIntakeForGrazingBeef(AG53,AG69,AI37)</f>
        <v>9.6824279555999979</v>
      </c>
      <c r="AH85" s="2" t="str">
        <f t="shared" si="2"/>
        <v>kg DM/head/day</v>
      </c>
      <c r="AI85" s="2"/>
      <c r="AJ85" s="2"/>
    </row>
    <row r="86" spans="4:36" ht="20.100000000000001" customHeight="1" x14ac:dyDescent="0.25">
      <c r="D86" s="52" t="s">
        <v>175</v>
      </c>
      <c r="E86" s="52" cm="1">
        <f t="array" aca="1" ref="E86" ca="1">EntericMethane_PastureBeef_Equations.VEERG_3_2_1_1__3_FeedIntakeForGrazingBeef(E54,E70,I32)</f>
        <v>3.247204</v>
      </c>
      <c r="F86" s="52" cm="1">
        <f t="array" aca="1" ref="F86" ca="1">EntericMethane_PastureBeef_Equations.VEERG_3_2_1_1__3_FeedIntakeForGrazingBeef(F54,F70,J32)</f>
        <v>9.4246544015999998</v>
      </c>
      <c r="G86" s="52" cm="1">
        <f t="array" aca="1" ref="G86" ca="1">EntericMethane_PastureBeef_Equations.VEERG_3_2_1_1__3_FeedIntakeForGrazingBeef(G54,G70,K32)</f>
        <v>2.9603267136000002</v>
      </c>
      <c r="H86" s="52" cm="1">
        <f t="array" aca="1" ref="H86" ca="1">EntericMethane_PastureBeef_Equations.VEERG_3_2_1_1__3_FeedIntakeForGrazingBeef(H54,H70,L32)</f>
        <v>6.0173755149959991</v>
      </c>
      <c r="I86" s="52" cm="1">
        <f t="array" aca="1" ref="I86" ca="1">EntericMethane_PastureBeef_Equations.VEERG_3_2_1_1__3_FeedIntakeForGrazingBeef(I54,I70,M32)</f>
        <v>6.7179974480999993</v>
      </c>
      <c r="J86" s="52" cm="1">
        <f t="array" aca="1" ref="J86" ca="1">EntericMethane_PastureBeef_Equations.VEERG_3_2_1_1__3_FeedIntakeForGrazingBeef(J54,J70,N32)</f>
        <v>6.7179974480999993</v>
      </c>
      <c r="K86" s="52" cm="1">
        <f t="array" aca="1" ref="K86" ca="1">EntericMethane_PastureBeef_Equations.VEERG_3_2_1_1__3_FeedIntakeForGrazingBeef(K54,K70,O32)</f>
        <v>3.247204</v>
      </c>
      <c r="L86" s="52" cm="1">
        <f t="array" aca="1" ref="L86" ca="1">EntericMethane_PastureBeef_Equations.VEERG_3_2_1_1__3_FeedIntakeForGrazingBeef(L54,L70,P32)</f>
        <v>5.8953782416000013</v>
      </c>
      <c r="M86" s="52" cm="1">
        <f t="array" aca="1" ref="M86" ca="1">EntericMethane_PastureBeef_Equations.VEERG_3_2_1_1__3_FeedIntakeForGrazingBeef(M54,M70,Q32)</f>
        <v>5.8953782416000013</v>
      </c>
      <c r="N86" s="52" cm="1">
        <f t="array" aca="1" ref="N86" ca="1">EntericMethane_PastureBeef_Equations.VEERG_3_2_1_1__3_FeedIntakeForGrazingBeef(N54,N70,R32)</f>
        <v>5.8953782416000013</v>
      </c>
      <c r="O86" s="2" t="str">
        <f>$E$43</f>
        <v>kg DM/head/day</v>
      </c>
      <c r="P86" s="2"/>
      <c r="Q86" s="2"/>
      <c r="R86" s="2"/>
      <c r="S86" s="2"/>
      <c r="W86" s="52" t="str">
        <f>TEXT(EDATE('Input - Site'!$E$12,10), "mmmm yyyy")</f>
        <v>November 2024</v>
      </c>
      <c r="X86" s="52" cm="1">
        <f t="array" aca="1" ref="X86" ca="1">EntericMethane_PastureBeef_Equations.VEERG_3_2_1_1__3_FeedIntakeForGrazingBeef(X54,X70,Z38)</f>
        <v>8.6709047296000001</v>
      </c>
      <c r="Y86" s="52" cm="1">
        <f t="array" aca="1" ref="Y86" ca="1">EntericMethane_PastureBeef_Equations.VEERG_3_2_1_1__3_FeedIntakeForGrazingBeef(Y54,Y70,AA38)</f>
        <v>12.246500250000002</v>
      </c>
      <c r="Z86" s="52" cm="1">
        <f t="array" aca="1" ref="Z86" ca="1">EntericMethane_PastureBeef_Equations.VEERG_3_2_1_1__3_FeedIntakeForGrazingBeef(Z54,Z70,AB38)</f>
        <v>6.6089612241000006</v>
      </c>
      <c r="AA86" s="52" cm="1">
        <f t="array" aca="1" ref="AA86" ca="1">EntericMethane_PastureBeef_Equations.VEERG_3_2_1_1__3_FeedIntakeForGrazingBeef(AA54,AA70,AC38)</f>
        <v>9.3235651926075036</v>
      </c>
      <c r="AB86" s="52" cm="1">
        <f t="array" aca="1" ref="AB86" ca="1">EntericMethane_PastureBeef_Equations.VEERG_3_2_1_1__3_FeedIntakeForGrazingBeef(AB54,AB70,AD38)</f>
        <v>10.353423427000003</v>
      </c>
      <c r="AC86" s="52" cm="1">
        <f t="array" aca="1" ref="AC86" ca="1">EntericMethane_PastureBeef_Equations.VEERG_3_2_1_1__3_FeedIntakeForGrazingBeef(AC54,AC70,AE38)</f>
        <v>10.353423427000003</v>
      </c>
      <c r="AD86" s="52" cm="1">
        <f t="array" aca="1" ref="AD86" ca="1">EntericMethane_PastureBeef_Equations.VEERG_3_2_1_1__3_FeedIntakeForGrazingBeef(AD54,AD70,AF38)</f>
        <v>7.6192560899999977</v>
      </c>
      <c r="AE86" s="52" cm="1">
        <f t="array" aca="1" ref="AE86" ca="1">EntericMethane_PastureBeef_Equations.VEERG_3_2_1_1__3_FeedIntakeForGrazingBeef(AE54,AE70,AG38)</f>
        <v>9.6824279555999979</v>
      </c>
      <c r="AF86" s="52" cm="1">
        <f t="array" aca="1" ref="AF86" ca="1">EntericMethane_PastureBeef_Equations.VEERG_3_2_1_1__3_FeedIntakeForGrazingBeef(AF54,AF70,AH38)</f>
        <v>9.6824279555999979</v>
      </c>
      <c r="AG86" s="52" cm="1">
        <f t="array" aca="1" ref="AG86" ca="1">EntericMethane_PastureBeef_Equations.VEERG_3_2_1_1__3_FeedIntakeForGrazingBeef(AG54,AG70,AI38)</f>
        <v>9.6824279555999979</v>
      </c>
      <c r="AH86" s="2" t="str">
        <f t="shared" si="2"/>
        <v>kg DM/head/day</v>
      </c>
      <c r="AI86" s="2"/>
      <c r="AJ86" s="2"/>
    </row>
    <row r="87" spans="4:36" ht="20.100000000000001" customHeight="1" x14ac:dyDescent="0.25">
      <c r="D87" s="52" t="s">
        <v>176</v>
      </c>
      <c r="E87" s="52" cm="1">
        <f t="array" aca="1" ref="E87" ca="1">EntericMethane_PastureBeef_Equations.VEERG_3_2_1_1__3_FeedIntakeForGrazingBeef(E55,E71,I33)</f>
        <v>5.1328980481000004</v>
      </c>
      <c r="F87" s="52" cm="1">
        <f t="array" aca="1" ref="F87" ca="1">EntericMethane_PastureBeef_Equations.VEERG_3_2_1_1__3_FeedIntakeForGrazingBeef(F55,F71,J33)</f>
        <v>9.9748588899999984</v>
      </c>
      <c r="G87" s="52" cm="1">
        <f t="array" aca="1" ref="G87" ca="1">EntericMethane_PastureBeef_Equations.VEERG_3_2_1_1__3_FeedIntakeForGrazingBeef(G55,G71,K33)</f>
        <v>4.202705002500001</v>
      </c>
      <c r="H87" s="52" cm="1">
        <f t="array" aca="1" ref="H87" ca="1">EntericMethane_PastureBeef_Equations.VEERG_3_2_1_1__3_FeedIntakeForGrazingBeef(H55,H71,L33)</f>
        <v>7.172653468761002</v>
      </c>
      <c r="I87" s="52" cm="1">
        <f t="array" aca="1" ref="I87" ca="1">EntericMethane_PastureBeef_Equations.VEERG_3_2_1_1__3_FeedIntakeForGrazingBeef(I55,I71,M33)</f>
        <v>9.145195140114998</v>
      </c>
      <c r="J87" s="52" cm="1">
        <f t="array" aca="1" ref="J87" ca="1">EntericMethane_PastureBeef_Equations.VEERG_3_2_1_1__3_FeedIntakeForGrazingBeef(J55,J71,N33)</f>
        <v>9.145195140114998</v>
      </c>
      <c r="K87" s="52" cm="1">
        <f t="array" aca="1" ref="K87" ca="1">EntericMethane_PastureBeef_Equations.VEERG_3_2_1_1__3_FeedIntakeForGrazingBeef(K55,K71,O33)</f>
        <v>4.5122681240999984</v>
      </c>
      <c r="L87" s="52" cm="1">
        <f t="array" aca="1" ref="L87" ca="1">EntericMethane_PastureBeef_Equations.VEERG_3_2_1_1__3_FeedIntakeForGrazingBeef(L55,L71,P33)</f>
        <v>6.8698506815999991</v>
      </c>
      <c r="M87" s="52" cm="1">
        <f t="array" aca="1" ref="M87" ca="1">EntericMethane_PastureBeef_Equations.VEERG_3_2_1_1__3_FeedIntakeForGrazingBeef(M55,M71,Q33)</f>
        <v>6.8698506815999991</v>
      </c>
      <c r="N87" s="52" cm="1">
        <f t="array" aca="1" ref="N87" ca="1">EntericMethane_PastureBeef_Equations.VEERG_3_2_1_1__3_FeedIntakeForGrazingBeef(N55,N71,R33)</f>
        <v>6.8698506815999991</v>
      </c>
      <c r="O87" s="2" t="str">
        <f>$E$43</f>
        <v>kg DM/head/day</v>
      </c>
      <c r="P87" s="2"/>
      <c r="Q87" s="2"/>
      <c r="R87" s="2"/>
      <c r="S87" s="2"/>
      <c r="W87" s="52" t="str">
        <f>TEXT(EDATE('Input - Site'!$E$12,11), "mmmm yyyy")</f>
        <v>December 2024</v>
      </c>
      <c r="X87" s="52" cm="1">
        <f t="array" aca="1" ref="X87" ca="1">EntericMethane_PastureBeef_Equations.VEERG_3_2_1_1__3_FeedIntakeForGrazingBeef(X55,X71,Z39)</f>
        <v>7.1468536895999959</v>
      </c>
      <c r="Y87" s="52" cm="1">
        <f t="array" aca="1" ref="Y87" ca="1">EntericMethane_PastureBeef_Equations.VEERG_3_2_1_1__3_FeedIntakeForGrazingBeef(Y55,Y71,AA39)</f>
        <v>9.4559940036000008</v>
      </c>
      <c r="Z87" s="52" cm="1">
        <f t="array" aca="1" ref="Z87" ca="1">EntericMethane_PastureBeef_Equations.VEERG_3_2_1_1__3_FeedIntakeForGrazingBeef(Z55,Z71,AB39)</f>
        <v>6.010342559999998</v>
      </c>
      <c r="AA87" s="52" cm="1">
        <f t="array" aca="1" ref="AA87" ca="1">EntericMethane_PastureBeef_Equations.VEERG_3_2_1_1__3_FeedIntakeForGrazingBeef(AA55,AA71,AC39)</f>
        <v>8.4608409301875014</v>
      </c>
      <c r="AB87" s="52" cm="1">
        <f t="array" aca="1" ref="AB87" ca="1">EntericMethane_PastureBeef_Equations.VEERG_3_2_1_1__3_FeedIntakeForGrazingBeef(AB55,AB71,AD39)</f>
        <v>8.3772677761199983</v>
      </c>
      <c r="AC87" s="52" cm="1">
        <f t="array" aca="1" ref="AC87" ca="1">EntericMethane_PastureBeef_Equations.VEERG_3_2_1_1__3_FeedIntakeForGrazingBeef(AC55,AC71,AE39)</f>
        <v>8.3772677761199983</v>
      </c>
      <c r="AD87" s="52" cm="1">
        <f t="array" aca="1" ref="AD87" ca="1">EntericMethane_PastureBeef_Equations.VEERG_3_2_1_1__3_FeedIntakeForGrazingBeef(AD55,AD71,AF39)</f>
        <v>6.5876408896000003</v>
      </c>
      <c r="AE87" s="52" cm="1">
        <f t="array" aca="1" ref="AE87" ca="1">EntericMethane_PastureBeef_Equations.VEERG_3_2_1_1__3_FeedIntakeForGrazingBeef(AE55,AE71,AG39)</f>
        <v>7.3430702361</v>
      </c>
      <c r="AF87" s="52" cm="1">
        <f t="array" aca="1" ref="AF87" ca="1">EntericMethane_PastureBeef_Equations.VEERG_3_2_1_1__3_FeedIntakeForGrazingBeef(AF55,AF71,AH39)</f>
        <v>7.3430702361</v>
      </c>
      <c r="AG87" s="52" cm="1">
        <f t="array" aca="1" ref="AG87" ca="1">EntericMethane_PastureBeef_Equations.VEERG_3_2_1_1__3_FeedIntakeForGrazingBeef(AG55,AG71,AI39)</f>
        <v>7.3430702361</v>
      </c>
      <c r="AH87" s="2" t="str">
        <f t="shared" si="2"/>
        <v>kg DM/head/day</v>
      </c>
      <c r="AI87" s="2"/>
      <c r="AJ87" s="2"/>
    </row>
    <row r="88" spans="4:36" ht="20.100000000000001" customHeight="1" x14ac:dyDescent="0.25">
      <c r="AI88" s="2"/>
      <c r="AJ88" s="2"/>
    </row>
    <row r="89" spans="4:36" ht="20.100000000000001" customHeight="1" x14ac:dyDescent="0.25">
      <c r="AI89" s="2"/>
      <c r="AJ89" s="2"/>
    </row>
    <row r="90" spans="4:36" ht="20.100000000000001" customHeight="1" x14ac:dyDescent="0.25">
      <c r="AI90" s="2"/>
      <c r="AJ90" s="2"/>
    </row>
    <row r="91" spans="4:36" ht="20.100000000000001" customHeight="1" x14ac:dyDescent="0.25">
      <c r="AI91" s="2"/>
      <c r="AJ91" s="2"/>
    </row>
    <row r="92" spans="4:36" ht="20.100000000000001" customHeight="1" x14ac:dyDescent="0.25">
      <c r="AI92" s="2"/>
      <c r="AJ92" s="2"/>
    </row>
    <row r="93" spans="4:36" ht="20.100000000000001" customHeight="1" x14ac:dyDescent="0.25">
      <c r="AI93" s="2"/>
      <c r="AJ93" s="2"/>
    </row>
    <row r="94" spans="4:36" ht="20.100000000000001" customHeight="1" x14ac:dyDescent="0.25">
      <c r="AI94" s="2"/>
      <c r="AJ94" s="2"/>
    </row>
    <row r="95" spans="4:36" ht="20.100000000000001" customHeight="1" x14ac:dyDescent="0.25">
      <c r="AI95" s="2"/>
      <c r="AJ95" s="2"/>
    </row>
    <row r="96" spans="4:36" ht="20.100000000000001" customHeight="1" x14ac:dyDescent="0.25"/>
    <row r="97" spans="3:37" ht="20.100000000000001" customHeight="1" x14ac:dyDescent="0.25"/>
    <row r="98" spans="3:37" ht="20.100000000000001" customHeight="1" x14ac:dyDescent="0.25">
      <c r="C98" s="45"/>
      <c r="D98" s="45"/>
      <c r="E98" s="45"/>
      <c r="F98" s="45"/>
      <c r="G98" s="45"/>
      <c r="H98" s="45"/>
      <c r="I98" s="45"/>
      <c r="J98" s="45"/>
      <c r="K98" s="45"/>
      <c r="L98" s="45"/>
      <c r="M98" s="45"/>
      <c r="N98" s="45"/>
      <c r="O98" s="45"/>
      <c r="P98" s="45"/>
      <c r="Q98" s="45"/>
      <c r="R98" s="45"/>
      <c r="S98" s="45"/>
      <c r="T98" s="45"/>
      <c r="V98" s="45"/>
      <c r="W98" s="45"/>
      <c r="X98" s="45"/>
      <c r="Y98" s="45"/>
      <c r="Z98" s="45"/>
      <c r="AA98" s="45"/>
      <c r="AB98" s="45"/>
      <c r="AC98" s="45"/>
      <c r="AD98" s="45"/>
      <c r="AE98" s="45"/>
      <c r="AF98" s="45"/>
      <c r="AG98" s="45"/>
      <c r="AH98" s="45"/>
      <c r="AI98" s="45"/>
      <c r="AJ98" s="45"/>
      <c r="AK98" s="45"/>
    </row>
    <row r="99" spans="3:37" ht="20.100000000000001" customHeight="1" x14ac:dyDescent="0.25">
      <c r="D99" s="6" t="str" cm="1">
        <f t="array" ref="D99">MMS_PastureBeef_Methane_Equations.VEERG_4_2_1_1__3_VolatileSolidProductionFromGrazingBeef_Title()</f>
        <v>Volatile solid production from grazing beef</v>
      </c>
    </row>
    <row r="100" spans="3:37" ht="20.100000000000001" customHeight="1" x14ac:dyDescent="0.25">
      <c r="D100" s="5" t="str" cm="1">
        <f t="array" ref="D100">MMS_PastureBeef_Methane_Equations.VEERG_4_2_1_1__3_VolatileSolidProductionFromGrazingBeef_Source()</f>
        <v>VEERG 2026: 4.2.1.1, Equation (3)</v>
      </c>
    </row>
    <row r="101" spans="3:37" ht="20.100000000000001" customHeight="1" x14ac:dyDescent="0.25">
      <c r="D101" s="13" t="s">
        <v>27</v>
      </c>
      <c r="E101" s="13" t="str" cm="1">
        <f t="array" aca="1" ref="E101" ca="1">Common_InputFunctions.Utility_DisplayFunctionName($E$131)</f>
        <v>=MMS_PastureBeef_Methane_Equations.VEERG_4_2_1_1__3_VolatileSolidProductionFromGrazingBeef</v>
      </c>
    </row>
    <row r="102" spans="3:37" ht="20.100000000000001" customHeight="1" x14ac:dyDescent="0.25"/>
    <row r="103" spans="3:37" ht="20.100000000000001" customHeight="1" x14ac:dyDescent="0.25"/>
    <row r="104" spans="3:37" ht="20.100000000000001" customHeight="1" x14ac:dyDescent="0.25"/>
    <row r="105" spans="3:37" ht="20.100000000000001" customHeight="1" x14ac:dyDescent="0.25">
      <c r="D105" s="53" t="s">
        <v>30</v>
      </c>
      <c r="E105" s="1" t="str" cm="1">
        <f t="array" ref="E105">MMS_PastureBeef_Methane_Equations.VEERG_4_2_1_1__3_VolatileSolidProductionFromGrazingBeef_Variable()</f>
        <v>VS_jkl</v>
      </c>
    </row>
    <row r="106" spans="3:37" ht="20.100000000000001" customHeight="1" x14ac:dyDescent="0.25">
      <c r="D106" s="53" t="s">
        <v>20</v>
      </c>
      <c r="E106" s="54" t="str" cm="1">
        <f t="array" ref="E106">MMS_PastureBeef_Methane_Equations.VEERG_4_2_1_1__3_VolatileSolidProductionFromGrazingBeef_Unit()</f>
        <v>kg/head/day</v>
      </c>
    </row>
    <row r="107" spans="3:37" ht="20.100000000000001" customHeight="1" x14ac:dyDescent="0.25"/>
    <row r="108" spans="3:37" ht="20.100000000000001" customHeight="1" x14ac:dyDescent="0.25">
      <c r="D108" s="119" t="str" cm="1">
        <f t="array" ref="D108:E110">_xlfn.CHOOSECOLS(MMS_PastureBeef_Methane_Equations.VEERG_4_2_1_1__3_VolatileSolidProductionFromGrazingBeef_Arguments(), 1, 2)</f>
        <v>I_jkl</v>
      </c>
      <c r="E108" s="124" t="str">
        <v>dry matter intake as calculated in Chapter 3 Section 3.2.1</v>
      </c>
      <c r="F108" s="123"/>
      <c r="G108" s="119" t="str" cm="1">
        <f t="array" ref="G108:H110">_xlfn.CHOOSECOLS(MMS_PastureBeef_Methane_Equations.VEERG_4_2_1_1__3_VolatileSolidProductionFromGrazingBeef_Arguments(), 3,4)</f>
        <v>kg/head/day</v>
      </c>
      <c r="H108" s="120" t="str">
        <v>Calculated from 3.2.1.1, (3)</v>
      </c>
      <c r="I108" s="118" t="str" cm="1">
        <f t="array" aca="1" ref="I108" ca="1">HYPERLINK(Common_InputFunctions.Utility_SourceHyperlink($D$81), $D$81)</f>
        <v>M1_Table_I_j_k_l</v>
      </c>
    </row>
    <row r="109" spans="3:37" ht="20.100000000000001" customHeight="1" x14ac:dyDescent="0.25">
      <c r="D109" s="119" t="str">
        <v>DMD_jkl</v>
      </c>
      <c r="E109" s="124" t="str">
        <v>dry matter digestibility expressed as a fraction</v>
      </c>
      <c r="F109" s="123"/>
      <c r="G109" s="119" t="str">
        <v>fraction</v>
      </c>
      <c r="H109" s="121" t="str">
        <v>Input</v>
      </c>
      <c r="I109" s="118" t="str" cm="1">
        <f t="array" aca="1" ref="I109" ca="1">HYPERLINK(Common_InputFunctions.Utility_SourceHyperlink($D$112), $D$112)</f>
        <v>M1_Table_DMD_j_k_l</v>
      </c>
    </row>
    <row r="110" spans="3:37" ht="20.100000000000001" customHeight="1" x14ac:dyDescent="0.25">
      <c r="D110" s="119" t="str">
        <v>A</v>
      </c>
      <c r="E110" s="124" t="str">
        <v>ash content of feed intake expressed as a fraction</v>
      </c>
      <c r="F110" s="123"/>
      <c r="G110" s="119" t="str">
        <v>fraction</v>
      </c>
      <c r="H110" s="120" t="str">
        <v>Constant</v>
      </c>
      <c r="I110" s="119">
        <f>'Constants - Pature Beef'!$D$422</f>
        <v>0.08</v>
      </c>
    </row>
    <row r="111" spans="3:37" ht="20.100000000000001" customHeight="1" x14ac:dyDescent="0.25"/>
    <row r="112" spans="3:37" ht="20.100000000000001" customHeight="1" x14ac:dyDescent="0.25">
      <c r="D112" s="98" t="s">
        <v>259</v>
      </c>
      <c r="W112" s="98" t="s">
        <v>260</v>
      </c>
    </row>
    <row r="113" spans="4:36" ht="20.100000000000001" customHeight="1" x14ac:dyDescent="0.25">
      <c r="D113" s="97" t="s">
        <v>112</v>
      </c>
      <c r="W113" s="97" t="s">
        <v>142</v>
      </c>
    </row>
    <row r="114" spans="4:36" ht="20.100000000000001" customHeight="1" x14ac:dyDescent="0.25">
      <c r="D114" s="51" t="s">
        <v>184</v>
      </c>
      <c r="E114" s="122" t="s">
        <v>131</v>
      </c>
      <c r="F114" s="122" t="s">
        <v>130</v>
      </c>
      <c r="G114" s="122" t="s">
        <v>165</v>
      </c>
      <c r="H114" s="122" t="s">
        <v>166</v>
      </c>
      <c r="I114" s="122" t="s">
        <v>167</v>
      </c>
      <c r="J114" s="122" t="s">
        <v>168</v>
      </c>
      <c r="K114" s="122" t="s">
        <v>169</v>
      </c>
      <c r="L114" s="122" t="s">
        <v>170</v>
      </c>
      <c r="M114" s="122" t="s">
        <v>171</v>
      </c>
      <c r="N114" s="122" t="s">
        <v>172</v>
      </c>
      <c r="W114" s="51" t="s">
        <v>132</v>
      </c>
      <c r="X114" s="122" t="s">
        <v>131</v>
      </c>
      <c r="Y114" s="122" t="s">
        <v>130</v>
      </c>
      <c r="Z114" s="122" t="s">
        <v>165</v>
      </c>
      <c r="AA114" s="122" t="s">
        <v>166</v>
      </c>
      <c r="AB114" s="122" t="s">
        <v>167</v>
      </c>
      <c r="AC114" s="122" t="s">
        <v>168</v>
      </c>
      <c r="AD114" s="122" t="s">
        <v>169</v>
      </c>
      <c r="AE114" s="122" t="s">
        <v>170</v>
      </c>
      <c r="AF114" s="122" t="s">
        <v>171</v>
      </c>
      <c r="AG114" s="122" t="s">
        <v>172</v>
      </c>
    </row>
    <row r="115" spans="4:36" ht="20.100000000000001" customHeight="1" x14ac:dyDescent="0.25">
      <c r="D115" s="52" t="s">
        <v>173</v>
      </c>
      <c r="E115" s="52" cm="1">
        <f t="array" aca="1" ref="E115:N118" ca="1">OFFSET(X_Table_PastureBeef_DryMatterDigestibility_Method1, 1,1, 4,10)</f>
        <v>0.8</v>
      </c>
      <c r="F115" s="52">
        <f ca="1"/>
        <v>0.8</v>
      </c>
      <c r="G115" s="52">
        <f ca="1"/>
        <v>0.8</v>
      </c>
      <c r="H115" s="52">
        <f ca="1"/>
        <v>0.8</v>
      </c>
      <c r="I115" s="52">
        <f ca="1"/>
        <v>0.8</v>
      </c>
      <c r="J115" s="52">
        <f ca="1"/>
        <v>0.8</v>
      </c>
      <c r="K115" s="52">
        <f ca="1"/>
        <v>0.8</v>
      </c>
      <c r="L115" s="52">
        <f ca="1"/>
        <v>0.8</v>
      </c>
      <c r="M115" s="52">
        <f ca="1"/>
        <v>0.8</v>
      </c>
      <c r="N115" s="52">
        <f ca="1"/>
        <v>0.8</v>
      </c>
      <c r="O115" s="2" t="s">
        <v>141</v>
      </c>
      <c r="P115" s="2"/>
      <c r="Q115" s="2"/>
      <c r="R115" s="2"/>
      <c r="S115" s="2"/>
      <c r="W115" s="52" t="str">
        <f>'Input - Pasture Beef'!D160</f>
        <v>January 2024</v>
      </c>
      <c r="X115" s="52" cm="1">
        <f t="array" aca="1" ref="X115:AG126" ca="1">OFFSET(X_Table_PastureBeef_DryMatterDigestibility_Method2, 1,1, 12,10)</f>
        <v>0.57999999999999996</v>
      </c>
      <c r="Y115" s="52">
        <f ca="1"/>
        <v>0.57999999999999996</v>
      </c>
      <c r="Z115" s="52">
        <f ca="1"/>
        <v>0.57999999999999996</v>
      </c>
      <c r="AA115" s="52">
        <f ca="1"/>
        <v>0.57999999999999996</v>
      </c>
      <c r="AB115" s="52">
        <f ca="1"/>
        <v>0.57999999999999996</v>
      </c>
      <c r="AC115" s="52">
        <f ca="1"/>
        <v>0.57999999999999996</v>
      </c>
      <c r="AD115" s="52">
        <f ca="1"/>
        <v>0.57999999999999996</v>
      </c>
      <c r="AE115" s="52">
        <f ca="1"/>
        <v>0.57999999999999996</v>
      </c>
      <c r="AF115" s="52">
        <f ca="1"/>
        <v>0.57999999999999996</v>
      </c>
      <c r="AG115" s="52">
        <f ca="1"/>
        <v>0.57999999999999996</v>
      </c>
      <c r="AH115" s="2" t="s">
        <v>141</v>
      </c>
      <c r="AI115" s="2"/>
      <c r="AJ115" s="2"/>
    </row>
    <row r="116" spans="4:36" ht="20.100000000000001" customHeight="1" x14ac:dyDescent="0.25">
      <c r="D116" s="52" t="s">
        <v>174</v>
      </c>
      <c r="E116" s="52">
        <f ca="1"/>
        <v>0.57999999999999996</v>
      </c>
      <c r="F116" s="52">
        <f ca="1"/>
        <v>0.57999999999999996</v>
      </c>
      <c r="G116" s="52">
        <f ca="1"/>
        <v>0.57999999999999996</v>
      </c>
      <c r="H116" s="52">
        <f ca="1"/>
        <v>0.57999999999999996</v>
      </c>
      <c r="I116" s="52">
        <f ca="1"/>
        <v>0.57999999999999996</v>
      </c>
      <c r="J116" s="52">
        <f ca="1"/>
        <v>0.57999999999999996</v>
      </c>
      <c r="K116" s="52">
        <f ca="1"/>
        <v>0.57999999999999996</v>
      </c>
      <c r="L116" s="52">
        <f ca="1"/>
        <v>0.57999999999999996</v>
      </c>
      <c r="M116" s="52">
        <f ca="1"/>
        <v>0.57999999999999996</v>
      </c>
      <c r="N116" s="52">
        <f ca="1"/>
        <v>0.57999999999999996</v>
      </c>
      <c r="O116" s="2" t="s">
        <v>141</v>
      </c>
      <c r="P116" s="2"/>
      <c r="Q116" s="2"/>
      <c r="R116" s="2"/>
      <c r="S116" s="2"/>
      <c r="W116" s="52" t="str">
        <f>'Input - Pasture Beef'!D161</f>
        <v>February 2024</v>
      </c>
      <c r="X116" s="52">
        <f ca="1"/>
        <v>0.57999999999999996</v>
      </c>
      <c r="Y116" s="52">
        <f ca="1"/>
        <v>0.57999999999999996</v>
      </c>
      <c r="Z116" s="52">
        <f ca="1"/>
        <v>0.57999999999999996</v>
      </c>
      <c r="AA116" s="52">
        <f ca="1"/>
        <v>0.57999999999999996</v>
      </c>
      <c r="AB116" s="52">
        <f ca="1"/>
        <v>0.57999999999999996</v>
      </c>
      <c r="AC116" s="52">
        <f ca="1"/>
        <v>0.57999999999999996</v>
      </c>
      <c r="AD116" s="52">
        <f ca="1"/>
        <v>0.57999999999999996</v>
      </c>
      <c r="AE116" s="52">
        <f ca="1"/>
        <v>0.57999999999999996</v>
      </c>
      <c r="AF116" s="52">
        <f ca="1"/>
        <v>0.57999999999999996</v>
      </c>
      <c r="AG116" s="52">
        <f ca="1"/>
        <v>0.57999999999999996</v>
      </c>
      <c r="AH116" s="2" t="s">
        <v>141</v>
      </c>
      <c r="AI116" s="2"/>
      <c r="AJ116" s="2"/>
    </row>
    <row r="117" spans="4:36" ht="20.100000000000001" customHeight="1" x14ac:dyDescent="0.25">
      <c r="D117" s="52" t="s">
        <v>175</v>
      </c>
      <c r="E117" s="52">
        <f ca="1"/>
        <v>0.5</v>
      </c>
      <c r="F117" s="52">
        <f ca="1"/>
        <v>0.5</v>
      </c>
      <c r="G117" s="52">
        <f ca="1"/>
        <v>0.5</v>
      </c>
      <c r="H117" s="52">
        <f ca="1"/>
        <v>0.5</v>
      </c>
      <c r="I117" s="52">
        <f ca="1"/>
        <v>0.5</v>
      </c>
      <c r="J117" s="52">
        <f ca="1"/>
        <v>0.5</v>
      </c>
      <c r="K117" s="52">
        <f ca="1"/>
        <v>0.5</v>
      </c>
      <c r="L117" s="52">
        <f ca="1"/>
        <v>0.5</v>
      </c>
      <c r="M117" s="52">
        <f ca="1"/>
        <v>0.5</v>
      </c>
      <c r="N117" s="52">
        <f ca="1"/>
        <v>0.5</v>
      </c>
      <c r="O117" s="2" t="s">
        <v>141</v>
      </c>
      <c r="P117" s="2"/>
      <c r="Q117" s="2"/>
      <c r="R117" s="2"/>
      <c r="S117" s="2"/>
      <c r="W117" s="52" t="str">
        <f>'Input - Pasture Beef'!D162</f>
        <v>March 2024</v>
      </c>
      <c r="X117" s="52">
        <f ca="1"/>
        <v>0.5</v>
      </c>
      <c r="Y117" s="52">
        <f ca="1"/>
        <v>0.5</v>
      </c>
      <c r="Z117" s="52">
        <f ca="1"/>
        <v>0.5</v>
      </c>
      <c r="AA117" s="52">
        <f ca="1"/>
        <v>0.5</v>
      </c>
      <c r="AB117" s="52">
        <f ca="1"/>
        <v>0.5</v>
      </c>
      <c r="AC117" s="52">
        <f ca="1"/>
        <v>0.5</v>
      </c>
      <c r="AD117" s="52">
        <f ca="1"/>
        <v>0.5</v>
      </c>
      <c r="AE117" s="52">
        <f ca="1"/>
        <v>0.5</v>
      </c>
      <c r="AF117" s="52">
        <f ca="1"/>
        <v>0.5</v>
      </c>
      <c r="AG117" s="52">
        <f ca="1"/>
        <v>0.5</v>
      </c>
      <c r="AH117" s="2" t="s">
        <v>141</v>
      </c>
      <c r="AI117" s="2"/>
      <c r="AJ117" s="2"/>
    </row>
    <row r="118" spans="4:36" ht="20.100000000000001" customHeight="1" x14ac:dyDescent="0.25">
      <c r="D118" s="52" t="s">
        <v>176</v>
      </c>
      <c r="E118" s="52">
        <f ca="1"/>
        <v>0.75</v>
      </c>
      <c r="F118" s="52">
        <f ca="1"/>
        <v>0.75</v>
      </c>
      <c r="G118" s="52">
        <f ca="1"/>
        <v>0.75</v>
      </c>
      <c r="H118" s="52">
        <f ca="1"/>
        <v>0.75</v>
      </c>
      <c r="I118" s="52">
        <f ca="1"/>
        <v>0.75</v>
      </c>
      <c r="J118" s="52">
        <f ca="1"/>
        <v>0.75</v>
      </c>
      <c r="K118" s="52">
        <f ca="1"/>
        <v>0.75</v>
      </c>
      <c r="L118" s="52">
        <f ca="1"/>
        <v>0.75</v>
      </c>
      <c r="M118" s="52">
        <f ca="1"/>
        <v>0.75</v>
      </c>
      <c r="N118" s="52">
        <f ca="1"/>
        <v>0.75</v>
      </c>
      <c r="O118" s="2" t="s">
        <v>141</v>
      </c>
      <c r="P118" s="2"/>
      <c r="Q118" s="2"/>
      <c r="R118" s="2"/>
      <c r="S118" s="2"/>
      <c r="W118" s="52" t="str">
        <f>'Input - Pasture Beef'!D163</f>
        <v>April 2024</v>
      </c>
      <c r="X118" s="52">
        <f ca="1"/>
        <v>0.5</v>
      </c>
      <c r="Y118" s="52">
        <f ca="1"/>
        <v>0.5</v>
      </c>
      <c r="Z118" s="52">
        <f ca="1"/>
        <v>0.5</v>
      </c>
      <c r="AA118" s="52">
        <f ca="1"/>
        <v>0.5</v>
      </c>
      <c r="AB118" s="52">
        <f ca="1"/>
        <v>0.5</v>
      </c>
      <c r="AC118" s="52">
        <f ca="1"/>
        <v>0.5</v>
      </c>
      <c r="AD118" s="52">
        <f ca="1"/>
        <v>0.5</v>
      </c>
      <c r="AE118" s="52">
        <f ca="1"/>
        <v>0.5</v>
      </c>
      <c r="AF118" s="52">
        <f ca="1"/>
        <v>0.5</v>
      </c>
      <c r="AG118" s="52">
        <f ca="1"/>
        <v>0.5</v>
      </c>
      <c r="AH118" s="2" t="s">
        <v>141</v>
      </c>
      <c r="AI118" s="2"/>
      <c r="AJ118" s="2"/>
    </row>
    <row r="119" spans="4:36" ht="20.100000000000001" customHeight="1" x14ac:dyDescent="0.25">
      <c r="W119" s="52" t="str">
        <f>'Input - Pasture Beef'!D164</f>
        <v>May 2024</v>
      </c>
      <c r="X119" s="52">
        <f ca="1"/>
        <v>0.5</v>
      </c>
      <c r="Y119" s="52">
        <f ca="1"/>
        <v>0.5</v>
      </c>
      <c r="Z119" s="52">
        <f ca="1"/>
        <v>0.5</v>
      </c>
      <c r="AA119" s="52">
        <f ca="1"/>
        <v>0.5</v>
      </c>
      <c r="AB119" s="52">
        <f ca="1"/>
        <v>0.5</v>
      </c>
      <c r="AC119" s="52">
        <f ca="1"/>
        <v>0.5</v>
      </c>
      <c r="AD119" s="52">
        <f ca="1"/>
        <v>0.5</v>
      </c>
      <c r="AE119" s="52">
        <f ca="1"/>
        <v>0.5</v>
      </c>
      <c r="AF119" s="52">
        <f ca="1"/>
        <v>0.5</v>
      </c>
      <c r="AG119" s="52">
        <f ca="1"/>
        <v>0.5</v>
      </c>
      <c r="AH119" s="2" t="s">
        <v>141</v>
      </c>
      <c r="AI119" s="2"/>
      <c r="AJ119" s="2"/>
    </row>
    <row r="120" spans="4:36" ht="20.100000000000001" customHeight="1" x14ac:dyDescent="0.25">
      <c r="W120" s="52" t="str">
        <f>'Input - Pasture Beef'!D165</f>
        <v>June 2024</v>
      </c>
      <c r="X120" s="52">
        <f ca="1"/>
        <v>0.75</v>
      </c>
      <c r="Y120" s="52">
        <f ca="1"/>
        <v>0.75</v>
      </c>
      <c r="Z120" s="52">
        <f ca="1"/>
        <v>0.75</v>
      </c>
      <c r="AA120" s="52">
        <f ca="1"/>
        <v>0.75</v>
      </c>
      <c r="AB120" s="52">
        <f ca="1"/>
        <v>0.75</v>
      </c>
      <c r="AC120" s="52">
        <f ca="1"/>
        <v>0.75</v>
      </c>
      <c r="AD120" s="52">
        <f ca="1"/>
        <v>0.75</v>
      </c>
      <c r="AE120" s="52">
        <f ca="1"/>
        <v>0.75</v>
      </c>
      <c r="AF120" s="52">
        <f ca="1"/>
        <v>0.75</v>
      </c>
      <c r="AG120" s="52">
        <f ca="1"/>
        <v>0.75</v>
      </c>
      <c r="AH120" s="2" t="s">
        <v>141</v>
      </c>
      <c r="AI120" s="2"/>
      <c r="AJ120" s="2"/>
    </row>
    <row r="121" spans="4:36" ht="20.100000000000001" customHeight="1" x14ac:dyDescent="0.25">
      <c r="W121" s="52" t="str">
        <f>'Input - Pasture Beef'!D166</f>
        <v>July 2024</v>
      </c>
      <c r="X121" s="52">
        <f ca="1"/>
        <v>0.75</v>
      </c>
      <c r="Y121" s="52">
        <f ca="1"/>
        <v>0.75</v>
      </c>
      <c r="Z121" s="52">
        <f ca="1"/>
        <v>0.75</v>
      </c>
      <c r="AA121" s="52">
        <f ca="1"/>
        <v>0.75</v>
      </c>
      <c r="AB121" s="52">
        <f ca="1"/>
        <v>0.75</v>
      </c>
      <c r="AC121" s="52">
        <f ca="1"/>
        <v>0.75</v>
      </c>
      <c r="AD121" s="52">
        <f ca="1"/>
        <v>0.75</v>
      </c>
      <c r="AE121" s="52">
        <f ca="1"/>
        <v>0.75</v>
      </c>
      <c r="AF121" s="52">
        <f ca="1"/>
        <v>0.75</v>
      </c>
      <c r="AG121" s="52">
        <f ca="1"/>
        <v>0.75</v>
      </c>
      <c r="AH121" s="2" t="s">
        <v>141</v>
      </c>
      <c r="AI121" s="2"/>
      <c r="AJ121" s="2"/>
    </row>
    <row r="122" spans="4:36" ht="20.100000000000001" customHeight="1" x14ac:dyDescent="0.25">
      <c r="W122" s="52" t="str">
        <f>'Input - Pasture Beef'!D167</f>
        <v>August 2024</v>
      </c>
      <c r="X122" s="52">
        <f ca="1"/>
        <v>0.75</v>
      </c>
      <c r="Y122" s="52">
        <f ca="1"/>
        <v>0.75</v>
      </c>
      <c r="Z122" s="52">
        <f ca="1"/>
        <v>0.75</v>
      </c>
      <c r="AA122" s="52">
        <f ca="1"/>
        <v>0.75</v>
      </c>
      <c r="AB122" s="52">
        <f ca="1"/>
        <v>0.75</v>
      </c>
      <c r="AC122" s="52">
        <f ca="1"/>
        <v>0.75</v>
      </c>
      <c r="AD122" s="52">
        <f ca="1"/>
        <v>0.75</v>
      </c>
      <c r="AE122" s="52">
        <f ca="1"/>
        <v>0.75</v>
      </c>
      <c r="AF122" s="52">
        <f ca="1"/>
        <v>0.75</v>
      </c>
      <c r="AG122" s="52">
        <f ca="1"/>
        <v>0.75</v>
      </c>
      <c r="AH122" s="2" t="s">
        <v>141</v>
      </c>
      <c r="AI122" s="2"/>
      <c r="AJ122" s="2"/>
    </row>
    <row r="123" spans="4:36" ht="20.100000000000001" customHeight="1" x14ac:dyDescent="0.25">
      <c r="W123" s="52" t="str">
        <f>'Input - Pasture Beef'!D168</f>
        <v>September 2024</v>
      </c>
      <c r="X123" s="52">
        <f ca="1"/>
        <v>0.8</v>
      </c>
      <c r="Y123" s="52">
        <f ca="1"/>
        <v>0.8</v>
      </c>
      <c r="Z123" s="52">
        <f ca="1"/>
        <v>0.8</v>
      </c>
      <c r="AA123" s="52">
        <f ca="1"/>
        <v>0.8</v>
      </c>
      <c r="AB123" s="52">
        <f ca="1"/>
        <v>0.8</v>
      </c>
      <c r="AC123" s="52">
        <f ca="1"/>
        <v>0.8</v>
      </c>
      <c r="AD123" s="52">
        <f ca="1"/>
        <v>0.8</v>
      </c>
      <c r="AE123" s="52">
        <f ca="1"/>
        <v>0.8</v>
      </c>
      <c r="AF123" s="52">
        <f ca="1"/>
        <v>0.8</v>
      </c>
      <c r="AG123" s="52">
        <f ca="1"/>
        <v>0.8</v>
      </c>
      <c r="AH123" s="2" t="s">
        <v>141</v>
      </c>
      <c r="AI123" s="2"/>
      <c r="AJ123" s="2"/>
    </row>
    <row r="124" spans="4:36" ht="20.100000000000001" customHeight="1" x14ac:dyDescent="0.25">
      <c r="W124" s="52" t="str">
        <f>'Input - Pasture Beef'!D169</f>
        <v>October 2024</v>
      </c>
      <c r="X124" s="52">
        <f ca="1"/>
        <v>0.8</v>
      </c>
      <c r="Y124" s="52">
        <f ca="1"/>
        <v>0.8</v>
      </c>
      <c r="Z124" s="52">
        <f ca="1"/>
        <v>0.8</v>
      </c>
      <c r="AA124" s="52">
        <f ca="1"/>
        <v>0.8</v>
      </c>
      <c r="AB124" s="52">
        <f ca="1"/>
        <v>0.8</v>
      </c>
      <c r="AC124" s="52">
        <f ca="1"/>
        <v>0.8</v>
      </c>
      <c r="AD124" s="52">
        <f ca="1"/>
        <v>0.8</v>
      </c>
      <c r="AE124" s="52">
        <f ca="1"/>
        <v>0.8</v>
      </c>
      <c r="AF124" s="52">
        <f ca="1"/>
        <v>0.8</v>
      </c>
      <c r="AG124" s="52">
        <f ca="1"/>
        <v>0.8</v>
      </c>
      <c r="AH124" s="2" t="s">
        <v>141</v>
      </c>
      <c r="AI124" s="2"/>
      <c r="AJ124" s="2"/>
    </row>
    <row r="125" spans="4:36" ht="20.100000000000001" customHeight="1" x14ac:dyDescent="0.25">
      <c r="W125" s="52" t="str">
        <f>'Input - Pasture Beef'!D170</f>
        <v>November 2024</v>
      </c>
      <c r="X125" s="52">
        <f ca="1"/>
        <v>0.8</v>
      </c>
      <c r="Y125" s="52">
        <f ca="1"/>
        <v>0.8</v>
      </c>
      <c r="Z125" s="52">
        <f ca="1"/>
        <v>0.8</v>
      </c>
      <c r="AA125" s="52">
        <f ca="1"/>
        <v>0.8</v>
      </c>
      <c r="AB125" s="52">
        <f ca="1"/>
        <v>0.8</v>
      </c>
      <c r="AC125" s="52">
        <f ca="1"/>
        <v>0.8</v>
      </c>
      <c r="AD125" s="52">
        <f ca="1"/>
        <v>0.8</v>
      </c>
      <c r="AE125" s="52">
        <f ca="1"/>
        <v>0.8</v>
      </c>
      <c r="AF125" s="52">
        <f ca="1"/>
        <v>0.8</v>
      </c>
      <c r="AG125" s="52">
        <f ca="1"/>
        <v>0.8</v>
      </c>
      <c r="AH125" s="2" t="s">
        <v>141</v>
      </c>
      <c r="AI125" s="2"/>
      <c r="AJ125" s="2"/>
    </row>
    <row r="126" spans="4:36" ht="20.100000000000001" customHeight="1" x14ac:dyDescent="0.25">
      <c r="W126" s="52" t="str">
        <f>'Input - Pasture Beef'!D171</f>
        <v>December 2024</v>
      </c>
      <c r="X126" s="52">
        <f ca="1"/>
        <v>0.57999999999999996</v>
      </c>
      <c r="Y126" s="52">
        <f ca="1"/>
        <v>0.57999999999999996</v>
      </c>
      <c r="Z126" s="52">
        <f ca="1"/>
        <v>0.57999999999999996</v>
      </c>
      <c r="AA126" s="52">
        <f ca="1"/>
        <v>0.57999999999999996</v>
      </c>
      <c r="AB126" s="52">
        <f ca="1"/>
        <v>0.57999999999999996</v>
      </c>
      <c r="AC126" s="52">
        <f ca="1"/>
        <v>0.57999999999999996</v>
      </c>
      <c r="AD126" s="52">
        <f ca="1"/>
        <v>0.57999999999999996</v>
      </c>
      <c r="AE126" s="52">
        <f ca="1"/>
        <v>0.57999999999999996</v>
      </c>
      <c r="AF126" s="52">
        <f ca="1"/>
        <v>0.57999999999999996</v>
      </c>
      <c r="AG126" s="52">
        <f ca="1"/>
        <v>0.57999999999999996</v>
      </c>
      <c r="AH126" s="2" t="s">
        <v>141</v>
      </c>
      <c r="AI126" s="2"/>
      <c r="AJ126" s="2"/>
    </row>
    <row r="127" spans="4:36" ht="20.100000000000001" customHeight="1" x14ac:dyDescent="0.25"/>
    <row r="128" spans="4:36" ht="20.100000000000001" customHeight="1" x14ac:dyDescent="0.25">
      <c r="D128" s="98" t="s">
        <v>261</v>
      </c>
      <c r="W128" s="98" t="s">
        <v>262</v>
      </c>
    </row>
    <row r="129" spans="4:36" ht="20.100000000000001" customHeight="1" x14ac:dyDescent="0.25">
      <c r="D129" s="97" t="s">
        <v>111</v>
      </c>
      <c r="W129" s="97" t="s">
        <v>113</v>
      </c>
    </row>
    <row r="130" spans="4:36" ht="20.100000000000001" customHeight="1" x14ac:dyDescent="0.25">
      <c r="D130" s="51" t="s">
        <v>184</v>
      </c>
      <c r="E130" s="51" t="s">
        <v>131</v>
      </c>
      <c r="F130" s="51" t="s">
        <v>130</v>
      </c>
      <c r="G130" s="51" t="s">
        <v>165</v>
      </c>
      <c r="H130" s="51" t="s">
        <v>166</v>
      </c>
      <c r="I130" s="51" t="s">
        <v>167</v>
      </c>
      <c r="J130" s="51" t="s">
        <v>168</v>
      </c>
      <c r="K130" s="51" t="s">
        <v>169</v>
      </c>
      <c r="L130" s="51" t="s">
        <v>170</v>
      </c>
      <c r="M130" s="51" t="s">
        <v>171</v>
      </c>
      <c r="N130" s="51" t="s">
        <v>172</v>
      </c>
      <c r="W130" s="51" t="s">
        <v>132</v>
      </c>
      <c r="X130" s="51" t="s">
        <v>131</v>
      </c>
      <c r="Y130" s="51" t="s">
        <v>130</v>
      </c>
      <c r="Z130" s="51" t="s">
        <v>165</v>
      </c>
      <c r="AA130" s="51" t="s">
        <v>166</v>
      </c>
      <c r="AB130" s="51" t="s">
        <v>167</v>
      </c>
      <c r="AC130" s="51" t="s">
        <v>168</v>
      </c>
      <c r="AD130" s="51" t="s">
        <v>169</v>
      </c>
      <c r="AE130" s="51" t="s">
        <v>170</v>
      </c>
      <c r="AF130" s="51" t="s">
        <v>171</v>
      </c>
      <c r="AG130" s="51" t="s">
        <v>172</v>
      </c>
    </row>
    <row r="131" spans="4:36" ht="20.100000000000001" customHeight="1" x14ac:dyDescent="0.25">
      <c r="D131" s="52" t="s">
        <v>173</v>
      </c>
      <c r="E131" s="52" cm="1">
        <f t="array" aca="1" ref="E131" ca="1">MMS_PastureBeef_Methane_Equations.VEERG_4_2_1_1__3_VolatileSolidProductionFromGrazingBeef(E84,E115,$I$110)</f>
        <v>1.9145357642956797</v>
      </c>
      <c r="F131" s="52" cm="1">
        <f t="array" aca="1" ref="F131" ca="1">MMS_PastureBeef_Methane_Equations.VEERG_4_2_1_1__3_VolatileSolidProductionFromGrazingBeef(F84,F115,$I$110)</f>
        <v>2.7040272552000002</v>
      </c>
      <c r="G131" s="52" cm="1">
        <f t="array" aca="1" ref="G131" ca="1">MMS_PastureBeef_Methane_Equations.VEERG_4_2_1_1__3_VolatileSolidProductionFromGrazingBeef(G84,G115,$I$110)</f>
        <v>1.45925863828128</v>
      </c>
      <c r="H131" s="52" cm="1">
        <f t="array" aca="1" ref="H131" ca="1">MMS_PastureBeef_Methane_Equations.VEERG_4_2_1_1__3_VolatileSolidProductionFromGrazingBeef(H84,H115,$I$110)</f>
        <v>2.1065186176562882</v>
      </c>
      <c r="I131" s="52" cm="1">
        <f t="array" aca="1" ref="I131" ca="1">MMS_PastureBeef_Methane_Equations.VEERG_4_2_1_1__3_VolatileSolidProductionFromGrazingBeef(I84,I115,$I$110)</f>
        <v>2.4880576692441596</v>
      </c>
      <c r="J131" s="52" cm="1">
        <f t="array" aca="1" ref="J131" ca="1">MMS_PastureBeef_Methane_Equations.VEERG_4_2_1_1__3_VolatileSolidProductionFromGrazingBeef(J84,J115,$I$110)</f>
        <v>2.4880576692441596</v>
      </c>
      <c r="K131" s="52" cm="1">
        <f t="array" aca="1" ref="K131" ca="1">MMS_PastureBeef_Methane_Equations.VEERG_4_2_1_1__3_VolatileSolidProductionFromGrazingBeef(K84,K115,$I$110)</f>
        <v>1.6823317446719992</v>
      </c>
      <c r="L131" s="52" cm="1">
        <f t="array" aca="1" ref="L131" ca="1">MMS_PastureBeef_Methane_Equations.VEERG_4_2_1_1__3_VolatileSolidProductionFromGrazingBeef(L84,L115,$I$110)</f>
        <v>2.1378800925964794</v>
      </c>
      <c r="M131" s="52" cm="1">
        <f t="array" aca="1" ref="M131" ca="1">MMS_PastureBeef_Methane_Equations.VEERG_4_2_1_1__3_VolatileSolidProductionFromGrazingBeef(M84,M115,$I$110)</f>
        <v>2.1378800925964794</v>
      </c>
      <c r="N131" s="52" cm="1">
        <f t="array" aca="1" ref="N131" ca="1">MMS_PastureBeef_Methane_Equations.VEERG_4_2_1_1__3_VolatileSolidProductionFromGrazingBeef(N84,N115,$I$110)</f>
        <v>2.1378800925964794</v>
      </c>
      <c r="O131" s="2" t="str">
        <f>$E$106</f>
        <v>kg/head/day</v>
      </c>
      <c r="P131" s="2"/>
      <c r="Q131" s="2"/>
      <c r="R131" s="2"/>
      <c r="S131" s="2"/>
      <c r="W131" s="52" t="str">
        <f>W115</f>
        <v>January 2024</v>
      </c>
      <c r="X131" s="52" cm="1">
        <f t="array" aca="1" ref="X131" ca="1">MMS_PastureBeef_Methane_Equations.VEERG_4_2_1_1__3_VolatileSolidProductionFromGrazingBeef(X76,X115,$I$110)</f>
        <v>3.0245484814387189</v>
      </c>
      <c r="Y131" s="52" cm="1">
        <f t="array" aca="1" ref="Y131" ca="1">MMS_PastureBeef_Methane_Equations.VEERG_4_2_1_1__3_VolatileSolidProductionFromGrazingBeef(Y76,Y115,$I$110)</f>
        <v>4.0017766623235218</v>
      </c>
      <c r="Z131" s="52" cm="1">
        <f t="array" aca="1" ref="Z131" ca="1">MMS_PastureBeef_Methane_Equations.VEERG_4_2_1_1__3_VolatileSolidProductionFromGrazingBeef(Z76,Z115,$I$110)</f>
        <v>2.5435769713919996</v>
      </c>
      <c r="AA131" s="52" cm="1">
        <f t="array" aca="1" ref="AA131" ca="1">MMS_PastureBeef_Methane_Equations.VEERG_4_2_1_1__3_VolatileSolidProductionFromGrazingBeef(AA76,AA115,$I$110)</f>
        <v>3.5806278816553512</v>
      </c>
      <c r="AB131" s="52" cm="1">
        <f t="array" aca="1" ref="AB131" ca="1">MMS_PastureBeef_Methane_Equations.VEERG_4_2_1_1__3_VolatileSolidProductionFromGrazingBeef(AB76,AB115,$I$110)</f>
        <v>3.5452597228539839</v>
      </c>
      <c r="AC131" s="52" cm="1">
        <f t="array" aca="1" ref="AC131" ca="1">MMS_PastureBeef_Methane_Equations.VEERG_4_2_1_1__3_VolatileSolidProductionFromGrazingBeef(AC76,AC115,$I$110)</f>
        <v>3.5452597228539839</v>
      </c>
      <c r="AD131" s="52" cm="1">
        <f t="array" aca="1" ref="AD131" ca="1">MMS_PastureBeef_Methane_Equations.VEERG_4_2_1_1__3_VolatileSolidProductionFromGrazingBeef(AD76,AD115,$I$110)</f>
        <v>2.7878896244787201</v>
      </c>
      <c r="AE131" s="52" cm="1">
        <f t="array" aca="1" ref="AE131" ca="1">MMS_PastureBeef_Methane_Equations.VEERG_4_2_1_1__3_VolatileSolidProductionFromGrazingBeef(AE76,AE115,$I$110)</f>
        <v>3.1075873239175205</v>
      </c>
      <c r="AF131" s="52" cm="1">
        <f t="array" aca="1" ref="AF131" ca="1">MMS_PastureBeef_Methane_Equations.VEERG_4_2_1_1__3_VolatileSolidProductionFromGrazingBeef(AF76,AF115,$I$110)</f>
        <v>3.1075873239175205</v>
      </c>
      <c r="AG131" s="52" cm="1">
        <f t="array" aca="1" ref="AG131" ca="1">MMS_PastureBeef_Methane_Equations.VEERG_4_2_1_1__3_VolatileSolidProductionFromGrazingBeef(AG76,AG115,$I$110)</f>
        <v>3.1075873239175205</v>
      </c>
      <c r="AH131" s="2" t="str">
        <f t="shared" ref="AH131:AH142" si="3">$E$106</f>
        <v>kg/head/day</v>
      </c>
      <c r="AI131" s="2"/>
      <c r="AJ131" s="2"/>
    </row>
    <row r="132" spans="4:36" ht="20.100000000000001" customHeight="1" x14ac:dyDescent="0.25">
      <c r="D132" s="52" t="s">
        <v>174</v>
      </c>
      <c r="E132" s="52" cm="1">
        <f t="array" aca="1" ref="E132" ca="1">MMS_PastureBeef_Methane_Equations.VEERG_4_2_1_1__3_VolatileSolidProductionFromGrazingBeef(E85,E116,$I$110)</f>
        <v>3.0245484814387189</v>
      </c>
      <c r="F132" s="52" cm="1">
        <f t="array" aca="1" ref="F132" ca="1">MMS_PastureBeef_Methane_Equations.VEERG_4_2_1_1__3_VolatileSolidProductionFromGrazingBeef(F85,F116,$I$110)</f>
        <v>4.0017766623235218</v>
      </c>
      <c r="G132" s="52" cm="1">
        <f t="array" aca="1" ref="G132" ca="1">MMS_PastureBeef_Methane_Equations.VEERG_4_2_1_1__3_VolatileSolidProductionFromGrazingBeef(G85,G116,$I$110)</f>
        <v>2.5435769713919996</v>
      </c>
      <c r="H132" s="52" cm="1">
        <f t="array" aca="1" ref="H132" ca="1">MMS_PastureBeef_Methane_Equations.VEERG_4_2_1_1__3_VolatileSolidProductionFromGrazingBeef(H85,H116,$I$110)</f>
        <v>3.4640492994619203</v>
      </c>
      <c r="I132" s="52" cm="1">
        <f t="array" aca="1" ref="I132" ca="1">MMS_PastureBeef_Methane_Equations.VEERG_4_2_1_1__3_VolatileSolidProductionFromGrazingBeef(I85,I116,$I$110)</f>
        <v>3.4298326621099</v>
      </c>
      <c r="J132" s="52" cm="1">
        <f t="array" aca="1" ref="J132" ca="1">MMS_PastureBeef_Methane_Equations.VEERG_4_2_1_1__3_VolatileSolidProductionFromGrazingBeef(J85,J116,$I$110)</f>
        <v>3.4298326621099</v>
      </c>
      <c r="K132" s="52" cm="1">
        <f t="array" aca="1" ref="K132" ca="1">MMS_PastureBeef_Methane_Equations.VEERG_4_2_1_1__3_VolatileSolidProductionFromGrazingBeef(K85,K116,$I$110)</f>
        <v>2.7878896244787201</v>
      </c>
      <c r="L132" s="52" cm="1">
        <f t="array" aca="1" ref="L132" ca="1">MMS_PastureBeef_Methane_Equations.VEERG_4_2_1_1__3_VolatileSolidProductionFromGrazingBeef(L85,L116,$I$110)</f>
        <v>3.1075873239175205</v>
      </c>
      <c r="M132" s="52" cm="1">
        <f t="array" aca="1" ref="M132" ca="1">MMS_PastureBeef_Methane_Equations.VEERG_4_2_1_1__3_VolatileSolidProductionFromGrazingBeef(M85,M116,$I$110)</f>
        <v>3.1075873239175205</v>
      </c>
      <c r="N132" s="52" cm="1">
        <f t="array" aca="1" ref="N132" ca="1">MMS_PastureBeef_Methane_Equations.VEERG_4_2_1_1__3_VolatileSolidProductionFromGrazingBeef(N85,N116,$I$110)</f>
        <v>3.1075873239175205</v>
      </c>
      <c r="O132" s="2" t="str">
        <f t="shared" ref="O132:O134" si="4">$E$106</f>
        <v>kg/head/day</v>
      </c>
      <c r="P132" s="2"/>
      <c r="Q132" s="2"/>
      <c r="R132" s="2"/>
      <c r="S132" s="2"/>
      <c r="W132" s="52" t="str">
        <f t="shared" ref="W132:W142" si="5">W116</f>
        <v>February 2024</v>
      </c>
      <c r="X132" s="52" cm="1">
        <f t="array" aca="1" ref="X132" ca="1">MMS_PastureBeef_Methane_Equations.VEERG_4_2_1_1__3_VolatileSolidProductionFromGrazingBeef(X77,X116,$I$110)</f>
        <v>3.0245484814387189</v>
      </c>
      <c r="Y132" s="52" cm="1">
        <f t="array" aca="1" ref="Y132" ca="1">MMS_PastureBeef_Methane_Equations.VEERG_4_2_1_1__3_VolatileSolidProductionFromGrazingBeef(Y77,Y116,$I$110)</f>
        <v>4.0017766623235218</v>
      </c>
      <c r="Z132" s="52" cm="1">
        <f t="array" aca="1" ref="Z132" ca="1">MMS_PastureBeef_Methane_Equations.VEERG_4_2_1_1__3_VolatileSolidProductionFromGrazingBeef(Z77,Z116,$I$110)</f>
        <v>2.5435769713919996</v>
      </c>
      <c r="AA132" s="52" cm="1">
        <f t="array" aca="1" ref="AA132" ca="1">MMS_PastureBeef_Methane_Equations.VEERG_4_2_1_1__3_VolatileSolidProductionFromGrazingBeef(AA77,AA116,$I$110)</f>
        <v>3.3308166340980003</v>
      </c>
      <c r="AB132" s="52" cm="1">
        <f t="array" aca="1" ref="AB132" ca="1">MMS_PastureBeef_Methane_Equations.VEERG_4_2_1_1__3_VolatileSolidProductionFromGrazingBeef(AB77,AB116,$I$110)</f>
        <v>3.2979160212595193</v>
      </c>
      <c r="AC132" s="52" cm="1">
        <f t="array" aca="1" ref="AC132" ca="1">MMS_PastureBeef_Methane_Equations.VEERG_4_2_1_1__3_VolatileSolidProductionFromGrazingBeef(AC77,AC116,$I$110)</f>
        <v>3.2979160212595193</v>
      </c>
      <c r="AD132" s="52" cm="1">
        <f t="array" aca="1" ref="AD132" ca="1">MMS_PastureBeef_Methane_Equations.VEERG_4_2_1_1__3_VolatileSolidProductionFromGrazingBeef(AD77,AD116,$I$110)</f>
        <v>2.7878896244787201</v>
      </c>
      <c r="AE132" s="52" cm="1">
        <f t="array" aca="1" ref="AE132" ca="1">MMS_PastureBeef_Methane_Equations.VEERG_4_2_1_1__3_VolatileSolidProductionFromGrazingBeef(AE77,AE116,$I$110)</f>
        <v>3.1075873239175205</v>
      </c>
      <c r="AF132" s="52" cm="1">
        <f t="array" aca="1" ref="AF132" ca="1">MMS_PastureBeef_Methane_Equations.VEERG_4_2_1_1__3_VolatileSolidProductionFromGrazingBeef(AF77,AF116,$I$110)</f>
        <v>3.1075873239175205</v>
      </c>
      <c r="AG132" s="52" cm="1">
        <f t="array" aca="1" ref="AG132" ca="1">MMS_PastureBeef_Methane_Equations.VEERG_4_2_1_1__3_VolatileSolidProductionFromGrazingBeef(AG77,AG116,$I$110)</f>
        <v>3.1075873239175205</v>
      </c>
      <c r="AH132" s="2" t="str">
        <f t="shared" si="3"/>
        <v>kg/head/day</v>
      </c>
      <c r="AI132" s="2"/>
      <c r="AJ132" s="2"/>
    </row>
    <row r="133" spans="4:36" ht="20.100000000000001" customHeight="1" x14ac:dyDescent="0.25">
      <c r="D133" s="52" t="s">
        <v>175</v>
      </c>
      <c r="E133" s="52" cm="1">
        <f t="array" aca="1" ref="E133" ca="1">MMS_PastureBeef_Methane_Equations.VEERG_4_2_1_1__3_VolatileSolidProductionFromGrazingBeef(E86,E117,$I$110)</f>
        <v>1.6132109472</v>
      </c>
      <c r="F133" s="52" cm="1">
        <f t="array" aca="1" ref="F133" ca="1">MMS_PastureBeef_Methane_Equations.VEERG_4_2_1_1__3_VolatileSolidProductionFromGrazingBeef(F86,F117,$I$110)</f>
        <v>4.68216830671488</v>
      </c>
      <c r="G133" s="52" cm="1">
        <f t="array" aca="1" ref="G133" ca="1">MMS_PastureBeef_Methane_Equations.VEERG_4_2_1_1__3_VolatileSolidProductionFromGrazingBeef(G86,G117,$I$110)</f>
        <v>1.47069031131648</v>
      </c>
      <c r="H133" s="52" cm="1">
        <f t="array" aca="1" ref="H133" ca="1">MMS_PastureBeef_Methane_Equations.VEERG_4_2_1_1__3_VolatileSolidProductionFromGrazingBeef(H86,H117,$I$110)</f>
        <v>2.9894321558500128</v>
      </c>
      <c r="I133" s="52" cm="1">
        <f t="array" aca="1" ref="I133" ca="1">MMS_PastureBeef_Methane_Equations.VEERG_4_2_1_1__3_VolatileSolidProductionFromGrazingBeef(I86,I117,$I$110)</f>
        <v>3.3375011322160799</v>
      </c>
      <c r="J133" s="52" cm="1">
        <f t="array" aca="1" ref="J133" ca="1">MMS_PastureBeef_Methane_Equations.VEERG_4_2_1_1__3_VolatileSolidProductionFromGrazingBeef(J86,J117,$I$110)</f>
        <v>3.3375011322160799</v>
      </c>
      <c r="K133" s="52" cm="1">
        <f t="array" aca="1" ref="K133" ca="1">MMS_PastureBeef_Methane_Equations.VEERG_4_2_1_1__3_VolatileSolidProductionFromGrazingBeef(K86,K117,$I$110)</f>
        <v>1.6132109472</v>
      </c>
      <c r="L133" s="52" cm="1">
        <f t="array" aca="1" ref="L133" ca="1">MMS_PastureBeef_Methane_Equations.VEERG_4_2_1_1__3_VolatileSolidProductionFromGrazingBeef(L86,L117,$I$110)</f>
        <v>2.9288239104268809</v>
      </c>
      <c r="M133" s="52" cm="1">
        <f t="array" aca="1" ref="M133" ca="1">MMS_PastureBeef_Methane_Equations.VEERG_4_2_1_1__3_VolatileSolidProductionFromGrazingBeef(M86,M117,$I$110)</f>
        <v>2.9288239104268809</v>
      </c>
      <c r="N133" s="52" cm="1">
        <f t="array" aca="1" ref="N133" ca="1">MMS_PastureBeef_Methane_Equations.VEERG_4_2_1_1__3_VolatileSolidProductionFromGrazingBeef(N86,N117,$I$110)</f>
        <v>2.9288239104268809</v>
      </c>
      <c r="O133" s="2" t="str">
        <f t="shared" si="4"/>
        <v>kg/head/day</v>
      </c>
      <c r="P133" s="2"/>
      <c r="Q133" s="2"/>
      <c r="R133" s="2"/>
      <c r="S133" s="2"/>
      <c r="W133" s="52" t="str">
        <f t="shared" si="5"/>
        <v>March 2024</v>
      </c>
      <c r="X133" s="52" cm="1">
        <f t="array" aca="1" ref="X133" ca="1">MMS_PastureBeef_Methane_Equations.VEERG_4_2_1_1__3_VolatileSolidProductionFromGrazingBeef(X78,X117,$I$110)</f>
        <v>1.6132109472</v>
      </c>
      <c r="Y133" s="52" cm="1">
        <f t="array" aca="1" ref="Y133" ca="1">MMS_PastureBeef_Methane_Equations.VEERG_4_2_1_1__3_VolatileSolidProductionFromGrazingBeef(Y78,Y117,$I$110)</f>
        <v>4.68216830671488</v>
      </c>
      <c r="Z133" s="52" cm="1">
        <f t="array" aca="1" ref="Z133" ca="1">MMS_PastureBeef_Methane_Equations.VEERG_4_2_1_1__3_VolatileSolidProductionFromGrazingBeef(Z78,Z117,$I$110)</f>
        <v>1.47069031131648</v>
      </c>
      <c r="AA133" s="52" cm="1">
        <f t="array" aca="1" ref="AA133" ca="1">MMS_PastureBeef_Methane_Equations.VEERG_4_2_1_1__3_VolatileSolidProductionFromGrazingBeef(AA78,AA117,$I$110)</f>
        <v>2.9598338176732795</v>
      </c>
      <c r="AB133" s="52" cm="1">
        <f t="array" aca="1" ref="AB133" ca="1">MMS_PastureBeef_Methane_Equations.VEERG_4_2_1_1__3_VolatileSolidProductionFromGrazingBeef(AB78,AB117,$I$110)</f>
        <v>3.3375011322160799</v>
      </c>
      <c r="AC133" s="52" cm="1">
        <f t="array" aca="1" ref="AC133" ca="1">MMS_PastureBeef_Methane_Equations.VEERG_4_2_1_1__3_VolatileSolidProductionFromGrazingBeef(AC78,AC117,$I$110)</f>
        <v>3.3375011322160799</v>
      </c>
      <c r="AD133" s="52" cm="1">
        <f t="array" aca="1" ref="AD133" ca="1">MMS_PastureBeef_Methane_Equations.VEERG_4_2_1_1__3_VolatileSolidProductionFromGrazingBeef(AD78,AD117,$I$110)</f>
        <v>1.6132109472</v>
      </c>
      <c r="AE133" s="52" cm="1">
        <f t="array" aca="1" ref="AE133" ca="1">MMS_PastureBeef_Methane_Equations.VEERG_4_2_1_1__3_VolatileSolidProductionFromGrazingBeef(AE78,AE117,$I$110)</f>
        <v>2.9288239104268809</v>
      </c>
      <c r="AF133" s="52" cm="1">
        <f t="array" aca="1" ref="AF133" ca="1">MMS_PastureBeef_Methane_Equations.VEERG_4_2_1_1__3_VolatileSolidProductionFromGrazingBeef(AF78,AF117,$I$110)</f>
        <v>2.9288239104268809</v>
      </c>
      <c r="AG133" s="52" cm="1">
        <f t="array" aca="1" ref="AG133" ca="1">MMS_PastureBeef_Methane_Equations.VEERG_4_2_1_1__3_VolatileSolidProductionFromGrazingBeef(AG78,AG117,$I$110)</f>
        <v>2.9288239104268809</v>
      </c>
      <c r="AH133" s="2" t="str">
        <f t="shared" si="3"/>
        <v>kg/head/day</v>
      </c>
      <c r="AI133" s="2"/>
      <c r="AJ133" s="2"/>
    </row>
    <row r="134" spans="4:36" ht="20.100000000000001" customHeight="1" x14ac:dyDescent="0.25">
      <c r="D134" s="52" t="s">
        <v>176</v>
      </c>
      <c r="E134" s="52" cm="1">
        <f t="array" aca="1" ref="E134" ca="1">MMS_PastureBeef_Methane_Equations.VEERG_4_2_1_1__3_VolatileSolidProductionFromGrazingBeef(E87,E118,$I$110)</f>
        <v>1.3694571992330802</v>
      </c>
      <c r="F134" s="52" cm="1">
        <f t="array" aca="1" ref="F134" ca="1">MMS_PastureBeef_Methane_Equations.VEERG_4_2_1_1__3_VolatileSolidProductionFromGrazingBeef(F87,F118,$I$110)</f>
        <v>2.6612923518519995</v>
      </c>
      <c r="G134" s="52" cm="1">
        <f t="array" aca="1" ref="G134" ca="1">MMS_PastureBeef_Methane_Equations.VEERG_4_2_1_1__3_VolatileSolidProductionFromGrazingBeef(G87,G118,$I$110)</f>
        <v>1.1212816946670003</v>
      </c>
      <c r="H134" s="52" cm="1">
        <f t="array" aca="1" ref="H134" ca="1">MMS_PastureBeef_Methane_Equations.VEERG_4_2_1_1__3_VolatileSolidProductionFromGrazingBeef(H87,H118,$I$110)</f>
        <v>1.9136639454654354</v>
      </c>
      <c r="I134" s="52" cm="1">
        <f t="array" aca="1" ref="I134" ca="1">MMS_PastureBeef_Methane_Equations.VEERG_4_2_1_1__3_VolatileSolidProductionFromGrazingBeef(I87,I118,$I$110)</f>
        <v>2.4399380633826815</v>
      </c>
      <c r="J134" s="52" cm="1">
        <f t="array" aca="1" ref="J134" ca="1">MMS_PastureBeef_Methane_Equations.VEERG_4_2_1_1__3_VolatileSolidProductionFromGrazingBeef(J87,J118,$I$110)</f>
        <v>2.4399380633826815</v>
      </c>
      <c r="K134" s="52" cm="1">
        <f t="array" aca="1" ref="K134" ca="1">MMS_PastureBeef_Methane_Equations.VEERG_4_2_1_1__3_VolatileSolidProductionFromGrazingBeef(K87,K118,$I$110)</f>
        <v>1.2038731355098797</v>
      </c>
      <c r="L134" s="52" cm="1">
        <f t="array" aca="1" ref="L134" ca="1">MMS_PastureBeef_Methane_Equations.VEERG_4_2_1_1__3_VolatileSolidProductionFromGrazingBeef(L87,L118,$I$110)</f>
        <v>1.8328761618508798</v>
      </c>
      <c r="M134" s="52" cm="1">
        <f t="array" aca="1" ref="M134" ca="1">MMS_PastureBeef_Methane_Equations.VEERG_4_2_1_1__3_VolatileSolidProductionFromGrazingBeef(M87,M118,$I$110)</f>
        <v>1.8328761618508798</v>
      </c>
      <c r="N134" s="52" cm="1">
        <f t="array" aca="1" ref="N134" ca="1">MMS_PastureBeef_Methane_Equations.VEERG_4_2_1_1__3_VolatileSolidProductionFromGrazingBeef(N87,N118,$I$110)</f>
        <v>1.8328761618508798</v>
      </c>
      <c r="O134" s="2" t="str">
        <f t="shared" si="4"/>
        <v>kg/head/day</v>
      </c>
      <c r="P134" s="2"/>
      <c r="Q134" s="2"/>
      <c r="R134" s="2"/>
      <c r="S134" s="2"/>
      <c r="W134" s="52" t="str">
        <f t="shared" si="5"/>
        <v>April 2024</v>
      </c>
      <c r="X134" s="52" cm="1">
        <f t="array" aca="1" ref="X134" ca="1">MMS_PastureBeef_Methane_Equations.VEERG_4_2_1_1__3_VolatileSolidProductionFromGrazingBeef(X79,X118,$I$110)</f>
        <v>1.6132109472</v>
      </c>
      <c r="Y134" s="52" cm="1">
        <f t="array" aca="1" ref="Y134" ca="1">MMS_PastureBeef_Methane_Equations.VEERG_4_2_1_1__3_VolatileSolidProductionFromGrazingBeef(Y79,Y118,$I$110)</f>
        <v>4.68216830671488</v>
      </c>
      <c r="Z134" s="52" cm="1">
        <f t="array" aca="1" ref="Z134" ca="1">MMS_PastureBeef_Methane_Equations.VEERG_4_2_1_1__3_VolatileSolidProductionFromGrazingBeef(Z79,Z118,$I$110)</f>
        <v>1.47069031131648</v>
      </c>
      <c r="AA134" s="52" cm="1">
        <f t="array" aca="1" ref="AA134" ca="1">MMS_PastureBeef_Methane_Equations.VEERG_4_2_1_1__3_VolatileSolidProductionFromGrazingBeef(AA79,AA118,$I$110)</f>
        <v>2.9598338176732795</v>
      </c>
      <c r="AB134" s="52" cm="1">
        <f t="array" aca="1" ref="AB134" ca="1">MMS_PastureBeef_Methane_Equations.VEERG_4_2_1_1__3_VolatileSolidProductionFromGrazingBeef(AB79,AB118,$I$110)</f>
        <v>3.3375011322160799</v>
      </c>
      <c r="AC134" s="52" cm="1">
        <f t="array" aca="1" ref="AC134" ca="1">MMS_PastureBeef_Methane_Equations.VEERG_4_2_1_1__3_VolatileSolidProductionFromGrazingBeef(AC79,AC118,$I$110)</f>
        <v>3.3375011322160799</v>
      </c>
      <c r="AD134" s="52" cm="1">
        <f t="array" aca="1" ref="AD134" ca="1">MMS_PastureBeef_Methane_Equations.VEERG_4_2_1_1__3_VolatileSolidProductionFromGrazingBeef(AD79,AD118,$I$110)</f>
        <v>1.6132109472</v>
      </c>
      <c r="AE134" s="52" cm="1">
        <f t="array" aca="1" ref="AE134" ca="1">MMS_PastureBeef_Methane_Equations.VEERG_4_2_1_1__3_VolatileSolidProductionFromGrazingBeef(AE79,AE118,$I$110)</f>
        <v>2.9288239104268809</v>
      </c>
      <c r="AF134" s="52" cm="1">
        <f t="array" aca="1" ref="AF134" ca="1">MMS_PastureBeef_Methane_Equations.VEERG_4_2_1_1__3_VolatileSolidProductionFromGrazingBeef(AF79,AF118,$I$110)</f>
        <v>2.9288239104268809</v>
      </c>
      <c r="AG134" s="52" cm="1">
        <f t="array" aca="1" ref="AG134" ca="1">MMS_PastureBeef_Methane_Equations.VEERG_4_2_1_1__3_VolatileSolidProductionFromGrazingBeef(AG79,AG118,$I$110)</f>
        <v>2.9288239104268809</v>
      </c>
      <c r="AH134" s="2" t="str">
        <f t="shared" si="3"/>
        <v>kg/head/day</v>
      </c>
      <c r="AI134" s="2"/>
      <c r="AJ134" s="2"/>
    </row>
    <row r="135" spans="4:36" ht="20.100000000000001" customHeight="1" x14ac:dyDescent="0.25">
      <c r="W135" s="52" t="str">
        <f t="shared" si="5"/>
        <v>May 2024</v>
      </c>
      <c r="X135" s="52" cm="1">
        <f t="array" aca="1" ref="X135" ca="1">MMS_PastureBeef_Methane_Equations.VEERG_4_2_1_1__3_VolatileSolidProductionFromGrazingBeef(X80,X119,$I$110)</f>
        <v>1.6132109472</v>
      </c>
      <c r="Y135" s="52" cm="1">
        <f t="array" aca="1" ref="Y135" ca="1">MMS_PastureBeef_Methane_Equations.VEERG_4_2_1_1__3_VolatileSolidProductionFromGrazingBeef(Y80,Y119,$I$110)</f>
        <v>4.68216830671488</v>
      </c>
      <c r="Z135" s="52" cm="1">
        <f t="array" aca="1" ref="Z135" ca="1">MMS_PastureBeef_Methane_Equations.VEERG_4_2_1_1__3_VolatileSolidProductionFromGrazingBeef(Z80,Z119,$I$110)</f>
        <v>1.47069031131648</v>
      </c>
      <c r="AA135" s="52" cm="1">
        <f t="array" aca="1" ref="AA135" ca="1">MMS_PastureBeef_Methane_Equations.VEERG_4_2_1_1__3_VolatileSolidProductionFromGrazingBeef(AA80,AA119,$I$110)</f>
        <v>2.9598338176732795</v>
      </c>
      <c r="AB135" s="52" cm="1">
        <f t="array" aca="1" ref="AB135" ca="1">MMS_PastureBeef_Methane_Equations.VEERG_4_2_1_1__3_VolatileSolidProductionFromGrazingBeef(AB80,AB119,$I$110)</f>
        <v>3.3375011322160799</v>
      </c>
      <c r="AC135" s="52" cm="1">
        <f t="array" aca="1" ref="AC135" ca="1">MMS_PastureBeef_Methane_Equations.VEERG_4_2_1_1__3_VolatileSolidProductionFromGrazingBeef(AC80,AC119,$I$110)</f>
        <v>3.3375011322160799</v>
      </c>
      <c r="AD135" s="52" cm="1">
        <f t="array" aca="1" ref="AD135" ca="1">MMS_PastureBeef_Methane_Equations.VEERG_4_2_1_1__3_VolatileSolidProductionFromGrazingBeef(AD80,AD119,$I$110)</f>
        <v>1.6132109472</v>
      </c>
      <c r="AE135" s="52" cm="1">
        <f t="array" aca="1" ref="AE135" ca="1">MMS_PastureBeef_Methane_Equations.VEERG_4_2_1_1__3_VolatileSolidProductionFromGrazingBeef(AE80,AE119,$I$110)</f>
        <v>2.9288239104268809</v>
      </c>
      <c r="AF135" s="52" cm="1">
        <f t="array" aca="1" ref="AF135" ca="1">MMS_PastureBeef_Methane_Equations.VEERG_4_2_1_1__3_VolatileSolidProductionFromGrazingBeef(AF80,AF119,$I$110)</f>
        <v>2.9288239104268809</v>
      </c>
      <c r="AG135" s="52" cm="1">
        <f t="array" aca="1" ref="AG135" ca="1">MMS_PastureBeef_Methane_Equations.VEERG_4_2_1_1__3_VolatileSolidProductionFromGrazingBeef(AG80,AG119,$I$110)</f>
        <v>2.9288239104268809</v>
      </c>
      <c r="AH135" s="2" t="str">
        <f t="shared" si="3"/>
        <v>kg/head/day</v>
      </c>
      <c r="AI135" s="2"/>
      <c r="AJ135" s="2"/>
    </row>
    <row r="136" spans="4:36" ht="20.100000000000001" customHeight="1" x14ac:dyDescent="0.25">
      <c r="W136" s="52" t="str">
        <f t="shared" si="5"/>
        <v>June 2024</v>
      </c>
      <c r="X136" s="52" cm="1">
        <f t="array" aca="1" ref="X136" ca="1">MMS_PastureBeef_Methane_Equations.VEERG_4_2_1_1__3_VolatileSolidProductionFromGrazingBeef(X81,X120,$I$110)</f>
        <v>1.3694571992330802</v>
      </c>
      <c r="Y136" s="52" cm="1">
        <f t="array" aca="1" ref="Y136" ca="1">MMS_PastureBeef_Methane_Equations.VEERG_4_2_1_1__3_VolatileSolidProductionFromGrazingBeef(Y81,Y120,$I$110)</f>
        <v>2.6612923518519995</v>
      </c>
      <c r="Z136" s="52" cm="1">
        <f t="array" aca="1" ref="Z136" ca="1">MMS_PastureBeef_Methane_Equations.VEERG_4_2_1_1__3_VolatileSolidProductionFromGrazingBeef(Z81,Z120,$I$110)</f>
        <v>1.1212816946670003</v>
      </c>
      <c r="AA136" s="52" cm="1">
        <f t="array" aca="1" ref="AA136" ca="1">MMS_PastureBeef_Methane_Equations.VEERG_4_2_1_1__3_VolatileSolidProductionFromGrazingBeef(AA81,AA120,$I$110)</f>
        <v>1.5815404507978805</v>
      </c>
      <c r="AB136" s="52" cm="1">
        <f t="array" aca="1" ref="AB136" ca="1">MMS_PastureBeef_Methane_Equations.VEERG_4_2_1_1__3_VolatileSolidProductionFromGrazingBeef(AB81,AB120,$I$110)</f>
        <v>2.1216852725066797</v>
      </c>
      <c r="AC136" s="52" cm="1">
        <f t="array" aca="1" ref="AC136" ca="1">MMS_PastureBeef_Methane_Equations.VEERG_4_2_1_1__3_VolatileSolidProductionFromGrazingBeef(AC81,AC120,$I$110)</f>
        <v>2.1216852725066797</v>
      </c>
      <c r="AD136" s="52" cm="1">
        <f t="array" aca="1" ref="AD136" ca="1">MMS_PastureBeef_Methane_Equations.VEERG_4_2_1_1__3_VolatileSolidProductionFromGrazingBeef(AD81,AD120,$I$110)</f>
        <v>1.2038731355098797</v>
      </c>
      <c r="AE136" s="52" cm="1">
        <f t="array" aca="1" ref="AE136" ca="1">MMS_PastureBeef_Methane_Equations.VEERG_4_2_1_1__3_VolatileSolidProductionFromGrazingBeef(AE81,AE120,$I$110)</f>
        <v>1.8328761618508798</v>
      </c>
      <c r="AF136" s="52" cm="1">
        <f t="array" aca="1" ref="AF136" ca="1">MMS_PastureBeef_Methane_Equations.VEERG_4_2_1_1__3_VolatileSolidProductionFromGrazingBeef(AF81,AF120,$I$110)</f>
        <v>1.8328761618508798</v>
      </c>
      <c r="AG136" s="52" cm="1">
        <f t="array" aca="1" ref="AG136" ca="1">MMS_PastureBeef_Methane_Equations.VEERG_4_2_1_1__3_VolatileSolidProductionFromGrazingBeef(AG81,AG120,$I$110)</f>
        <v>1.8328761618508798</v>
      </c>
      <c r="AH136" s="2" t="str">
        <f t="shared" si="3"/>
        <v>kg/head/day</v>
      </c>
      <c r="AI136" s="2"/>
      <c r="AJ136" s="2"/>
    </row>
    <row r="137" spans="4:36" ht="20.100000000000001" customHeight="1" x14ac:dyDescent="0.25">
      <c r="W137" s="52" t="str">
        <f t="shared" si="5"/>
        <v>July 2024</v>
      </c>
      <c r="X137" s="52" cm="1">
        <f t="array" aca="1" ref="X137" ca="1">MMS_PastureBeef_Methane_Equations.VEERG_4_2_1_1__3_VolatileSolidProductionFromGrazingBeef(X82,X121,$I$110)</f>
        <v>1.3694571992330802</v>
      </c>
      <c r="Y137" s="52" cm="1">
        <f t="array" aca="1" ref="Y137" ca="1">MMS_PastureBeef_Methane_Equations.VEERG_4_2_1_1__3_VolatileSolidProductionFromGrazingBeef(Y82,Y121,$I$110)</f>
        <v>2.6612923518519995</v>
      </c>
      <c r="Z137" s="52" cm="1">
        <f t="array" aca="1" ref="Z137" ca="1">MMS_PastureBeef_Methane_Equations.VEERG_4_2_1_1__3_VolatileSolidProductionFromGrazingBeef(Z82,Z121,$I$110)</f>
        <v>1.1212816946670003</v>
      </c>
      <c r="AA137" s="52" cm="1">
        <f t="array" aca="1" ref="AA137" ca="1">MMS_PastureBeef_Methane_Equations.VEERG_4_2_1_1__3_VolatileSolidProductionFromGrazingBeef(AA82,AA121,$I$110)</f>
        <v>1.5815404507978805</v>
      </c>
      <c r="AB137" s="52" cm="1">
        <f t="array" aca="1" ref="AB137" ca="1">MMS_PastureBeef_Methane_Equations.VEERG_4_2_1_1__3_VolatileSolidProductionFromGrazingBeef(AB82,AB121,$I$110)</f>
        <v>2.1216852725066797</v>
      </c>
      <c r="AC137" s="52" cm="1">
        <f t="array" aca="1" ref="AC137" ca="1">MMS_PastureBeef_Methane_Equations.VEERG_4_2_1_1__3_VolatileSolidProductionFromGrazingBeef(AC82,AC121,$I$110)</f>
        <v>2.1216852725066797</v>
      </c>
      <c r="AD137" s="52" cm="1">
        <f t="array" aca="1" ref="AD137" ca="1">MMS_PastureBeef_Methane_Equations.VEERG_4_2_1_1__3_VolatileSolidProductionFromGrazingBeef(AD82,AD121,$I$110)</f>
        <v>1.2038731355098797</v>
      </c>
      <c r="AE137" s="52" cm="1">
        <f t="array" aca="1" ref="AE137" ca="1">MMS_PastureBeef_Methane_Equations.VEERG_4_2_1_1__3_VolatileSolidProductionFromGrazingBeef(AE82,AE121,$I$110)</f>
        <v>1.8328761618508798</v>
      </c>
      <c r="AF137" s="52" cm="1">
        <f t="array" aca="1" ref="AF137" ca="1">MMS_PastureBeef_Methane_Equations.VEERG_4_2_1_1__3_VolatileSolidProductionFromGrazingBeef(AF82,AF121,$I$110)</f>
        <v>1.8328761618508798</v>
      </c>
      <c r="AG137" s="52" cm="1">
        <f t="array" aca="1" ref="AG137" ca="1">MMS_PastureBeef_Methane_Equations.VEERG_4_2_1_1__3_VolatileSolidProductionFromGrazingBeef(AG82,AG121,$I$110)</f>
        <v>1.8328761618508798</v>
      </c>
      <c r="AH137" s="2" t="str">
        <f t="shared" si="3"/>
        <v>kg/head/day</v>
      </c>
      <c r="AI137" s="2"/>
      <c r="AJ137" s="2"/>
    </row>
    <row r="138" spans="4:36" ht="20.100000000000001" customHeight="1" x14ac:dyDescent="0.25">
      <c r="W138" s="52" t="str">
        <f t="shared" si="5"/>
        <v>August 2024</v>
      </c>
      <c r="X138" s="52" cm="1">
        <f t="array" aca="1" ref="X138" ca="1">MMS_PastureBeef_Methane_Equations.VEERG_4_2_1_1__3_VolatileSolidProductionFromGrazingBeef(X83,X122,$I$110)</f>
        <v>1.3694571992330802</v>
      </c>
      <c r="Y138" s="52" cm="1">
        <f t="array" aca="1" ref="Y138" ca="1">MMS_PastureBeef_Methane_Equations.VEERG_4_2_1_1__3_VolatileSolidProductionFromGrazingBeef(Y83,Y122,$I$110)</f>
        <v>2.6612923518519995</v>
      </c>
      <c r="Z138" s="52" cm="1">
        <f t="array" aca="1" ref="Z138" ca="1">MMS_PastureBeef_Methane_Equations.VEERG_4_2_1_1__3_VolatileSolidProductionFromGrazingBeef(Z83,Z122,$I$110)</f>
        <v>1.1212816946670003</v>
      </c>
      <c r="AA138" s="52" cm="1">
        <f t="array" aca="1" ref="AA138" ca="1">MMS_PastureBeef_Methane_Equations.VEERG_4_2_1_1__3_VolatileSolidProductionFromGrazingBeef(AA83,AA122,$I$110)</f>
        <v>1.9373870522274037</v>
      </c>
      <c r="AB138" s="52" cm="1">
        <f t="array" aca="1" ref="AB138" ca="1">MMS_PastureBeef_Methane_Equations.VEERG_4_2_1_1__3_VolatileSolidProductionFromGrazingBeef(AB83,AB122,$I$110)</f>
        <v>2.5990644588206826</v>
      </c>
      <c r="AC138" s="52" cm="1">
        <f t="array" aca="1" ref="AC138" ca="1">MMS_PastureBeef_Methane_Equations.VEERG_4_2_1_1__3_VolatileSolidProductionFromGrazingBeef(AC83,AC122,$I$110)</f>
        <v>2.5990644588206826</v>
      </c>
      <c r="AD138" s="52" cm="1">
        <f t="array" aca="1" ref="AD138" ca="1">MMS_PastureBeef_Methane_Equations.VEERG_4_2_1_1__3_VolatileSolidProductionFromGrazingBeef(AD83,AD122,$I$110)</f>
        <v>1.2038731355098797</v>
      </c>
      <c r="AE138" s="52" cm="1">
        <f t="array" aca="1" ref="AE138" ca="1">MMS_PastureBeef_Methane_Equations.VEERG_4_2_1_1__3_VolatileSolidProductionFromGrazingBeef(AE83,AE122,$I$110)</f>
        <v>1.8328761618508798</v>
      </c>
      <c r="AF138" s="52" cm="1">
        <f t="array" aca="1" ref="AF138" ca="1">MMS_PastureBeef_Methane_Equations.VEERG_4_2_1_1__3_VolatileSolidProductionFromGrazingBeef(AF83,AF122,$I$110)</f>
        <v>1.8328761618508798</v>
      </c>
      <c r="AG138" s="52" cm="1">
        <f t="array" aca="1" ref="AG138" ca="1">MMS_PastureBeef_Methane_Equations.VEERG_4_2_1_1__3_VolatileSolidProductionFromGrazingBeef(AG83,AG122,$I$110)</f>
        <v>1.8328761618508798</v>
      </c>
      <c r="AH138" s="2" t="str">
        <f t="shared" si="3"/>
        <v>kg/head/day</v>
      </c>
      <c r="AI138" s="2"/>
      <c r="AJ138" s="2"/>
    </row>
    <row r="139" spans="4:36" ht="20.100000000000001" customHeight="1" x14ac:dyDescent="0.25">
      <c r="W139" s="52" t="str">
        <f t="shared" si="5"/>
        <v>September 2024</v>
      </c>
      <c r="X139" s="52" cm="1">
        <f t="array" aca="1" ref="X139" ca="1">MMS_PastureBeef_Methane_Equations.VEERG_4_2_1_1__3_VolatileSolidProductionFromGrazingBeef(X84,X123,$I$110)</f>
        <v>1.9145357642956797</v>
      </c>
      <c r="Y139" s="52" cm="1">
        <f t="array" aca="1" ref="Y139" ca="1">MMS_PastureBeef_Methane_Equations.VEERG_4_2_1_1__3_VolatileSolidProductionFromGrazingBeef(Y84,Y123,$I$110)</f>
        <v>2.7040272552000002</v>
      </c>
      <c r="Z139" s="52" cm="1">
        <f t="array" aca="1" ref="Z139" ca="1">MMS_PastureBeef_Methane_Equations.VEERG_4_2_1_1__3_VolatileSolidProductionFromGrazingBeef(Z84,Z123,$I$110)</f>
        <v>1.45925863828128</v>
      </c>
      <c r="AA139" s="52" cm="1">
        <f t="array" aca="1" ref="AA139" ca="1">MMS_PastureBeef_Methane_Equations.VEERG_4_2_1_1__3_VolatileSolidProductionFromGrazingBeef(AA84,AA123,$I$110)</f>
        <v>2.3458957332990487</v>
      </c>
      <c r="AB139" s="52" cm="1">
        <f t="array" aca="1" ref="AB139" ca="1">MMS_PastureBeef_Methane_Equations.VEERG_4_2_1_1__3_VolatileSolidProductionFromGrazingBeef(AB84,AB123,$I$110)</f>
        <v>2.6050176451488007</v>
      </c>
      <c r="AC139" s="52" cm="1">
        <f t="array" aca="1" ref="AC139" ca="1">MMS_PastureBeef_Methane_Equations.VEERG_4_2_1_1__3_VolatileSolidProductionFromGrazingBeef(AC84,AC123,$I$110)</f>
        <v>2.6050176451488007</v>
      </c>
      <c r="AD139" s="52" cm="1">
        <f t="array" aca="1" ref="AD139" ca="1">MMS_PastureBeef_Methane_Equations.VEERG_4_2_1_1__3_VolatileSolidProductionFromGrazingBeef(AD84,AD123,$I$110)</f>
        <v>1.6823317446719992</v>
      </c>
      <c r="AE139" s="52" cm="1">
        <f t="array" aca="1" ref="AE139" ca="1">MMS_PastureBeef_Methane_Equations.VEERG_4_2_1_1__3_VolatileSolidProductionFromGrazingBeef(AE84,AE123,$I$110)</f>
        <v>2.1378800925964794</v>
      </c>
      <c r="AF139" s="52" cm="1">
        <f t="array" aca="1" ref="AF139" ca="1">MMS_PastureBeef_Methane_Equations.VEERG_4_2_1_1__3_VolatileSolidProductionFromGrazingBeef(AF84,AF123,$I$110)</f>
        <v>2.1378800925964794</v>
      </c>
      <c r="AG139" s="52" cm="1">
        <f t="array" aca="1" ref="AG139" ca="1">MMS_PastureBeef_Methane_Equations.VEERG_4_2_1_1__3_VolatileSolidProductionFromGrazingBeef(AG84,AG123,$I$110)</f>
        <v>2.1378800925964794</v>
      </c>
      <c r="AH139" s="2" t="str">
        <f t="shared" si="3"/>
        <v>kg/head/day</v>
      </c>
      <c r="AI139" s="2"/>
      <c r="AJ139" s="2"/>
    </row>
    <row r="140" spans="4:36" ht="20.100000000000001" customHeight="1" x14ac:dyDescent="0.25">
      <c r="W140" s="52" t="str">
        <f t="shared" si="5"/>
        <v>October 2024</v>
      </c>
      <c r="X140" s="52" cm="1">
        <f t="array" aca="1" ref="X140" ca="1">MMS_PastureBeef_Methane_Equations.VEERG_4_2_1_1__3_VolatileSolidProductionFromGrazingBeef(X85,X124,$I$110)</f>
        <v>1.9145357642956797</v>
      </c>
      <c r="Y140" s="52" cm="1">
        <f t="array" aca="1" ref="Y140" ca="1">MMS_PastureBeef_Methane_Equations.VEERG_4_2_1_1__3_VolatileSolidProductionFromGrazingBeef(Y85,Y124,$I$110)</f>
        <v>2.7040272552000002</v>
      </c>
      <c r="Z140" s="52" cm="1">
        <f t="array" aca="1" ref="Z140" ca="1">MMS_PastureBeef_Methane_Equations.VEERG_4_2_1_1__3_VolatileSolidProductionFromGrazingBeef(Z85,Z124,$I$110)</f>
        <v>1.45925863828128</v>
      </c>
      <c r="AA140" s="52" cm="1">
        <f t="array" aca="1" ref="AA140" ca="1">MMS_PastureBeef_Methane_Equations.VEERG_4_2_1_1__3_VolatileSolidProductionFromGrazingBeef(AA85,AA124,$I$110)</f>
        <v>2.3458957332990487</v>
      </c>
      <c r="AB140" s="52" cm="1">
        <f t="array" aca="1" ref="AB140" ca="1">MMS_PastureBeef_Methane_Equations.VEERG_4_2_1_1__3_VolatileSolidProductionFromGrazingBeef(AB85,AB124,$I$110)</f>
        <v>2.6050176451488007</v>
      </c>
      <c r="AC140" s="52" cm="1">
        <f t="array" aca="1" ref="AC140" ca="1">MMS_PastureBeef_Methane_Equations.VEERG_4_2_1_1__3_VolatileSolidProductionFromGrazingBeef(AC85,AC124,$I$110)</f>
        <v>2.6050176451488007</v>
      </c>
      <c r="AD140" s="52" cm="1">
        <f t="array" aca="1" ref="AD140" ca="1">MMS_PastureBeef_Methane_Equations.VEERG_4_2_1_1__3_VolatileSolidProductionFromGrazingBeef(AD85,AD124,$I$110)</f>
        <v>1.6823317446719992</v>
      </c>
      <c r="AE140" s="52" cm="1">
        <f t="array" aca="1" ref="AE140" ca="1">MMS_PastureBeef_Methane_Equations.VEERG_4_2_1_1__3_VolatileSolidProductionFromGrazingBeef(AE85,AE124,$I$110)</f>
        <v>2.1378800925964794</v>
      </c>
      <c r="AF140" s="52" cm="1">
        <f t="array" aca="1" ref="AF140" ca="1">MMS_PastureBeef_Methane_Equations.VEERG_4_2_1_1__3_VolatileSolidProductionFromGrazingBeef(AF85,AF124,$I$110)</f>
        <v>2.1378800925964794</v>
      </c>
      <c r="AG140" s="52" cm="1">
        <f t="array" aca="1" ref="AG140" ca="1">MMS_PastureBeef_Methane_Equations.VEERG_4_2_1_1__3_VolatileSolidProductionFromGrazingBeef(AG85,AG124,$I$110)</f>
        <v>2.1378800925964794</v>
      </c>
      <c r="AH140" s="2" t="str">
        <f t="shared" si="3"/>
        <v>kg/head/day</v>
      </c>
      <c r="AI140" s="2"/>
      <c r="AJ140" s="2"/>
    </row>
    <row r="141" spans="4:36" ht="20.100000000000001" customHeight="1" x14ac:dyDescent="0.25">
      <c r="W141" s="52" t="str">
        <f t="shared" si="5"/>
        <v>November 2024</v>
      </c>
      <c r="X141" s="52" cm="1">
        <f t="array" aca="1" ref="X141" ca="1">MMS_PastureBeef_Methane_Equations.VEERG_4_2_1_1__3_VolatileSolidProductionFromGrazingBeef(X86,X125,$I$110)</f>
        <v>1.9145357642956797</v>
      </c>
      <c r="Y141" s="52" cm="1">
        <f t="array" aca="1" ref="Y141" ca="1">MMS_PastureBeef_Methane_Equations.VEERG_4_2_1_1__3_VolatileSolidProductionFromGrazingBeef(Y86,Y125,$I$110)</f>
        <v>2.7040272552000002</v>
      </c>
      <c r="Z141" s="52" cm="1">
        <f t="array" aca="1" ref="Z141" ca="1">MMS_PastureBeef_Methane_Equations.VEERG_4_2_1_1__3_VolatileSolidProductionFromGrazingBeef(Z86,Z125,$I$110)</f>
        <v>1.45925863828128</v>
      </c>
      <c r="AA141" s="52" cm="1">
        <f t="array" aca="1" ref="AA141" ca="1">MMS_PastureBeef_Methane_Equations.VEERG_4_2_1_1__3_VolatileSolidProductionFromGrazingBeef(AA86,AA125,$I$110)</f>
        <v>2.0586431945277366</v>
      </c>
      <c r="AB141" s="52" cm="1">
        <f t="array" aca="1" ref="AB141" ca="1">MMS_PastureBeef_Methane_Equations.VEERG_4_2_1_1__3_VolatileSolidProductionFromGrazingBeef(AB86,AB125,$I$110)</f>
        <v>2.2860358926816002</v>
      </c>
      <c r="AC141" s="52" cm="1">
        <f t="array" aca="1" ref="AC141" ca="1">MMS_PastureBeef_Methane_Equations.VEERG_4_2_1_1__3_VolatileSolidProductionFromGrazingBeef(AC86,AC125,$I$110)</f>
        <v>2.2860358926816002</v>
      </c>
      <c r="AD141" s="52" cm="1">
        <f t="array" aca="1" ref="AD141" ca="1">MMS_PastureBeef_Methane_Equations.VEERG_4_2_1_1__3_VolatileSolidProductionFromGrazingBeef(AD86,AD125,$I$110)</f>
        <v>1.6823317446719992</v>
      </c>
      <c r="AE141" s="52" cm="1">
        <f t="array" aca="1" ref="AE141" ca="1">MMS_PastureBeef_Methane_Equations.VEERG_4_2_1_1__3_VolatileSolidProductionFromGrazingBeef(AE86,AE125,$I$110)</f>
        <v>2.1378800925964794</v>
      </c>
      <c r="AF141" s="52" cm="1">
        <f t="array" aca="1" ref="AF141" ca="1">MMS_PastureBeef_Methane_Equations.VEERG_4_2_1_1__3_VolatileSolidProductionFromGrazingBeef(AF86,AF125,$I$110)</f>
        <v>2.1378800925964794</v>
      </c>
      <c r="AG141" s="52" cm="1">
        <f t="array" aca="1" ref="AG141" ca="1">MMS_PastureBeef_Methane_Equations.VEERG_4_2_1_1__3_VolatileSolidProductionFromGrazingBeef(AG86,AG125,$I$110)</f>
        <v>2.1378800925964794</v>
      </c>
      <c r="AH141" s="2" t="str">
        <f t="shared" si="3"/>
        <v>kg/head/day</v>
      </c>
      <c r="AI141" s="2"/>
      <c r="AJ141" s="2"/>
    </row>
    <row r="142" spans="4:36" ht="20.100000000000001" customHeight="1" x14ac:dyDescent="0.25">
      <c r="W142" s="52" t="str">
        <f t="shared" si="5"/>
        <v>December 2024</v>
      </c>
      <c r="X142" s="52" cm="1">
        <f t="array" aca="1" ref="X142" ca="1">MMS_PastureBeef_Methane_Equations.VEERG_4_2_1_1__3_VolatileSolidProductionFromGrazingBeef(X87,X126,$I$110)</f>
        <v>3.0245484814387189</v>
      </c>
      <c r="Y142" s="52" cm="1">
        <f t="array" aca="1" ref="Y142" ca="1">MMS_PastureBeef_Methane_Equations.VEERG_4_2_1_1__3_VolatileSolidProductionFromGrazingBeef(Y87,Y126,$I$110)</f>
        <v>4.0017766623235218</v>
      </c>
      <c r="Z142" s="52" cm="1">
        <f t="array" aca="1" ref="Z142" ca="1">MMS_PastureBeef_Methane_Equations.VEERG_4_2_1_1__3_VolatileSolidProductionFromGrazingBeef(Z87,Z126,$I$110)</f>
        <v>2.5435769713919996</v>
      </c>
      <c r="AA142" s="52" cm="1">
        <f t="array" aca="1" ref="AA142" ca="1">MMS_PastureBeef_Methane_Equations.VEERG_4_2_1_1__3_VolatileSolidProductionFromGrazingBeef(AA87,AA126,$I$110)</f>
        <v>3.5806278816553512</v>
      </c>
      <c r="AB142" s="52" cm="1">
        <f t="array" aca="1" ref="AB142" ca="1">MMS_PastureBeef_Methane_Equations.VEERG_4_2_1_1__3_VolatileSolidProductionFromGrazingBeef(AB87,AB126,$I$110)</f>
        <v>3.5452597228539839</v>
      </c>
      <c r="AC142" s="52" cm="1">
        <f t="array" aca="1" ref="AC142" ca="1">MMS_PastureBeef_Methane_Equations.VEERG_4_2_1_1__3_VolatileSolidProductionFromGrazingBeef(AC87,AC126,$I$110)</f>
        <v>3.5452597228539839</v>
      </c>
      <c r="AD142" s="52" cm="1">
        <f t="array" aca="1" ref="AD142" ca="1">MMS_PastureBeef_Methane_Equations.VEERG_4_2_1_1__3_VolatileSolidProductionFromGrazingBeef(AD87,AD126,$I$110)</f>
        <v>2.7878896244787201</v>
      </c>
      <c r="AE142" s="52" cm="1">
        <f t="array" aca="1" ref="AE142" ca="1">MMS_PastureBeef_Methane_Equations.VEERG_4_2_1_1__3_VolatileSolidProductionFromGrazingBeef(AE87,AE126,$I$110)</f>
        <v>3.1075873239175205</v>
      </c>
      <c r="AF142" s="52" cm="1">
        <f t="array" aca="1" ref="AF142" ca="1">MMS_PastureBeef_Methane_Equations.VEERG_4_2_1_1__3_VolatileSolidProductionFromGrazingBeef(AF87,AF126,$I$110)</f>
        <v>3.1075873239175205</v>
      </c>
      <c r="AG142" s="52" cm="1">
        <f t="array" aca="1" ref="AG142" ca="1">MMS_PastureBeef_Methane_Equations.VEERG_4_2_1_1__3_VolatileSolidProductionFromGrazingBeef(AG87,AG126,$I$110)</f>
        <v>3.1075873239175205</v>
      </c>
      <c r="AH142" s="2" t="str">
        <f t="shared" si="3"/>
        <v>kg/head/day</v>
      </c>
      <c r="AI142" s="2"/>
      <c r="AJ142" s="2"/>
    </row>
    <row r="143" spans="4:36" ht="20.100000000000001" customHeight="1" x14ac:dyDescent="0.25"/>
    <row r="144" spans="4:36" ht="20.100000000000001" customHeight="1" x14ac:dyDescent="0.25"/>
    <row r="145" spans="3:37" ht="20.100000000000001" customHeight="1" x14ac:dyDescent="0.25">
      <c r="C145" s="45"/>
      <c r="D145" s="45"/>
      <c r="E145" s="45"/>
      <c r="F145" s="45"/>
      <c r="G145" s="45"/>
      <c r="H145" s="45"/>
      <c r="I145" s="45"/>
      <c r="J145" s="45"/>
      <c r="K145" s="45"/>
      <c r="L145" s="45"/>
      <c r="M145" s="45"/>
      <c r="N145" s="45"/>
      <c r="O145" s="45"/>
      <c r="P145" s="45"/>
      <c r="Q145" s="45"/>
      <c r="R145" s="45"/>
      <c r="S145" s="45"/>
      <c r="T145" s="45"/>
      <c r="V145" s="45"/>
      <c r="W145" s="45"/>
      <c r="X145" s="45"/>
      <c r="Y145" s="45"/>
      <c r="Z145" s="45"/>
      <c r="AA145" s="45"/>
      <c r="AB145" s="45"/>
      <c r="AC145" s="45"/>
      <c r="AD145" s="45"/>
      <c r="AE145" s="45"/>
      <c r="AF145" s="45"/>
      <c r="AG145" s="45"/>
      <c r="AH145" s="45"/>
      <c r="AI145" s="45"/>
      <c r="AJ145" s="45"/>
      <c r="AK145" s="45"/>
    </row>
    <row r="146" spans="3:37" ht="20.100000000000001" customHeight="1" x14ac:dyDescent="0.25">
      <c r="D146" s="6" t="str" cm="1">
        <f t="array" ref="D146">MMS_PastureBeef_Methane_Equations.VEERG_4_2_1_1__2_MethaneProductionFromManure_Title()</f>
        <v>Methane production from the manure of grazing beef cattle</v>
      </c>
    </row>
    <row r="147" spans="3:37" ht="20.100000000000001" customHeight="1" x14ac:dyDescent="0.25">
      <c r="D147" s="5" t="str" cm="1">
        <f t="array" ref="D147">MMS_PastureBeef_Methane_Equations.VEERG_4_2_1_1__2_MethaneProductionFromManure_Source()</f>
        <v>VEERG 2026: 4.2.1.1, Equation (2)</v>
      </c>
    </row>
    <row r="148" spans="3:37" ht="20.100000000000001" customHeight="1" x14ac:dyDescent="0.25">
      <c r="D148" s="13" t="s">
        <v>27</v>
      </c>
      <c r="E148" s="13" t="str" cm="1">
        <f t="array" aca="1" ref="E148" ca="1">Common_InputFunctions.Utility_DisplayFunctionName($F$177)</f>
        <v>=MMS_PastureBeef_Methane_Equations.VEERG_4_2_1_1__2_MethaneProductionFromManure</v>
      </c>
    </row>
    <row r="149" spans="3:37" ht="20.100000000000001" customHeight="1" x14ac:dyDescent="0.25"/>
    <row r="150" spans="3:37" ht="20.100000000000001" customHeight="1" x14ac:dyDescent="0.25"/>
    <row r="151" spans="3:37" ht="20.100000000000001" customHeight="1" x14ac:dyDescent="0.25">
      <c r="D151" s="53" t="s">
        <v>30</v>
      </c>
      <c r="E151" s="1" t="str" cm="1">
        <f t="array" ref="E151">MMS_PastureBeef_Methane_Equations.VEERG_4_2_1_1__2_MethaneProductionFromManure_Variable()</f>
        <v>M_jklm</v>
      </c>
    </row>
    <row r="152" spans="3:37" ht="20.100000000000001" customHeight="1" x14ac:dyDescent="0.25">
      <c r="D152" s="53" t="s">
        <v>20</v>
      </c>
      <c r="E152" s="54" t="str" cm="1">
        <f t="array" ref="E152">MMS_PastureBeef_Methane_Equations.VEERG_4_2_1_1__2_MethaneProductionFromManure_Unit()</f>
        <v>kg CH4/head/day</v>
      </c>
    </row>
    <row r="153" spans="3:37" ht="20.100000000000001" customHeight="1" x14ac:dyDescent="0.25"/>
    <row r="154" spans="3:37" ht="20.100000000000001" customHeight="1" x14ac:dyDescent="0.25">
      <c r="D154" s="119" t="str" cm="1">
        <f t="array" ref="D154:E160">_xlfn.CHOOSECOLS(MMS_PastureBeef_Methane_Equations.VEERG_4_2_1_1__2_MethaneProductionFromManure_Arguments(), 1, 2)</f>
        <v>VS_jkl</v>
      </c>
      <c r="E154" s="124" t="str">
        <v>volatile solid production</v>
      </c>
      <c r="F154" s="123"/>
      <c r="G154" s="119" t="str" cm="1">
        <f t="array" ref="G154:H160">_xlfn.CHOOSECOLS(MMS_PastureBeef_Methane_Equations.VEERG_4_2_1_1__2_MethaneProductionFromManure_Arguments(), 3,4)</f>
        <v>kg/day</v>
      </c>
      <c r="H154" s="120" t="str">
        <v>Calculated from 4.2.1.1 (3)</v>
      </c>
      <c r="I154" s="118" t="str" cm="1">
        <f t="array" aca="1" ref="I154" ca="1">HYPERLINK(Common_InputFunctions.Utility_SourceHyperlink($D$128), $D$128)</f>
        <v>M1_Table_VS_j_k_l</v>
      </c>
      <c r="W154" s="119" t="str" cm="1">
        <f t="array" ref="W154:X159">_xlfn.CHOOSECOLS(MMS_PastureBeef_Methane_Equations.VEERG_4_2_1_1__2_MethaneProductionFromManure_Arguments_Method2(), 1, 2)</f>
        <v>VS_jkl</v>
      </c>
      <c r="X154" s="124" t="str">
        <v>volatile solid production</v>
      </c>
      <c r="Y154" s="123"/>
      <c r="Z154" s="119" t="str" cm="1">
        <f t="array" ref="Z154:AA159">_xlfn.CHOOSECOLS(MMS_PastureBeef_Methane_Equations.VEERG_4_2_1_1__2_MethaneProductionFromManure_Arguments_Method2(), 3,4)</f>
        <v>kg/day</v>
      </c>
      <c r="AA154" s="120" t="str">
        <v>Calculated from 4.2.1.1 (3)</v>
      </c>
      <c r="AB154" s="118"/>
    </row>
    <row r="155" spans="3:37" ht="20.100000000000001" customHeight="1" x14ac:dyDescent="0.25">
      <c r="D155" s="119" t="str">
        <v>B_o</v>
      </c>
      <c r="E155" s="124" t="str">
        <v>emissions potential</v>
      </c>
      <c r="F155" s="123"/>
      <c r="G155" s="119" t="str">
        <v>m3 CH4/kg VS</v>
      </c>
      <c r="H155" s="120" t="str">
        <v>Constant</v>
      </c>
      <c r="I155" s="119">
        <f>'Constants - Pature Beef'!$D$428</f>
        <v>0.19</v>
      </c>
      <c r="W155" s="119" t="str">
        <v>B_o</v>
      </c>
      <c r="X155" s="124" t="str">
        <v>emissions potential</v>
      </c>
      <c r="Y155" s="123"/>
      <c r="Z155" s="119" t="str">
        <v>m3 CH4/kg VS</v>
      </c>
      <c r="AA155" s="120" t="str">
        <v>Constant</v>
      </c>
      <c r="AB155" s="119"/>
    </row>
    <row r="156" spans="3:37" ht="20.100000000000001" customHeight="1" x14ac:dyDescent="0.25">
      <c r="D156" s="119" t="str">
        <v>MMS_m</v>
      </c>
      <c r="E156" s="124" t="str">
        <v>fraction of waste in each manure management system</v>
      </c>
      <c r="F156" s="123"/>
      <c r="G156" s="119" t="str">
        <v>fraction</v>
      </c>
      <c r="H156" s="121" t="str">
        <v>Input</v>
      </c>
      <c r="I156" s="118" t="str" cm="1">
        <f t="array" aca="1" ref="I156" ca="1">HYPERLINK(Common_InputFunctions.Utility_SourceHyperlink($D$162), $D$162)</f>
        <v>Table_MMS_m</v>
      </c>
      <c r="W156" s="119" t="str">
        <v>MMS_m</v>
      </c>
      <c r="X156" s="124" t="str">
        <v>fraction of waste in each manure management system</v>
      </c>
      <c r="Y156" s="123"/>
      <c r="Z156" s="119" t="str">
        <v>fraction</v>
      </c>
      <c r="AA156" s="121" t="str">
        <v>Input</v>
      </c>
      <c r="AB156" s="118"/>
    </row>
    <row r="157" spans="3:37" ht="20.100000000000001" customHeight="1" x14ac:dyDescent="0.25">
      <c r="D157" s="119" t="str">
        <v>MCF_im</v>
      </c>
      <c r="E157" s="124" t="str">
        <v>methane conversion factor for temperature zone and MMS</v>
      </c>
      <c r="F157" s="123"/>
      <c r="G157" s="119" t="str">
        <v>fraction</v>
      </c>
      <c r="H157" s="120" t="str">
        <v>Constant</v>
      </c>
      <c r="I157" s="118" t="str" cm="1">
        <f t="array" aca="1" ref="I157" ca="1">HYPERLINK(Common_InputFunctions.Utility_SourceHyperlink($D$168), $D$168)</f>
        <v>M1_Table_MCF_i_m</v>
      </c>
      <c r="W157" s="119" t="str">
        <v>MCF_im</v>
      </c>
      <c r="X157" s="124" t="str">
        <v>methane conversion factor for temperature zone and MMS</v>
      </c>
      <c r="Y157" s="123"/>
      <c r="Z157" s="119" t="str">
        <v>fraction</v>
      </c>
      <c r="AA157" s="120" t="str">
        <v>Constant</v>
      </c>
      <c r="AB157" s="118"/>
    </row>
    <row r="158" spans="3:37" ht="20.100000000000001" customHeight="1" x14ac:dyDescent="0.25">
      <c r="D158" s="119" t="str">
        <v>rho</v>
      </c>
      <c r="E158" s="124" t="str">
        <v>density of methane</v>
      </c>
      <c r="F158" s="123"/>
      <c r="G158" s="119" t="str">
        <v>kg/m3</v>
      </c>
      <c r="H158" s="120" t="str">
        <v>Constant</v>
      </c>
      <c r="I158" s="119">
        <f>'Constants - Common'!$D$175</f>
        <v>0.6784</v>
      </c>
      <c r="W158" s="119" t="str">
        <v>rho</v>
      </c>
      <c r="X158" s="124" t="str">
        <v>density of methane</v>
      </c>
      <c r="Y158" s="123"/>
      <c r="Z158" s="119" t="str">
        <v>kg/m3</v>
      </c>
      <c r="AA158" s="120" t="str">
        <v>Constant</v>
      </c>
      <c r="AB158" s="119"/>
    </row>
    <row r="159" spans="3:37" ht="20.100000000000001" customHeight="1" x14ac:dyDescent="0.25">
      <c r="D159" s="119" t="str">
        <v>i</v>
      </c>
      <c r="E159" s="124" t="str">
        <v>state</v>
      </c>
      <c r="F159" s="123"/>
      <c r="G159" s="119" t="str">
        <v/>
      </c>
      <c r="H159" s="121" t="str">
        <v>Input</v>
      </c>
      <c r="I159" s="119" t="str">
        <f>X_Cell_Site_State</f>
        <v>Western Australia</v>
      </c>
      <c r="W159" s="119" t="str">
        <v>MAT</v>
      </c>
      <c r="X159" s="124" t="str">
        <v>Mean annual temperature</v>
      </c>
      <c r="Y159" s="123"/>
      <c r="Z159" s="119" t="str">
        <v>°C</v>
      </c>
      <c r="AA159" s="121" t="str">
        <v>Input</v>
      </c>
      <c r="AB159" s="119">
        <f>X_Cell_Site_AverageTemperature</f>
        <v>18</v>
      </c>
    </row>
    <row r="160" spans="3:37" ht="20.100000000000001" customHeight="1" x14ac:dyDescent="0.25">
      <c r="D160" s="119" t="str">
        <v>i</v>
      </c>
      <c r="E160" s="124" t="str">
        <v>region</v>
      </c>
      <c r="F160" s="123"/>
      <c r="G160" s="119" t="str">
        <v/>
      </c>
      <c r="H160" s="121" t="str">
        <v>Input</v>
      </c>
      <c r="I160" s="119" t="str">
        <f>X_Cell_PastureBeef_ProductionRegion</f>
        <v>South West</v>
      </c>
    </row>
    <row r="161" spans="4:34" ht="20.100000000000001" customHeight="1" x14ac:dyDescent="0.25"/>
    <row r="162" spans="4:34" ht="20.100000000000001" customHeight="1" x14ac:dyDescent="0.25">
      <c r="D162" s="98" t="s">
        <v>269</v>
      </c>
    </row>
    <row r="163" spans="4:34" ht="20.100000000000001" customHeight="1" x14ac:dyDescent="0.25">
      <c r="D163" s="97" t="s">
        <v>268</v>
      </c>
    </row>
    <row r="164" spans="4:34" ht="20.100000000000001" customHeight="1" x14ac:dyDescent="0.25">
      <c r="D164" s="51" t="s">
        <v>68</v>
      </c>
      <c r="E164" s="122" t="s">
        <v>348</v>
      </c>
      <c r="F164" s="2" t="s">
        <v>141</v>
      </c>
    </row>
    <row r="165" spans="4:34" ht="20.100000000000001" customHeight="1" x14ac:dyDescent="0.25">
      <c r="D165" s="52" t="str">
        <f>'Input - Pasture Beef'!$D$179</f>
        <v>Pasture range and paddock</v>
      </c>
      <c r="E165" s="52">
        <f>'Input - Pasture Beef'!$E$179</f>
        <v>0.99621999999999999</v>
      </c>
      <c r="F165" s="2" t="s">
        <v>141</v>
      </c>
    </row>
    <row r="166" spans="4:34" ht="20.100000000000001" customHeight="1" x14ac:dyDescent="0.25">
      <c r="D166" s="52" t="str">
        <f>'Input - Pasture Beef'!$D$180</f>
        <v>Anaerobic lagoon</v>
      </c>
      <c r="E166" s="52">
        <f>'Input - Pasture Beef'!$E$180</f>
        <v>3.7799999999999999E-3</v>
      </c>
    </row>
    <row r="167" spans="4:34" ht="20.100000000000001" customHeight="1" x14ac:dyDescent="0.25"/>
    <row r="168" spans="4:34" ht="20.100000000000001" customHeight="1" x14ac:dyDescent="0.25">
      <c r="D168" s="98" t="s">
        <v>145</v>
      </c>
      <c r="W168" s="98" t="s">
        <v>365</v>
      </c>
    </row>
    <row r="169" spans="4:34" ht="20.100000000000001" customHeight="1" x14ac:dyDescent="0.25">
      <c r="D169" s="97" t="s">
        <v>364</v>
      </c>
      <c r="W169" s="97" t="s">
        <v>366</v>
      </c>
    </row>
    <row r="170" spans="4:34" ht="20.100000000000001" customHeight="1" x14ac:dyDescent="0.25">
      <c r="D170" s="51" t="s">
        <v>68</v>
      </c>
      <c r="E170" s="51" t="s">
        <v>99</v>
      </c>
      <c r="W170" s="51" t="s">
        <v>68</v>
      </c>
      <c r="X170" s="51" t="s">
        <v>99</v>
      </c>
    </row>
    <row r="171" spans="4:34" ht="20.100000000000001" customHeight="1" x14ac:dyDescent="0.25">
      <c r="D171" s="52" t="str">
        <f>'Input - Pasture Beef'!$D$179</f>
        <v>Pasture range and paddock</v>
      </c>
      <c r="E171" s="52">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Name],Table_AustralianStates[Abbreviation]),$I$160,Table_SourceData_PastureBeef_MethaneConversionFactor[State],Table_SourceData_PastureBeef_MethaneConversionFactor[Region],Table_SourceData_PastureBeef_MethaneConversionFactor[Pasture range and paddock])</f>
        <v>4.7000000000000002E-3</v>
      </c>
      <c r="W171" s="52" t="str">
        <f>'Input - Pasture Beef'!$D$179</f>
        <v>Pasture range and paddock</v>
      </c>
      <c r="X171" s="52">
        <f>Common_InputFunctions.Common_GetMCFTemperatureZone($AB$159, W171,Table_SourceData_Common_MCFTemperatureZone[MAT raw],Table_SourceData_Common_MCFTemperatureZone[#Headers],Table_SourceData_Common_MCFTemperatureZone[])</f>
        <v>4.7000000000000002E-3</v>
      </c>
    </row>
    <row r="172" spans="4:34" ht="20.100000000000001" customHeight="1" x14ac:dyDescent="0.25">
      <c r="D172" s="52" t="str">
        <f>'Input - Pasture Beef'!$D$180</f>
        <v>Anaerobic lagoon</v>
      </c>
      <c r="E172" s="52">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Name],Table_AustralianStates[Abbreviation]),$I$160,Table_SourceData_PastureBeef_MethaneConversionFactor[State],Table_SourceData_PastureBeef_MethaneConversionFactor[Region],Table_SourceData_PastureBeef_MethaneConversionFactor[Uncovered Anaerobic lagoon])</f>
        <v>0.76</v>
      </c>
      <c r="W172" s="52" t="str">
        <f>'Input - Pasture Beef'!$D$180</f>
        <v>Anaerobic lagoon</v>
      </c>
      <c r="X172" s="52">
        <f>Common_InputFunctions.Common_GetMCFTemperatureZone($AB$159, W172,Table_SourceData_Common_MCFTemperatureZone[MAT raw],Table_SourceData_Common_MCFTemperatureZone[#Headers],Table_SourceData_Common_MCFTemperatureZone[])</f>
        <v>0.77</v>
      </c>
    </row>
    <row r="173" spans="4:34" ht="20.100000000000001" customHeight="1" x14ac:dyDescent="0.25"/>
    <row r="174" spans="4:34" ht="20.100000000000001" customHeight="1" x14ac:dyDescent="0.25">
      <c r="D174" s="98" t="s">
        <v>270</v>
      </c>
      <c r="W174" s="98" t="s">
        <v>272</v>
      </c>
    </row>
    <row r="175" spans="4:34" ht="20.100000000000001" customHeight="1" x14ac:dyDescent="0.25">
      <c r="D175" s="97" t="s">
        <v>271</v>
      </c>
      <c r="W175" s="97" t="s">
        <v>273</v>
      </c>
    </row>
    <row r="176" spans="4:34" ht="20.100000000000001" customHeight="1" x14ac:dyDescent="0.25">
      <c r="D176" s="51" t="s">
        <v>68</v>
      </c>
      <c r="E176" s="51" t="s">
        <v>184</v>
      </c>
      <c r="F176" s="51" t="s">
        <v>131</v>
      </c>
      <c r="G176" s="51" t="s">
        <v>130</v>
      </c>
      <c r="H176" s="51" t="s">
        <v>165</v>
      </c>
      <c r="I176" s="51" t="s">
        <v>166</v>
      </c>
      <c r="J176" s="51" t="s">
        <v>167</v>
      </c>
      <c r="K176" s="51" t="s">
        <v>168</v>
      </c>
      <c r="L176" s="51" t="s">
        <v>169</v>
      </c>
      <c r="M176" s="51" t="s">
        <v>170</v>
      </c>
      <c r="N176" s="51" t="s">
        <v>171</v>
      </c>
      <c r="O176" s="51" t="s">
        <v>172</v>
      </c>
      <c r="W176" s="51" t="s">
        <v>68</v>
      </c>
      <c r="X176" s="51" t="s">
        <v>132</v>
      </c>
      <c r="Y176" s="51" t="s">
        <v>131</v>
      </c>
      <c r="Z176" s="51" t="s">
        <v>130</v>
      </c>
      <c r="AA176" s="51" t="s">
        <v>165</v>
      </c>
      <c r="AB176" s="51" t="s">
        <v>166</v>
      </c>
      <c r="AC176" s="51" t="s">
        <v>167</v>
      </c>
      <c r="AD176" s="51" t="s">
        <v>168</v>
      </c>
      <c r="AE176" s="51" t="s">
        <v>169</v>
      </c>
      <c r="AF176" s="51" t="s">
        <v>170</v>
      </c>
      <c r="AG176" s="51" t="s">
        <v>171</v>
      </c>
      <c r="AH176" s="51" t="s">
        <v>172</v>
      </c>
    </row>
    <row r="177" spans="4:36" ht="20.100000000000001" customHeight="1" x14ac:dyDescent="0.25">
      <c r="D177" s="52" t="str">
        <f>'Input - Pasture Beef'!$D$179</f>
        <v>Pasture range and paddock</v>
      </c>
      <c r="E177" s="52" t="s">
        <v>173</v>
      </c>
      <c r="F177" s="52" cm="1">
        <f t="array" aca="1" ref="F177" ca="1">MMS_PastureBeef_Methane_Equations.VEERG_4_2_1_1__2_MethaneProductionFromManure(E131,$I$155,$E$165,$E$171,$I$158)</f>
        <v>1.1554629863615776E-3</v>
      </c>
      <c r="G177" s="52" cm="1">
        <f t="array" aca="1" ref="G177" ca="1">MMS_PastureBeef_Methane_Equations.VEERG_4_2_1_1__2_MethaneProductionFromManure(F131,$I$155,$E$165,$E$171,$I$158)</f>
        <v>1.6319378649193843E-3</v>
      </c>
      <c r="H177" s="52" cm="1">
        <f t="array" aca="1" ref="H177" ca="1">MMS_PastureBeef_Methane_Equations.VEERG_4_2_1_1__2_MethaneProductionFromManure(G131,$I$155,$E$165,$E$171,$I$158)</f>
        <v>8.8069357361036688E-4</v>
      </c>
      <c r="I177" s="52" cm="1">
        <f t="array" aca="1" ref="I177" ca="1">MMS_PastureBeef_Methane_Equations.VEERG_4_2_1_1__2_MethaneProductionFromManure(H131,$I$155,$E$165,$E$171,$I$158)</f>
        <v>1.2713287148641069E-3</v>
      </c>
      <c r="J177" s="52" cm="1">
        <f t="array" aca="1" ref="J177" ca="1">MMS_PastureBeef_Methane_Equations.VEERG_4_2_1_1__2_MethaneProductionFromManure(I131,$I$155,$E$165,$E$171,$I$158)</f>
        <v>1.5015956339694118E-3</v>
      </c>
      <c r="K177" s="52" cm="1">
        <f t="array" aca="1" ref="K177" ca="1">MMS_PastureBeef_Methane_Equations.VEERG_4_2_1_1__2_MethaneProductionFromManure(J131,$I$155,$E$165,$E$171,$I$158)</f>
        <v>1.5015956339694118E-3</v>
      </c>
      <c r="L177" s="52" cm="1">
        <f t="array" aca="1" ref="L177" ca="1">MMS_PastureBeef_Methane_Equations.VEERG_4_2_1_1__2_MethaneProductionFromManure(K131,$I$155,$E$165,$E$171,$I$158)</f>
        <v>1.0153229299765547E-3</v>
      </c>
      <c r="M177" s="52" cm="1">
        <f t="array" aca="1" ref="M177" ca="1">MMS_PastureBeef_Methane_Equations.VEERG_4_2_1_1__2_MethaneProductionFromManure(L131,$I$155,$E$165,$E$171,$I$158)</f>
        <v>1.2902560309095339E-3</v>
      </c>
      <c r="N177" s="52" cm="1">
        <f t="array" aca="1" ref="N177" ca="1">MMS_PastureBeef_Methane_Equations.VEERG_4_2_1_1__2_MethaneProductionFromManure(M131,$I$155,$E$165,$E$171,$I$158)</f>
        <v>1.2902560309095339E-3</v>
      </c>
      <c r="O177" s="52" cm="1">
        <f t="array" aca="1" ref="O177" ca="1">MMS_PastureBeef_Methane_Equations.VEERG_4_2_1_1__2_MethaneProductionFromManure(N131,$I$155,$E$165,$E$171,$I$158)</f>
        <v>1.2902560309095339E-3</v>
      </c>
      <c r="P177" s="2" t="str">
        <f t="shared" ref="P177:P184" si="6">$E$152</f>
        <v>kg CH4/head/day</v>
      </c>
      <c r="Q177" s="2"/>
      <c r="R177" s="2"/>
      <c r="S177" s="2"/>
      <c r="W177" s="52" t="str">
        <f>'Input - Pasture Beef'!$D$179</f>
        <v>Pasture range and paddock</v>
      </c>
      <c r="X177" s="52" t="str">
        <f t="shared" ref="X177:X188" si="7">W131</f>
        <v>January 2024</v>
      </c>
      <c r="Y177" s="52" cm="1">
        <f t="array" aca="1" ref="Y177" ca="1">MMS_PastureBeef_Methane_Equations.VEERG_4_2_1_1__2_MethaneProductionFromManure(X131,$I$155,$E$165,$X$171,$I$158)</f>
        <v>1.8253792307944732E-3</v>
      </c>
      <c r="Z177" s="52" cm="1">
        <f t="array" aca="1" ref="Z177" ca="1">MMS_PastureBeef_Methane_Equations.VEERG_4_2_1_1__2_MethaneProductionFromManure(Y131,$I$155,$E$165,$X$171,$I$158)</f>
        <v>2.4151571880932964E-3</v>
      </c>
      <c r="AA177" s="52" cm="1">
        <f t="array" aca="1" ref="AA177" ca="1">MMS_PastureBeef_Methane_Equations.VEERG_4_2_1_1__2_MethaneProductionFromManure(Z131,$I$155,$E$165,$X$171,$I$158)</f>
        <v>1.5351027116938406E-3</v>
      </c>
      <c r="AB177" s="52" cm="1">
        <f t="array" aca="1" ref="AB177" ca="1">MMS_PastureBeef_Methane_Equations.VEERG_4_2_1_1__2_MethaneProductionFromManure(AA131,$I$155,$E$165,$X$171,$I$158)</f>
        <v>2.1609849564283527E-3</v>
      </c>
      <c r="AC177" s="52" cm="1">
        <f t="array" aca="1" ref="AC177" ca="1">MMS_PastureBeef_Methane_Equations.VEERG_4_2_1_1__2_MethaneProductionFromManure(AB131,$I$155,$E$165,$X$171,$I$158)</f>
        <v>2.139639521596127E-3</v>
      </c>
      <c r="AD177" s="52" cm="1">
        <f t="array" aca="1" ref="AD177" ca="1">MMS_PastureBeef_Methane_Equations.VEERG_4_2_1_1__2_MethaneProductionFromManure(AC131,$I$155,$E$165,$X$171,$I$158)</f>
        <v>2.139639521596127E-3</v>
      </c>
      <c r="AE177" s="52" cm="1">
        <f t="array" aca="1" ref="AE177" ca="1">MMS_PastureBeef_Methane_Equations.VEERG_4_2_1_1__2_MethaneProductionFromManure(AD131,$I$155,$E$165,$X$171,$I$158)</f>
        <v>1.6825505854844633E-3</v>
      </c>
      <c r="AF177" s="52" cm="1">
        <f t="array" aca="1" ref="AF177" ca="1">MMS_PastureBeef_Methane_Equations.VEERG_4_2_1_1__2_MethaneProductionFromManure(AE131,$I$155,$E$165,$X$171,$I$158)</f>
        <v>1.8754949354493101E-3</v>
      </c>
      <c r="AG177" s="52" cm="1">
        <f t="array" aca="1" ref="AG177" ca="1">MMS_PastureBeef_Methane_Equations.VEERG_4_2_1_1__2_MethaneProductionFromManure(AF131,$I$155,$E$165,$X$171,$I$158)</f>
        <v>1.8754949354493101E-3</v>
      </c>
      <c r="AH177" s="52" cm="1">
        <f t="array" aca="1" ref="AH177" ca="1">MMS_PastureBeef_Methane_Equations.VEERG_4_2_1_1__2_MethaneProductionFromManure(AG131,$I$155,$E$165,$X$171,$I$158)</f>
        <v>1.8754949354493101E-3</v>
      </c>
      <c r="AI177" s="2" t="str">
        <f t="shared" ref="AI177:AI200" si="8">$E$152</f>
        <v>kg CH4/head/day</v>
      </c>
      <c r="AJ177" s="2"/>
    </row>
    <row r="178" spans="4:36" ht="20.100000000000001" customHeight="1" x14ac:dyDescent="0.25">
      <c r="D178" s="52" t="str">
        <f>'Input - Pasture Beef'!$D$179</f>
        <v>Pasture range and paddock</v>
      </c>
      <c r="E178" s="52" t="s">
        <v>174</v>
      </c>
      <c r="F178" s="52" cm="1">
        <f t="array" aca="1" ref="F178" ca="1">MMS_PastureBeef_Methane_Equations.VEERG_4_2_1_1__2_MethaneProductionFromManure(E132,$I$155,$E$165,$E$171,$I$158)</f>
        <v>1.8253792307944732E-3</v>
      </c>
      <c r="G178" s="52" cm="1">
        <f t="array" aca="1" ref="G178" ca="1">MMS_PastureBeef_Methane_Equations.VEERG_4_2_1_1__2_MethaneProductionFromManure(F132,$I$155,$E$165,$E$171,$I$158)</f>
        <v>2.4151571880932964E-3</v>
      </c>
      <c r="H178" s="52" cm="1">
        <f t="array" aca="1" ref="H178" ca="1">MMS_PastureBeef_Methane_Equations.VEERG_4_2_1_1__2_MethaneProductionFromManure(G132,$I$155,$E$165,$E$171,$I$158)</f>
        <v>1.5351027116938406E-3</v>
      </c>
      <c r="I178" s="52" cm="1">
        <f t="array" aca="1" ref="I178" ca="1">MMS_PastureBeef_Methane_Equations.VEERG_4_2_1_1__2_MethaneProductionFromManure(H132,$I$155,$E$165,$E$171,$I$158)</f>
        <v>2.0906273066841736E-3</v>
      </c>
      <c r="J178" s="52" cm="1">
        <f t="array" aca="1" ref="J178" ca="1">MMS_PastureBeef_Methane_Equations.VEERG_4_2_1_1__2_MethaneProductionFromManure(I132,$I$155,$E$165,$E$171,$I$158)</f>
        <v>2.0699768394976483E-3</v>
      </c>
      <c r="K178" s="52" cm="1">
        <f t="array" aca="1" ref="K178" ca="1">MMS_PastureBeef_Methane_Equations.VEERG_4_2_1_1__2_MethaneProductionFromManure(J132,$I$155,$E$165,$E$171,$I$158)</f>
        <v>2.0699768394976483E-3</v>
      </c>
      <c r="L178" s="52" cm="1">
        <f t="array" aca="1" ref="L178" ca="1">MMS_PastureBeef_Methane_Equations.VEERG_4_2_1_1__2_MethaneProductionFromManure(K132,$I$155,$E$165,$E$171,$I$158)</f>
        <v>1.6825505854844633E-3</v>
      </c>
      <c r="M178" s="52" cm="1">
        <f t="array" aca="1" ref="M178" ca="1">MMS_PastureBeef_Methane_Equations.VEERG_4_2_1_1__2_MethaneProductionFromManure(L132,$I$155,$E$165,$E$171,$I$158)</f>
        <v>1.8754949354493101E-3</v>
      </c>
      <c r="N178" s="52" cm="1">
        <f t="array" aca="1" ref="N178" ca="1">MMS_PastureBeef_Methane_Equations.VEERG_4_2_1_1__2_MethaneProductionFromManure(M132,$I$155,$E$165,$E$171,$I$158)</f>
        <v>1.8754949354493101E-3</v>
      </c>
      <c r="O178" s="52" cm="1">
        <f t="array" aca="1" ref="O178" ca="1">MMS_PastureBeef_Methane_Equations.VEERG_4_2_1_1__2_MethaneProductionFromManure(N132,$I$155,$E$165,$E$171,$I$158)</f>
        <v>1.8754949354493101E-3</v>
      </c>
      <c r="P178" s="2" t="str">
        <f t="shared" si="6"/>
        <v>kg CH4/head/day</v>
      </c>
      <c r="Q178" s="2"/>
      <c r="R178" s="2"/>
      <c r="S178" s="2"/>
      <c r="W178" s="52" t="str">
        <f>'Input - Pasture Beef'!$D$179</f>
        <v>Pasture range and paddock</v>
      </c>
      <c r="X178" s="52" t="str">
        <f t="shared" si="7"/>
        <v>February 2024</v>
      </c>
      <c r="Y178" s="52" cm="1">
        <f t="array" aca="1" ref="Y178" ca="1">MMS_PastureBeef_Methane_Equations.VEERG_4_2_1_1__2_MethaneProductionFromManure(X132,$I$155,$E$165,$X$171,$I$158)</f>
        <v>1.8253792307944732E-3</v>
      </c>
      <c r="Z178" s="52" cm="1">
        <f t="array" aca="1" ref="Z178" ca="1">MMS_PastureBeef_Methane_Equations.VEERG_4_2_1_1__2_MethaneProductionFromManure(Y132,$I$155,$E$165,$X$171,$I$158)</f>
        <v>2.4151571880932964E-3</v>
      </c>
      <c r="AA178" s="52" cm="1">
        <f t="array" aca="1" ref="AA178" ca="1">MMS_PastureBeef_Methane_Equations.VEERG_4_2_1_1__2_MethaneProductionFromManure(Z132,$I$155,$E$165,$X$171,$I$158)</f>
        <v>1.5351027116938406E-3</v>
      </c>
      <c r="AB178" s="52" cm="1">
        <f t="array" aca="1" ref="AB178" ca="1">MMS_PastureBeef_Methane_Equations.VEERG_4_2_1_1__2_MethaneProductionFromManure(AA132,$I$155,$E$165,$X$171,$I$158)</f>
        <v>2.0102185641193977E-3</v>
      </c>
      <c r="AC178" s="52" cm="1">
        <f t="array" aca="1" ref="AC178" ca="1">MMS_PastureBeef_Methane_Equations.VEERG_4_2_1_1__2_MethaneProductionFromManure(AB132,$I$155,$E$165,$X$171,$I$158)</f>
        <v>1.9903623456708156E-3</v>
      </c>
      <c r="AD178" s="52" cm="1">
        <f t="array" aca="1" ref="AD178" ca="1">MMS_PastureBeef_Methane_Equations.VEERG_4_2_1_1__2_MethaneProductionFromManure(AC132,$I$155,$E$165,$X$171,$I$158)</f>
        <v>1.9903623456708156E-3</v>
      </c>
      <c r="AE178" s="52" cm="1">
        <f t="array" aca="1" ref="AE178" ca="1">MMS_PastureBeef_Methane_Equations.VEERG_4_2_1_1__2_MethaneProductionFromManure(AD132,$I$155,$E$165,$X$171,$I$158)</f>
        <v>1.6825505854844633E-3</v>
      </c>
      <c r="AF178" s="52" cm="1">
        <f t="array" aca="1" ref="AF178" ca="1">MMS_PastureBeef_Methane_Equations.VEERG_4_2_1_1__2_MethaneProductionFromManure(AE132,$I$155,$E$165,$X$171,$I$158)</f>
        <v>1.8754949354493101E-3</v>
      </c>
      <c r="AG178" s="52" cm="1">
        <f t="array" aca="1" ref="AG178" ca="1">MMS_PastureBeef_Methane_Equations.VEERG_4_2_1_1__2_MethaneProductionFromManure(AF132,$I$155,$E$165,$X$171,$I$158)</f>
        <v>1.8754949354493101E-3</v>
      </c>
      <c r="AH178" s="52" cm="1">
        <f t="array" aca="1" ref="AH178" ca="1">MMS_PastureBeef_Methane_Equations.VEERG_4_2_1_1__2_MethaneProductionFromManure(AG132,$I$155,$E$165,$X$171,$I$158)</f>
        <v>1.8754949354493101E-3</v>
      </c>
      <c r="AI178" s="2" t="str">
        <f t="shared" si="8"/>
        <v>kg CH4/head/day</v>
      </c>
      <c r="AJ178" s="2"/>
    </row>
    <row r="179" spans="4:36" ht="20.100000000000001" customHeight="1" x14ac:dyDescent="0.25">
      <c r="D179" s="52" t="str">
        <f>'Input - Pasture Beef'!$D$179</f>
        <v>Pasture range and paddock</v>
      </c>
      <c r="E179" s="52" t="s">
        <v>175</v>
      </c>
      <c r="F179" s="52" cm="1">
        <f t="array" aca="1" ref="F179" ca="1">MMS_PastureBeef_Methane_Equations.VEERG_4_2_1_1__2_MethaneProductionFromManure(E133,$I$155,$E$165,$E$171,$I$158)</f>
        <v>9.7360706101441404E-4</v>
      </c>
      <c r="G179" s="52" cm="1">
        <f t="array" aca="1" ref="G179" ca="1">MMS_PastureBeef_Methane_Equations.VEERG_4_2_1_1__2_MethaneProductionFromManure(F133,$I$155,$E$165,$E$171,$I$158)</f>
        <v>2.8257879926910463E-3</v>
      </c>
      <c r="H179" s="52" cm="1">
        <f t="array" aca="1" ref="H179" ca="1">MMS_PastureBeef_Methane_Equations.VEERG_4_2_1_1__2_MethaneProductionFromManure(G133,$I$155,$E$165,$E$171,$I$158)</f>
        <v>8.8759283102341434E-4</v>
      </c>
      <c r="I179" s="52" cm="1">
        <f t="array" aca="1" ref="I179" ca="1">MMS_PastureBeef_Methane_Equations.VEERG_4_2_1_1__2_MethaneProductionFromManure(H133,$I$155,$E$165,$E$171,$I$158)</f>
        <v>1.804185782653431E-3</v>
      </c>
      <c r="J179" s="52" cm="1">
        <f t="array" aca="1" ref="J179" ca="1">MMS_PastureBeef_Methane_Equations.VEERG_4_2_1_1__2_MethaneProductionFromManure(I133,$I$155,$E$165,$E$171,$I$158)</f>
        <v>2.0142528006700457E-3</v>
      </c>
      <c r="K179" s="52" cm="1">
        <f t="array" aca="1" ref="K179" ca="1">MMS_PastureBeef_Methane_Equations.VEERG_4_2_1_1__2_MethaneProductionFromManure(J133,$I$155,$E$165,$E$171,$I$158)</f>
        <v>2.0142528006700457E-3</v>
      </c>
      <c r="L179" s="52" cm="1">
        <f t="array" aca="1" ref="L179" ca="1">MMS_PastureBeef_Methane_Equations.VEERG_4_2_1_1__2_MethaneProductionFromManure(K133,$I$155,$E$165,$E$171,$I$158)</f>
        <v>9.7360706101441404E-4</v>
      </c>
      <c r="M179" s="52" cm="1">
        <f t="array" aca="1" ref="M179" ca="1">MMS_PastureBeef_Methane_Equations.VEERG_4_2_1_1__2_MethaneProductionFromManure(L133,$I$155,$E$165,$E$171,$I$158)</f>
        <v>1.7676074196054518E-3</v>
      </c>
      <c r="N179" s="52" cm="1">
        <f t="array" aca="1" ref="N179" ca="1">MMS_PastureBeef_Methane_Equations.VEERG_4_2_1_1__2_MethaneProductionFromManure(M133,$I$155,$E$165,$E$171,$I$158)</f>
        <v>1.7676074196054518E-3</v>
      </c>
      <c r="O179" s="52" cm="1">
        <f t="array" aca="1" ref="O179" ca="1">MMS_PastureBeef_Methane_Equations.VEERG_4_2_1_1__2_MethaneProductionFromManure(N133,$I$155,$E$165,$E$171,$I$158)</f>
        <v>1.7676074196054518E-3</v>
      </c>
      <c r="P179" s="2" t="str">
        <f t="shared" si="6"/>
        <v>kg CH4/head/day</v>
      </c>
      <c r="Q179" s="2"/>
      <c r="R179" s="2"/>
      <c r="S179" s="2"/>
      <c r="W179" s="52" t="str">
        <f>'Input - Pasture Beef'!$D$179</f>
        <v>Pasture range and paddock</v>
      </c>
      <c r="X179" s="52" t="str">
        <f t="shared" si="7"/>
        <v>March 2024</v>
      </c>
      <c r="Y179" s="52" cm="1">
        <f t="array" aca="1" ref="Y179" ca="1">MMS_PastureBeef_Methane_Equations.VEERG_4_2_1_1__2_MethaneProductionFromManure(X133,$I$155,$E$165,$X$171,$I$158)</f>
        <v>9.7360706101441404E-4</v>
      </c>
      <c r="Z179" s="52" cm="1">
        <f t="array" aca="1" ref="Z179" ca="1">MMS_PastureBeef_Methane_Equations.VEERG_4_2_1_1__2_MethaneProductionFromManure(Y133,$I$155,$E$165,$X$171,$I$158)</f>
        <v>2.8257879926910463E-3</v>
      </c>
      <c r="AA179" s="52" cm="1">
        <f t="array" aca="1" ref="AA179" ca="1">MMS_PastureBeef_Methane_Equations.VEERG_4_2_1_1__2_MethaneProductionFromManure(Z133,$I$155,$E$165,$X$171,$I$158)</f>
        <v>8.8759283102341434E-4</v>
      </c>
      <c r="AB179" s="52" cm="1">
        <f t="array" aca="1" ref="AB179" ca="1">MMS_PastureBeef_Methane_Equations.VEERG_4_2_1_1__2_MethaneProductionFromManure(AA133,$I$155,$E$165,$X$171,$I$158)</f>
        <v>1.7863225570826046E-3</v>
      </c>
      <c r="AC179" s="52" cm="1">
        <f t="array" aca="1" ref="AC179" ca="1">MMS_PastureBeef_Methane_Equations.VEERG_4_2_1_1__2_MethaneProductionFromManure(AB133,$I$155,$E$165,$X$171,$I$158)</f>
        <v>2.0142528006700457E-3</v>
      </c>
      <c r="AD179" s="52" cm="1">
        <f t="array" aca="1" ref="AD179" ca="1">MMS_PastureBeef_Methane_Equations.VEERG_4_2_1_1__2_MethaneProductionFromManure(AC133,$I$155,$E$165,$X$171,$I$158)</f>
        <v>2.0142528006700457E-3</v>
      </c>
      <c r="AE179" s="52" cm="1">
        <f t="array" aca="1" ref="AE179" ca="1">MMS_PastureBeef_Methane_Equations.VEERG_4_2_1_1__2_MethaneProductionFromManure(AD133,$I$155,$E$165,$X$171,$I$158)</f>
        <v>9.7360706101441404E-4</v>
      </c>
      <c r="AF179" s="52" cm="1">
        <f t="array" aca="1" ref="AF179" ca="1">MMS_PastureBeef_Methane_Equations.VEERG_4_2_1_1__2_MethaneProductionFromManure(AE133,$I$155,$E$165,$X$171,$I$158)</f>
        <v>1.7676074196054518E-3</v>
      </c>
      <c r="AG179" s="52" cm="1">
        <f t="array" aca="1" ref="AG179" ca="1">MMS_PastureBeef_Methane_Equations.VEERG_4_2_1_1__2_MethaneProductionFromManure(AF133,$I$155,$E$165,$X$171,$I$158)</f>
        <v>1.7676074196054518E-3</v>
      </c>
      <c r="AH179" s="52" cm="1">
        <f t="array" aca="1" ref="AH179" ca="1">MMS_PastureBeef_Methane_Equations.VEERG_4_2_1_1__2_MethaneProductionFromManure(AG133,$I$155,$E$165,$X$171,$I$158)</f>
        <v>1.7676074196054518E-3</v>
      </c>
      <c r="AI179" s="2" t="str">
        <f t="shared" si="8"/>
        <v>kg CH4/head/day</v>
      </c>
      <c r="AJ179" s="2"/>
    </row>
    <row r="180" spans="4:36" ht="20.100000000000001" customHeight="1" x14ac:dyDescent="0.25">
      <c r="D180" s="52" t="str">
        <f>'Input - Pasture Beef'!$D$179</f>
        <v>Pasture range and paddock</v>
      </c>
      <c r="E180" s="52" t="s">
        <v>176</v>
      </c>
      <c r="F180" s="52" cm="1">
        <f t="array" aca="1" ref="F180" ca="1">MMS_PastureBeef_Methane_Equations.VEERG_4_2_1_1__2_MethaneProductionFromManure(E134,$I$155,$E$165,$E$171,$I$158)</f>
        <v>8.2649649833119491E-4</v>
      </c>
      <c r="G180" s="52" cm="1">
        <f t="array" aca="1" ref="G180" ca="1">MMS_PastureBeef_Methane_Equations.VEERG_4_2_1_1__2_MethaneProductionFromManure(F134,$I$155,$E$165,$E$171,$I$158)</f>
        <v>1.6061464433302867E-3</v>
      </c>
      <c r="H180" s="52" cm="1">
        <f t="array" aca="1" ref="H180" ca="1">MMS_PastureBeef_Methane_Equations.VEERG_4_2_1_1__2_MethaneProductionFromManure(G134,$I$155,$E$165,$E$171,$I$158)</f>
        <v>6.7671731165028866E-4</v>
      </c>
      <c r="I180" s="52" cm="1">
        <f t="array" aca="1" ref="I180" ca="1">MMS_PastureBeef_Methane_Equations.VEERG_4_2_1_1__2_MethaneProductionFromManure(H134,$I$155,$E$165,$E$171,$I$158)</f>
        <v>1.1549368251856172E-3</v>
      </c>
      <c r="J180" s="52" cm="1">
        <f t="array" aca="1" ref="J180" ca="1">MMS_PastureBeef_Methane_Equations.VEERG_4_2_1_1__2_MethaneProductionFromManure(I134,$I$155,$E$165,$E$171,$I$158)</f>
        <v>1.4725544300764671E-3</v>
      </c>
      <c r="K180" s="52" cm="1">
        <f t="array" aca="1" ref="K180" ca="1">MMS_PastureBeef_Methane_Equations.VEERG_4_2_1_1__2_MethaneProductionFromManure(J134,$I$155,$E$165,$E$171,$I$158)</f>
        <v>1.4725544300764671E-3</v>
      </c>
      <c r="L180" s="52" cm="1">
        <f t="array" aca="1" ref="L180" ca="1">MMS_PastureBeef_Methane_Equations.VEERG_4_2_1_1__2_MethaneProductionFromManure(K134,$I$155,$E$165,$E$171,$I$158)</f>
        <v>7.2656299991787044E-4</v>
      </c>
      <c r="M180" s="52" cm="1">
        <f t="array" aca="1" ref="M180" ca="1">MMS_PastureBeef_Methane_Equations.VEERG_4_2_1_1__2_MethaneProductionFromManure(L134,$I$155,$E$165,$E$171,$I$158)</f>
        <v>1.1061796823535802E-3</v>
      </c>
      <c r="N180" s="52" cm="1">
        <f t="array" aca="1" ref="N180" ca="1">MMS_PastureBeef_Methane_Equations.VEERG_4_2_1_1__2_MethaneProductionFromManure(M134,$I$155,$E$165,$E$171,$I$158)</f>
        <v>1.1061796823535802E-3</v>
      </c>
      <c r="O180" s="52" cm="1">
        <f t="array" aca="1" ref="O180" ca="1">MMS_PastureBeef_Methane_Equations.VEERG_4_2_1_1__2_MethaneProductionFromManure(N134,$I$155,$E$165,$E$171,$I$158)</f>
        <v>1.1061796823535802E-3</v>
      </c>
      <c r="P180" s="2" t="str">
        <f t="shared" si="6"/>
        <v>kg CH4/head/day</v>
      </c>
      <c r="Q180" s="2"/>
      <c r="R180" s="2"/>
      <c r="S180" s="2"/>
      <c r="W180" s="52" t="str">
        <f>'Input - Pasture Beef'!$D$179</f>
        <v>Pasture range and paddock</v>
      </c>
      <c r="X180" s="52" t="str">
        <f t="shared" si="7"/>
        <v>April 2024</v>
      </c>
      <c r="Y180" s="52" cm="1">
        <f t="array" aca="1" ref="Y180" ca="1">MMS_PastureBeef_Methane_Equations.VEERG_4_2_1_1__2_MethaneProductionFromManure(X134,$I$155,$E$165,$X$171,$I$158)</f>
        <v>9.7360706101441404E-4</v>
      </c>
      <c r="Z180" s="52" cm="1">
        <f t="array" aca="1" ref="Z180" ca="1">MMS_PastureBeef_Methane_Equations.VEERG_4_2_1_1__2_MethaneProductionFromManure(Y134,$I$155,$E$165,$X$171,$I$158)</f>
        <v>2.8257879926910463E-3</v>
      </c>
      <c r="AA180" s="52" cm="1">
        <f t="array" aca="1" ref="AA180" ca="1">MMS_PastureBeef_Methane_Equations.VEERG_4_2_1_1__2_MethaneProductionFromManure(Z134,$I$155,$E$165,$X$171,$I$158)</f>
        <v>8.8759283102341434E-4</v>
      </c>
      <c r="AB180" s="52" cm="1">
        <f t="array" aca="1" ref="AB180" ca="1">MMS_PastureBeef_Methane_Equations.VEERG_4_2_1_1__2_MethaneProductionFromManure(AA134,$I$155,$E$165,$X$171,$I$158)</f>
        <v>1.7863225570826046E-3</v>
      </c>
      <c r="AC180" s="52" cm="1">
        <f t="array" aca="1" ref="AC180" ca="1">MMS_PastureBeef_Methane_Equations.VEERG_4_2_1_1__2_MethaneProductionFromManure(AB134,$I$155,$E$165,$X$171,$I$158)</f>
        <v>2.0142528006700457E-3</v>
      </c>
      <c r="AD180" s="52" cm="1">
        <f t="array" aca="1" ref="AD180" ca="1">MMS_PastureBeef_Methane_Equations.VEERG_4_2_1_1__2_MethaneProductionFromManure(AC134,$I$155,$E$165,$X$171,$I$158)</f>
        <v>2.0142528006700457E-3</v>
      </c>
      <c r="AE180" s="52" cm="1">
        <f t="array" aca="1" ref="AE180" ca="1">MMS_PastureBeef_Methane_Equations.VEERG_4_2_1_1__2_MethaneProductionFromManure(AD134,$I$155,$E$165,$X$171,$I$158)</f>
        <v>9.7360706101441404E-4</v>
      </c>
      <c r="AF180" s="52" cm="1">
        <f t="array" aca="1" ref="AF180" ca="1">MMS_PastureBeef_Methane_Equations.VEERG_4_2_1_1__2_MethaneProductionFromManure(AE134,$I$155,$E$165,$X$171,$I$158)</f>
        <v>1.7676074196054518E-3</v>
      </c>
      <c r="AG180" s="52" cm="1">
        <f t="array" aca="1" ref="AG180" ca="1">MMS_PastureBeef_Methane_Equations.VEERG_4_2_1_1__2_MethaneProductionFromManure(AF134,$I$155,$E$165,$X$171,$I$158)</f>
        <v>1.7676074196054518E-3</v>
      </c>
      <c r="AH180" s="52" cm="1">
        <f t="array" aca="1" ref="AH180" ca="1">MMS_PastureBeef_Methane_Equations.VEERG_4_2_1_1__2_MethaneProductionFromManure(AG134,$I$155,$E$165,$X$171,$I$158)</f>
        <v>1.7676074196054518E-3</v>
      </c>
      <c r="AI180" s="2" t="str">
        <f t="shared" si="8"/>
        <v>kg CH4/head/day</v>
      </c>
      <c r="AJ180" s="2"/>
    </row>
    <row r="181" spans="4:36" ht="20.100000000000001" customHeight="1" x14ac:dyDescent="0.25">
      <c r="D181" s="52" t="str">
        <f>'Input - Pasture Beef'!$D$180</f>
        <v>Anaerobic lagoon</v>
      </c>
      <c r="E181" s="52" t="s">
        <v>173</v>
      </c>
      <c r="F181" s="52" cm="1">
        <f t="array" aca="1" ref="F181" ca="1">MMS_PastureBeef_Methane_Equations.VEERG_4_2_1_1__2_MethaneProductionFromManure(E131,$I$155,$E$166,$E$172,$I$158)</f>
        <v>7.0893809818551147E-4</v>
      </c>
      <c r="G181" s="52" cm="1">
        <f t="array" aca="1" ref="G181" ca="1">MMS_PastureBeef_Methane_Equations.VEERG_4_2_1_1__2_MethaneProductionFromManure(F131,$I$155,$E$166,$E$172,$I$158)</f>
        <v>1.0012808198694057E-3</v>
      </c>
      <c r="H181" s="52" cm="1">
        <f t="array" aca="1" ref="H181" ca="1">MMS_PastureBeef_Methane_Equations.VEERG_4_2_1_1__2_MethaneProductionFromManure(G131,$I$155,$E$166,$E$172,$I$158)</f>
        <v>5.4035242541655584E-4</v>
      </c>
      <c r="I181" s="52" cm="1">
        <f t="array" aca="1" ref="I181" ca="1">MMS_PastureBeef_Methane_Equations.VEERG_4_2_1_1__2_MethaneProductionFromManure(H131,$I$155,$E$166,$E$172,$I$158)</f>
        <v>7.800278952443656E-4</v>
      </c>
      <c r="J181" s="52" cm="1">
        <f t="array" aca="1" ref="J181" ca="1">MMS_PastureBeef_Methane_Equations.VEERG_4_2_1_1__2_MethaneProductionFromManure(I131,$I$155,$E$166,$E$172,$I$158)</f>
        <v>9.2130891733888706E-4</v>
      </c>
      <c r="K181" s="52" cm="1">
        <f t="array" aca="1" ref="K181" ca="1">MMS_PastureBeef_Methane_Equations.VEERG_4_2_1_1__2_MethaneProductionFromManure(J131,$I$155,$E$166,$E$172,$I$158)</f>
        <v>9.2130891733888706E-4</v>
      </c>
      <c r="L181" s="52" cm="1">
        <f t="array" aca="1" ref="L181" ca="1">MMS_PastureBeef_Methane_Equations.VEERG_4_2_1_1__2_MethaneProductionFromManure(K131,$I$155,$E$166,$E$172,$I$158)</f>
        <v>6.2295470778193614E-4</v>
      </c>
      <c r="M181" s="52" cm="1">
        <f t="array" aca="1" ref="M181" ca="1">MMS_PastureBeef_Methane_Equations.VEERG_4_2_1_1__2_MethaneProductionFromManure(L131,$I$155,$E$166,$E$172,$I$158)</f>
        <v>7.9164081197071932E-4</v>
      </c>
      <c r="N181" s="52" cm="1">
        <f t="array" aca="1" ref="N181" ca="1">MMS_PastureBeef_Methane_Equations.VEERG_4_2_1_1__2_MethaneProductionFromManure(M131,$I$155,$E$166,$E$172,$I$158)</f>
        <v>7.9164081197071932E-4</v>
      </c>
      <c r="O181" s="52" cm="1">
        <f t="array" aca="1" ref="O181" ca="1">MMS_PastureBeef_Methane_Equations.VEERG_4_2_1_1__2_MethaneProductionFromManure(N131,$I$155,$E$166,$E$172,$I$158)</f>
        <v>7.9164081197071932E-4</v>
      </c>
      <c r="P181" s="2" t="str">
        <f t="shared" si="6"/>
        <v>kg CH4/head/day</v>
      </c>
      <c r="Q181" s="2"/>
      <c r="R181" s="2"/>
      <c r="S181" s="2"/>
      <c r="W181" s="52" t="str">
        <f>'Input - Pasture Beef'!$D$179</f>
        <v>Pasture range and paddock</v>
      </c>
      <c r="X181" s="52" t="str">
        <f t="shared" si="7"/>
        <v>May 2024</v>
      </c>
      <c r="Y181" s="52" cm="1">
        <f t="array" aca="1" ref="Y181" ca="1">MMS_PastureBeef_Methane_Equations.VEERG_4_2_1_1__2_MethaneProductionFromManure(X135,$I$155,$E$165,$X$171,$I$158)</f>
        <v>9.7360706101441404E-4</v>
      </c>
      <c r="Z181" s="52" cm="1">
        <f t="array" aca="1" ref="Z181" ca="1">MMS_PastureBeef_Methane_Equations.VEERG_4_2_1_1__2_MethaneProductionFromManure(Y135,$I$155,$E$165,$X$171,$I$158)</f>
        <v>2.8257879926910463E-3</v>
      </c>
      <c r="AA181" s="52" cm="1">
        <f t="array" aca="1" ref="AA181" ca="1">MMS_PastureBeef_Methane_Equations.VEERG_4_2_1_1__2_MethaneProductionFromManure(Z135,$I$155,$E$165,$X$171,$I$158)</f>
        <v>8.8759283102341434E-4</v>
      </c>
      <c r="AB181" s="52" cm="1">
        <f t="array" aca="1" ref="AB181" ca="1">MMS_PastureBeef_Methane_Equations.VEERG_4_2_1_1__2_MethaneProductionFromManure(AA135,$I$155,$E$165,$X$171,$I$158)</f>
        <v>1.7863225570826046E-3</v>
      </c>
      <c r="AC181" s="52" cm="1">
        <f t="array" aca="1" ref="AC181" ca="1">MMS_PastureBeef_Methane_Equations.VEERG_4_2_1_1__2_MethaneProductionFromManure(AB135,$I$155,$E$165,$X$171,$I$158)</f>
        <v>2.0142528006700457E-3</v>
      </c>
      <c r="AD181" s="52" cm="1">
        <f t="array" aca="1" ref="AD181" ca="1">MMS_PastureBeef_Methane_Equations.VEERG_4_2_1_1__2_MethaneProductionFromManure(AC135,$I$155,$E$165,$X$171,$I$158)</f>
        <v>2.0142528006700457E-3</v>
      </c>
      <c r="AE181" s="52" cm="1">
        <f t="array" aca="1" ref="AE181" ca="1">MMS_PastureBeef_Methane_Equations.VEERG_4_2_1_1__2_MethaneProductionFromManure(AD135,$I$155,$E$165,$X$171,$I$158)</f>
        <v>9.7360706101441404E-4</v>
      </c>
      <c r="AF181" s="52" cm="1">
        <f t="array" aca="1" ref="AF181" ca="1">MMS_PastureBeef_Methane_Equations.VEERG_4_2_1_1__2_MethaneProductionFromManure(AE135,$I$155,$E$165,$X$171,$I$158)</f>
        <v>1.7676074196054518E-3</v>
      </c>
      <c r="AG181" s="52" cm="1">
        <f t="array" aca="1" ref="AG181" ca="1">MMS_PastureBeef_Methane_Equations.VEERG_4_2_1_1__2_MethaneProductionFromManure(AF135,$I$155,$E$165,$X$171,$I$158)</f>
        <v>1.7676074196054518E-3</v>
      </c>
      <c r="AH181" s="52" cm="1">
        <f t="array" aca="1" ref="AH181" ca="1">MMS_PastureBeef_Methane_Equations.VEERG_4_2_1_1__2_MethaneProductionFromManure(AG135,$I$155,$E$165,$X$171,$I$158)</f>
        <v>1.7676074196054518E-3</v>
      </c>
      <c r="AI181" s="2" t="str">
        <f t="shared" si="8"/>
        <v>kg CH4/head/day</v>
      </c>
      <c r="AJ181" s="2"/>
    </row>
    <row r="182" spans="4:36" ht="20.100000000000001" customHeight="1" x14ac:dyDescent="0.25">
      <c r="D182" s="52" t="str">
        <f>'Input - Pasture Beef'!$D$180</f>
        <v>Anaerobic lagoon</v>
      </c>
      <c r="E182" s="52" t="s">
        <v>174</v>
      </c>
      <c r="F182" s="52" cm="1">
        <f t="array" aca="1" ref="F182" ca="1">MMS_PastureBeef_Methane_Equations.VEERG_4_2_1_1__2_MethaneProductionFromManure(E132,$I$155,$E$166,$E$172,$I$158)</f>
        <v>1.1199674032152948E-3</v>
      </c>
      <c r="G182" s="52" cm="1">
        <f t="array" aca="1" ref="G182" ca="1">MMS_PastureBeef_Methane_Equations.VEERG_4_2_1_1__2_MethaneProductionFromManure(F132,$I$155,$E$166,$E$172,$I$158)</f>
        <v>1.4818275998069344E-3</v>
      </c>
      <c r="H182" s="52" cm="1">
        <f t="array" aca="1" ref="H182" ca="1">MMS_PastureBeef_Methane_Equations.VEERG_4_2_1_1__2_MethaneProductionFromManure(G132,$I$155,$E$166,$E$172,$I$158)</f>
        <v>9.4186729457649166E-4</v>
      </c>
      <c r="I182" s="52" cm="1">
        <f t="array" aca="1" ref="I182" ca="1">MMS_PastureBeef_Methane_Equations.VEERG_4_2_1_1__2_MethaneProductionFromManure(H132,$I$155,$E$166,$E$172,$I$158)</f>
        <v>1.282711228580693E-3</v>
      </c>
      <c r="J182" s="52" cm="1">
        <f t="array" aca="1" ref="J182" ca="1">MMS_PastureBeef_Methane_Equations.VEERG_4_2_1_1__2_MethaneProductionFromManure(I132,$I$155,$E$166,$E$172,$I$158)</f>
        <v>1.2700410668302446E-3</v>
      </c>
      <c r="K182" s="52" cm="1">
        <f t="array" aca="1" ref="K182" ca="1">MMS_PastureBeef_Methane_Equations.VEERG_4_2_1_1__2_MethaneProductionFromManure(J132,$I$155,$E$166,$E$172,$I$158)</f>
        <v>1.2700410668302446E-3</v>
      </c>
      <c r="L182" s="52" cm="1">
        <f t="array" aca="1" ref="L182" ca="1">MMS_PastureBeef_Methane_Equations.VEERG_4_2_1_1__2_MethaneProductionFromManure(K132,$I$155,$E$166,$E$172,$I$158)</f>
        <v>1.0323344202745454E-3</v>
      </c>
      <c r="M182" s="52" cm="1">
        <f t="array" aca="1" ref="M182" ca="1">MMS_PastureBeef_Methane_Equations.VEERG_4_2_1_1__2_MethaneProductionFromManure(L132,$I$155,$E$166,$E$172,$I$158)</f>
        <v>1.1507160578815108E-3</v>
      </c>
      <c r="N182" s="52" cm="1">
        <f t="array" aca="1" ref="N182" ca="1">MMS_PastureBeef_Methane_Equations.VEERG_4_2_1_1__2_MethaneProductionFromManure(M132,$I$155,$E$166,$E$172,$I$158)</f>
        <v>1.1507160578815108E-3</v>
      </c>
      <c r="O182" s="52" cm="1">
        <f t="array" aca="1" ref="O182" ca="1">MMS_PastureBeef_Methane_Equations.VEERG_4_2_1_1__2_MethaneProductionFromManure(N132,$I$155,$E$166,$E$172,$I$158)</f>
        <v>1.1507160578815108E-3</v>
      </c>
      <c r="P182" s="2" t="str">
        <f t="shared" si="6"/>
        <v>kg CH4/head/day</v>
      </c>
      <c r="Q182" s="2"/>
      <c r="R182" s="2"/>
      <c r="S182" s="2"/>
      <c r="W182" s="52" t="str">
        <f>'Input - Pasture Beef'!$D$179</f>
        <v>Pasture range and paddock</v>
      </c>
      <c r="X182" s="52" t="str">
        <f t="shared" si="7"/>
        <v>June 2024</v>
      </c>
      <c r="Y182" s="52" cm="1">
        <f t="array" aca="1" ref="Y182" ca="1">MMS_PastureBeef_Methane_Equations.VEERG_4_2_1_1__2_MethaneProductionFromManure(X136,$I$155,$E$165,$X$171,$I$158)</f>
        <v>8.2649649833119491E-4</v>
      </c>
      <c r="Z182" s="52" cm="1">
        <f t="array" aca="1" ref="Z182" ca="1">MMS_PastureBeef_Methane_Equations.VEERG_4_2_1_1__2_MethaneProductionFromManure(Y136,$I$155,$E$165,$X$171,$I$158)</f>
        <v>1.6061464433302867E-3</v>
      </c>
      <c r="AA182" s="52" cm="1">
        <f t="array" aca="1" ref="AA182" ca="1">MMS_PastureBeef_Methane_Equations.VEERG_4_2_1_1__2_MethaneProductionFromManure(Z136,$I$155,$E$165,$X$171,$I$158)</f>
        <v>6.7671731165028866E-4</v>
      </c>
      <c r="AB182" s="52" cm="1">
        <f t="array" aca="1" ref="AB182" ca="1">MMS_PastureBeef_Methane_Equations.VEERG_4_2_1_1__2_MethaneProductionFromManure(AA136,$I$155,$E$165,$X$171,$I$158)</f>
        <v>9.5449324395505564E-4</v>
      </c>
      <c r="AC182" s="52" cm="1">
        <f t="array" aca="1" ref="AC182" ca="1">MMS_PastureBeef_Methane_Equations.VEERG_4_2_1_1__2_MethaneProductionFromManure(AB136,$I$155,$E$165,$X$171,$I$158)</f>
        <v>1.2804821131099714E-3</v>
      </c>
      <c r="AD182" s="52" cm="1">
        <f t="array" aca="1" ref="AD182" ca="1">MMS_PastureBeef_Methane_Equations.VEERG_4_2_1_1__2_MethaneProductionFromManure(AC136,$I$155,$E$165,$X$171,$I$158)</f>
        <v>1.2804821131099714E-3</v>
      </c>
      <c r="AE182" s="52" cm="1">
        <f t="array" aca="1" ref="AE182" ca="1">MMS_PastureBeef_Methane_Equations.VEERG_4_2_1_1__2_MethaneProductionFromManure(AD136,$I$155,$E$165,$X$171,$I$158)</f>
        <v>7.2656299991787044E-4</v>
      </c>
      <c r="AF182" s="52" cm="1">
        <f t="array" aca="1" ref="AF182" ca="1">MMS_PastureBeef_Methane_Equations.VEERG_4_2_1_1__2_MethaneProductionFromManure(AE136,$I$155,$E$165,$X$171,$I$158)</f>
        <v>1.1061796823535802E-3</v>
      </c>
      <c r="AG182" s="52" cm="1">
        <f t="array" aca="1" ref="AG182" ca="1">MMS_PastureBeef_Methane_Equations.VEERG_4_2_1_1__2_MethaneProductionFromManure(AF136,$I$155,$E$165,$X$171,$I$158)</f>
        <v>1.1061796823535802E-3</v>
      </c>
      <c r="AH182" s="52" cm="1">
        <f t="array" aca="1" ref="AH182" ca="1">MMS_PastureBeef_Methane_Equations.VEERG_4_2_1_1__2_MethaneProductionFromManure(AG136,$I$155,$E$165,$X$171,$I$158)</f>
        <v>1.1061796823535802E-3</v>
      </c>
      <c r="AI182" s="2" t="str">
        <f t="shared" si="8"/>
        <v>kg CH4/head/day</v>
      </c>
      <c r="AJ182" s="2"/>
    </row>
    <row r="183" spans="4:36" ht="20.100000000000001" customHeight="1" x14ac:dyDescent="0.25">
      <c r="D183" s="52" t="str">
        <f>'Input - Pasture Beef'!$D$180</f>
        <v>Anaerobic lagoon</v>
      </c>
      <c r="E183" s="52" t="s">
        <v>175</v>
      </c>
      <c r="F183" s="52" cm="1">
        <f t="array" aca="1" ref="F183" ca="1">MMS_PastureBeef_Methane_Equations.VEERG_4_2_1_1__2_MethaneProductionFromManure(E133,$I$155,$E$166,$E$172,$I$158)</f>
        <v>5.9735979980543661E-4</v>
      </c>
      <c r="G183" s="52" cm="1">
        <f t="array" aca="1" ref="G183" ca="1">MMS_PastureBeef_Methane_Equations.VEERG_4_2_1_1__2_MethaneProductionFromManure(F133,$I$155,$E$166,$E$172,$I$158)</f>
        <v>1.7337714743438364E-3</v>
      </c>
      <c r="H183" s="52" cm="1">
        <f t="array" aca="1" ref="H183" ca="1">MMS_PastureBeef_Methane_Equations.VEERG_4_2_1_1__2_MethaneProductionFromManure(G133,$I$155,$E$166,$E$172,$I$158)</f>
        <v>5.4458548739000758E-4</v>
      </c>
      <c r="I183" s="52" cm="1">
        <f t="array" aca="1" ref="I183" ca="1">MMS_PastureBeef_Methane_Equations.VEERG_4_2_1_1__2_MethaneProductionFromManure(H133,$I$155,$E$166,$E$172,$I$158)</f>
        <v>1.1069640937225215E-3</v>
      </c>
      <c r="J183" s="52" cm="1">
        <f t="array" aca="1" ref="J183" ca="1">MMS_PastureBeef_Methane_Equations.VEERG_4_2_1_1__2_MethaneProductionFromManure(I133,$I$155,$E$166,$E$172,$I$158)</f>
        <v>1.2358514003710424E-3</v>
      </c>
      <c r="K183" s="52" cm="1">
        <f t="array" aca="1" ref="K183" ca="1">MMS_PastureBeef_Methane_Equations.VEERG_4_2_1_1__2_MethaneProductionFromManure(J133,$I$155,$E$166,$E$172,$I$158)</f>
        <v>1.2358514003710424E-3</v>
      </c>
      <c r="L183" s="52" cm="1">
        <f t="array" aca="1" ref="L183" ca="1">MMS_PastureBeef_Methane_Equations.VEERG_4_2_1_1__2_MethaneProductionFromManure(K133,$I$155,$E$166,$E$172,$I$158)</f>
        <v>5.9735979980543661E-4</v>
      </c>
      <c r="M183" s="52" cm="1">
        <f t="array" aca="1" ref="M183" ca="1">MMS_PastureBeef_Methane_Equations.VEERG_4_2_1_1__2_MethaneProductionFromManure(L133,$I$155,$E$166,$E$172,$I$158)</f>
        <v>1.0845213193194834E-3</v>
      </c>
      <c r="N183" s="52" cm="1">
        <f t="array" aca="1" ref="N183" ca="1">MMS_PastureBeef_Methane_Equations.VEERG_4_2_1_1__2_MethaneProductionFromManure(M133,$I$155,$E$166,$E$172,$I$158)</f>
        <v>1.0845213193194834E-3</v>
      </c>
      <c r="O183" s="52" cm="1">
        <f t="array" aca="1" ref="O183" ca="1">MMS_PastureBeef_Methane_Equations.VEERG_4_2_1_1__2_MethaneProductionFromManure(N133,$I$155,$E$166,$E$172,$I$158)</f>
        <v>1.0845213193194834E-3</v>
      </c>
      <c r="P183" s="2" t="str">
        <f t="shared" si="6"/>
        <v>kg CH4/head/day</v>
      </c>
      <c r="Q183" s="2"/>
      <c r="R183" s="2"/>
      <c r="S183" s="2"/>
      <c r="W183" s="52" t="str">
        <f>'Input - Pasture Beef'!$D$179</f>
        <v>Pasture range and paddock</v>
      </c>
      <c r="X183" s="52" t="str">
        <f t="shared" si="7"/>
        <v>July 2024</v>
      </c>
      <c r="Y183" s="52" cm="1">
        <f t="array" aca="1" ref="Y183" ca="1">MMS_PastureBeef_Methane_Equations.VEERG_4_2_1_1__2_MethaneProductionFromManure(X137,$I$155,$E$165,$X$171,$I$158)</f>
        <v>8.2649649833119491E-4</v>
      </c>
      <c r="Z183" s="52" cm="1">
        <f t="array" aca="1" ref="Z183" ca="1">MMS_PastureBeef_Methane_Equations.VEERG_4_2_1_1__2_MethaneProductionFromManure(Y137,$I$155,$E$165,$X$171,$I$158)</f>
        <v>1.6061464433302867E-3</v>
      </c>
      <c r="AA183" s="52" cm="1">
        <f t="array" aca="1" ref="AA183" ca="1">MMS_PastureBeef_Methane_Equations.VEERG_4_2_1_1__2_MethaneProductionFromManure(Z137,$I$155,$E$165,$X$171,$I$158)</f>
        <v>6.7671731165028866E-4</v>
      </c>
      <c r="AB183" s="52" cm="1">
        <f t="array" aca="1" ref="AB183" ca="1">MMS_PastureBeef_Methane_Equations.VEERG_4_2_1_1__2_MethaneProductionFromManure(AA137,$I$155,$E$165,$X$171,$I$158)</f>
        <v>9.5449324395505564E-4</v>
      </c>
      <c r="AC183" s="52" cm="1">
        <f t="array" aca="1" ref="AC183" ca="1">MMS_PastureBeef_Methane_Equations.VEERG_4_2_1_1__2_MethaneProductionFromManure(AB137,$I$155,$E$165,$X$171,$I$158)</f>
        <v>1.2804821131099714E-3</v>
      </c>
      <c r="AD183" s="52" cm="1">
        <f t="array" aca="1" ref="AD183" ca="1">MMS_PastureBeef_Methane_Equations.VEERG_4_2_1_1__2_MethaneProductionFromManure(AC137,$I$155,$E$165,$X$171,$I$158)</f>
        <v>1.2804821131099714E-3</v>
      </c>
      <c r="AE183" s="52" cm="1">
        <f t="array" aca="1" ref="AE183" ca="1">MMS_PastureBeef_Methane_Equations.VEERG_4_2_1_1__2_MethaneProductionFromManure(AD137,$I$155,$E$165,$X$171,$I$158)</f>
        <v>7.2656299991787044E-4</v>
      </c>
      <c r="AF183" s="52" cm="1">
        <f t="array" aca="1" ref="AF183" ca="1">MMS_PastureBeef_Methane_Equations.VEERG_4_2_1_1__2_MethaneProductionFromManure(AE137,$I$155,$E$165,$X$171,$I$158)</f>
        <v>1.1061796823535802E-3</v>
      </c>
      <c r="AG183" s="52" cm="1">
        <f t="array" aca="1" ref="AG183" ca="1">MMS_PastureBeef_Methane_Equations.VEERG_4_2_1_1__2_MethaneProductionFromManure(AF137,$I$155,$E$165,$X$171,$I$158)</f>
        <v>1.1061796823535802E-3</v>
      </c>
      <c r="AH183" s="52" cm="1">
        <f t="array" aca="1" ref="AH183" ca="1">MMS_PastureBeef_Methane_Equations.VEERG_4_2_1_1__2_MethaneProductionFromManure(AG137,$I$155,$E$165,$X$171,$I$158)</f>
        <v>1.1061796823535802E-3</v>
      </c>
      <c r="AI183" s="2" t="str">
        <f t="shared" si="8"/>
        <v>kg CH4/head/day</v>
      </c>
      <c r="AJ183" s="2"/>
    </row>
    <row r="184" spans="4:36" ht="20.100000000000001" customHeight="1" x14ac:dyDescent="0.25">
      <c r="D184" s="52" t="str">
        <f>'Input - Pasture Beef'!$D$180</f>
        <v>Anaerobic lagoon</v>
      </c>
      <c r="E184" s="52" t="s">
        <v>176</v>
      </c>
      <c r="F184" s="52" cm="1">
        <f t="array" aca="1" ref="F184" ca="1">MMS_PastureBeef_Methane_Equations.VEERG_4_2_1_1__2_MethaneProductionFromManure(E134,$I$155,$E$166,$E$172,$I$158)</f>
        <v>5.0709963244166274E-4</v>
      </c>
      <c r="G184" s="52" cm="1">
        <f t="array" aca="1" ref="G184" ca="1">MMS_PastureBeef_Methane_Equations.VEERG_4_2_1_1__2_MethaneProductionFromManure(F134,$I$155,$E$166,$E$172,$I$158)</f>
        <v>9.854564087141411E-4</v>
      </c>
      <c r="H184" s="52" cm="1">
        <f t="array" aca="1" ref="H184" ca="1">MMS_PastureBeef_Methane_Equations.VEERG_4_2_1_1__2_MethaneProductionFromManure(G134,$I$155,$E$166,$E$172,$I$158)</f>
        <v>4.1520212208722356E-4</v>
      </c>
      <c r="I184" s="52" cm="1">
        <f t="array" aca="1" ref="I184" ca="1">MMS_PastureBeef_Methane_Equations.VEERG_4_2_1_1__2_MethaneProductionFromManure(H134,$I$155,$E$166,$E$172,$I$158)</f>
        <v>7.0861527027338679E-4</v>
      </c>
      <c r="J184" s="52" cm="1">
        <f t="array" aca="1" ref="J184" ca="1">MMS_PastureBeef_Methane_Equations.VEERG_4_2_1_1__2_MethaneProductionFromManure(I134,$I$155,$E$166,$E$172,$I$158)</f>
        <v>9.0349059161154151E-4</v>
      </c>
      <c r="K184" s="52" cm="1">
        <f t="array" aca="1" ref="K184" ca="1">MMS_PastureBeef_Methane_Equations.VEERG_4_2_1_1__2_MethaneProductionFromManure(J134,$I$155,$E$166,$E$172,$I$158)</f>
        <v>9.0349059161154151E-4</v>
      </c>
      <c r="L184" s="52" cm="1">
        <f t="array" aca="1" ref="L184" ca="1">MMS_PastureBeef_Methane_Equations.VEERG_4_2_1_1__2_MethaneProductionFromManure(K134,$I$155,$E$166,$E$172,$I$158)</f>
        <v>4.457851073150249E-4</v>
      </c>
      <c r="M184" s="52" cm="1">
        <f t="array" aca="1" ref="M184" ca="1">MMS_PastureBeef_Methane_Equations.VEERG_4_2_1_1__2_MethaneProductionFromManure(L134,$I$155,$E$166,$E$172,$I$158)</f>
        <v>6.787001656613841E-4</v>
      </c>
      <c r="N184" s="52" cm="1">
        <f t="array" aca="1" ref="N184" ca="1">MMS_PastureBeef_Methane_Equations.VEERG_4_2_1_1__2_MethaneProductionFromManure(M134,$I$155,$E$166,$E$172,$I$158)</f>
        <v>6.787001656613841E-4</v>
      </c>
      <c r="O184" s="52" cm="1">
        <f t="array" aca="1" ref="O184" ca="1">MMS_PastureBeef_Methane_Equations.VEERG_4_2_1_1__2_MethaneProductionFromManure(N134,$I$155,$E$166,$E$172,$I$158)</f>
        <v>6.787001656613841E-4</v>
      </c>
      <c r="P184" s="2" t="str">
        <f t="shared" si="6"/>
        <v>kg CH4/head/day</v>
      </c>
      <c r="Q184" s="2"/>
      <c r="R184" s="2"/>
      <c r="S184" s="2"/>
      <c r="W184" s="52" t="str">
        <f>'Input - Pasture Beef'!$D$179</f>
        <v>Pasture range and paddock</v>
      </c>
      <c r="X184" s="52" t="str">
        <f t="shared" si="7"/>
        <v>August 2024</v>
      </c>
      <c r="Y184" s="52" cm="1">
        <f t="array" aca="1" ref="Y184" ca="1">MMS_PastureBeef_Methane_Equations.VEERG_4_2_1_1__2_MethaneProductionFromManure(X138,$I$155,$E$165,$X$171,$I$158)</f>
        <v>8.2649649833119491E-4</v>
      </c>
      <c r="Z184" s="52" cm="1">
        <f t="array" aca="1" ref="Z184" ca="1">MMS_PastureBeef_Methane_Equations.VEERG_4_2_1_1__2_MethaneProductionFromManure(Y138,$I$155,$E$165,$X$171,$I$158)</f>
        <v>1.6061464433302867E-3</v>
      </c>
      <c r="AA184" s="52" cm="1">
        <f t="array" aca="1" ref="AA184" ca="1">MMS_PastureBeef_Methane_Equations.VEERG_4_2_1_1__2_MethaneProductionFromManure(Z138,$I$155,$E$165,$X$171,$I$158)</f>
        <v>6.7671731165028866E-4</v>
      </c>
      <c r="AB184" s="52" cm="1">
        <f t="array" aca="1" ref="AB184" ca="1">MMS_PastureBeef_Methane_Equations.VEERG_4_2_1_1__2_MethaneProductionFromManure(AA138,$I$155,$E$165,$X$171,$I$158)</f>
        <v>1.169254223844943E-3</v>
      </c>
      <c r="AC184" s="52" cm="1">
        <f t="array" aca="1" ref="AC184" ca="1">MMS_PastureBeef_Methane_Equations.VEERG_4_2_1_1__2_MethaneProductionFromManure(AB138,$I$155,$E$165,$X$171,$I$158)</f>
        <v>1.568590588559715E-3</v>
      </c>
      <c r="AD184" s="52" cm="1">
        <f t="array" aca="1" ref="AD184" ca="1">MMS_PastureBeef_Methane_Equations.VEERG_4_2_1_1__2_MethaneProductionFromManure(AC138,$I$155,$E$165,$X$171,$I$158)</f>
        <v>1.568590588559715E-3</v>
      </c>
      <c r="AE184" s="52" cm="1">
        <f t="array" aca="1" ref="AE184" ca="1">MMS_PastureBeef_Methane_Equations.VEERG_4_2_1_1__2_MethaneProductionFromManure(AD138,$I$155,$E$165,$X$171,$I$158)</f>
        <v>7.2656299991787044E-4</v>
      </c>
      <c r="AF184" s="52" cm="1">
        <f t="array" aca="1" ref="AF184" ca="1">MMS_PastureBeef_Methane_Equations.VEERG_4_2_1_1__2_MethaneProductionFromManure(AE138,$I$155,$E$165,$X$171,$I$158)</f>
        <v>1.1061796823535802E-3</v>
      </c>
      <c r="AG184" s="52" cm="1">
        <f t="array" aca="1" ref="AG184" ca="1">MMS_PastureBeef_Methane_Equations.VEERG_4_2_1_1__2_MethaneProductionFromManure(AF138,$I$155,$E$165,$X$171,$I$158)</f>
        <v>1.1061796823535802E-3</v>
      </c>
      <c r="AH184" s="52" cm="1">
        <f t="array" aca="1" ref="AH184" ca="1">MMS_PastureBeef_Methane_Equations.VEERG_4_2_1_1__2_MethaneProductionFromManure(AG138,$I$155,$E$165,$X$171,$I$158)</f>
        <v>1.1061796823535802E-3</v>
      </c>
      <c r="AI184" s="2" t="str">
        <f t="shared" si="8"/>
        <v>kg CH4/head/day</v>
      </c>
      <c r="AJ184" s="2"/>
    </row>
    <row r="185" spans="4:36" ht="20.100000000000001" customHeight="1" x14ac:dyDescent="0.25">
      <c r="W185" s="52" t="str">
        <f>'Input - Pasture Beef'!$D$179</f>
        <v>Pasture range and paddock</v>
      </c>
      <c r="X185" s="52" t="str">
        <f t="shared" si="7"/>
        <v>September 2024</v>
      </c>
      <c r="Y185" s="52" cm="1">
        <f t="array" aca="1" ref="Y185" ca="1">MMS_PastureBeef_Methane_Equations.VEERG_4_2_1_1__2_MethaneProductionFromManure(X139,$I$155,$E$165,$X$171,$I$158)</f>
        <v>1.1554629863615776E-3</v>
      </c>
      <c r="Z185" s="52" cm="1">
        <f t="array" aca="1" ref="Z185" ca="1">MMS_PastureBeef_Methane_Equations.VEERG_4_2_1_1__2_MethaneProductionFromManure(Y139,$I$155,$E$165,$X$171,$I$158)</f>
        <v>1.6319378649193843E-3</v>
      </c>
      <c r="AA185" s="52" cm="1">
        <f t="array" aca="1" ref="AA185" ca="1">MMS_PastureBeef_Methane_Equations.VEERG_4_2_1_1__2_MethaneProductionFromManure(Z139,$I$155,$E$165,$X$171,$I$158)</f>
        <v>8.8069357361036688E-4</v>
      </c>
      <c r="AB185" s="52" cm="1">
        <f t="array" aca="1" ref="AB185" ca="1">MMS_PastureBeef_Methane_Equations.VEERG_4_2_1_1__2_MethaneProductionFromManure(AA139,$I$155,$E$165,$X$171,$I$158)</f>
        <v>1.4157978870077558E-3</v>
      </c>
      <c r="AC185" s="52" cm="1">
        <f t="array" aca="1" ref="AC185" ca="1">MMS_PastureBeef_Methane_Equations.VEERG_4_2_1_1__2_MethaneProductionFromManure(AB139,$I$155,$E$165,$X$171,$I$158)</f>
        <v>1.5721834629166926E-3</v>
      </c>
      <c r="AD185" s="52" cm="1">
        <f t="array" aca="1" ref="AD185" ca="1">MMS_PastureBeef_Methane_Equations.VEERG_4_2_1_1__2_MethaneProductionFromManure(AC139,$I$155,$E$165,$X$171,$I$158)</f>
        <v>1.5721834629166926E-3</v>
      </c>
      <c r="AE185" s="52" cm="1">
        <f t="array" aca="1" ref="AE185" ca="1">MMS_PastureBeef_Methane_Equations.VEERG_4_2_1_1__2_MethaneProductionFromManure(AD139,$I$155,$E$165,$X$171,$I$158)</f>
        <v>1.0153229299765547E-3</v>
      </c>
      <c r="AF185" s="52" cm="1">
        <f t="array" aca="1" ref="AF185" ca="1">MMS_PastureBeef_Methane_Equations.VEERG_4_2_1_1__2_MethaneProductionFromManure(AE139,$I$155,$E$165,$X$171,$I$158)</f>
        <v>1.2902560309095339E-3</v>
      </c>
      <c r="AG185" s="52" cm="1">
        <f t="array" aca="1" ref="AG185" ca="1">MMS_PastureBeef_Methane_Equations.VEERG_4_2_1_1__2_MethaneProductionFromManure(AF139,$I$155,$E$165,$X$171,$I$158)</f>
        <v>1.2902560309095339E-3</v>
      </c>
      <c r="AH185" s="52" cm="1">
        <f t="array" aca="1" ref="AH185" ca="1">MMS_PastureBeef_Methane_Equations.VEERG_4_2_1_1__2_MethaneProductionFromManure(AG139,$I$155,$E$165,$X$171,$I$158)</f>
        <v>1.2902560309095339E-3</v>
      </c>
      <c r="AI185" s="2" t="str">
        <f t="shared" si="8"/>
        <v>kg CH4/head/day</v>
      </c>
      <c r="AJ185" s="2"/>
    </row>
    <row r="186" spans="4:36" ht="20.100000000000001" customHeight="1" x14ac:dyDescent="0.25">
      <c r="W186" s="52" t="str">
        <f>'Input - Pasture Beef'!$D$179</f>
        <v>Pasture range and paddock</v>
      </c>
      <c r="X186" s="52" t="str">
        <f t="shared" si="7"/>
        <v>October 2024</v>
      </c>
      <c r="Y186" s="52" cm="1">
        <f t="array" aca="1" ref="Y186" ca="1">MMS_PastureBeef_Methane_Equations.VEERG_4_2_1_1__2_MethaneProductionFromManure(X140,$I$155,$E$165,$X$171,$I$158)</f>
        <v>1.1554629863615776E-3</v>
      </c>
      <c r="Z186" s="52" cm="1">
        <f t="array" aca="1" ref="Z186" ca="1">MMS_PastureBeef_Methane_Equations.VEERG_4_2_1_1__2_MethaneProductionFromManure(Y140,$I$155,$E$165,$X$171,$I$158)</f>
        <v>1.6319378649193843E-3</v>
      </c>
      <c r="AA186" s="52" cm="1">
        <f t="array" aca="1" ref="AA186" ca="1">MMS_PastureBeef_Methane_Equations.VEERG_4_2_1_1__2_MethaneProductionFromManure(Z140,$I$155,$E$165,$X$171,$I$158)</f>
        <v>8.8069357361036688E-4</v>
      </c>
      <c r="AB186" s="52" cm="1">
        <f t="array" aca="1" ref="AB186" ca="1">MMS_PastureBeef_Methane_Equations.VEERG_4_2_1_1__2_MethaneProductionFromManure(AA140,$I$155,$E$165,$X$171,$I$158)</f>
        <v>1.4157978870077558E-3</v>
      </c>
      <c r="AC186" s="52" cm="1">
        <f t="array" aca="1" ref="AC186" ca="1">MMS_PastureBeef_Methane_Equations.VEERG_4_2_1_1__2_MethaneProductionFromManure(AB140,$I$155,$E$165,$X$171,$I$158)</f>
        <v>1.5721834629166926E-3</v>
      </c>
      <c r="AD186" s="52" cm="1">
        <f t="array" aca="1" ref="AD186" ca="1">MMS_PastureBeef_Methane_Equations.VEERG_4_2_1_1__2_MethaneProductionFromManure(AC140,$I$155,$E$165,$X$171,$I$158)</f>
        <v>1.5721834629166926E-3</v>
      </c>
      <c r="AE186" s="52" cm="1">
        <f t="array" aca="1" ref="AE186" ca="1">MMS_PastureBeef_Methane_Equations.VEERG_4_2_1_1__2_MethaneProductionFromManure(AD140,$I$155,$E$165,$X$171,$I$158)</f>
        <v>1.0153229299765547E-3</v>
      </c>
      <c r="AF186" s="52" cm="1">
        <f t="array" aca="1" ref="AF186" ca="1">MMS_PastureBeef_Methane_Equations.VEERG_4_2_1_1__2_MethaneProductionFromManure(AE140,$I$155,$E$165,$X$171,$I$158)</f>
        <v>1.2902560309095339E-3</v>
      </c>
      <c r="AG186" s="52" cm="1">
        <f t="array" aca="1" ref="AG186" ca="1">MMS_PastureBeef_Methane_Equations.VEERG_4_2_1_1__2_MethaneProductionFromManure(AF140,$I$155,$E$165,$X$171,$I$158)</f>
        <v>1.2902560309095339E-3</v>
      </c>
      <c r="AH186" s="52" cm="1">
        <f t="array" aca="1" ref="AH186" ca="1">MMS_PastureBeef_Methane_Equations.VEERG_4_2_1_1__2_MethaneProductionFromManure(AG140,$I$155,$E$165,$X$171,$I$158)</f>
        <v>1.2902560309095339E-3</v>
      </c>
      <c r="AI186" s="2" t="str">
        <f t="shared" si="8"/>
        <v>kg CH4/head/day</v>
      </c>
      <c r="AJ186" s="2"/>
    </row>
    <row r="187" spans="4:36" ht="20.100000000000001" customHeight="1" x14ac:dyDescent="0.25">
      <c r="W187" s="52" t="str">
        <f>'Input - Pasture Beef'!$D$179</f>
        <v>Pasture range and paddock</v>
      </c>
      <c r="X187" s="52" t="str">
        <f t="shared" si="7"/>
        <v>November 2024</v>
      </c>
      <c r="Y187" s="52" cm="1">
        <f t="array" aca="1" ref="Y187" ca="1">MMS_PastureBeef_Methane_Equations.VEERG_4_2_1_1__2_MethaneProductionFromManure(X141,$I$155,$E$165,$X$171,$I$158)</f>
        <v>1.1554629863615776E-3</v>
      </c>
      <c r="Z187" s="52" cm="1">
        <f t="array" aca="1" ref="Z187" ca="1">MMS_PastureBeef_Methane_Equations.VEERG_4_2_1_1__2_MethaneProductionFromManure(Y141,$I$155,$E$165,$X$171,$I$158)</f>
        <v>1.6319378649193843E-3</v>
      </c>
      <c r="AA187" s="52" cm="1">
        <f t="array" aca="1" ref="AA187" ca="1">MMS_PastureBeef_Methane_Equations.VEERG_4_2_1_1__2_MethaneProductionFromManure(Z141,$I$155,$E$165,$X$171,$I$158)</f>
        <v>8.8069357361036688E-4</v>
      </c>
      <c r="AB187" s="52" cm="1">
        <f t="array" aca="1" ref="AB187" ca="1">MMS_PastureBeef_Methane_Equations.VEERG_4_2_1_1__2_MethaneProductionFromManure(AA141,$I$155,$E$165,$X$171,$I$158)</f>
        <v>1.2424348804353775E-3</v>
      </c>
      <c r="AC187" s="52" cm="1">
        <f t="array" aca="1" ref="AC187" ca="1">MMS_PastureBeef_Methane_Equations.VEERG_4_2_1_1__2_MethaneProductionFromManure(AB141,$I$155,$E$165,$X$171,$I$158)</f>
        <v>1.3796712021513829E-3</v>
      </c>
      <c r="AD187" s="52" cm="1">
        <f t="array" aca="1" ref="AD187" ca="1">MMS_PastureBeef_Methane_Equations.VEERG_4_2_1_1__2_MethaneProductionFromManure(AC141,$I$155,$E$165,$X$171,$I$158)</f>
        <v>1.3796712021513829E-3</v>
      </c>
      <c r="AE187" s="52" cm="1">
        <f t="array" aca="1" ref="AE187" ca="1">MMS_PastureBeef_Methane_Equations.VEERG_4_2_1_1__2_MethaneProductionFromManure(AD141,$I$155,$E$165,$X$171,$I$158)</f>
        <v>1.0153229299765547E-3</v>
      </c>
      <c r="AF187" s="52" cm="1">
        <f t="array" aca="1" ref="AF187" ca="1">MMS_PastureBeef_Methane_Equations.VEERG_4_2_1_1__2_MethaneProductionFromManure(AE141,$I$155,$E$165,$X$171,$I$158)</f>
        <v>1.2902560309095339E-3</v>
      </c>
      <c r="AG187" s="52" cm="1">
        <f t="array" aca="1" ref="AG187" ca="1">MMS_PastureBeef_Methane_Equations.VEERG_4_2_1_1__2_MethaneProductionFromManure(AF141,$I$155,$E$165,$X$171,$I$158)</f>
        <v>1.2902560309095339E-3</v>
      </c>
      <c r="AH187" s="52" cm="1">
        <f t="array" aca="1" ref="AH187" ca="1">MMS_PastureBeef_Methane_Equations.VEERG_4_2_1_1__2_MethaneProductionFromManure(AG141,$I$155,$E$165,$X$171,$I$158)</f>
        <v>1.2902560309095339E-3</v>
      </c>
      <c r="AI187" s="2" t="str">
        <f t="shared" si="8"/>
        <v>kg CH4/head/day</v>
      </c>
      <c r="AJ187" s="2"/>
    </row>
    <row r="188" spans="4:36" ht="20.100000000000001" customHeight="1" x14ac:dyDescent="0.25">
      <c r="W188" s="52" t="str">
        <f>'Input - Pasture Beef'!$D$179</f>
        <v>Pasture range and paddock</v>
      </c>
      <c r="X188" s="52" t="str">
        <f t="shared" si="7"/>
        <v>December 2024</v>
      </c>
      <c r="Y188" s="52" cm="1">
        <f t="array" aca="1" ref="Y188" ca="1">MMS_PastureBeef_Methane_Equations.VEERG_4_2_1_1__2_MethaneProductionFromManure(X142,$I$155,$E$165,$X$171,$I$158)</f>
        <v>1.8253792307944732E-3</v>
      </c>
      <c r="Z188" s="52" cm="1">
        <f t="array" aca="1" ref="Z188" ca="1">MMS_PastureBeef_Methane_Equations.VEERG_4_2_1_1__2_MethaneProductionFromManure(Y142,$I$155,$E$165,$X$171,$I$158)</f>
        <v>2.4151571880932964E-3</v>
      </c>
      <c r="AA188" s="52" cm="1">
        <f t="array" aca="1" ref="AA188" ca="1">MMS_PastureBeef_Methane_Equations.VEERG_4_2_1_1__2_MethaneProductionFromManure(Z142,$I$155,$E$165,$X$171,$I$158)</f>
        <v>1.5351027116938406E-3</v>
      </c>
      <c r="AB188" s="52" cm="1">
        <f t="array" aca="1" ref="AB188" ca="1">MMS_PastureBeef_Methane_Equations.VEERG_4_2_1_1__2_MethaneProductionFromManure(AA142,$I$155,$E$165,$X$171,$I$158)</f>
        <v>2.1609849564283527E-3</v>
      </c>
      <c r="AC188" s="52" cm="1">
        <f t="array" aca="1" ref="AC188" ca="1">MMS_PastureBeef_Methane_Equations.VEERG_4_2_1_1__2_MethaneProductionFromManure(AB142,$I$155,$E$165,$X$171,$I$158)</f>
        <v>2.139639521596127E-3</v>
      </c>
      <c r="AD188" s="52" cm="1">
        <f t="array" aca="1" ref="AD188" ca="1">MMS_PastureBeef_Methane_Equations.VEERG_4_2_1_1__2_MethaneProductionFromManure(AC142,$I$155,$E$165,$X$171,$I$158)</f>
        <v>2.139639521596127E-3</v>
      </c>
      <c r="AE188" s="52" cm="1">
        <f t="array" aca="1" ref="AE188" ca="1">MMS_PastureBeef_Methane_Equations.VEERG_4_2_1_1__2_MethaneProductionFromManure(AD142,$I$155,$E$165,$X$171,$I$158)</f>
        <v>1.6825505854844633E-3</v>
      </c>
      <c r="AF188" s="52" cm="1">
        <f t="array" aca="1" ref="AF188" ca="1">MMS_PastureBeef_Methane_Equations.VEERG_4_2_1_1__2_MethaneProductionFromManure(AE142,$I$155,$E$165,$X$171,$I$158)</f>
        <v>1.8754949354493101E-3</v>
      </c>
      <c r="AG188" s="52" cm="1">
        <f t="array" aca="1" ref="AG188" ca="1">MMS_PastureBeef_Methane_Equations.VEERG_4_2_1_1__2_MethaneProductionFromManure(AF142,$I$155,$E$165,$X$171,$I$158)</f>
        <v>1.8754949354493101E-3</v>
      </c>
      <c r="AH188" s="52" cm="1">
        <f t="array" aca="1" ref="AH188" ca="1">MMS_PastureBeef_Methane_Equations.VEERG_4_2_1_1__2_MethaneProductionFromManure(AG142,$I$155,$E$165,$X$171,$I$158)</f>
        <v>1.8754949354493101E-3</v>
      </c>
      <c r="AI188" s="2" t="str">
        <f t="shared" si="8"/>
        <v>kg CH4/head/day</v>
      </c>
      <c r="AJ188" s="2"/>
    </row>
    <row r="189" spans="4:36" ht="20.100000000000001" customHeight="1" x14ac:dyDescent="0.25">
      <c r="W189" s="52" t="str">
        <f>'Input - Pasture Beef'!$D$180</f>
        <v>Anaerobic lagoon</v>
      </c>
      <c r="X189" s="52" t="str">
        <f>W131</f>
        <v>January 2024</v>
      </c>
      <c r="Y189" s="52" cm="1">
        <f t="array" aca="1" ref="Y189" ca="1">MMS_PastureBeef_Methane_Equations.VEERG_4_2_1_1__2_MethaneProductionFromManure(X131,$I$155,$E$166,$X$172,$I$158)</f>
        <v>1.1347038164154961E-3</v>
      </c>
      <c r="Z189" s="52" cm="1">
        <f t="array" aca="1" ref="Z189" ca="1">MMS_PastureBeef_Methane_Equations.VEERG_4_2_1_1__2_MethaneProductionFromManure(Y131,$I$155,$E$166,$X$172,$I$158)</f>
        <v>1.5013253313833415E-3</v>
      </c>
      <c r="AA189" s="52" cm="1">
        <f t="array" aca="1" ref="AA189" ca="1">MMS_PastureBeef_Methane_Equations.VEERG_4_2_1_1__2_MethaneProductionFromManure(Z131,$I$155,$E$166,$X$172,$I$158)</f>
        <v>9.5426028529460333E-4</v>
      </c>
      <c r="AB189" s="52" cm="1">
        <f t="array" aca="1" ref="AB189" ca="1">MMS_PastureBeef_Methane_Equations.VEERG_4_2_1_1__2_MethaneProductionFromManure(AA131,$I$155,$E$166,$X$172,$I$158)</f>
        <v>1.3433251764393584E-3</v>
      </c>
      <c r="AC189" s="52" cm="1">
        <f t="array" aca="1" ref="AC189" ca="1">MMS_PastureBeef_Methane_Equations.VEERG_4_2_1_1__2_MethaneProductionFromManure(AB131,$I$155,$E$166,$X$172,$I$158)</f>
        <v>1.3300562918379748E-3</v>
      </c>
      <c r="AD189" s="52" cm="1">
        <f t="array" aca="1" ref="AD189" ca="1">MMS_PastureBeef_Methane_Equations.VEERG_4_2_1_1__2_MethaneProductionFromManure(AC131,$I$155,$E$166,$X$172,$I$158)</f>
        <v>1.3300562918379748E-3</v>
      </c>
      <c r="AE189" s="52" cm="1">
        <f t="array" aca="1" ref="AE189" ca="1">MMS_PastureBeef_Methane_Equations.VEERG_4_2_1_1__2_MethaneProductionFromManure(AD131,$I$155,$E$166,$X$172,$I$158)</f>
        <v>1.0459177679097368E-3</v>
      </c>
      <c r="AF189" s="52" cm="1">
        <f t="array" aca="1" ref="AF189" ca="1">MMS_PastureBeef_Methane_Equations.VEERG_4_2_1_1__2_MethaneProductionFromManure(AE131,$I$155,$E$166,$X$172,$I$158)</f>
        <v>1.1658570586431096E-3</v>
      </c>
      <c r="AG189" s="52" cm="1">
        <f t="array" aca="1" ref="AG189" ca="1">MMS_PastureBeef_Methane_Equations.VEERG_4_2_1_1__2_MethaneProductionFromManure(AF131,$I$155,$E$166,$X$172,$I$158)</f>
        <v>1.1658570586431096E-3</v>
      </c>
      <c r="AH189" s="52" cm="1">
        <f t="array" aca="1" ref="AH189" ca="1">MMS_PastureBeef_Methane_Equations.VEERG_4_2_1_1__2_MethaneProductionFromManure(AG131,$I$155,$E$166,$X$172,$I$158)</f>
        <v>1.1658570586431096E-3</v>
      </c>
      <c r="AI189" s="2" t="str">
        <f t="shared" si="8"/>
        <v>kg CH4/head/day</v>
      </c>
      <c r="AJ189" s="2"/>
    </row>
    <row r="190" spans="4:36" ht="20.100000000000001" customHeight="1" x14ac:dyDescent="0.25">
      <c r="W190" s="52" t="str">
        <f>'Input - Pasture Beef'!$D$180</f>
        <v>Anaerobic lagoon</v>
      </c>
      <c r="X190" s="52" t="str">
        <f t="shared" ref="X190:X200" si="9">W132</f>
        <v>February 2024</v>
      </c>
      <c r="Y190" s="52" cm="1">
        <f t="array" aca="1" ref="Y190" ca="1">MMS_PastureBeef_Methane_Equations.VEERG_4_2_1_1__2_MethaneProductionFromManure(X132,$I$155,$E$166,$X$172,$I$158)</f>
        <v>1.1347038164154961E-3</v>
      </c>
      <c r="Z190" s="52" cm="1">
        <f t="array" aca="1" ref="Z190" ca="1">MMS_PastureBeef_Methane_Equations.VEERG_4_2_1_1__2_MethaneProductionFromManure(Y132,$I$155,$E$166,$X$172,$I$158)</f>
        <v>1.5013253313833415E-3</v>
      </c>
      <c r="AA190" s="52" cm="1">
        <f t="array" aca="1" ref="AA190" ca="1">MMS_PastureBeef_Methane_Equations.VEERG_4_2_1_1__2_MethaneProductionFromManure(Z132,$I$155,$E$166,$X$172,$I$158)</f>
        <v>9.5426028529460333E-4</v>
      </c>
      <c r="AB190" s="52" cm="1">
        <f t="array" aca="1" ref="AB190" ca="1">MMS_PastureBeef_Methane_Equations.VEERG_4_2_1_1__2_MethaneProductionFromManure(AA132,$I$155,$E$166,$X$172,$I$158)</f>
        <v>1.2496048152924261E-3</v>
      </c>
      <c r="AC190" s="52" cm="1">
        <f t="array" aca="1" ref="AC190" ca="1">MMS_PastureBeef_Methane_Equations.VEERG_4_2_1_1__2_MethaneProductionFromManure(AB132,$I$155,$E$166,$X$172,$I$158)</f>
        <v>1.2372616668260229E-3</v>
      </c>
      <c r="AD190" s="52" cm="1">
        <f t="array" aca="1" ref="AD190" ca="1">MMS_PastureBeef_Methane_Equations.VEERG_4_2_1_1__2_MethaneProductionFromManure(AC132,$I$155,$E$166,$X$172,$I$158)</f>
        <v>1.2372616668260229E-3</v>
      </c>
      <c r="AE190" s="52" cm="1">
        <f t="array" aca="1" ref="AE190" ca="1">MMS_PastureBeef_Methane_Equations.VEERG_4_2_1_1__2_MethaneProductionFromManure(AD132,$I$155,$E$166,$X$172,$I$158)</f>
        <v>1.0459177679097368E-3</v>
      </c>
      <c r="AF190" s="52" cm="1">
        <f t="array" aca="1" ref="AF190" ca="1">MMS_PastureBeef_Methane_Equations.VEERG_4_2_1_1__2_MethaneProductionFromManure(AE132,$I$155,$E$166,$X$172,$I$158)</f>
        <v>1.1658570586431096E-3</v>
      </c>
      <c r="AG190" s="52" cm="1">
        <f t="array" aca="1" ref="AG190" ca="1">MMS_PastureBeef_Methane_Equations.VEERG_4_2_1_1__2_MethaneProductionFromManure(AF132,$I$155,$E$166,$X$172,$I$158)</f>
        <v>1.1658570586431096E-3</v>
      </c>
      <c r="AH190" s="52" cm="1">
        <f t="array" aca="1" ref="AH190" ca="1">MMS_PastureBeef_Methane_Equations.VEERG_4_2_1_1__2_MethaneProductionFromManure(AG132,$I$155,$E$166,$X$172,$I$158)</f>
        <v>1.1658570586431096E-3</v>
      </c>
      <c r="AI190" s="2" t="str">
        <f t="shared" si="8"/>
        <v>kg CH4/head/day</v>
      </c>
      <c r="AJ190" s="2"/>
    </row>
    <row r="191" spans="4:36" ht="20.100000000000001" customHeight="1" x14ac:dyDescent="0.25">
      <c r="W191" s="52" t="str">
        <f>'Input - Pasture Beef'!$D$180</f>
        <v>Anaerobic lagoon</v>
      </c>
      <c r="X191" s="52" t="str">
        <f t="shared" si="9"/>
        <v>March 2024</v>
      </c>
      <c r="Y191" s="52" cm="1">
        <f t="array" aca="1" ref="Y191" ca="1">MMS_PastureBeef_Methane_Equations.VEERG_4_2_1_1__2_MethaneProductionFromManure(X133,$I$155,$E$166,$X$172,$I$158)</f>
        <v>6.0521979717129766E-4</v>
      </c>
      <c r="Z191" s="52" cm="1">
        <f t="array" aca="1" ref="Z191" ca="1">MMS_PastureBeef_Methane_Equations.VEERG_4_2_1_1__2_MethaneProductionFromManure(Y133,$I$155,$E$166,$X$172,$I$158)</f>
        <v>1.7565842569009921E-3</v>
      </c>
      <c r="AA191" s="52" cm="1">
        <f t="array" aca="1" ref="AA191" ca="1">MMS_PastureBeef_Methane_Equations.VEERG_4_2_1_1__2_MethaneProductionFromManure(Z133,$I$155,$E$166,$X$172,$I$158)</f>
        <v>5.5175108590829725E-4</v>
      </c>
      <c r="AB191" s="52" cm="1">
        <f t="array" aca="1" ref="AB191" ca="1">MMS_PastureBeef_Methane_Equations.VEERG_4_2_1_1__2_MethaneProductionFromManure(AA133,$I$155,$E$166,$X$172,$I$158)</f>
        <v>1.1104251591536494E-3</v>
      </c>
      <c r="AC191" s="52" cm="1">
        <f t="array" aca="1" ref="AC191" ca="1">MMS_PastureBeef_Methane_Equations.VEERG_4_2_1_1__2_MethaneProductionFromManure(AB133,$I$155,$E$166,$X$172,$I$158)</f>
        <v>1.2521126030075034E-3</v>
      </c>
      <c r="AD191" s="52" cm="1">
        <f t="array" aca="1" ref="AD191" ca="1">MMS_PastureBeef_Methane_Equations.VEERG_4_2_1_1__2_MethaneProductionFromManure(AC133,$I$155,$E$166,$X$172,$I$158)</f>
        <v>1.2521126030075034E-3</v>
      </c>
      <c r="AE191" s="52" cm="1">
        <f t="array" aca="1" ref="AE191" ca="1">MMS_PastureBeef_Methane_Equations.VEERG_4_2_1_1__2_MethaneProductionFromManure(AD133,$I$155,$E$166,$X$172,$I$158)</f>
        <v>6.0521979717129766E-4</v>
      </c>
      <c r="AF191" s="52" cm="1">
        <f t="array" aca="1" ref="AF191" ca="1">MMS_PastureBeef_Methane_Equations.VEERG_4_2_1_1__2_MethaneProductionFromManure(AE133,$I$155,$E$166,$X$172,$I$158)</f>
        <v>1.0987913366789503E-3</v>
      </c>
      <c r="AG191" s="52" cm="1">
        <f t="array" aca="1" ref="AG191" ca="1">MMS_PastureBeef_Methane_Equations.VEERG_4_2_1_1__2_MethaneProductionFromManure(AF133,$I$155,$E$166,$X$172,$I$158)</f>
        <v>1.0987913366789503E-3</v>
      </c>
      <c r="AH191" s="52" cm="1">
        <f t="array" aca="1" ref="AH191" ca="1">MMS_PastureBeef_Methane_Equations.VEERG_4_2_1_1__2_MethaneProductionFromManure(AG133,$I$155,$E$166,$X$172,$I$158)</f>
        <v>1.0987913366789503E-3</v>
      </c>
      <c r="AI191" s="2" t="str">
        <f t="shared" si="8"/>
        <v>kg CH4/head/day</v>
      </c>
      <c r="AJ191" s="2"/>
    </row>
    <row r="192" spans="4:36" ht="20.100000000000001" customHeight="1" x14ac:dyDescent="0.25">
      <c r="W192" s="52" t="str">
        <f>'Input - Pasture Beef'!$D$180</f>
        <v>Anaerobic lagoon</v>
      </c>
      <c r="X192" s="52" t="str">
        <f t="shared" si="9"/>
        <v>April 2024</v>
      </c>
      <c r="Y192" s="52" cm="1">
        <f t="array" aca="1" ref="Y192" ca="1">MMS_PastureBeef_Methane_Equations.VEERG_4_2_1_1__2_MethaneProductionFromManure(X134,$I$155,$E$166,$X$172,$I$158)</f>
        <v>6.0521979717129766E-4</v>
      </c>
      <c r="Z192" s="52" cm="1">
        <f t="array" aca="1" ref="Z192" ca="1">MMS_PastureBeef_Methane_Equations.VEERG_4_2_1_1__2_MethaneProductionFromManure(Y134,$I$155,$E$166,$X$172,$I$158)</f>
        <v>1.7565842569009921E-3</v>
      </c>
      <c r="AA192" s="52" cm="1">
        <f t="array" aca="1" ref="AA192" ca="1">MMS_PastureBeef_Methane_Equations.VEERG_4_2_1_1__2_MethaneProductionFromManure(Z134,$I$155,$E$166,$X$172,$I$158)</f>
        <v>5.5175108590829725E-4</v>
      </c>
      <c r="AB192" s="52" cm="1">
        <f t="array" aca="1" ref="AB192" ca="1">MMS_PastureBeef_Methane_Equations.VEERG_4_2_1_1__2_MethaneProductionFromManure(AA134,$I$155,$E$166,$X$172,$I$158)</f>
        <v>1.1104251591536494E-3</v>
      </c>
      <c r="AC192" s="52" cm="1">
        <f t="array" aca="1" ref="AC192" ca="1">MMS_PastureBeef_Methane_Equations.VEERG_4_2_1_1__2_MethaneProductionFromManure(AB134,$I$155,$E$166,$X$172,$I$158)</f>
        <v>1.2521126030075034E-3</v>
      </c>
      <c r="AD192" s="52" cm="1">
        <f t="array" aca="1" ref="AD192" ca="1">MMS_PastureBeef_Methane_Equations.VEERG_4_2_1_1__2_MethaneProductionFromManure(AC134,$I$155,$E$166,$X$172,$I$158)</f>
        <v>1.2521126030075034E-3</v>
      </c>
      <c r="AE192" s="52" cm="1">
        <f t="array" aca="1" ref="AE192" ca="1">MMS_PastureBeef_Methane_Equations.VEERG_4_2_1_1__2_MethaneProductionFromManure(AD134,$I$155,$E$166,$X$172,$I$158)</f>
        <v>6.0521979717129766E-4</v>
      </c>
      <c r="AF192" s="52" cm="1">
        <f t="array" aca="1" ref="AF192" ca="1">MMS_PastureBeef_Methane_Equations.VEERG_4_2_1_1__2_MethaneProductionFromManure(AE134,$I$155,$E$166,$X$172,$I$158)</f>
        <v>1.0987913366789503E-3</v>
      </c>
      <c r="AG192" s="52" cm="1">
        <f t="array" aca="1" ref="AG192" ca="1">MMS_PastureBeef_Methane_Equations.VEERG_4_2_1_1__2_MethaneProductionFromManure(AF134,$I$155,$E$166,$X$172,$I$158)</f>
        <v>1.0987913366789503E-3</v>
      </c>
      <c r="AH192" s="52" cm="1">
        <f t="array" aca="1" ref="AH192" ca="1">MMS_PastureBeef_Methane_Equations.VEERG_4_2_1_1__2_MethaneProductionFromManure(AG134,$I$155,$E$166,$X$172,$I$158)</f>
        <v>1.0987913366789503E-3</v>
      </c>
      <c r="AI192" s="2" t="str">
        <f t="shared" si="8"/>
        <v>kg CH4/head/day</v>
      </c>
      <c r="AJ192" s="2"/>
    </row>
    <row r="193" spans="3:37" ht="20.100000000000001" customHeight="1" x14ac:dyDescent="0.25">
      <c r="W193" s="52" t="str">
        <f>'Input - Pasture Beef'!$D$180</f>
        <v>Anaerobic lagoon</v>
      </c>
      <c r="X193" s="52" t="str">
        <f t="shared" si="9"/>
        <v>May 2024</v>
      </c>
      <c r="Y193" s="52" cm="1">
        <f t="array" aca="1" ref="Y193" ca="1">MMS_PastureBeef_Methane_Equations.VEERG_4_2_1_1__2_MethaneProductionFromManure(X135,$I$155,$E$166,$X$172,$I$158)</f>
        <v>6.0521979717129766E-4</v>
      </c>
      <c r="Z193" s="52" cm="1">
        <f t="array" aca="1" ref="Z193" ca="1">MMS_PastureBeef_Methane_Equations.VEERG_4_2_1_1__2_MethaneProductionFromManure(Y135,$I$155,$E$166,$X$172,$I$158)</f>
        <v>1.7565842569009921E-3</v>
      </c>
      <c r="AA193" s="52" cm="1">
        <f t="array" aca="1" ref="AA193" ca="1">MMS_PastureBeef_Methane_Equations.VEERG_4_2_1_1__2_MethaneProductionFromManure(Z135,$I$155,$E$166,$X$172,$I$158)</f>
        <v>5.5175108590829725E-4</v>
      </c>
      <c r="AB193" s="52" cm="1">
        <f t="array" aca="1" ref="AB193" ca="1">MMS_PastureBeef_Methane_Equations.VEERG_4_2_1_1__2_MethaneProductionFromManure(AA135,$I$155,$E$166,$X$172,$I$158)</f>
        <v>1.1104251591536494E-3</v>
      </c>
      <c r="AC193" s="52" cm="1">
        <f t="array" aca="1" ref="AC193" ca="1">MMS_PastureBeef_Methane_Equations.VEERG_4_2_1_1__2_MethaneProductionFromManure(AB135,$I$155,$E$166,$X$172,$I$158)</f>
        <v>1.2521126030075034E-3</v>
      </c>
      <c r="AD193" s="52" cm="1">
        <f t="array" aca="1" ref="AD193" ca="1">MMS_PastureBeef_Methane_Equations.VEERG_4_2_1_1__2_MethaneProductionFromManure(AC135,$I$155,$E$166,$X$172,$I$158)</f>
        <v>1.2521126030075034E-3</v>
      </c>
      <c r="AE193" s="52" cm="1">
        <f t="array" aca="1" ref="AE193" ca="1">MMS_PastureBeef_Methane_Equations.VEERG_4_2_1_1__2_MethaneProductionFromManure(AD135,$I$155,$E$166,$X$172,$I$158)</f>
        <v>6.0521979717129766E-4</v>
      </c>
      <c r="AF193" s="52" cm="1">
        <f t="array" aca="1" ref="AF193" ca="1">MMS_PastureBeef_Methane_Equations.VEERG_4_2_1_1__2_MethaneProductionFromManure(AE135,$I$155,$E$166,$X$172,$I$158)</f>
        <v>1.0987913366789503E-3</v>
      </c>
      <c r="AG193" s="52" cm="1">
        <f t="array" aca="1" ref="AG193" ca="1">MMS_PastureBeef_Methane_Equations.VEERG_4_2_1_1__2_MethaneProductionFromManure(AF135,$I$155,$E$166,$X$172,$I$158)</f>
        <v>1.0987913366789503E-3</v>
      </c>
      <c r="AH193" s="52" cm="1">
        <f t="array" aca="1" ref="AH193" ca="1">MMS_PastureBeef_Methane_Equations.VEERG_4_2_1_1__2_MethaneProductionFromManure(AG135,$I$155,$E$166,$X$172,$I$158)</f>
        <v>1.0987913366789503E-3</v>
      </c>
      <c r="AI193" s="2" t="str">
        <f t="shared" si="8"/>
        <v>kg CH4/head/day</v>
      </c>
      <c r="AJ193" s="2"/>
    </row>
    <row r="194" spans="3:37" ht="20.100000000000001" customHeight="1" x14ac:dyDescent="0.25">
      <c r="W194" s="52" t="str">
        <f>'Input - Pasture Beef'!$D$180</f>
        <v>Anaerobic lagoon</v>
      </c>
      <c r="X194" s="52" t="str">
        <f t="shared" si="9"/>
        <v>June 2024</v>
      </c>
      <c r="Y194" s="52" cm="1">
        <f t="array" aca="1" ref="Y194" ca="1">MMS_PastureBeef_Methane_Equations.VEERG_4_2_1_1__2_MethaneProductionFromManure(X136,$I$155,$E$166,$X$172,$I$158)</f>
        <v>5.1377199602642149E-4</v>
      </c>
      <c r="Z194" s="52" cm="1">
        <f t="array" aca="1" ref="Z194" ca="1">MMS_PastureBeef_Methane_Equations.VEERG_4_2_1_1__2_MethaneProductionFromManure(Y136,$I$155,$E$166,$X$172,$I$158)</f>
        <v>9.984229404077481E-4</v>
      </c>
      <c r="AA194" s="52" cm="1">
        <f t="array" aca="1" ref="AA194" ca="1">MMS_PastureBeef_Methane_Equations.VEERG_4_2_1_1__2_MethaneProductionFromManure(Z136,$I$155,$E$166,$X$172,$I$158)</f>
        <v>4.2066530790416074E-4</v>
      </c>
      <c r="AB194" s="52" cm="1">
        <f t="array" aca="1" ref="AB194" ca="1">MMS_PastureBeef_Methane_Equations.VEERG_4_2_1_1__2_MethaneProductionFromManure(AA136,$I$155,$E$166,$X$172,$I$158)</f>
        <v>5.9333814496575457E-4</v>
      </c>
      <c r="AC194" s="52" cm="1">
        <f t="array" aca="1" ref="AC194" ca="1">MMS_PastureBeef_Methane_Equations.VEERG_4_2_1_1__2_MethaneProductionFromManure(AB136,$I$155,$E$166,$X$172,$I$158)</f>
        <v>7.9598141366234209E-4</v>
      </c>
      <c r="AD194" s="52" cm="1">
        <f t="array" aca="1" ref="AD194" ca="1">MMS_PastureBeef_Methane_Equations.VEERG_4_2_1_1__2_MethaneProductionFromManure(AC136,$I$155,$E$166,$X$172,$I$158)</f>
        <v>7.9598141366234209E-4</v>
      </c>
      <c r="AE194" s="52" cm="1">
        <f t="array" aca="1" ref="AE194" ca="1">MMS_PastureBeef_Methane_Equations.VEERG_4_2_1_1__2_MethaneProductionFromManure(AD136,$I$155,$E$166,$X$172,$I$158)</f>
        <v>4.5165070083232783E-4</v>
      </c>
      <c r="AF194" s="52" cm="1">
        <f t="array" aca="1" ref="AF194" ca="1">MMS_PastureBeef_Methane_Equations.VEERG_4_2_1_1__2_MethaneProductionFromManure(AE136,$I$155,$E$166,$X$172,$I$158)</f>
        <v>6.8763043099903404E-4</v>
      </c>
      <c r="AG194" s="52" cm="1">
        <f t="array" aca="1" ref="AG194" ca="1">MMS_PastureBeef_Methane_Equations.VEERG_4_2_1_1__2_MethaneProductionFromManure(AF136,$I$155,$E$166,$X$172,$I$158)</f>
        <v>6.8763043099903404E-4</v>
      </c>
      <c r="AH194" s="52" cm="1">
        <f t="array" aca="1" ref="AH194" ca="1">MMS_PastureBeef_Methane_Equations.VEERG_4_2_1_1__2_MethaneProductionFromManure(AG136,$I$155,$E$166,$X$172,$I$158)</f>
        <v>6.8763043099903404E-4</v>
      </c>
      <c r="AI194" s="2" t="str">
        <f t="shared" si="8"/>
        <v>kg CH4/head/day</v>
      </c>
      <c r="AJ194" s="2"/>
    </row>
    <row r="195" spans="3:37" ht="20.100000000000001" customHeight="1" x14ac:dyDescent="0.25">
      <c r="W195" s="52" t="str">
        <f>'Input - Pasture Beef'!$D$180</f>
        <v>Anaerobic lagoon</v>
      </c>
      <c r="X195" s="52" t="str">
        <f t="shared" si="9"/>
        <v>July 2024</v>
      </c>
      <c r="Y195" s="52" cm="1">
        <f t="array" aca="1" ref="Y195" ca="1">MMS_PastureBeef_Methane_Equations.VEERG_4_2_1_1__2_MethaneProductionFromManure(X137,$I$155,$E$166,$X$172,$I$158)</f>
        <v>5.1377199602642149E-4</v>
      </c>
      <c r="Z195" s="52" cm="1">
        <f t="array" aca="1" ref="Z195" ca="1">MMS_PastureBeef_Methane_Equations.VEERG_4_2_1_1__2_MethaneProductionFromManure(Y137,$I$155,$E$166,$X$172,$I$158)</f>
        <v>9.984229404077481E-4</v>
      </c>
      <c r="AA195" s="52" cm="1">
        <f t="array" aca="1" ref="AA195" ca="1">MMS_PastureBeef_Methane_Equations.VEERG_4_2_1_1__2_MethaneProductionFromManure(Z137,$I$155,$E$166,$X$172,$I$158)</f>
        <v>4.2066530790416074E-4</v>
      </c>
      <c r="AB195" s="52" cm="1">
        <f t="array" aca="1" ref="AB195" ca="1">MMS_PastureBeef_Methane_Equations.VEERG_4_2_1_1__2_MethaneProductionFromManure(AA137,$I$155,$E$166,$X$172,$I$158)</f>
        <v>5.9333814496575457E-4</v>
      </c>
      <c r="AC195" s="52" cm="1">
        <f t="array" aca="1" ref="AC195" ca="1">MMS_PastureBeef_Methane_Equations.VEERG_4_2_1_1__2_MethaneProductionFromManure(AB137,$I$155,$E$166,$X$172,$I$158)</f>
        <v>7.9598141366234209E-4</v>
      </c>
      <c r="AD195" s="52" cm="1">
        <f t="array" aca="1" ref="AD195" ca="1">MMS_PastureBeef_Methane_Equations.VEERG_4_2_1_1__2_MethaneProductionFromManure(AC137,$I$155,$E$166,$X$172,$I$158)</f>
        <v>7.9598141366234209E-4</v>
      </c>
      <c r="AE195" s="52" cm="1">
        <f t="array" aca="1" ref="AE195" ca="1">MMS_PastureBeef_Methane_Equations.VEERG_4_2_1_1__2_MethaneProductionFromManure(AD137,$I$155,$E$166,$X$172,$I$158)</f>
        <v>4.5165070083232783E-4</v>
      </c>
      <c r="AF195" s="52" cm="1">
        <f t="array" aca="1" ref="AF195" ca="1">MMS_PastureBeef_Methane_Equations.VEERG_4_2_1_1__2_MethaneProductionFromManure(AE137,$I$155,$E$166,$X$172,$I$158)</f>
        <v>6.8763043099903404E-4</v>
      </c>
      <c r="AG195" s="52" cm="1">
        <f t="array" aca="1" ref="AG195" ca="1">MMS_PastureBeef_Methane_Equations.VEERG_4_2_1_1__2_MethaneProductionFromManure(AF137,$I$155,$E$166,$X$172,$I$158)</f>
        <v>6.8763043099903404E-4</v>
      </c>
      <c r="AH195" s="52" cm="1">
        <f t="array" aca="1" ref="AH195" ca="1">MMS_PastureBeef_Methane_Equations.VEERG_4_2_1_1__2_MethaneProductionFromManure(AG137,$I$155,$E$166,$X$172,$I$158)</f>
        <v>6.8763043099903404E-4</v>
      </c>
      <c r="AI195" s="2" t="str">
        <f t="shared" si="8"/>
        <v>kg CH4/head/day</v>
      </c>
      <c r="AJ195" s="2"/>
    </row>
    <row r="196" spans="3:37" ht="20.100000000000001" customHeight="1" x14ac:dyDescent="0.25">
      <c r="W196" s="52" t="str">
        <f>'Input - Pasture Beef'!$D$180</f>
        <v>Anaerobic lagoon</v>
      </c>
      <c r="X196" s="52" t="str">
        <f t="shared" si="9"/>
        <v>August 2024</v>
      </c>
      <c r="Y196" s="52" cm="1">
        <f t="array" aca="1" ref="Y196" ca="1">MMS_PastureBeef_Methane_Equations.VEERG_4_2_1_1__2_MethaneProductionFromManure(X138,$I$155,$E$166,$X$172,$I$158)</f>
        <v>5.1377199602642149E-4</v>
      </c>
      <c r="Z196" s="52" cm="1">
        <f t="array" aca="1" ref="Z196" ca="1">MMS_PastureBeef_Methane_Equations.VEERG_4_2_1_1__2_MethaneProductionFromManure(Y138,$I$155,$E$166,$X$172,$I$158)</f>
        <v>9.984229404077481E-4</v>
      </c>
      <c r="AA196" s="52" cm="1">
        <f t="array" aca="1" ref="AA196" ca="1">MMS_PastureBeef_Methane_Equations.VEERG_4_2_1_1__2_MethaneProductionFromManure(Z138,$I$155,$E$166,$X$172,$I$158)</f>
        <v>4.2066530790416074E-4</v>
      </c>
      <c r="AB196" s="52" cm="1">
        <f t="array" aca="1" ref="AB196" ca="1">MMS_PastureBeef_Methane_Equations.VEERG_4_2_1_1__2_MethaneProductionFromManure(AA138,$I$155,$E$166,$X$172,$I$158)</f>
        <v>7.2683922758304937E-4</v>
      </c>
      <c r="AC196" s="52" cm="1">
        <f t="array" aca="1" ref="AC196" ca="1">MMS_PastureBeef_Methane_Equations.VEERG_4_2_1_1__2_MethaneProductionFromManure(AB138,$I$155,$E$166,$X$172,$I$158)</f>
        <v>9.75077231736369E-4</v>
      </c>
      <c r="AD196" s="52" cm="1">
        <f t="array" aca="1" ref="AD196" ca="1">MMS_PastureBeef_Methane_Equations.VEERG_4_2_1_1__2_MethaneProductionFromManure(AC138,$I$155,$E$166,$X$172,$I$158)</f>
        <v>9.75077231736369E-4</v>
      </c>
      <c r="AE196" s="52" cm="1">
        <f t="array" aca="1" ref="AE196" ca="1">MMS_PastureBeef_Methane_Equations.VEERG_4_2_1_1__2_MethaneProductionFromManure(AD138,$I$155,$E$166,$X$172,$I$158)</f>
        <v>4.5165070083232783E-4</v>
      </c>
      <c r="AF196" s="52" cm="1">
        <f t="array" aca="1" ref="AF196" ca="1">MMS_PastureBeef_Methane_Equations.VEERG_4_2_1_1__2_MethaneProductionFromManure(AE138,$I$155,$E$166,$X$172,$I$158)</f>
        <v>6.8763043099903404E-4</v>
      </c>
      <c r="AG196" s="52" cm="1">
        <f t="array" aca="1" ref="AG196" ca="1">MMS_PastureBeef_Methane_Equations.VEERG_4_2_1_1__2_MethaneProductionFromManure(AF138,$I$155,$E$166,$X$172,$I$158)</f>
        <v>6.8763043099903404E-4</v>
      </c>
      <c r="AH196" s="52" cm="1">
        <f t="array" aca="1" ref="AH196" ca="1">MMS_PastureBeef_Methane_Equations.VEERG_4_2_1_1__2_MethaneProductionFromManure(AG138,$I$155,$E$166,$X$172,$I$158)</f>
        <v>6.8763043099903404E-4</v>
      </c>
      <c r="AI196" s="2" t="str">
        <f t="shared" si="8"/>
        <v>kg CH4/head/day</v>
      </c>
      <c r="AJ196" s="2"/>
    </row>
    <row r="197" spans="3:37" ht="20.100000000000001" customHeight="1" x14ac:dyDescent="0.25">
      <c r="W197" s="52" t="str">
        <f>'Input - Pasture Beef'!$D$180</f>
        <v>Anaerobic lagoon</v>
      </c>
      <c r="X197" s="52" t="str">
        <f t="shared" si="9"/>
        <v>September 2024</v>
      </c>
      <c r="Y197" s="52" cm="1">
        <f t="array" aca="1" ref="Y197" ca="1">MMS_PastureBeef_Methane_Equations.VEERG_4_2_1_1__2_MethaneProductionFromManure(X139,$I$155,$E$166,$X$172,$I$158)</f>
        <v>7.1826623105637353E-4</v>
      </c>
      <c r="Z197" s="52" cm="1">
        <f t="array" aca="1" ref="Z197" ca="1">MMS_PastureBeef_Methane_Equations.VEERG_4_2_1_1__2_MethaneProductionFromManure(Y139,$I$155,$E$166,$X$172,$I$158)</f>
        <v>1.0144555674992664E-3</v>
      </c>
      <c r="AA197" s="52" cm="1">
        <f t="array" aca="1" ref="AA197" ca="1">MMS_PastureBeef_Methane_Equations.VEERG_4_2_1_1__2_MethaneProductionFromManure(Z139,$I$155,$E$166,$X$172,$I$158)</f>
        <v>5.4746232575098421E-4</v>
      </c>
      <c r="AB197" s="52" cm="1">
        <f t="array" aca="1" ref="AB197" ca="1">MMS_PastureBeef_Methane_Equations.VEERG_4_2_1_1__2_MethaneProductionFromManure(AA139,$I$155,$E$166,$X$172,$I$158)</f>
        <v>8.8009726338426778E-4</v>
      </c>
      <c r="AC197" s="52" cm="1">
        <f t="array" aca="1" ref="AC197" ca="1">MMS_PastureBeef_Methane_Equations.VEERG_4_2_1_1__2_MethaneProductionFromManure(AB139,$I$155,$E$166,$X$172,$I$158)</f>
        <v>9.7731065708491415E-4</v>
      </c>
      <c r="AD197" s="52" cm="1">
        <f t="array" aca="1" ref="AD197" ca="1">MMS_PastureBeef_Methane_Equations.VEERG_4_2_1_1__2_MethaneProductionFromManure(AC139,$I$155,$E$166,$X$172,$I$158)</f>
        <v>9.7731065708491415E-4</v>
      </c>
      <c r="AE197" s="52" cm="1">
        <f t="array" aca="1" ref="AE197" ca="1">MMS_PastureBeef_Methane_Equations.VEERG_4_2_1_1__2_MethaneProductionFromManure(AD139,$I$155,$E$166,$X$172,$I$158)</f>
        <v>6.3115148025275102E-4</v>
      </c>
      <c r="AF197" s="52" cm="1">
        <f t="array" aca="1" ref="AF197" ca="1">MMS_PastureBeef_Methane_Equations.VEERG_4_2_1_1__2_MethaneProductionFromManure(AE139,$I$155,$E$166,$X$172,$I$158)</f>
        <v>8.020571384440183E-4</v>
      </c>
      <c r="AG197" s="52" cm="1">
        <f t="array" aca="1" ref="AG197" ca="1">MMS_PastureBeef_Methane_Equations.VEERG_4_2_1_1__2_MethaneProductionFromManure(AF139,$I$155,$E$166,$X$172,$I$158)</f>
        <v>8.020571384440183E-4</v>
      </c>
      <c r="AH197" s="52" cm="1">
        <f t="array" aca="1" ref="AH197" ca="1">MMS_PastureBeef_Methane_Equations.VEERG_4_2_1_1__2_MethaneProductionFromManure(AG139,$I$155,$E$166,$X$172,$I$158)</f>
        <v>8.020571384440183E-4</v>
      </c>
      <c r="AI197" s="2" t="str">
        <f t="shared" si="8"/>
        <v>kg CH4/head/day</v>
      </c>
      <c r="AJ197" s="2"/>
    </row>
    <row r="198" spans="3:37" ht="20.100000000000001" customHeight="1" x14ac:dyDescent="0.25">
      <c r="W198" s="52" t="str">
        <f>'Input - Pasture Beef'!$D$180</f>
        <v>Anaerobic lagoon</v>
      </c>
      <c r="X198" s="52" t="str">
        <f t="shared" si="9"/>
        <v>October 2024</v>
      </c>
      <c r="Y198" s="52" cm="1">
        <f t="array" aca="1" ref="Y198" ca="1">MMS_PastureBeef_Methane_Equations.VEERG_4_2_1_1__2_MethaneProductionFromManure(X140,$I$155,$E$166,$X$172,$I$158)</f>
        <v>7.1826623105637353E-4</v>
      </c>
      <c r="Z198" s="52" cm="1">
        <f t="array" aca="1" ref="Z198" ca="1">MMS_PastureBeef_Methane_Equations.VEERG_4_2_1_1__2_MethaneProductionFromManure(Y140,$I$155,$E$166,$X$172,$I$158)</f>
        <v>1.0144555674992664E-3</v>
      </c>
      <c r="AA198" s="52" cm="1">
        <f t="array" aca="1" ref="AA198" ca="1">MMS_PastureBeef_Methane_Equations.VEERG_4_2_1_1__2_MethaneProductionFromManure(Z140,$I$155,$E$166,$X$172,$I$158)</f>
        <v>5.4746232575098421E-4</v>
      </c>
      <c r="AB198" s="52" cm="1">
        <f t="array" aca="1" ref="AB198" ca="1">MMS_PastureBeef_Methane_Equations.VEERG_4_2_1_1__2_MethaneProductionFromManure(AA140,$I$155,$E$166,$X$172,$I$158)</f>
        <v>8.8009726338426778E-4</v>
      </c>
      <c r="AC198" s="52" cm="1">
        <f t="array" aca="1" ref="AC198" ca="1">MMS_PastureBeef_Methane_Equations.VEERG_4_2_1_1__2_MethaneProductionFromManure(AB140,$I$155,$E$166,$X$172,$I$158)</f>
        <v>9.7731065708491415E-4</v>
      </c>
      <c r="AD198" s="52" cm="1">
        <f t="array" aca="1" ref="AD198" ca="1">MMS_PastureBeef_Methane_Equations.VEERG_4_2_1_1__2_MethaneProductionFromManure(AC140,$I$155,$E$166,$X$172,$I$158)</f>
        <v>9.7731065708491415E-4</v>
      </c>
      <c r="AE198" s="52" cm="1">
        <f t="array" aca="1" ref="AE198" ca="1">MMS_PastureBeef_Methane_Equations.VEERG_4_2_1_1__2_MethaneProductionFromManure(AD140,$I$155,$E$166,$X$172,$I$158)</f>
        <v>6.3115148025275102E-4</v>
      </c>
      <c r="AF198" s="52" cm="1">
        <f t="array" aca="1" ref="AF198" ca="1">MMS_PastureBeef_Methane_Equations.VEERG_4_2_1_1__2_MethaneProductionFromManure(AE140,$I$155,$E$166,$X$172,$I$158)</f>
        <v>8.020571384440183E-4</v>
      </c>
      <c r="AG198" s="52" cm="1">
        <f t="array" aca="1" ref="AG198" ca="1">MMS_PastureBeef_Methane_Equations.VEERG_4_2_1_1__2_MethaneProductionFromManure(AF140,$I$155,$E$166,$X$172,$I$158)</f>
        <v>8.020571384440183E-4</v>
      </c>
      <c r="AH198" s="52" cm="1">
        <f t="array" aca="1" ref="AH198" ca="1">MMS_PastureBeef_Methane_Equations.VEERG_4_2_1_1__2_MethaneProductionFromManure(AG140,$I$155,$E$166,$X$172,$I$158)</f>
        <v>8.020571384440183E-4</v>
      </c>
      <c r="AI198" s="2" t="str">
        <f t="shared" si="8"/>
        <v>kg CH4/head/day</v>
      </c>
      <c r="AJ198" s="2"/>
    </row>
    <row r="199" spans="3:37" ht="20.100000000000001" customHeight="1" x14ac:dyDescent="0.25">
      <c r="W199" s="52" t="str">
        <f>'Input - Pasture Beef'!$D$180</f>
        <v>Anaerobic lagoon</v>
      </c>
      <c r="X199" s="52" t="str">
        <f t="shared" si="9"/>
        <v>November 2024</v>
      </c>
      <c r="Y199" s="52" cm="1">
        <f t="array" aca="1" ref="Y199" ca="1">MMS_PastureBeef_Methane_Equations.VEERG_4_2_1_1__2_MethaneProductionFromManure(X141,$I$155,$E$166,$X$172,$I$158)</f>
        <v>7.1826623105637353E-4</v>
      </c>
      <c r="Z199" s="52" cm="1">
        <f t="array" aca="1" ref="Z199" ca="1">MMS_PastureBeef_Methane_Equations.VEERG_4_2_1_1__2_MethaneProductionFromManure(Y141,$I$155,$E$166,$X$172,$I$158)</f>
        <v>1.0144555674992664E-3</v>
      </c>
      <c r="AA199" s="52" cm="1">
        <f t="array" aca="1" ref="AA199" ca="1">MMS_PastureBeef_Methane_Equations.VEERG_4_2_1_1__2_MethaneProductionFromManure(Z141,$I$155,$E$166,$X$172,$I$158)</f>
        <v>5.4746232575098421E-4</v>
      </c>
      <c r="AB199" s="52" cm="1">
        <f t="array" aca="1" ref="AB199" ca="1">MMS_PastureBeef_Methane_Equations.VEERG_4_2_1_1__2_MethaneProductionFromManure(AA141,$I$155,$E$166,$X$172,$I$158)</f>
        <v>7.7233025154129636E-4</v>
      </c>
      <c r="AC199" s="52" cm="1">
        <f t="array" aca="1" ref="AC199" ca="1">MMS_PastureBeef_Methane_Equations.VEERG_4_2_1_1__2_MethaneProductionFromManure(AB141,$I$155,$E$166,$X$172,$I$158)</f>
        <v>8.576399643806386E-4</v>
      </c>
      <c r="AD199" s="52" cm="1">
        <f t="array" aca="1" ref="AD199" ca="1">MMS_PastureBeef_Methane_Equations.VEERG_4_2_1_1__2_MethaneProductionFromManure(AC141,$I$155,$E$166,$X$172,$I$158)</f>
        <v>8.576399643806386E-4</v>
      </c>
      <c r="AE199" s="52" cm="1">
        <f t="array" aca="1" ref="AE199" ca="1">MMS_PastureBeef_Methane_Equations.VEERG_4_2_1_1__2_MethaneProductionFromManure(AD141,$I$155,$E$166,$X$172,$I$158)</f>
        <v>6.3115148025275102E-4</v>
      </c>
      <c r="AF199" s="52" cm="1">
        <f t="array" aca="1" ref="AF199" ca="1">MMS_PastureBeef_Methane_Equations.VEERG_4_2_1_1__2_MethaneProductionFromManure(AE141,$I$155,$E$166,$X$172,$I$158)</f>
        <v>8.020571384440183E-4</v>
      </c>
      <c r="AG199" s="52" cm="1">
        <f t="array" aca="1" ref="AG199" ca="1">MMS_PastureBeef_Methane_Equations.VEERG_4_2_1_1__2_MethaneProductionFromManure(AF141,$I$155,$E$166,$X$172,$I$158)</f>
        <v>8.020571384440183E-4</v>
      </c>
      <c r="AH199" s="52" cm="1">
        <f t="array" aca="1" ref="AH199" ca="1">MMS_PastureBeef_Methane_Equations.VEERG_4_2_1_1__2_MethaneProductionFromManure(AG141,$I$155,$E$166,$X$172,$I$158)</f>
        <v>8.020571384440183E-4</v>
      </c>
      <c r="AI199" s="2" t="str">
        <f t="shared" si="8"/>
        <v>kg CH4/head/day</v>
      </c>
      <c r="AJ199" s="2"/>
    </row>
    <row r="200" spans="3:37" ht="20.100000000000001" customHeight="1" x14ac:dyDescent="0.25">
      <c r="W200" s="52" t="str">
        <f>'Input - Pasture Beef'!$D$180</f>
        <v>Anaerobic lagoon</v>
      </c>
      <c r="X200" s="52" t="str">
        <f t="shared" si="9"/>
        <v>December 2024</v>
      </c>
      <c r="Y200" s="52" cm="1">
        <f t="array" aca="1" ref="Y200" ca="1">MMS_PastureBeef_Methane_Equations.VEERG_4_2_1_1__2_MethaneProductionFromManure(X142,$I$155,$E$166,$X$172,$I$158)</f>
        <v>1.1347038164154961E-3</v>
      </c>
      <c r="Z200" s="52" cm="1">
        <f t="array" aca="1" ref="Z200" ca="1">MMS_PastureBeef_Methane_Equations.VEERG_4_2_1_1__2_MethaneProductionFromManure(Y142,$I$155,$E$166,$X$172,$I$158)</f>
        <v>1.5013253313833415E-3</v>
      </c>
      <c r="AA200" s="52" cm="1">
        <f t="array" aca="1" ref="AA200" ca="1">MMS_PastureBeef_Methane_Equations.VEERG_4_2_1_1__2_MethaneProductionFromManure(Z142,$I$155,$E$166,$X$172,$I$158)</f>
        <v>9.5426028529460333E-4</v>
      </c>
      <c r="AB200" s="52" cm="1">
        <f t="array" aca="1" ref="AB200" ca="1">MMS_PastureBeef_Methane_Equations.VEERG_4_2_1_1__2_MethaneProductionFromManure(AA142,$I$155,$E$166,$X$172,$I$158)</f>
        <v>1.3433251764393584E-3</v>
      </c>
      <c r="AC200" s="52" cm="1">
        <f t="array" aca="1" ref="AC200" ca="1">MMS_PastureBeef_Methane_Equations.VEERG_4_2_1_1__2_MethaneProductionFromManure(AB142,$I$155,$E$166,$X$172,$I$158)</f>
        <v>1.3300562918379748E-3</v>
      </c>
      <c r="AD200" s="52" cm="1">
        <f t="array" aca="1" ref="AD200" ca="1">MMS_PastureBeef_Methane_Equations.VEERG_4_2_1_1__2_MethaneProductionFromManure(AC142,$I$155,$E$166,$X$172,$I$158)</f>
        <v>1.3300562918379748E-3</v>
      </c>
      <c r="AE200" s="52" cm="1">
        <f t="array" aca="1" ref="AE200" ca="1">MMS_PastureBeef_Methane_Equations.VEERG_4_2_1_1__2_MethaneProductionFromManure(AD142,$I$155,$E$166,$X$172,$I$158)</f>
        <v>1.0459177679097368E-3</v>
      </c>
      <c r="AF200" s="52" cm="1">
        <f t="array" aca="1" ref="AF200" ca="1">MMS_PastureBeef_Methane_Equations.VEERG_4_2_1_1__2_MethaneProductionFromManure(AE142,$I$155,$E$166,$X$172,$I$158)</f>
        <v>1.1658570586431096E-3</v>
      </c>
      <c r="AG200" s="52" cm="1">
        <f t="array" aca="1" ref="AG200" ca="1">MMS_PastureBeef_Methane_Equations.VEERG_4_2_1_1__2_MethaneProductionFromManure(AF142,$I$155,$E$166,$X$172,$I$158)</f>
        <v>1.1658570586431096E-3</v>
      </c>
      <c r="AH200" s="52" cm="1">
        <f t="array" aca="1" ref="AH200" ca="1">MMS_PastureBeef_Methane_Equations.VEERG_4_2_1_1__2_MethaneProductionFromManure(AG142,$I$155,$E$166,$X$172,$I$158)</f>
        <v>1.1658570586431096E-3</v>
      </c>
      <c r="AI200" s="2" t="str">
        <f t="shared" si="8"/>
        <v>kg CH4/head/day</v>
      </c>
      <c r="AJ200" s="2"/>
    </row>
    <row r="201" spans="3:37" ht="20.100000000000001" customHeight="1" x14ac:dyDescent="0.25"/>
    <row r="202" spans="3:37" ht="20.100000000000001" customHeight="1" x14ac:dyDescent="0.25"/>
    <row r="203" spans="3:37" ht="20.100000000000001" customHeight="1" x14ac:dyDescent="0.25">
      <c r="C203" s="45"/>
      <c r="D203" s="45"/>
      <c r="E203" s="45"/>
      <c r="F203" s="45"/>
      <c r="G203" s="45"/>
      <c r="H203" s="45"/>
      <c r="I203" s="45"/>
      <c r="J203" s="45"/>
      <c r="K203" s="45"/>
      <c r="L203" s="45"/>
      <c r="M203" s="45"/>
      <c r="N203" s="45"/>
      <c r="O203" s="45"/>
      <c r="P203" s="45"/>
      <c r="Q203" s="45"/>
      <c r="R203" s="45"/>
      <c r="S203" s="45"/>
      <c r="T203" s="45"/>
      <c r="V203" s="45"/>
      <c r="W203" s="45"/>
      <c r="X203" s="45"/>
      <c r="Y203" s="45"/>
      <c r="Z203" s="45"/>
      <c r="AA203" s="45"/>
      <c r="AB203" s="45"/>
      <c r="AC203" s="45"/>
      <c r="AD203" s="45"/>
      <c r="AE203" s="45"/>
      <c r="AF203" s="45"/>
      <c r="AG203" s="45"/>
      <c r="AH203" s="45"/>
      <c r="AI203" s="45"/>
      <c r="AJ203" s="45"/>
      <c r="AK203" s="45"/>
    </row>
    <row r="204" spans="3:37" ht="20.100000000000001" customHeight="1" x14ac:dyDescent="0.25">
      <c r="D204" s="6" t="str" cm="1">
        <f t="array" ref="D204">MMS_PastureBeef_Methane_Equations.VEERG_4_2_1_1__1_TotalAnnualMethaneProductionFromManureManagement_Title()</f>
        <v>Total annual methane production from manure management for grazing beef cattle</v>
      </c>
    </row>
    <row r="205" spans="3:37" ht="20.100000000000001" customHeight="1" x14ac:dyDescent="0.25">
      <c r="D205" s="5" t="str" cm="1">
        <f t="array" ref="D205">MMS_PastureBeef_Methane_Equations.VEERG_4_2_1_1__1_TotalAnnualMethaneProductionFromManureManagement_Source()</f>
        <v>VEERG 2026: 4.2.1.1, Equation (1)</v>
      </c>
    </row>
    <row r="206" spans="3:37" ht="20.100000000000001" customHeight="1" x14ac:dyDescent="0.25">
      <c r="D206" s="13" t="s">
        <v>27</v>
      </c>
      <c r="E206" s="13" t="str" cm="1">
        <f t="array" aca="1" ref="E206" ca="1">Common_InputFunctions.Utility_DisplayFunctionName($F$235)</f>
        <v>=MMS_PastureBeef_Methane_Equations.VEERG_4_2_1_1__1_TotalAnnualMethaneProductionFromManureManagement</v>
      </c>
    </row>
    <row r="207" spans="3:37" ht="20.100000000000001" customHeight="1" x14ac:dyDescent="0.25"/>
    <row r="208" spans="3:37" ht="20.100000000000001" customHeight="1" x14ac:dyDescent="0.25"/>
    <row r="209" spans="4:34" ht="20.100000000000001" customHeight="1" x14ac:dyDescent="0.25">
      <c r="D209" s="53" t="s">
        <v>30</v>
      </c>
      <c r="E209" s="1" t="str" cm="1">
        <f t="array" ref="E209">MMS_PastureBeef_Methane_Equations.VEERG_4_2_1_1__1_TotalAnnualMethaneProductionFromManureManagement_Variable()</f>
        <v>E_CH4</v>
      </c>
    </row>
    <row r="210" spans="4:34" ht="20.100000000000001" customHeight="1" x14ac:dyDescent="0.25">
      <c r="D210" s="53" t="s">
        <v>20</v>
      </c>
      <c r="E210" s="54" t="str" cm="1">
        <f t="array" ref="E210">MMS_PastureBeef_Methane_Equations.VEERG_4_2_1_1__1_TotalAnnualMethaneProductionFromManureManagement_Unit()</f>
        <v>t CH4</v>
      </c>
    </row>
    <row r="211" spans="4:34" ht="20.100000000000001" customHeight="1" x14ac:dyDescent="0.25"/>
    <row r="212" spans="4:34" ht="20.100000000000001" customHeight="1" x14ac:dyDescent="0.25">
      <c r="D212" s="119" t="str" cm="1">
        <f t="array" ref="D212:E214">_xlfn.CHOOSECOLS(MMS_PastureBeef_Methane_Equations.VEERG_4_2_1_1__1_TotalAnnualMethaneProductionFromManureManagement_Arguments(), 1, 2)</f>
        <v>N_jkl</v>
      </c>
      <c r="E212" s="124" t="str">
        <v>number of beef cattle in each time-period, class and subclass</v>
      </c>
      <c r="F212" s="123"/>
      <c r="G212" s="119" t="str" cm="1">
        <f t="array" ref="G212:H214">_xlfn.CHOOSECOLS(MMS_PastureBeef_Methane_Equations.VEERG_4_2_1_1__1_TotalAnnualMethaneProductionFromManureManagement_Arguments(), 3,4)</f>
        <v>head</v>
      </c>
      <c r="H212" s="121" t="str">
        <v>Input</v>
      </c>
      <c r="I212" s="118" t="str" cm="1">
        <f t="array" aca="1" ref="I212" ca="1">HYPERLINK(Common_InputFunctions.Utility_SourceHyperlink($D$216), $D$216)</f>
        <v>M1_Table_N_j_k_l</v>
      </c>
    </row>
    <row r="213" spans="4:34" ht="20.100000000000001" customHeight="1" x14ac:dyDescent="0.25">
      <c r="D213" s="119" t="str">
        <v>M_jklm</v>
      </c>
      <c r="E213" s="124" t="str">
        <v>methane production from manure in each time-period, class, subclass and MMS</v>
      </c>
      <c r="F213" s="123"/>
      <c r="G213" s="119" t="str">
        <v>kg/head/day</v>
      </c>
      <c r="H213" s="120" t="str">
        <v>Calculated from 4.2.1.1 (2)</v>
      </c>
      <c r="I213" s="118" t="str" cm="1">
        <f t="array" aca="1" ref="I213" ca="1">HYPERLINK(Common_InputFunctions.Utility_SourceHyperlink($D$174), $D$174)</f>
        <v>M1_Table_M_j_k_l_m</v>
      </c>
    </row>
    <row r="214" spans="4:34" ht="20.100000000000001" customHeight="1" x14ac:dyDescent="0.25">
      <c r="D214" s="119" t="str">
        <v>D_j</v>
      </c>
      <c r="E214" s="124" t="str">
        <v>number of days in each time-period for each input class</v>
      </c>
      <c r="F214" s="123"/>
      <c r="G214" s="119" t="str">
        <v>days</v>
      </c>
      <c r="H214" s="121" t="str">
        <v>Input</v>
      </c>
      <c r="I214" s="118" t="str" cm="1">
        <f t="array" aca="1" ref="I214" ca="1">HYPERLINK(Common_InputFunctions.Utility_SourceHyperlink($D$224), $D$224)</f>
        <v>M1_Table_D_j</v>
      </c>
    </row>
    <row r="215" spans="4:34" ht="20.100000000000001" customHeight="1" x14ac:dyDescent="0.25"/>
    <row r="216" spans="4:34" ht="20.100000000000001" customHeight="1" x14ac:dyDescent="0.25">
      <c r="D216" s="98" t="s">
        <v>274</v>
      </c>
      <c r="W216" s="98" t="s">
        <v>279</v>
      </c>
    </row>
    <row r="217" spans="4:34" ht="20.100000000000001" customHeight="1" x14ac:dyDescent="0.25">
      <c r="D217" s="97" t="s">
        <v>275</v>
      </c>
      <c r="W217" s="97" t="s">
        <v>280</v>
      </c>
    </row>
    <row r="218" spans="4:34" ht="20.100000000000001" customHeight="1" x14ac:dyDescent="0.25">
      <c r="D218" s="51" t="s">
        <v>184</v>
      </c>
      <c r="E218" s="122" t="s">
        <v>131</v>
      </c>
      <c r="F218" s="122" t="s">
        <v>130</v>
      </c>
      <c r="G218" s="122" t="s">
        <v>165</v>
      </c>
      <c r="H218" s="122" t="s">
        <v>166</v>
      </c>
      <c r="I218" s="122" t="s">
        <v>167</v>
      </c>
      <c r="J218" s="122" t="s">
        <v>168</v>
      </c>
      <c r="K218" s="122" t="s">
        <v>169</v>
      </c>
      <c r="L218" s="122" t="s">
        <v>170</v>
      </c>
      <c r="M218" s="122" t="s">
        <v>171</v>
      </c>
      <c r="N218" s="122" t="s">
        <v>172</v>
      </c>
      <c r="W218" s="51" t="s">
        <v>132</v>
      </c>
      <c r="X218" s="122" t="s">
        <v>131</v>
      </c>
      <c r="Y218" s="122" t="s">
        <v>130</v>
      </c>
      <c r="Z218" s="122" t="s">
        <v>165</v>
      </c>
      <c r="AA218" s="122" t="s">
        <v>166</v>
      </c>
      <c r="AB218" s="122" t="s">
        <v>167</v>
      </c>
      <c r="AC218" s="122" t="s">
        <v>168</v>
      </c>
      <c r="AD218" s="122" t="s">
        <v>169</v>
      </c>
      <c r="AE218" s="122" t="s">
        <v>170</v>
      </c>
      <c r="AF218" s="122" t="s">
        <v>171</v>
      </c>
      <c r="AG218" s="122" t="s">
        <v>172</v>
      </c>
      <c r="AH218" s="2"/>
    </row>
    <row r="219" spans="4:34" ht="20.100000000000001" customHeight="1" x14ac:dyDescent="0.25">
      <c r="D219" s="52" t="s">
        <v>173</v>
      </c>
      <c r="E219" s="52" cm="1">
        <f t="array" aca="1" ref="E219:N222" ca="1">OFFSET(X_Table_PastureBeef_Head_Method1, 1,1, 4,10)</f>
        <v>100</v>
      </c>
      <c r="F219" s="52">
        <f ca="1"/>
        <v>100</v>
      </c>
      <c r="G219" s="52">
        <f ca="1"/>
        <v>100</v>
      </c>
      <c r="H219" s="52">
        <f ca="1"/>
        <v>100</v>
      </c>
      <c r="I219" s="52">
        <f ca="1"/>
        <v>100</v>
      </c>
      <c r="J219" s="52">
        <f ca="1"/>
        <v>100</v>
      </c>
      <c r="K219" s="52">
        <f ca="1"/>
        <v>100</v>
      </c>
      <c r="L219" s="52">
        <f ca="1"/>
        <v>100</v>
      </c>
      <c r="M219" s="52">
        <f ca="1"/>
        <v>100</v>
      </c>
      <c r="N219" s="52">
        <f ca="1"/>
        <v>100</v>
      </c>
      <c r="O219" s="2" t="s">
        <v>102</v>
      </c>
      <c r="W219" s="52" t="str">
        <f>TEXT('Input - Site'!$E$12, "mmmm yyyy")</f>
        <v>January 2024</v>
      </c>
      <c r="X219" s="52" cm="1">
        <f t="array" aca="1" ref="X219:AG230" ca="1">OFFSET(X_Table_PastureBeef_Head_Method2, 1,1, 12,10)</f>
        <v>100</v>
      </c>
      <c r="Y219" s="52">
        <f ca="1"/>
        <v>100</v>
      </c>
      <c r="Z219" s="52">
        <f ca="1"/>
        <v>100</v>
      </c>
      <c r="AA219" s="52">
        <f ca="1"/>
        <v>100</v>
      </c>
      <c r="AB219" s="52">
        <f ca="1"/>
        <v>100</v>
      </c>
      <c r="AC219" s="52">
        <f ca="1"/>
        <v>100</v>
      </c>
      <c r="AD219" s="52">
        <f ca="1"/>
        <v>100</v>
      </c>
      <c r="AE219" s="52">
        <f ca="1"/>
        <v>100</v>
      </c>
      <c r="AF219" s="52">
        <f ca="1"/>
        <v>100</v>
      </c>
      <c r="AG219" s="52">
        <f ca="1"/>
        <v>100</v>
      </c>
      <c r="AH219" s="2" t="s">
        <v>103</v>
      </c>
    </row>
    <row r="220" spans="4:34" ht="20.100000000000001" customHeight="1" x14ac:dyDescent="0.25">
      <c r="D220" s="52" t="s">
        <v>174</v>
      </c>
      <c r="E220" s="52">
        <f ca="1"/>
        <v>100</v>
      </c>
      <c r="F220" s="52">
        <f ca="1"/>
        <v>100</v>
      </c>
      <c r="G220" s="52">
        <f ca="1"/>
        <v>100</v>
      </c>
      <c r="H220" s="52">
        <f ca="1"/>
        <v>100</v>
      </c>
      <c r="I220" s="52">
        <f ca="1"/>
        <v>100</v>
      </c>
      <c r="J220" s="52">
        <f ca="1"/>
        <v>100</v>
      </c>
      <c r="K220" s="52">
        <f ca="1"/>
        <v>100</v>
      </c>
      <c r="L220" s="52">
        <f ca="1"/>
        <v>100</v>
      </c>
      <c r="M220" s="52">
        <f ca="1"/>
        <v>100</v>
      </c>
      <c r="N220" s="52">
        <f ca="1"/>
        <v>100</v>
      </c>
      <c r="O220" s="2" t="s">
        <v>102</v>
      </c>
      <c r="W220" s="52" t="str">
        <f>TEXT(EDATE('Input - Site'!$E$12,1), "mmmm yyyy")</f>
        <v>February 2024</v>
      </c>
      <c r="X220" s="52">
        <f ca="1"/>
        <v>100</v>
      </c>
      <c r="Y220" s="52">
        <f ca="1"/>
        <v>100</v>
      </c>
      <c r="Z220" s="52">
        <f ca="1"/>
        <v>100</v>
      </c>
      <c r="AA220" s="52">
        <f ca="1"/>
        <v>100</v>
      </c>
      <c r="AB220" s="52">
        <f ca="1"/>
        <v>100</v>
      </c>
      <c r="AC220" s="52">
        <f ca="1"/>
        <v>100</v>
      </c>
      <c r="AD220" s="52">
        <f ca="1"/>
        <v>100</v>
      </c>
      <c r="AE220" s="52">
        <f ca="1"/>
        <v>100</v>
      </c>
      <c r="AF220" s="52">
        <f ca="1"/>
        <v>100</v>
      </c>
      <c r="AG220" s="52">
        <f ca="1"/>
        <v>100</v>
      </c>
      <c r="AH220" s="2" t="s">
        <v>103</v>
      </c>
    </row>
    <row r="221" spans="4:34" ht="20.100000000000001" customHeight="1" x14ac:dyDescent="0.25">
      <c r="D221" s="52" t="s">
        <v>175</v>
      </c>
      <c r="E221" s="52">
        <f ca="1"/>
        <v>100</v>
      </c>
      <c r="F221" s="52">
        <f ca="1"/>
        <v>100</v>
      </c>
      <c r="G221" s="52">
        <f ca="1"/>
        <v>100</v>
      </c>
      <c r="H221" s="52">
        <f ca="1"/>
        <v>100</v>
      </c>
      <c r="I221" s="52">
        <f ca="1"/>
        <v>100</v>
      </c>
      <c r="J221" s="52">
        <f ca="1"/>
        <v>100</v>
      </c>
      <c r="K221" s="52">
        <f ca="1"/>
        <v>100</v>
      </c>
      <c r="L221" s="52">
        <f ca="1"/>
        <v>100</v>
      </c>
      <c r="M221" s="52">
        <f ca="1"/>
        <v>100</v>
      </c>
      <c r="N221" s="52">
        <f ca="1"/>
        <v>100</v>
      </c>
      <c r="O221" s="2" t="s">
        <v>102</v>
      </c>
      <c r="W221" s="52" t="str">
        <f>TEXT(EDATE('Input - Site'!$E$12,2), "mmmm yyyy")</f>
        <v>March 2024</v>
      </c>
      <c r="X221" s="52">
        <f ca="1"/>
        <v>100</v>
      </c>
      <c r="Y221" s="52">
        <f ca="1"/>
        <v>100</v>
      </c>
      <c r="Z221" s="52">
        <f ca="1"/>
        <v>100</v>
      </c>
      <c r="AA221" s="52">
        <f ca="1"/>
        <v>100</v>
      </c>
      <c r="AB221" s="52">
        <f ca="1"/>
        <v>100</v>
      </c>
      <c r="AC221" s="52">
        <f ca="1"/>
        <v>100</v>
      </c>
      <c r="AD221" s="52">
        <f ca="1"/>
        <v>100</v>
      </c>
      <c r="AE221" s="52">
        <f ca="1"/>
        <v>100</v>
      </c>
      <c r="AF221" s="52">
        <f ca="1"/>
        <v>100</v>
      </c>
      <c r="AG221" s="52">
        <f ca="1"/>
        <v>100</v>
      </c>
      <c r="AH221" s="2" t="s">
        <v>103</v>
      </c>
    </row>
    <row r="222" spans="4:34" ht="20.100000000000001" customHeight="1" x14ac:dyDescent="0.25">
      <c r="D222" s="52" t="s">
        <v>176</v>
      </c>
      <c r="E222" s="52">
        <f ca="1"/>
        <v>100</v>
      </c>
      <c r="F222" s="52">
        <f ca="1"/>
        <v>100</v>
      </c>
      <c r="G222" s="52">
        <f ca="1"/>
        <v>100</v>
      </c>
      <c r="H222" s="52">
        <f ca="1"/>
        <v>100</v>
      </c>
      <c r="I222" s="52">
        <f ca="1"/>
        <v>100</v>
      </c>
      <c r="J222" s="52">
        <f ca="1"/>
        <v>100</v>
      </c>
      <c r="K222" s="52">
        <f ca="1"/>
        <v>100</v>
      </c>
      <c r="L222" s="52">
        <f ca="1"/>
        <v>100</v>
      </c>
      <c r="M222" s="52">
        <f ca="1"/>
        <v>100</v>
      </c>
      <c r="N222" s="52">
        <f ca="1"/>
        <v>100</v>
      </c>
      <c r="O222" s="2" t="s">
        <v>102</v>
      </c>
      <c r="W222" s="52" t="str">
        <f>TEXT(EDATE('Input - Site'!$E$12,3), "mmmm yyyy")</f>
        <v>April 2024</v>
      </c>
      <c r="X222" s="52">
        <f ca="1"/>
        <v>100</v>
      </c>
      <c r="Y222" s="52">
        <f ca="1"/>
        <v>100</v>
      </c>
      <c r="Z222" s="52">
        <f ca="1"/>
        <v>100</v>
      </c>
      <c r="AA222" s="52">
        <f ca="1"/>
        <v>100</v>
      </c>
      <c r="AB222" s="52">
        <f ca="1"/>
        <v>100</v>
      </c>
      <c r="AC222" s="52">
        <f ca="1"/>
        <v>100</v>
      </c>
      <c r="AD222" s="52">
        <f ca="1"/>
        <v>100</v>
      </c>
      <c r="AE222" s="52">
        <f ca="1"/>
        <v>100</v>
      </c>
      <c r="AF222" s="52">
        <f ca="1"/>
        <v>100</v>
      </c>
      <c r="AG222" s="52">
        <f ca="1"/>
        <v>100</v>
      </c>
      <c r="AH222" s="2" t="s">
        <v>103</v>
      </c>
    </row>
    <row r="223" spans="4:34" ht="20.100000000000001" customHeight="1" x14ac:dyDescent="0.25">
      <c r="W223" s="52" t="str">
        <f>TEXT(EDATE('Input - Site'!$E$12,4), "mmmm yyyy")</f>
        <v>May 2024</v>
      </c>
      <c r="X223" s="52">
        <f ca="1"/>
        <v>100</v>
      </c>
      <c r="Y223" s="52">
        <f ca="1"/>
        <v>100</v>
      </c>
      <c r="Z223" s="52">
        <f ca="1"/>
        <v>100</v>
      </c>
      <c r="AA223" s="52">
        <f ca="1"/>
        <v>100</v>
      </c>
      <c r="AB223" s="52">
        <f ca="1"/>
        <v>100</v>
      </c>
      <c r="AC223" s="52">
        <f ca="1"/>
        <v>100</v>
      </c>
      <c r="AD223" s="52">
        <f ca="1"/>
        <v>100</v>
      </c>
      <c r="AE223" s="52">
        <f ca="1"/>
        <v>100</v>
      </c>
      <c r="AF223" s="52">
        <f ca="1"/>
        <v>100</v>
      </c>
      <c r="AG223" s="52">
        <f ca="1"/>
        <v>100</v>
      </c>
      <c r="AH223" s="2" t="s">
        <v>103</v>
      </c>
    </row>
    <row r="224" spans="4:34" ht="20.100000000000001" customHeight="1" x14ac:dyDescent="0.25">
      <c r="D224" s="98" t="s">
        <v>146</v>
      </c>
      <c r="W224" s="52" t="str">
        <f>TEXT(EDATE('Input - Site'!$E$12,5), "mmmm yyyy")</f>
        <v>June 2024</v>
      </c>
      <c r="X224" s="52">
        <f ca="1"/>
        <v>100</v>
      </c>
      <c r="Y224" s="52">
        <f ca="1"/>
        <v>100</v>
      </c>
      <c r="Z224" s="52">
        <f ca="1"/>
        <v>100</v>
      </c>
      <c r="AA224" s="52">
        <f ca="1"/>
        <v>100</v>
      </c>
      <c r="AB224" s="52">
        <f ca="1"/>
        <v>100</v>
      </c>
      <c r="AC224" s="52">
        <f ca="1"/>
        <v>100</v>
      </c>
      <c r="AD224" s="52">
        <f ca="1"/>
        <v>100</v>
      </c>
      <c r="AE224" s="52">
        <f ca="1"/>
        <v>100</v>
      </c>
      <c r="AF224" s="52">
        <f ca="1"/>
        <v>100</v>
      </c>
      <c r="AG224" s="52">
        <f ca="1"/>
        <v>100</v>
      </c>
      <c r="AH224" s="2" t="s">
        <v>103</v>
      </c>
    </row>
    <row r="225" spans="4:34" ht="20.100000000000001" customHeight="1" x14ac:dyDescent="0.25">
      <c r="D225" s="97" t="s">
        <v>276</v>
      </c>
      <c r="W225" s="52" t="str">
        <f>TEXT(EDATE('Input - Site'!$E$12,6), "mmmm yyyy")</f>
        <v>July 2024</v>
      </c>
      <c r="X225" s="52">
        <f ca="1"/>
        <v>100</v>
      </c>
      <c r="Y225" s="52">
        <f ca="1"/>
        <v>100</v>
      </c>
      <c r="Z225" s="52">
        <f ca="1"/>
        <v>100</v>
      </c>
      <c r="AA225" s="52">
        <f ca="1"/>
        <v>100</v>
      </c>
      <c r="AB225" s="52">
        <f ca="1"/>
        <v>100</v>
      </c>
      <c r="AC225" s="52">
        <f ca="1"/>
        <v>100</v>
      </c>
      <c r="AD225" s="52">
        <f ca="1"/>
        <v>100</v>
      </c>
      <c r="AE225" s="52">
        <f ca="1"/>
        <v>100</v>
      </c>
      <c r="AF225" s="52">
        <f ca="1"/>
        <v>100</v>
      </c>
      <c r="AG225" s="52">
        <f ca="1"/>
        <v>100</v>
      </c>
      <c r="AH225" s="2" t="s">
        <v>103</v>
      </c>
    </row>
    <row r="226" spans="4:34" ht="20.100000000000001" customHeight="1" x14ac:dyDescent="0.25">
      <c r="D226" s="51" t="s">
        <v>184</v>
      </c>
      <c r="E226" s="122" t="s">
        <v>131</v>
      </c>
      <c r="F226" s="122" t="s">
        <v>130</v>
      </c>
      <c r="G226" s="122" t="s">
        <v>165</v>
      </c>
      <c r="H226" s="122" t="s">
        <v>166</v>
      </c>
      <c r="I226" s="122" t="s">
        <v>167</v>
      </c>
      <c r="J226" s="122" t="s">
        <v>168</v>
      </c>
      <c r="K226" s="122" t="s">
        <v>169</v>
      </c>
      <c r="L226" s="122" t="s">
        <v>170</v>
      </c>
      <c r="M226" s="122" t="s">
        <v>171</v>
      </c>
      <c r="N226" s="122" t="s">
        <v>172</v>
      </c>
      <c r="W226" s="52" t="str">
        <f>TEXT(EDATE('Input - Site'!$E$12,7), "mmmm yyyy")</f>
        <v>August 2024</v>
      </c>
      <c r="X226" s="52">
        <f ca="1"/>
        <v>100</v>
      </c>
      <c r="Y226" s="52">
        <f ca="1"/>
        <v>100</v>
      </c>
      <c r="Z226" s="52">
        <f ca="1"/>
        <v>100</v>
      </c>
      <c r="AA226" s="52">
        <f ca="1"/>
        <v>100</v>
      </c>
      <c r="AB226" s="52">
        <f ca="1"/>
        <v>100</v>
      </c>
      <c r="AC226" s="52">
        <f ca="1"/>
        <v>100</v>
      </c>
      <c r="AD226" s="52">
        <f ca="1"/>
        <v>100</v>
      </c>
      <c r="AE226" s="52">
        <f ca="1"/>
        <v>100</v>
      </c>
      <c r="AF226" s="52">
        <f ca="1"/>
        <v>100</v>
      </c>
      <c r="AG226" s="52">
        <f ca="1"/>
        <v>100</v>
      </c>
      <c r="AH226" s="2" t="s">
        <v>103</v>
      </c>
    </row>
    <row r="227" spans="4:34" ht="20.100000000000001" customHeight="1" x14ac:dyDescent="0.25">
      <c r="D227" s="52" t="s">
        <v>173</v>
      </c>
      <c r="E227" s="52" cm="1">
        <f t="array" aca="1" ref="E227:N230" ca="1">OFFSET(X_Table_PastureBeef_Duration_Method1, 1,1, 4,10)</f>
        <v>91.25</v>
      </c>
      <c r="F227" s="52">
        <f ca="1"/>
        <v>91.25</v>
      </c>
      <c r="G227" s="52">
        <f ca="1"/>
        <v>91.25</v>
      </c>
      <c r="H227" s="52">
        <f ca="1"/>
        <v>91.25</v>
      </c>
      <c r="I227" s="52">
        <f ca="1"/>
        <v>91.25</v>
      </c>
      <c r="J227" s="52">
        <f ca="1"/>
        <v>91.25</v>
      </c>
      <c r="K227" s="52">
        <f ca="1"/>
        <v>91.25</v>
      </c>
      <c r="L227" s="52">
        <f ca="1"/>
        <v>91.25</v>
      </c>
      <c r="M227" s="52">
        <f ca="1"/>
        <v>91.25</v>
      </c>
      <c r="N227" s="52">
        <f ca="1"/>
        <v>91.25</v>
      </c>
      <c r="O227" s="2" t="s">
        <v>277</v>
      </c>
      <c r="W227" s="52" t="str">
        <f>TEXT(EDATE('Input - Site'!$E$12,8), "mmmm yyyy")</f>
        <v>September 2024</v>
      </c>
      <c r="X227" s="52">
        <f ca="1"/>
        <v>100</v>
      </c>
      <c r="Y227" s="52">
        <f ca="1"/>
        <v>100</v>
      </c>
      <c r="Z227" s="52">
        <f ca="1"/>
        <v>100</v>
      </c>
      <c r="AA227" s="52">
        <f ca="1"/>
        <v>100</v>
      </c>
      <c r="AB227" s="52">
        <f ca="1"/>
        <v>100</v>
      </c>
      <c r="AC227" s="52">
        <f ca="1"/>
        <v>100</v>
      </c>
      <c r="AD227" s="52">
        <f ca="1"/>
        <v>100</v>
      </c>
      <c r="AE227" s="52">
        <f ca="1"/>
        <v>100</v>
      </c>
      <c r="AF227" s="52">
        <f ca="1"/>
        <v>100</v>
      </c>
      <c r="AG227" s="52">
        <f ca="1"/>
        <v>100</v>
      </c>
      <c r="AH227" s="2" t="s">
        <v>103</v>
      </c>
    </row>
    <row r="228" spans="4:34" ht="20.100000000000001" customHeight="1" x14ac:dyDescent="0.25">
      <c r="D228" s="52" t="s">
        <v>174</v>
      </c>
      <c r="E228" s="52">
        <f ca="1"/>
        <v>91.25</v>
      </c>
      <c r="F228" s="52">
        <f ca="1"/>
        <v>91.25</v>
      </c>
      <c r="G228" s="52">
        <f ca="1"/>
        <v>91.25</v>
      </c>
      <c r="H228" s="52">
        <f ca="1"/>
        <v>91.25</v>
      </c>
      <c r="I228" s="52">
        <f ca="1"/>
        <v>91.25</v>
      </c>
      <c r="J228" s="52">
        <f ca="1"/>
        <v>91.25</v>
      </c>
      <c r="K228" s="52">
        <f ca="1"/>
        <v>91.25</v>
      </c>
      <c r="L228" s="52">
        <f ca="1"/>
        <v>91.25</v>
      </c>
      <c r="M228" s="52">
        <f ca="1"/>
        <v>91.25</v>
      </c>
      <c r="N228" s="52">
        <f ca="1"/>
        <v>91.25</v>
      </c>
      <c r="O228" s="2" t="s">
        <v>277</v>
      </c>
      <c r="W228" s="52" t="str">
        <f>TEXT(EDATE('Input - Site'!$E$12,9), "mmmm yyyy")</f>
        <v>October 2024</v>
      </c>
      <c r="X228" s="52">
        <f ca="1"/>
        <v>100</v>
      </c>
      <c r="Y228" s="52">
        <f ca="1"/>
        <v>100</v>
      </c>
      <c r="Z228" s="52">
        <f ca="1"/>
        <v>100</v>
      </c>
      <c r="AA228" s="52">
        <f ca="1"/>
        <v>100</v>
      </c>
      <c r="AB228" s="52">
        <f ca="1"/>
        <v>100</v>
      </c>
      <c r="AC228" s="52">
        <f ca="1"/>
        <v>100</v>
      </c>
      <c r="AD228" s="52">
        <f ca="1"/>
        <v>100</v>
      </c>
      <c r="AE228" s="52">
        <f ca="1"/>
        <v>100</v>
      </c>
      <c r="AF228" s="52">
        <f ca="1"/>
        <v>100</v>
      </c>
      <c r="AG228" s="52">
        <f ca="1"/>
        <v>100</v>
      </c>
      <c r="AH228" s="2" t="s">
        <v>103</v>
      </c>
    </row>
    <row r="229" spans="4:34" ht="20.100000000000001" customHeight="1" x14ac:dyDescent="0.25">
      <c r="D229" s="52" t="s">
        <v>175</v>
      </c>
      <c r="E229" s="52">
        <f ca="1"/>
        <v>91.25</v>
      </c>
      <c r="F229" s="52">
        <f ca="1"/>
        <v>91.25</v>
      </c>
      <c r="G229" s="52">
        <f ca="1"/>
        <v>91.25</v>
      </c>
      <c r="H229" s="52">
        <f ca="1"/>
        <v>91.25</v>
      </c>
      <c r="I229" s="52">
        <f ca="1"/>
        <v>91.25</v>
      </c>
      <c r="J229" s="52">
        <f ca="1"/>
        <v>91.25</v>
      </c>
      <c r="K229" s="52">
        <f ca="1"/>
        <v>91.25</v>
      </c>
      <c r="L229" s="52">
        <f ca="1"/>
        <v>91.25</v>
      </c>
      <c r="M229" s="52">
        <f ca="1"/>
        <v>91.25</v>
      </c>
      <c r="N229" s="52">
        <f ca="1"/>
        <v>91.25</v>
      </c>
      <c r="O229" s="2" t="s">
        <v>277</v>
      </c>
      <c r="W229" s="52" t="str">
        <f>TEXT(EDATE('Input - Site'!$E$12,10), "mmmm yyyy")</f>
        <v>November 2024</v>
      </c>
      <c r="X229" s="52">
        <f ca="1"/>
        <v>100</v>
      </c>
      <c r="Y229" s="52">
        <f ca="1"/>
        <v>100</v>
      </c>
      <c r="Z229" s="52">
        <f ca="1"/>
        <v>100</v>
      </c>
      <c r="AA229" s="52">
        <f ca="1"/>
        <v>100</v>
      </c>
      <c r="AB229" s="52">
        <f ca="1"/>
        <v>100</v>
      </c>
      <c r="AC229" s="52">
        <f ca="1"/>
        <v>100</v>
      </c>
      <c r="AD229" s="52">
        <f ca="1"/>
        <v>100</v>
      </c>
      <c r="AE229" s="52">
        <f ca="1"/>
        <v>100</v>
      </c>
      <c r="AF229" s="52">
        <f ca="1"/>
        <v>100</v>
      </c>
      <c r="AG229" s="52">
        <f ca="1"/>
        <v>100</v>
      </c>
      <c r="AH229" s="2" t="s">
        <v>103</v>
      </c>
    </row>
    <row r="230" spans="4:34" ht="20.100000000000001" customHeight="1" x14ac:dyDescent="0.25">
      <c r="D230" s="52" t="s">
        <v>176</v>
      </c>
      <c r="E230" s="52">
        <f ca="1"/>
        <v>91.25</v>
      </c>
      <c r="F230" s="52">
        <f ca="1"/>
        <v>91.25</v>
      </c>
      <c r="G230" s="52">
        <f ca="1"/>
        <v>91.25</v>
      </c>
      <c r="H230" s="52">
        <f ca="1"/>
        <v>91.25</v>
      </c>
      <c r="I230" s="52">
        <f ca="1"/>
        <v>91.25</v>
      </c>
      <c r="J230" s="52">
        <f ca="1"/>
        <v>91.25</v>
      </c>
      <c r="K230" s="52">
        <f ca="1"/>
        <v>91.25</v>
      </c>
      <c r="L230" s="52">
        <f ca="1"/>
        <v>91.25</v>
      </c>
      <c r="M230" s="52">
        <f ca="1"/>
        <v>91.25</v>
      </c>
      <c r="N230" s="52">
        <f ca="1"/>
        <v>91.25</v>
      </c>
      <c r="O230" s="2" t="s">
        <v>277</v>
      </c>
      <c r="W230" s="52" t="str">
        <f>TEXT(EDATE('Input - Site'!$E$12,11), "mmmm yyyy")</f>
        <v>December 2024</v>
      </c>
      <c r="X230" s="52">
        <f ca="1"/>
        <v>100</v>
      </c>
      <c r="Y230" s="52">
        <f ca="1"/>
        <v>100</v>
      </c>
      <c r="Z230" s="52">
        <f ca="1"/>
        <v>100</v>
      </c>
      <c r="AA230" s="52">
        <f ca="1"/>
        <v>100</v>
      </c>
      <c r="AB230" s="52">
        <f ca="1"/>
        <v>100</v>
      </c>
      <c r="AC230" s="52">
        <f ca="1"/>
        <v>100</v>
      </c>
      <c r="AD230" s="52">
        <f ca="1"/>
        <v>100</v>
      </c>
      <c r="AE230" s="52">
        <f ca="1"/>
        <v>100</v>
      </c>
      <c r="AF230" s="52">
        <f ca="1"/>
        <v>100</v>
      </c>
      <c r="AG230" s="52">
        <f ca="1"/>
        <v>100</v>
      </c>
      <c r="AH230" s="2" t="s">
        <v>103</v>
      </c>
    </row>
    <row r="231" spans="4:34" ht="20.100000000000001" customHeight="1" x14ac:dyDescent="0.25"/>
    <row r="232" spans="4:34" ht="20.100000000000001" customHeight="1" x14ac:dyDescent="0.25">
      <c r="D232" s="98" t="s">
        <v>147</v>
      </c>
      <c r="W232" s="98" t="s">
        <v>149</v>
      </c>
    </row>
    <row r="233" spans="4:34" ht="20.100000000000001" customHeight="1" x14ac:dyDescent="0.25">
      <c r="D233" s="97" t="s">
        <v>278</v>
      </c>
      <c r="W233" s="97" t="s">
        <v>281</v>
      </c>
    </row>
    <row r="234" spans="4:34" ht="20.100000000000001" customHeight="1" x14ac:dyDescent="0.25">
      <c r="D234" s="51" t="s">
        <v>68</v>
      </c>
      <c r="E234" s="51" t="s">
        <v>184</v>
      </c>
      <c r="F234" s="51" t="s">
        <v>131</v>
      </c>
      <c r="G234" s="51" t="s">
        <v>130</v>
      </c>
      <c r="H234" s="51" t="s">
        <v>165</v>
      </c>
      <c r="I234" s="51" t="s">
        <v>166</v>
      </c>
      <c r="J234" s="51" t="s">
        <v>167</v>
      </c>
      <c r="K234" s="51" t="s">
        <v>168</v>
      </c>
      <c r="L234" s="51" t="s">
        <v>169</v>
      </c>
      <c r="M234" s="51" t="s">
        <v>170</v>
      </c>
      <c r="N234" s="51" t="s">
        <v>171</v>
      </c>
      <c r="O234" s="51" t="s">
        <v>172</v>
      </c>
      <c r="W234" s="51" t="s">
        <v>132</v>
      </c>
      <c r="X234" s="122" t="s">
        <v>131</v>
      </c>
      <c r="Y234" s="122" t="s">
        <v>130</v>
      </c>
      <c r="Z234" s="122" t="s">
        <v>165</v>
      </c>
      <c r="AA234" s="122" t="s">
        <v>166</v>
      </c>
      <c r="AB234" s="122" t="s">
        <v>167</v>
      </c>
      <c r="AC234" s="122" t="s">
        <v>168</v>
      </c>
      <c r="AD234" s="122" t="s">
        <v>169</v>
      </c>
      <c r="AE234" s="122" t="s">
        <v>170</v>
      </c>
      <c r="AF234" s="122" t="s">
        <v>171</v>
      </c>
      <c r="AG234" s="122" t="s">
        <v>172</v>
      </c>
      <c r="AH234" s="2"/>
    </row>
    <row r="235" spans="4:34" ht="20.100000000000001" customHeight="1" x14ac:dyDescent="0.25">
      <c r="D235" s="52" t="str">
        <f>'Input - Pasture Beef'!$D$179</f>
        <v>Pasture range and paddock</v>
      </c>
      <c r="E235" s="52" t="s">
        <v>173</v>
      </c>
      <c r="F235" s="52" cm="1">
        <f t="array" aca="1" ref="F235" ca="1">MMS_PastureBeef_Methane_Equations.VEERG_4_2_1_1__1_TotalAnnualMethaneProductionFromManureManagement(E219,F177,E227)</f>
        <v>1.0543599750549396E-2</v>
      </c>
      <c r="G235" s="52" cm="1">
        <f t="array" aca="1" ref="G235" ca="1">MMS_PastureBeef_Methane_Equations.VEERG_4_2_1_1__1_TotalAnnualMethaneProductionFromManureManagement(F219,G177,F227)</f>
        <v>1.4891433017389384E-2</v>
      </c>
      <c r="H235" s="52" cm="1">
        <f t="array" aca="1" ref="H235" ca="1">MMS_PastureBeef_Methane_Equations.VEERG_4_2_1_1__1_TotalAnnualMethaneProductionFromManureManagement(G219,H177,G227)</f>
        <v>8.036328859194598E-3</v>
      </c>
      <c r="I235" s="52" cm="1">
        <f t="array" aca="1" ref="I235" ca="1">MMS_PastureBeef_Methane_Equations.VEERG_4_2_1_1__1_TotalAnnualMethaneProductionFromManureManagement(H219,I177,H227)</f>
        <v>1.1600874523134977E-2</v>
      </c>
      <c r="J235" s="52" cm="1">
        <f t="array" aca="1" ref="J235" ca="1">MMS_PastureBeef_Methane_Equations.VEERG_4_2_1_1__1_TotalAnnualMethaneProductionFromManureManagement(I219,J177,I227)</f>
        <v>1.3702060159970882E-2</v>
      </c>
      <c r="K235" s="52" cm="1">
        <f t="array" aca="1" ref="K235" ca="1">MMS_PastureBeef_Methane_Equations.VEERG_4_2_1_1__1_TotalAnnualMethaneProductionFromManureManagement(J219,K177,J227)</f>
        <v>1.3702060159970882E-2</v>
      </c>
      <c r="L235" s="52" cm="1">
        <f t="array" aca="1" ref="L235" ca="1">MMS_PastureBeef_Methane_Equations.VEERG_4_2_1_1__1_TotalAnnualMethaneProductionFromManureManagement(K219,L177,K227)</f>
        <v>9.2648217360360614E-3</v>
      </c>
      <c r="M235" s="52" cm="1">
        <f t="array" aca="1" ref="M235" ca="1">MMS_PastureBeef_Methane_Equations.VEERG_4_2_1_1__1_TotalAnnualMethaneProductionFromManureManagement(L219,M177,L227)</f>
        <v>1.1773586282049499E-2</v>
      </c>
      <c r="N235" s="52" cm="1">
        <f t="array" aca="1" ref="N235" ca="1">MMS_PastureBeef_Methane_Equations.VEERG_4_2_1_1__1_TotalAnnualMethaneProductionFromManureManagement(M219,N177,M227)</f>
        <v>1.1773586282049499E-2</v>
      </c>
      <c r="O235" s="52" cm="1">
        <f t="array" aca="1" ref="O235" ca="1">MMS_PastureBeef_Methane_Equations.VEERG_4_2_1_1__1_TotalAnnualMethaneProductionFromManureManagement(N219,O177,N227)</f>
        <v>1.1773586282049499E-2</v>
      </c>
      <c r="P235" s="2" t="str">
        <f>$E$210</f>
        <v>t CH4</v>
      </c>
      <c r="Q235" s="2"/>
      <c r="R235" s="2"/>
      <c r="S235" s="2"/>
      <c r="W235" s="52" t="str">
        <f>TEXT('Input - Site'!$E$12, "mmmm yyyy")</f>
        <v>January 2024</v>
      </c>
      <c r="X235" s="52" cm="1">
        <f t="array" aca="1" ref="X235:AG246" ca="1">OFFSET(X_Table_PastureBeef_Duration_Method2, 1,1, 12,10)</f>
        <v>31</v>
      </c>
      <c r="Y235" s="52">
        <f ca="1"/>
        <v>31</v>
      </c>
      <c r="Z235" s="52">
        <f ca="1"/>
        <v>31</v>
      </c>
      <c r="AA235" s="52">
        <f ca="1"/>
        <v>31</v>
      </c>
      <c r="AB235" s="52">
        <f ca="1"/>
        <v>31</v>
      </c>
      <c r="AC235" s="52">
        <f ca="1"/>
        <v>31</v>
      </c>
      <c r="AD235" s="52">
        <f ca="1"/>
        <v>31</v>
      </c>
      <c r="AE235" s="52">
        <f ca="1"/>
        <v>31</v>
      </c>
      <c r="AF235" s="52">
        <f ca="1"/>
        <v>31</v>
      </c>
      <c r="AG235" s="52">
        <f ca="1"/>
        <v>31</v>
      </c>
      <c r="AH235" s="2" t="s">
        <v>277</v>
      </c>
    </row>
    <row r="236" spans="4:34" ht="20.100000000000001" customHeight="1" x14ac:dyDescent="0.25">
      <c r="D236" s="52" t="str">
        <f>'Input - Pasture Beef'!$D$179</f>
        <v>Pasture range and paddock</v>
      </c>
      <c r="E236" s="52" t="s">
        <v>174</v>
      </c>
      <c r="F236" s="52" cm="1">
        <f t="array" aca="1" ref="F236" ca="1">MMS_PastureBeef_Methane_Equations.VEERG_4_2_1_1__1_TotalAnnualMethaneProductionFromManureManagement(E220,F178,E228)</f>
        <v>1.6656585480999568E-2</v>
      </c>
      <c r="G236" s="52" cm="1">
        <f t="array" aca="1" ref="G236" ca="1">MMS_PastureBeef_Methane_Equations.VEERG_4_2_1_1__1_TotalAnnualMethaneProductionFromManureManagement(F220,G178,F228)</f>
        <v>2.2038309341351328E-2</v>
      </c>
      <c r="H236" s="52" cm="1">
        <f t="array" aca="1" ref="H236" ca="1">MMS_PastureBeef_Methane_Equations.VEERG_4_2_1_1__1_TotalAnnualMethaneProductionFromManureManagement(G220,H178,G228)</f>
        <v>1.4007812244206296E-2</v>
      </c>
      <c r="I236" s="52" cm="1">
        <f t="array" aca="1" ref="I236" ca="1">MMS_PastureBeef_Methane_Equations.VEERG_4_2_1_1__1_TotalAnnualMethaneProductionFromManureManagement(H220,I178,H228)</f>
        <v>1.9076974173493084E-2</v>
      </c>
      <c r="J236" s="52" cm="1">
        <f t="array" aca="1" ref="J236" ca="1">MMS_PastureBeef_Methane_Equations.VEERG_4_2_1_1__1_TotalAnnualMethaneProductionFromManureManagement(I220,J178,I228)</f>
        <v>1.8888538660416041E-2</v>
      </c>
      <c r="K236" s="52" cm="1">
        <f t="array" aca="1" ref="K236" ca="1">MMS_PastureBeef_Methane_Equations.VEERG_4_2_1_1__1_TotalAnnualMethaneProductionFromManureManagement(J220,K178,J228)</f>
        <v>1.8888538660416041E-2</v>
      </c>
      <c r="L236" s="52" cm="1">
        <f t="array" aca="1" ref="L236" ca="1">MMS_PastureBeef_Methane_Equations.VEERG_4_2_1_1__1_TotalAnnualMethaneProductionFromManureManagement(K220,L178,K228)</f>
        <v>1.5353274092545728E-2</v>
      </c>
      <c r="M236" s="52" cm="1">
        <f t="array" aca="1" ref="M236" ca="1">MMS_PastureBeef_Methane_Equations.VEERG_4_2_1_1__1_TotalAnnualMethaneProductionFromManureManagement(L220,M178,L228)</f>
        <v>1.7113891285974955E-2</v>
      </c>
      <c r="N236" s="52" cm="1">
        <f t="array" aca="1" ref="N236" ca="1">MMS_PastureBeef_Methane_Equations.VEERG_4_2_1_1__1_TotalAnnualMethaneProductionFromManureManagement(M220,N178,M228)</f>
        <v>1.7113891285974955E-2</v>
      </c>
      <c r="O236" s="52" cm="1">
        <f t="array" aca="1" ref="O236" ca="1">MMS_PastureBeef_Methane_Equations.VEERG_4_2_1_1__1_TotalAnnualMethaneProductionFromManureManagement(N220,O178,N228)</f>
        <v>1.7113891285974955E-2</v>
      </c>
      <c r="P236" s="2" t="str">
        <f t="shared" ref="P236:P242" si="10">$E$210</f>
        <v>t CH4</v>
      </c>
      <c r="Q236" s="2"/>
      <c r="R236" s="2"/>
      <c r="S236" s="2"/>
      <c r="W236" s="52" t="str">
        <f>TEXT(EDATE('Input - Site'!$E$12,1), "mmmm yyyy")</f>
        <v>February 2024</v>
      </c>
      <c r="X236" s="52">
        <f ca="1"/>
        <v>29</v>
      </c>
      <c r="Y236" s="52">
        <f ca="1"/>
        <v>29</v>
      </c>
      <c r="Z236" s="52">
        <f ca="1"/>
        <v>29</v>
      </c>
      <c r="AA236" s="52">
        <f ca="1"/>
        <v>29</v>
      </c>
      <c r="AB236" s="52">
        <f ca="1"/>
        <v>29</v>
      </c>
      <c r="AC236" s="52">
        <f ca="1"/>
        <v>29</v>
      </c>
      <c r="AD236" s="52">
        <f ca="1"/>
        <v>29</v>
      </c>
      <c r="AE236" s="52">
        <f ca="1"/>
        <v>29</v>
      </c>
      <c r="AF236" s="52">
        <f ca="1"/>
        <v>29</v>
      </c>
      <c r="AG236" s="52">
        <f ca="1"/>
        <v>29</v>
      </c>
      <c r="AH236" s="2" t="s">
        <v>277</v>
      </c>
    </row>
    <row r="237" spans="4:34" ht="20.100000000000001" customHeight="1" x14ac:dyDescent="0.25">
      <c r="D237" s="52" t="str">
        <f>'Input - Pasture Beef'!$D$179</f>
        <v>Pasture range and paddock</v>
      </c>
      <c r="E237" s="52" t="s">
        <v>175</v>
      </c>
      <c r="F237" s="52" cm="1">
        <f t="array" aca="1" ref="F237" ca="1">MMS_PastureBeef_Methane_Equations.VEERG_4_2_1_1__1_TotalAnnualMethaneProductionFromManureManagement(E221,F179,E229)</f>
        <v>8.884164431756528E-3</v>
      </c>
      <c r="G237" s="52" cm="1">
        <f t="array" aca="1" ref="G237" ca="1">MMS_PastureBeef_Methane_Equations.VEERG_4_2_1_1__1_TotalAnnualMethaneProductionFromManureManagement(F221,G179,F229)</f>
        <v>2.5785315433305797E-2</v>
      </c>
      <c r="H237" s="52" cm="1">
        <f t="array" aca="1" ref="H237" ca="1">MMS_PastureBeef_Methane_Equations.VEERG_4_2_1_1__1_TotalAnnualMethaneProductionFromManureManagement(G221,H179,G229)</f>
        <v>8.0992845830886555E-3</v>
      </c>
      <c r="I237" s="52" cm="1">
        <f t="array" aca="1" ref="I237" ca="1">MMS_PastureBeef_Methane_Equations.VEERG_4_2_1_1__1_TotalAnnualMethaneProductionFromManureManagement(H221,I179,H229)</f>
        <v>1.6463195266712558E-2</v>
      </c>
      <c r="J237" s="52" cm="1">
        <f t="array" aca="1" ref="J237" ca="1">MMS_PastureBeef_Methane_Equations.VEERG_4_2_1_1__1_TotalAnnualMethaneProductionFromManureManagement(I221,J179,I229)</f>
        <v>1.8380056806114171E-2</v>
      </c>
      <c r="K237" s="52" cm="1">
        <f t="array" aca="1" ref="K237" ca="1">MMS_PastureBeef_Methane_Equations.VEERG_4_2_1_1__1_TotalAnnualMethaneProductionFromManureManagement(J221,K179,J229)</f>
        <v>1.8380056806114171E-2</v>
      </c>
      <c r="L237" s="52" cm="1">
        <f t="array" aca="1" ref="L237" ca="1">MMS_PastureBeef_Methane_Equations.VEERG_4_2_1_1__1_TotalAnnualMethaneProductionFromManureManagement(K221,L179,K229)</f>
        <v>8.884164431756528E-3</v>
      </c>
      <c r="M237" s="52" cm="1">
        <f t="array" aca="1" ref="M237" ca="1">MMS_PastureBeef_Methane_Equations.VEERG_4_2_1_1__1_TotalAnnualMethaneProductionFromManureManagement(L221,M179,L229)</f>
        <v>1.6129417703899748E-2</v>
      </c>
      <c r="N237" s="52" cm="1">
        <f t="array" aca="1" ref="N237" ca="1">MMS_PastureBeef_Methane_Equations.VEERG_4_2_1_1__1_TotalAnnualMethaneProductionFromManureManagement(M221,N179,M229)</f>
        <v>1.6129417703899748E-2</v>
      </c>
      <c r="O237" s="52" cm="1">
        <f t="array" aca="1" ref="O237" ca="1">MMS_PastureBeef_Methane_Equations.VEERG_4_2_1_1__1_TotalAnnualMethaneProductionFromManureManagement(N221,O179,N229)</f>
        <v>1.6129417703899748E-2</v>
      </c>
      <c r="P237" s="2" t="str">
        <f t="shared" si="10"/>
        <v>t CH4</v>
      </c>
      <c r="Q237" s="2"/>
      <c r="R237" s="2"/>
      <c r="S237" s="2"/>
      <c r="W237" s="52" t="str">
        <f>TEXT(EDATE('Input - Site'!$E$12,2), "mmmm yyyy")</f>
        <v>March 2024</v>
      </c>
      <c r="X237" s="52">
        <f ca="1"/>
        <v>31</v>
      </c>
      <c r="Y237" s="52">
        <f ca="1"/>
        <v>31</v>
      </c>
      <c r="Z237" s="52">
        <f ca="1"/>
        <v>31</v>
      </c>
      <c r="AA237" s="52">
        <f ca="1"/>
        <v>31</v>
      </c>
      <c r="AB237" s="52">
        <f ca="1"/>
        <v>31</v>
      </c>
      <c r="AC237" s="52">
        <f ca="1"/>
        <v>31</v>
      </c>
      <c r="AD237" s="52">
        <f ca="1"/>
        <v>31</v>
      </c>
      <c r="AE237" s="52">
        <f ca="1"/>
        <v>31</v>
      </c>
      <c r="AF237" s="52">
        <f ca="1"/>
        <v>31</v>
      </c>
      <c r="AG237" s="52">
        <f ca="1"/>
        <v>31</v>
      </c>
      <c r="AH237" s="2" t="s">
        <v>277</v>
      </c>
    </row>
    <row r="238" spans="4:34" ht="20.100000000000001" customHeight="1" x14ac:dyDescent="0.25">
      <c r="D238" s="52" t="str">
        <f>'Input - Pasture Beef'!$D$179</f>
        <v>Pasture range and paddock</v>
      </c>
      <c r="E238" s="52" t="s">
        <v>176</v>
      </c>
      <c r="F238" s="52" cm="1">
        <f t="array" aca="1" ref="F238" ca="1">MMS_PastureBeef_Methane_Equations.VEERG_4_2_1_1__1_TotalAnnualMethaneProductionFromManureManagement(E222,F180,E230)</f>
        <v>7.5417805472721543E-3</v>
      </c>
      <c r="G238" s="52" cm="1">
        <f t="array" aca="1" ref="G238" ca="1">MMS_PastureBeef_Methane_Equations.VEERG_4_2_1_1__1_TotalAnnualMethaneProductionFromManureManagement(F222,G180,F230)</f>
        <v>1.4656086295388867E-2</v>
      </c>
      <c r="H238" s="52" cm="1">
        <f t="array" aca="1" ref="H238" ca="1">MMS_PastureBeef_Methane_Equations.VEERG_4_2_1_1__1_TotalAnnualMethaneProductionFromManureManagement(G222,H180,G230)</f>
        <v>6.1750454688088846E-3</v>
      </c>
      <c r="I238" s="52" cm="1">
        <f t="array" aca="1" ref="I238" ca="1">MMS_PastureBeef_Methane_Equations.VEERG_4_2_1_1__1_TotalAnnualMethaneProductionFromManureManagement(H222,I180,H230)</f>
        <v>1.0538798529818759E-2</v>
      </c>
      <c r="J238" s="52" cm="1">
        <f t="array" aca="1" ref="J238" ca="1">MMS_PastureBeef_Methane_Equations.VEERG_4_2_1_1__1_TotalAnnualMethaneProductionFromManureManagement(I222,J180,I230)</f>
        <v>1.3437059174447761E-2</v>
      </c>
      <c r="K238" s="52" cm="1">
        <f t="array" aca="1" ref="K238" ca="1">MMS_PastureBeef_Methane_Equations.VEERG_4_2_1_1__1_TotalAnnualMethaneProductionFromManureManagement(J222,K180,J230)</f>
        <v>1.3437059174447761E-2</v>
      </c>
      <c r="L238" s="52" cm="1">
        <f t="array" aca="1" ref="L238" ca="1">MMS_PastureBeef_Methane_Equations.VEERG_4_2_1_1__1_TotalAnnualMethaneProductionFromManureManagement(K222,L180,K230)</f>
        <v>6.6298873742505681E-3</v>
      </c>
      <c r="M238" s="52" cm="1">
        <f t="array" aca="1" ref="M238" ca="1">MMS_PastureBeef_Methane_Equations.VEERG_4_2_1_1__1_TotalAnnualMethaneProductionFromManureManagement(L222,M180,L230)</f>
        <v>1.0093889601476421E-2</v>
      </c>
      <c r="N238" s="52" cm="1">
        <f t="array" aca="1" ref="N238" ca="1">MMS_PastureBeef_Methane_Equations.VEERG_4_2_1_1__1_TotalAnnualMethaneProductionFromManureManagement(M222,N180,M230)</f>
        <v>1.0093889601476421E-2</v>
      </c>
      <c r="O238" s="52" cm="1">
        <f t="array" aca="1" ref="O238" ca="1">MMS_PastureBeef_Methane_Equations.VEERG_4_2_1_1__1_TotalAnnualMethaneProductionFromManureManagement(N222,O180,N230)</f>
        <v>1.0093889601476421E-2</v>
      </c>
      <c r="P238" s="2" t="str">
        <f t="shared" si="10"/>
        <v>t CH4</v>
      </c>
      <c r="Q238" s="2"/>
      <c r="R238" s="2"/>
      <c r="S238" s="2"/>
      <c r="W238" s="52" t="str">
        <f>TEXT(EDATE('Input - Site'!$E$12,3), "mmmm yyyy")</f>
        <v>April 2024</v>
      </c>
      <c r="X238" s="52">
        <f ca="1"/>
        <v>30</v>
      </c>
      <c r="Y238" s="52">
        <f ca="1"/>
        <v>30</v>
      </c>
      <c r="Z238" s="52">
        <f ca="1"/>
        <v>30</v>
      </c>
      <c r="AA238" s="52">
        <f ca="1"/>
        <v>30</v>
      </c>
      <c r="AB238" s="52">
        <f ca="1"/>
        <v>30</v>
      </c>
      <c r="AC238" s="52">
        <f ca="1"/>
        <v>30</v>
      </c>
      <c r="AD238" s="52">
        <f ca="1"/>
        <v>30</v>
      </c>
      <c r="AE238" s="52">
        <f ca="1"/>
        <v>30</v>
      </c>
      <c r="AF238" s="52">
        <f ca="1"/>
        <v>30</v>
      </c>
      <c r="AG238" s="52">
        <f ca="1"/>
        <v>30</v>
      </c>
      <c r="AH238" s="2" t="s">
        <v>277</v>
      </c>
    </row>
    <row r="239" spans="4:34" ht="20.100000000000001" customHeight="1" x14ac:dyDescent="0.25">
      <c r="D239" s="52" t="str">
        <f>'Input - Pasture Beef'!$D$180</f>
        <v>Anaerobic lagoon</v>
      </c>
      <c r="E239" s="52" t="s">
        <v>173</v>
      </c>
      <c r="F239" s="52" cm="1">
        <f t="array" aca="1" ref="F239" ca="1">MMS_PastureBeef_Methane_Equations.VEERG_4_2_1_1__1_TotalAnnualMethaneProductionFromManureManagement(E219,F181,E227)</f>
        <v>6.4690601459427921E-3</v>
      </c>
      <c r="G239" s="52" cm="1">
        <f t="array" aca="1" ref="G239" ca="1">MMS_PastureBeef_Methane_Equations.VEERG_4_2_1_1__1_TotalAnnualMethaneProductionFromManureManagement(F219,G181,F227)</f>
        <v>9.1366874813083275E-3</v>
      </c>
      <c r="H239" s="52" cm="1">
        <f t="array" aca="1" ref="H239" ca="1">MMS_PastureBeef_Methane_Equations.VEERG_4_2_1_1__1_TotalAnnualMethaneProductionFromManureManagement(G219,H181,G227)</f>
        <v>4.9307158819260717E-3</v>
      </c>
      <c r="I239" s="52" cm="1">
        <f t="array" aca="1" ref="I239" ca="1">MMS_PastureBeef_Methane_Equations.VEERG_4_2_1_1__1_TotalAnnualMethaneProductionFromManureManagement(H219,I181,H227)</f>
        <v>7.1177545441048363E-3</v>
      </c>
      <c r="J239" s="52" cm="1">
        <f t="array" aca="1" ref="J239" ca="1">MMS_PastureBeef_Methane_Equations.VEERG_4_2_1_1__1_TotalAnnualMethaneProductionFromManureManagement(I219,J181,I227)</f>
        <v>8.4069438707173438E-3</v>
      </c>
      <c r="K239" s="52" cm="1">
        <f t="array" aca="1" ref="K239" ca="1">MMS_PastureBeef_Methane_Equations.VEERG_4_2_1_1__1_TotalAnnualMethaneProductionFromManureManagement(J219,K181,J227)</f>
        <v>8.4069438707173438E-3</v>
      </c>
      <c r="L239" s="52" cm="1">
        <f t="array" aca="1" ref="L239" ca="1">MMS_PastureBeef_Methane_Equations.VEERG_4_2_1_1__1_TotalAnnualMethaneProductionFromManureManagement(K219,L181,K227)</f>
        <v>5.6844617085101672E-3</v>
      </c>
      <c r="M239" s="52" cm="1">
        <f t="array" aca="1" ref="M239" ca="1">MMS_PastureBeef_Methane_Equations.VEERG_4_2_1_1__1_TotalAnnualMethaneProductionFromManureManagement(L219,M181,L227)</f>
        <v>7.2237224092328136E-3</v>
      </c>
      <c r="N239" s="52" cm="1">
        <f t="array" aca="1" ref="N239" ca="1">MMS_PastureBeef_Methane_Equations.VEERG_4_2_1_1__1_TotalAnnualMethaneProductionFromManureManagement(M219,N181,M227)</f>
        <v>7.2237224092328136E-3</v>
      </c>
      <c r="O239" s="52" cm="1">
        <f t="array" aca="1" ref="O239" ca="1">MMS_PastureBeef_Methane_Equations.VEERG_4_2_1_1__1_TotalAnnualMethaneProductionFromManureManagement(N219,O181,N227)</f>
        <v>7.2237224092328136E-3</v>
      </c>
      <c r="P239" s="2" t="str">
        <f t="shared" si="10"/>
        <v>t CH4</v>
      </c>
      <c r="Q239" s="2"/>
      <c r="R239" s="2"/>
      <c r="S239" s="2"/>
      <c r="W239" s="52" t="str">
        <f>TEXT(EDATE('Input - Site'!$E$12,4), "mmmm yyyy")</f>
        <v>May 2024</v>
      </c>
      <c r="X239" s="52">
        <f ca="1"/>
        <v>31</v>
      </c>
      <c r="Y239" s="52">
        <f ca="1"/>
        <v>31</v>
      </c>
      <c r="Z239" s="52">
        <f ca="1"/>
        <v>31</v>
      </c>
      <c r="AA239" s="52">
        <f ca="1"/>
        <v>31</v>
      </c>
      <c r="AB239" s="52">
        <f ca="1"/>
        <v>31</v>
      </c>
      <c r="AC239" s="52">
        <f ca="1"/>
        <v>31</v>
      </c>
      <c r="AD239" s="52">
        <f ca="1"/>
        <v>31</v>
      </c>
      <c r="AE239" s="52">
        <f ca="1"/>
        <v>31</v>
      </c>
      <c r="AF239" s="52">
        <f ca="1"/>
        <v>31</v>
      </c>
      <c r="AG239" s="52">
        <f ca="1"/>
        <v>31</v>
      </c>
      <c r="AH239" s="2" t="s">
        <v>277</v>
      </c>
    </row>
    <row r="240" spans="4:34" ht="20.100000000000001" customHeight="1" x14ac:dyDescent="0.25">
      <c r="D240" s="52" t="str">
        <f>'Input - Pasture Beef'!$D$180</f>
        <v>Anaerobic lagoon</v>
      </c>
      <c r="E240" s="52" t="s">
        <v>174</v>
      </c>
      <c r="F240" s="52" cm="1">
        <f t="array" aca="1" ref="F240" ca="1">MMS_PastureBeef_Methane_Equations.VEERG_4_2_1_1__1_TotalAnnualMethaneProductionFromManureManagement(E220,F182,E228)</f>
        <v>1.0219702554339564E-2</v>
      </c>
      <c r="G240" s="52" cm="1">
        <f t="array" aca="1" ref="G240" ca="1">MMS_PastureBeef_Methane_Equations.VEERG_4_2_1_1__1_TotalAnnualMethaneProductionFromManureManagement(F220,G182,F228)</f>
        <v>1.3521676848238278E-2</v>
      </c>
      <c r="H240" s="52" cm="1">
        <f t="array" aca="1" ref="H240" ca="1">MMS_PastureBeef_Methane_Equations.VEERG_4_2_1_1__1_TotalAnnualMethaneProductionFromManureManagement(G220,H182,G228)</f>
        <v>8.5945390630104875E-3</v>
      </c>
      <c r="I240" s="52" cm="1">
        <f t="array" aca="1" ref="I240" ca="1">MMS_PastureBeef_Methane_Equations.VEERG_4_2_1_1__1_TotalAnnualMethaneProductionFromManureManagement(H220,I182,H228)</f>
        <v>1.1704739960798825E-2</v>
      </c>
      <c r="J240" s="52" cm="1">
        <f t="array" aca="1" ref="J240" ca="1">MMS_PastureBeef_Methane_Equations.VEERG_4_2_1_1__1_TotalAnnualMethaneProductionFromManureManagement(I220,J182,I228)</f>
        <v>1.1589124734825984E-2</v>
      </c>
      <c r="K240" s="52" cm="1">
        <f t="array" aca="1" ref="K240" ca="1">MMS_PastureBeef_Methane_Equations.VEERG_4_2_1_1__1_TotalAnnualMethaneProductionFromManureManagement(J220,K182,J228)</f>
        <v>1.1589124734825984E-2</v>
      </c>
      <c r="L240" s="52" cm="1">
        <f t="array" aca="1" ref="L240" ca="1">MMS_PastureBeef_Methane_Equations.VEERG_4_2_1_1__1_TotalAnnualMethaneProductionFromManureManagement(K220,L182,K228)</f>
        <v>9.420051585005227E-3</v>
      </c>
      <c r="M240" s="52" cm="1">
        <f t="array" aca="1" ref="M240" ca="1">MMS_PastureBeef_Methane_Equations.VEERG_4_2_1_1__1_TotalAnnualMethaneProductionFromManureManagement(L220,M182,L228)</f>
        <v>1.0500284028168785E-2</v>
      </c>
      <c r="N240" s="52" cm="1">
        <f t="array" aca="1" ref="N240" ca="1">MMS_PastureBeef_Methane_Equations.VEERG_4_2_1_1__1_TotalAnnualMethaneProductionFromManureManagement(M220,N182,M228)</f>
        <v>1.0500284028168785E-2</v>
      </c>
      <c r="O240" s="52" cm="1">
        <f t="array" aca="1" ref="O240" ca="1">MMS_PastureBeef_Methane_Equations.VEERG_4_2_1_1__1_TotalAnnualMethaneProductionFromManureManagement(N220,O182,N228)</f>
        <v>1.0500284028168785E-2</v>
      </c>
      <c r="P240" s="2" t="str">
        <f t="shared" si="10"/>
        <v>t CH4</v>
      </c>
      <c r="Q240" s="2"/>
      <c r="R240" s="2"/>
      <c r="S240" s="2"/>
      <c r="W240" s="52" t="str">
        <f>TEXT(EDATE('Input - Site'!$E$12,5), "mmmm yyyy")</f>
        <v>June 2024</v>
      </c>
      <c r="X240" s="52">
        <f ca="1"/>
        <v>30</v>
      </c>
      <c r="Y240" s="52">
        <f ca="1"/>
        <v>30</v>
      </c>
      <c r="Z240" s="52">
        <f ca="1"/>
        <v>30</v>
      </c>
      <c r="AA240" s="52">
        <f ca="1"/>
        <v>30</v>
      </c>
      <c r="AB240" s="52">
        <f ca="1"/>
        <v>30</v>
      </c>
      <c r="AC240" s="52">
        <f ca="1"/>
        <v>30</v>
      </c>
      <c r="AD240" s="52">
        <f ca="1"/>
        <v>30</v>
      </c>
      <c r="AE240" s="52">
        <f ca="1"/>
        <v>30</v>
      </c>
      <c r="AF240" s="52">
        <f ca="1"/>
        <v>30</v>
      </c>
      <c r="AG240" s="52">
        <f ca="1"/>
        <v>30</v>
      </c>
      <c r="AH240" s="2" t="s">
        <v>277</v>
      </c>
    </row>
    <row r="241" spans="4:36" ht="20.100000000000001" customHeight="1" x14ac:dyDescent="0.25">
      <c r="D241" s="52" t="str">
        <f>'Input - Pasture Beef'!$D$180</f>
        <v>Anaerobic lagoon</v>
      </c>
      <c r="E241" s="52" t="s">
        <v>175</v>
      </c>
      <c r="F241" s="52" cm="1">
        <f t="array" aca="1" ref="F241" ca="1">MMS_PastureBeef_Methane_Equations.VEERG_4_2_1_1__1_TotalAnnualMethaneProductionFromManureManagement(E221,F183,E229)</f>
        <v>5.4509081732246091E-3</v>
      </c>
      <c r="G241" s="52" cm="1">
        <f t="array" aca="1" ref="G241" ca="1">MMS_PastureBeef_Methane_Equations.VEERG_4_2_1_1__1_TotalAnnualMethaneProductionFromManureManagement(F221,G183,F229)</f>
        <v>1.5820664703387506E-2</v>
      </c>
      <c r="H241" s="52" cm="1">
        <f t="array" aca="1" ref="H241" ca="1">MMS_PastureBeef_Methane_Equations.VEERG_4_2_1_1__1_TotalAnnualMethaneProductionFromManureManagement(G221,H183,G229)</f>
        <v>4.9693425724338198E-3</v>
      </c>
      <c r="I241" s="52" cm="1">
        <f t="array" aca="1" ref="I241" ca="1">MMS_PastureBeef_Methane_Equations.VEERG_4_2_1_1__1_TotalAnnualMethaneProductionFromManureManagement(H221,I183,H229)</f>
        <v>1.010104735521801E-2</v>
      </c>
      <c r="J241" s="52" cm="1">
        <f t="array" aca="1" ref="J241" ca="1">MMS_PastureBeef_Methane_Equations.VEERG_4_2_1_1__1_TotalAnnualMethaneProductionFromManureManagement(I221,J183,I229)</f>
        <v>1.1277144028385762E-2</v>
      </c>
      <c r="K241" s="52" cm="1">
        <f t="array" aca="1" ref="K241" ca="1">MMS_PastureBeef_Methane_Equations.VEERG_4_2_1_1__1_TotalAnnualMethaneProductionFromManureManagement(J221,K183,J229)</f>
        <v>1.1277144028385762E-2</v>
      </c>
      <c r="L241" s="52" cm="1">
        <f t="array" aca="1" ref="L241" ca="1">MMS_PastureBeef_Methane_Equations.VEERG_4_2_1_1__1_TotalAnnualMethaneProductionFromManureManagement(K221,L183,K229)</f>
        <v>5.4509081732246091E-3</v>
      </c>
      <c r="M241" s="52" cm="1">
        <f t="array" aca="1" ref="M241" ca="1">MMS_PastureBeef_Methane_Equations.VEERG_4_2_1_1__1_TotalAnnualMethaneProductionFromManureManagement(L221,M183,L229)</f>
        <v>9.8962570387902855E-3</v>
      </c>
      <c r="N241" s="52" cm="1">
        <f t="array" aca="1" ref="N241" ca="1">MMS_PastureBeef_Methane_Equations.VEERG_4_2_1_1__1_TotalAnnualMethaneProductionFromManureManagement(M221,N183,M229)</f>
        <v>9.8962570387902855E-3</v>
      </c>
      <c r="O241" s="52" cm="1">
        <f t="array" aca="1" ref="O241" ca="1">MMS_PastureBeef_Methane_Equations.VEERG_4_2_1_1__1_TotalAnnualMethaneProductionFromManureManagement(N221,O183,N229)</f>
        <v>9.8962570387902855E-3</v>
      </c>
      <c r="P241" s="2" t="str">
        <f t="shared" si="10"/>
        <v>t CH4</v>
      </c>
      <c r="Q241" s="2"/>
      <c r="R241" s="2"/>
      <c r="S241" s="2"/>
      <c r="W241" s="52" t="str">
        <f>TEXT(EDATE('Input - Site'!$E$12,6), "mmmm yyyy")</f>
        <v>July 2024</v>
      </c>
      <c r="X241" s="52">
        <f ca="1"/>
        <v>31</v>
      </c>
      <c r="Y241" s="52">
        <f ca="1"/>
        <v>31</v>
      </c>
      <c r="Z241" s="52">
        <f ca="1"/>
        <v>31</v>
      </c>
      <c r="AA241" s="52">
        <f ca="1"/>
        <v>31</v>
      </c>
      <c r="AB241" s="52">
        <f ca="1"/>
        <v>31</v>
      </c>
      <c r="AC241" s="52">
        <f ca="1"/>
        <v>31</v>
      </c>
      <c r="AD241" s="52">
        <f ca="1"/>
        <v>31</v>
      </c>
      <c r="AE241" s="52">
        <f ca="1"/>
        <v>31</v>
      </c>
      <c r="AF241" s="52">
        <f ca="1"/>
        <v>31</v>
      </c>
      <c r="AG241" s="52">
        <f ca="1"/>
        <v>31</v>
      </c>
      <c r="AH241" s="2" t="s">
        <v>277</v>
      </c>
    </row>
    <row r="242" spans="4:36" ht="20.100000000000001" customHeight="1" x14ac:dyDescent="0.25">
      <c r="D242" s="52" t="str">
        <f>'Input - Pasture Beef'!$D$180</f>
        <v>Anaerobic lagoon</v>
      </c>
      <c r="E242" s="52" t="s">
        <v>176</v>
      </c>
      <c r="F242" s="52" cm="1">
        <f t="array" aca="1" ref="F242" ca="1">MMS_PastureBeef_Methane_Equations.VEERG_4_2_1_1__1_TotalAnnualMethaneProductionFromManureManagement(E222,F184,E230)</f>
        <v>4.6272841460301721E-3</v>
      </c>
      <c r="G242" s="52" cm="1">
        <f t="array" aca="1" ref="G242" ca="1">MMS_PastureBeef_Methane_Equations.VEERG_4_2_1_1__1_TotalAnnualMethaneProductionFromManureManagement(F222,G184,F230)</f>
        <v>8.992289729516538E-3</v>
      </c>
      <c r="H242" s="52" cm="1">
        <f t="array" aca="1" ref="H242" ca="1">MMS_PastureBeef_Methane_Equations.VEERG_4_2_1_1__1_TotalAnnualMethaneProductionFromManureManagement(G222,H184,G230)</f>
        <v>3.7887193640459152E-3</v>
      </c>
      <c r="I242" s="52" cm="1">
        <f t="array" aca="1" ref="I242" ca="1">MMS_PastureBeef_Methane_Equations.VEERG_4_2_1_1__1_TotalAnnualMethaneProductionFromManureManagement(H222,I184,H230)</f>
        <v>6.4661143412446552E-3</v>
      </c>
      <c r="J242" s="52" cm="1">
        <f t="array" aca="1" ref="J242" ca="1">MMS_PastureBeef_Methane_Equations.VEERG_4_2_1_1__1_TotalAnnualMethaneProductionFromManureManagement(I222,J184,I230)</f>
        <v>8.2443516484553159E-3</v>
      </c>
      <c r="K242" s="52" cm="1">
        <f t="array" aca="1" ref="K242" ca="1">MMS_PastureBeef_Methane_Equations.VEERG_4_2_1_1__1_TotalAnnualMethaneProductionFromManureManagement(J222,K184,J230)</f>
        <v>8.2443516484553159E-3</v>
      </c>
      <c r="L242" s="52" cm="1">
        <f t="array" aca="1" ref="L242" ca="1">MMS_PastureBeef_Methane_Equations.VEERG_4_2_1_1__1_TotalAnnualMethaneProductionFromManureManagement(K222,L184,K230)</f>
        <v>4.0677891042496025E-3</v>
      </c>
      <c r="M242" s="52" cm="1">
        <f t="array" aca="1" ref="M242" ca="1">MMS_PastureBeef_Methane_Equations.VEERG_4_2_1_1__1_TotalAnnualMethaneProductionFromManureManagement(L222,M184,L230)</f>
        <v>6.1931390116601297E-3</v>
      </c>
      <c r="N242" s="52" cm="1">
        <f t="array" aca="1" ref="N242" ca="1">MMS_PastureBeef_Methane_Equations.VEERG_4_2_1_1__1_TotalAnnualMethaneProductionFromManureManagement(M222,N184,M230)</f>
        <v>6.1931390116601297E-3</v>
      </c>
      <c r="O242" s="52" cm="1">
        <f t="array" aca="1" ref="O242" ca="1">MMS_PastureBeef_Methane_Equations.VEERG_4_2_1_1__1_TotalAnnualMethaneProductionFromManureManagement(N222,O184,N230)</f>
        <v>6.1931390116601297E-3</v>
      </c>
      <c r="P242" s="2" t="str">
        <f t="shared" si="10"/>
        <v>t CH4</v>
      </c>
      <c r="Q242" s="2"/>
      <c r="R242" s="2"/>
      <c r="S242" s="2"/>
      <c r="W242" s="52" t="str">
        <f>TEXT(EDATE('Input - Site'!$E$12,7), "mmmm yyyy")</f>
        <v>August 2024</v>
      </c>
      <c r="X242" s="52">
        <f ca="1"/>
        <v>31</v>
      </c>
      <c r="Y242" s="52">
        <f ca="1"/>
        <v>31</v>
      </c>
      <c r="Z242" s="52">
        <f ca="1"/>
        <v>31</v>
      </c>
      <c r="AA242" s="52">
        <f ca="1"/>
        <v>31</v>
      </c>
      <c r="AB242" s="52">
        <f ca="1"/>
        <v>31</v>
      </c>
      <c r="AC242" s="52">
        <f ca="1"/>
        <v>31</v>
      </c>
      <c r="AD242" s="52">
        <f ca="1"/>
        <v>31</v>
      </c>
      <c r="AE242" s="52">
        <f ca="1"/>
        <v>31</v>
      </c>
      <c r="AF242" s="52">
        <f ca="1"/>
        <v>31</v>
      </c>
      <c r="AG242" s="52">
        <f ca="1"/>
        <v>31</v>
      </c>
      <c r="AH242" s="2" t="s">
        <v>277</v>
      </c>
    </row>
    <row r="243" spans="4:36" ht="20.100000000000001" customHeight="1" x14ac:dyDescent="0.25">
      <c r="W243" s="52" t="str">
        <f>TEXT(EDATE('Input - Site'!$E$12,8), "mmmm yyyy")</f>
        <v>September 2024</v>
      </c>
      <c r="X243" s="52">
        <f ca="1"/>
        <v>30</v>
      </c>
      <c r="Y243" s="52">
        <f ca="1"/>
        <v>30</v>
      </c>
      <c r="Z243" s="52">
        <f ca="1"/>
        <v>30</v>
      </c>
      <c r="AA243" s="52">
        <f ca="1"/>
        <v>30</v>
      </c>
      <c r="AB243" s="52">
        <f ca="1"/>
        <v>30</v>
      </c>
      <c r="AC243" s="52">
        <f ca="1"/>
        <v>30</v>
      </c>
      <c r="AD243" s="52">
        <f ca="1"/>
        <v>30</v>
      </c>
      <c r="AE243" s="52">
        <f ca="1"/>
        <v>30</v>
      </c>
      <c r="AF243" s="52">
        <f ca="1"/>
        <v>30</v>
      </c>
      <c r="AG243" s="52">
        <f ca="1"/>
        <v>30</v>
      </c>
      <c r="AH243" s="2" t="s">
        <v>277</v>
      </c>
    </row>
    <row r="244" spans="4:36" ht="20.100000000000001" customHeight="1" x14ac:dyDescent="0.25">
      <c r="D244" s="99" t="s">
        <v>301</v>
      </c>
      <c r="E244" s="100">
        <f ca="1">SUM(F235:O242)</f>
        <v>0.88628531326724402</v>
      </c>
      <c r="F244" s="101" t="str">
        <f>E210</f>
        <v>t CH4</v>
      </c>
      <c r="W244" s="52" t="str">
        <f>TEXT(EDATE('Input - Site'!$E$12,9), "mmmm yyyy")</f>
        <v>October 2024</v>
      </c>
      <c r="X244" s="52">
        <f ca="1"/>
        <v>31</v>
      </c>
      <c r="Y244" s="52">
        <f ca="1"/>
        <v>31</v>
      </c>
      <c r="Z244" s="52">
        <f ca="1"/>
        <v>31</v>
      </c>
      <c r="AA244" s="52">
        <f ca="1"/>
        <v>31</v>
      </c>
      <c r="AB244" s="52">
        <f ca="1"/>
        <v>31</v>
      </c>
      <c r="AC244" s="52">
        <f ca="1"/>
        <v>31</v>
      </c>
      <c r="AD244" s="52">
        <f ca="1"/>
        <v>31</v>
      </c>
      <c r="AE244" s="52">
        <f ca="1"/>
        <v>31</v>
      </c>
      <c r="AF244" s="52">
        <f ca="1"/>
        <v>31</v>
      </c>
      <c r="AG244" s="52">
        <f ca="1"/>
        <v>31</v>
      </c>
      <c r="AH244" s="2" t="s">
        <v>277</v>
      </c>
    </row>
    <row r="245" spans="4:36" ht="20.100000000000001" customHeight="1" x14ac:dyDescent="0.25">
      <c r="W245" s="52" t="str">
        <f>TEXT(EDATE('Input - Site'!$E$12,10), "mmmm yyyy")</f>
        <v>November 2024</v>
      </c>
      <c r="X245" s="52">
        <f ca="1"/>
        <v>30</v>
      </c>
      <c r="Y245" s="52">
        <f ca="1"/>
        <v>30</v>
      </c>
      <c r="Z245" s="52">
        <f ca="1"/>
        <v>30</v>
      </c>
      <c r="AA245" s="52">
        <f ca="1"/>
        <v>30</v>
      </c>
      <c r="AB245" s="52">
        <f ca="1"/>
        <v>30</v>
      </c>
      <c r="AC245" s="52">
        <f ca="1"/>
        <v>30</v>
      </c>
      <c r="AD245" s="52">
        <f ca="1"/>
        <v>30</v>
      </c>
      <c r="AE245" s="52">
        <f ca="1"/>
        <v>30</v>
      </c>
      <c r="AF245" s="52">
        <f ca="1"/>
        <v>30</v>
      </c>
      <c r="AG245" s="52">
        <f ca="1"/>
        <v>30</v>
      </c>
      <c r="AH245" s="2" t="s">
        <v>277</v>
      </c>
    </row>
    <row r="246" spans="4:36" ht="20.100000000000001" customHeight="1" x14ac:dyDescent="0.25">
      <c r="D246" s="57" t="str" cm="1">
        <f t="array" ref="D246:E247">Common_Equations.Common_ConvertCH4ToCO2e_Arguments()</f>
        <v>ECH4</v>
      </c>
      <c r="E246" s="58" t="str">
        <v>Methane emissions (t CH4)</v>
      </c>
      <c r="F246" s="102"/>
      <c r="G246" s="52">
        <f ca="1">E244</f>
        <v>0.88628531326724402</v>
      </c>
      <c r="W246" s="52" t="str">
        <f>TEXT(EDATE('Input - Site'!$E$12,11), "mmmm yyyy")</f>
        <v>December 2024</v>
      </c>
      <c r="X246" s="52">
        <f ca="1"/>
        <v>31</v>
      </c>
      <c r="Y246" s="52">
        <f ca="1"/>
        <v>31</v>
      </c>
      <c r="Z246" s="52">
        <f ca="1"/>
        <v>31</v>
      </c>
      <c r="AA246" s="52">
        <f ca="1"/>
        <v>31</v>
      </c>
      <c r="AB246" s="52">
        <f ca="1"/>
        <v>31</v>
      </c>
      <c r="AC246" s="52">
        <f ca="1"/>
        <v>31</v>
      </c>
      <c r="AD246" s="52">
        <f ca="1"/>
        <v>31</v>
      </c>
      <c r="AE246" s="52">
        <f ca="1"/>
        <v>31</v>
      </c>
      <c r="AF246" s="52">
        <f ca="1"/>
        <v>31</v>
      </c>
      <c r="AG246" s="52">
        <f ca="1"/>
        <v>31</v>
      </c>
      <c r="AH246" s="2" t="s">
        <v>277</v>
      </c>
    </row>
    <row r="247" spans="4:36" ht="20.100000000000001" customHeight="1" x14ac:dyDescent="0.25">
      <c r="D247" s="57" t="str">
        <v>GWPCH4</v>
      </c>
      <c r="E247" s="58" t="str">
        <v>Global warming potential for methane (t CO2-e / t CH4)</v>
      </c>
      <c r="F247" s="102"/>
      <c r="G247" s="52">
        <f>Common_InputFunctions.Utility_LookupValueInTableNumber("CH4",Table_GWPData[Gas],Table_GWPData[CO2-e factor])</f>
        <v>28</v>
      </c>
    </row>
    <row r="248" spans="4:36" ht="20.100000000000001" customHeight="1" x14ac:dyDescent="0.25">
      <c r="W248" s="98" t="s">
        <v>282</v>
      </c>
    </row>
    <row r="249" spans="4:36" ht="20.100000000000001" customHeight="1" x14ac:dyDescent="0.25">
      <c r="D249" s="45" t="s">
        <v>104</v>
      </c>
      <c r="E249" s="45" cm="1">
        <f t="array" aca="1" ref="E249" ca="1">Common_Equations.Common_ConvertN2OToCO2e(G246,G247)</f>
        <v>24.815988771482832</v>
      </c>
      <c r="F249" s="103" t="str" cm="1">
        <f t="array" ref="F249">Common_Equations.Common_ConvertN2OToCO2e_Unit()</f>
        <v>t CO2e</v>
      </c>
      <c r="W249" s="97" t="s">
        <v>283</v>
      </c>
    </row>
    <row r="250" spans="4:36" ht="20.100000000000001" customHeight="1" x14ac:dyDescent="0.25">
      <c r="W250" s="51" t="s">
        <v>68</v>
      </c>
      <c r="X250" s="51" t="s">
        <v>132</v>
      </c>
      <c r="Y250" s="51" t="s">
        <v>131</v>
      </c>
      <c r="Z250" s="51" t="s">
        <v>130</v>
      </c>
      <c r="AA250" s="51" t="s">
        <v>165</v>
      </c>
      <c r="AB250" s="51" t="s">
        <v>166</v>
      </c>
      <c r="AC250" s="51" t="s">
        <v>167</v>
      </c>
      <c r="AD250" s="51" t="s">
        <v>168</v>
      </c>
      <c r="AE250" s="51" t="s">
        <v>169</v>
      </c>
      <c r="AF250" s="51" t="s">
        <v>170</v>
      </c>
      <c r="AG250" s="51" t="s">
        <v>171</v>
      </c>
      <c r="AH250" s="51" t="s">
        <v>172</v>
      </c>
    </row>
    <row r="251" spans="4:36" ht="20.100000000000001" customHeight="1" x14ac:dyDescent="0.25">
      <c r="W251" s="52" t="str">
        <f>'Input - Pasture Beef'!$D$179</f>
        <v>Pasture range and paddock</v>
      </c>
      <c r="X251" s="52" t="str">
        <f>W235</f>
        <v>January 2024</v>
      </c>
      <c r="Y251" s="52" cm="1">
        <f t="array" aca="1" ref="Y251" ca="1">MMS_PastureBeef_Methane_Equations.VEERG_4_2_1_1__1_TotalAnnualMethaneProductionFromManureManagement(X219,Y177,X235)</f>
        <v>5.6586756154628675E-3</v>
      </c>
      <c r="Z251" s="52" cm="1">
        <f t="array" aca="1" ref="Z251" ca="1">MMS_PastureBeef_Methane_Equations.VEERG_4_2_1_1__1_TotalAnnualMethaneProductionFromManureManagement(Y219,Z177,Y235)</f>
        <v>7.4869872830892192E-3</v>
      </c>
      <c r="AA251" s="52" cm="1">
        <f t="array" aca="1" ref="AA251" ca="1">MMS_PastureBeef_Methane_Equations.VEERG_4_2_1_1__1_TotalAnnualMethaneProductionFromManureManagement(Z219,AA177,Z235)</f>
        <v>4.7588184062509068E-3</v>
      </c>
      <c r="AB251" s="52" cm="1">
        <f t="array" aca="1" ref="AB251" ca="1">MMS_PastureBeef_Methane_Equations.VEERG_4_2_1_1__1_TotalAnnualMethaneProductionFromManureManagement(AA219,AB177,AA235)</f>
        <v>6.6990533649278934E-3</v>
      </c>
      <c r="AC251" s="52" cm="1">
        <f t="array" aca="1" ref="AC251" ca="1">MMS_PastureBeef_Methane_Equations.VEERG_4_2_1_1__1_TotalAnnualMethaneProductionFromManureManagement(AB219,AC177,AB235)</f>
        <v>6.6328825169479936E-3</v>
      </c>
      <c r="AD251" s="52" cm="1">
        <f t="array" aca="1" ref="AD251" ca="1">MMS_PastureBeef_Methane_Equations.VEERG_4_2_1_1__1_TotalAnnualMethaneProductionFromManureManagement(AC219,AD177,AC235)</f>
        <v>6.6328825169479936E-3</v>
      </c>
      <c r="AE251" s="52" cm="1">
        <f t="array" aca="1" ref="AE251" ca="1">MMS_PastureBeef_Methane_Equations.VEERG_4_2_1_1__1_TotalAnnualMethaneProductionFromManureManagement(AD219,AE177,AD235)</f>
        <v>5.2159068150018362E-3</v>
      </c>
      <c r="AF251" s="52" cm="1">
        <f t="array" aca="1" ref="AF251" ca="1">MMS_PastureBeef_Methane_Equations.VEERG_4_2_1_1__1_TotalAnnualMethaneProductionFromManureManagement(AE219,AF177,AE235)</f>
        <v>5.8140342998928615E-3</v>
      </c>
      <c r="AG251" s="52" cm="1">
        <f t="array" aca="1" ref="AG251" ca="1">MMS_PastureBeef_Methane_Equations.VEERG_4_2_1_1__1_TotalAnnualMethaneProductionFromManureManagement(AF219,AG177,AF235)</f>
        <v>5.8140342998928615E-3</v>
      </c>
      <c r="AH251" s="52" cm="1">
        <f t="array" aca="1" ref="AH251" ca="1">MMS_PastureBeef_Methane_Equations.VEERG_4_2_1_1__1_TotalAnnualMethaneProductionFromManureManagement(AG219,AH177,AG235)</f>
        <v>5.8140342998928615E-3</v>
      </c>
      <c r="AI251" s="2" t="str">
        <f t="shared" ref="AI251:AI274" si="11">$E$210</f>
        <v>t CH4</v>
      </c>
      <c r="AJ251" s="2"/>
    </row>
    <row r="252" spans="4:36" ht="20.100000000000001" customHeight="1" x14ac:dyDescent="0.25">
      <c r="W252" s="52" t="str">
        <f>'Input - Pasture Beef'!$D$179</f>
        <v>Pasture range and paddock</v>
      </c>
      <c r="X252" s="52" t="str">
        <f t="shared" ref="X252:X262" si="12">W236</f>
        <v>February 2024</v>
      </c>
      <c r="Y252" s="52" cm="1">
        <f t="array" aca="1" ref="Y252" ca="1">MMS_PastureBeef_Methane_Equations.VEERG_4_2_1_1__1_TotalAnnualMethaneProductionFromManureManagement(X220,Y178,X236)</f>
        <v>5.2935997693039733E-3</v>
      </c>
      <c r="Z252" s="52" cm="1">
        <f t="array" aca="1" ref="Z252" ca="1">MMS_PastureBeef_Methane_Equations.VEERG_4_2_1_1__1_TotalAnnualMethaneProductionFromManureManagement(Y220,Z178,Y236)</f>
        <v>7.00395584547056E-3</v>
      </c>
      <c r="AA252" s="52" cm="1">
        <f t="array" aca="1" ref="AA252" ca="1">MMS_PastureBeef_Methane_Equations.VEERG_4_2_1_1__1_TotalAnnualMethaneProductionFromManureManagement(Z220,AA178,Z236)</f>
        <v>4.4517978639121384E-3</v>
      </c>
      <c r="AB252" s="52" cm="1">
        <f t="array" aca="1" ref="AB252" ca="1">MMS_PastureBeef_Methane_Equations.VEERG_4_2_1_1__1_TotalAnnualMethaneProductionFromManureManagement(AA220,AB178,AA236)</f>
        <v>5.8296338359462531E-3</v>
      </c>
      <c r="AC252" s="52" cm="1">
        <f t="array" aca="1" ref="AC252" ca="1">MMS_PastureBeef_Methane_Equations.VEERG_4_2_1_1__1_TotalAnnualMethaneProductionFromManureManagement(AB220,AC178,AB236)</f>
        <v>5.7720508024453653E-3</v>
      </c>
      <c r="AD252" s="52" cm="1">
        <f t="array" aca="1" ref="AD252" ca="1">MMS_PastureBeef_Methane_Equations.VEERG_4_2_1_1__1_TotalAnnualMethaneProductionFromManureManagement(AC220,AD178,AC236)</f>
        <v>5.7720508024453653E-3</v>
      </c>
      <c r="AE252" s="52" cm="1">
        <f t="array" aca="1" ref="AE252" ca="1">MMS_PastureBeef_Methane_Equations.VEERG_4_2_1_1__1_TotalAnnualMethaneProductionFromManureManagement(AD220,AE178,AD236)</f>
        <v>4.8793966979049433E-3</v>
      </c>
      <c r="AF252" s="52" cm="1">
        <f t="array" aca="1" ref="AF252" ca="1">MMS_PastureBeef_Methane_Equations.VEERG_4_2_1_1__1_TotalAnnualMethaneProductionFromManureManagement(AE220,AF178,AE236)</f>
        <v>5.4389353128029994E-3</v>
      </c>
      <c r="AG252" s="52" cm="1">
        <f t="array" aca="1" ref="AG252" ca="1">MMS_PastureBeef_Methane_Equations.VEERG_4_2_1_1__1_TotalAnnualMethaneProductionFromManureManagement(AF220,AG178,AF236)</f>
        <v>5.4389353128029994E-3</v>
      </c>
      <c r="AH252" s="52" cm="1">
        <f t="array" aca="1" ref="AH252" ca="1">MMS_PastureBeef_Methane_Equations.VEERG_4_2_1_1__1_TotalAnnualMethaneProductionFromManureManagement(AG220,AH178,AG236)</f>
        <v>5.4389353128029994E-3</v>
      </c>
      <c r="AI252" s="2" t="str">
        <f t="shared" si="11"/>
        <v>t CH4</v>
      </c>
      <c r="AJ252" s="2"/>
    </row>
    <row r="253" spans="4:36" ht="20.100000000000001" customHeight="1" x14ac:dyDescent="0.25">
      <c r="W253" s="52" t="str">
        <f>'Input - Pasture Beef'!$D$179</f>
        <v>Pasture range and paddock</v>
      </c>
      <c r="X253" s="52" t="str">
        <f t="shared" si="12"/>
        <v>March 2024</v>
      </c>
      <c r="Y253" s="52" cm="1">
        <f t="array" aca="1" ref="Y253" ca="1">MMS_PastureBeef_Methane_Equations.VEERG_4_2_1_1__1_TotalAnnualMethaneProductionFromManureManagement(X221,Y179,X237)</f>
        <v>3.0181818891446837E-3</v>
      </c>
      <c r="Z253" s="52" cm="1">
        <f t="array" aca="1" ref="Z253" ca="1">MMS_PastureBeef_Methane_Equations.VEERG_4_2_1_1__1_TotalAnnualMethaneProductionFromManureManagement(Y221,Z179,Y237)</f>
        <v>8.7599427773422424E-3</v>
      </c>
      <c r="AA253" s="52" cm="1">
        <f t="array" aca="1" ref="AA253" ca="1">MMS_PastureBeef_Methane_Equations.VEERG_4_2_1_1__1_TotalAnnualMethaneProductionFromManureManagement(Z221,AA179,Z237)</f>
        <v>2.7515377761725842E-3</v>
      </c>
      <c r="AB253" s="52" cm="1">
        <f t="array" aca="1" ref="AB253" ca="1">MMS_PastureBeef_Methane_Equations.VEERG_4_2_1_1__1_TotalAnnualMethaneProductionFromManureManagement(AA221,AB179,AA237)</f>
        <v>5.5375999269560751E-3</v>
      </c>
      <c r="AC253" s="52" cm="1">
        <f t="array" aca="1" ref="AC253" ca="1">MMS_PastureBeef_Methane_Equations.VEERG_4_2_1_1__1_TotalAnnualMethaneProductionFromManureManagement(AB221,AC179,AB237)</f>
        <v>6.2441836820771417E-3</v>
      </c>
      <c r="AD253" s="52" cm="1">
        <f t="array" aca="1" ref="AD253" ca="1">MMS_PastureBeef_Methane_Equations.VEERG_4_2_1_1__1_TotalAnnualMethaneProductionFromManureManagement(AC221,AD179,AC237)</f>
        <v>6.2441836820771417E-3</v>
      </c>
      <c r="AE253" s="52" cm="1">
        <f t="array" aca="1" ref="AE253" ca="1">MMS_PastureBeef_Methane_Equations.VEERG_4_2_1_1__1_TotalAnnualMethaneProductionFromManureManagement(AD221,AE179,AD237)</f>
        <v>3.0181818891446837E-3</v>
      </c>
      <c r="AF253" s="52" cm="1">
        <f t="array" aca="1" ref="AF253" ca="1">MMS_PastureBeef_Methane_Equations.VEERG_4_2_1_1__1_TotalAnnualMethaneProductionFromManureManagement(AE221,AF179,AE237)</f>
        <v>5.4795830007768999E-3</v>
      </c>
      <c r="AG253" s="52" cm="1">
        <f t="array" aca="1" ref="AG253" ca="1">MMS_PastureBeef_Methane_Equations.VEERG_4_2_1_1__1_TotalAnnualMethaneProductionFromManureManagement(AF221,AG179,AF237)</f>
        <v>5.4795830007768999E-3</v>
      </c>
      <c r="AH253" s="52" cm="1">
        <f t="array" aca="1" ref="AH253" ca="1">MMS_PastureBeef_Methane_Equations.VEERG_4_2_1_1__1_TotalAnnualMethaneProductionFromManureManagement(AG221,AH179,AG237)</f>
        <v>5.4795830007768999E-3</v>
      </c>
      <c r="AI253" s="2" t="str">
        <f t="shared" si="11"/>
        <v>t CH4</v>
      </c>
      <c r="AJ253" s="2"/>
    </row>
    <row r="254" spans="4:36" ht="20.100000000000001" customHeight="1" x14ac:dyDescent="0.25">
      <c r="W254" s="52" t="str">
        <f>'Input - Pasture Beef'!$D$179</f>
        <v>Pasture range and paddock</v>
      </c>
      <c r="X254" s="52" t="str">
        <f t="shared" si="12"/>
        <v>April 2024</v>
      </c>
      <c r="Y254" s="52" cm="1">
        <f t="array" aca="1" ref="Y254" ca="1">MMS_PastureBeef_Methane_Equations.VEERG_4_2_1_1__1_TotalAnnualMethaneProductionFromManureManagement(X222,Y180,X238)</f>
        <v>2.9208211830432421E-3</v>
      </c>
      <c r="Z254" s="52" cm="1">
        <f t="array" aca="1" ref="Z254" ca="1">MMS_PastureBeef_Methane_Equations.VEERG_4_2_1_1__1_TotalAnnualMethaneProductionFromManureManagement(Y222,Z180,Y238)</f>
        <v>8.4773639780731398E-3</v>
      </c>
      <c r="AA254" s="52" cm="1">
        <f t="array" aca="1" ref="AA254" ca="1">MMS_PastureBeef_Methane_Equations.VEERG_4_2_1_1__1_TotalAnnualMethaneProductionFromManureManagement(Z222,AA180,Z238)</f>
        <v>2.6627784930702432E-3</v>
      </c>
      <c r="AB254" s="52" cm="1">
        <f t="array" aca="1" ref="AB254" ca="1">MMS_PastureBeef_Methane_Equations.VEERG_4_2_1_1__1_TotalAnnualMethaneProductionFromManureManagement(AA222,AB180,AA238)</f>
        <v>5.3589676712478143E-3</v>
      </c>
      <c r="AC254" s="52" cm="1">
        <f t="array" aca="1" ref="AC254" ca="1">MMS_PastureBeef_Methane_Equations.VEERG_4_2_1_1__1_TotalAnnualMethaneProductionFromManureManagement(AB222,AC180,AB238)</f>
        <v>6.0427584020101375E-3</v>
      </c>
      <c r="AD254" s="52" cm="1">
        <f t="array" aca="1" ref="AD254" ca="1">MMS_PastureBeef_Methane_Equations.VEERG_4_2_1_1__1_TotalAnnualMethaneProductionFromManureManagement(AC222,AD180,AC238)</f>
        <v>6.0427584020101375E-3</v>
      </c>
      <c r="AE254" s="52" cm="1">
        <f t="array" aca="1" ref="AE254" ca="1">MMS_PastureBeef_Methane_Equations.VEERG_4_2_1_1__1_TotalAnnualMethaneProductionFromManureManagement(AD222,AE180,AD238)</f>
        <v>2.9208211830432421E-3</v>
      </c>
      <c r="AF254" s="52" cm="1">
        <f t="array" aca="1" ref="AF254" ca="1">MMS_PastureBeef_Methane_Equations.VEERG_4_2_1_1__1_TotalAnnualMethaneProductionFromManureManagement(AE222,AF180,AE238)</f>
        <v>5.3028222588163551E-3</v>
      </c>
      <c r="AG254" s="52" cm="1">
        <f t="array" aca="1" ref="AG254" ca="1">MMS_PastureBeef_Methane_Equations.VEERG_4_2_1_1__1_TotalAnnualMethaneProductionFromManureManagement(AF222,AG180,AF238)</f>
        <v>5.3028222588163551E-3</v>
      </c>
      <c r="AH254" s="52" cm="1">
        <f t="array" aca="1" ref="AH254" ca="1">MMS_PastureBeef_Methane_Equations.VEERG_4_2_1_1__1_TotalAnnualMethaneProductionFromManureManagement(AG222,AH180,AG238)</f>
        <v>5.3028222588163551E-3</v>
      </c>
      <c r="AI254" s="2" t="str">
        <f t="shared" si="11"/>
        <v>t CH4</v>
      </c>
      <c r="AJ254" s="2"/>
    </row>
    <row r="255" spans="4:36" ht="20.100000000000001" customHeight="1" x14ac:dyDescent="0.25">
      <c r="W255" s="52" t="str">
        <f>'Input - Pasture Beef'!$D$179</f>
        <v>Pasture range and paddock</v>
      </c>
      <c r="X255" s="52" t="str">
        <f t="shared" si="12"/>
        <v>May 2024</v>
      </c>
      <c r="Y255" s="52" cm="1">
        <f t="array" aca="1" ref="Y255" ca="1">MMS_PastureBeef_Methane_Equations.VEERG_4_2_1_1__1_TotalAnnualMethaneProductionFromManureManagement(X223,Y181,X239)</f>
        <v>3.0181818891446837E-3</v>
      </c>
      <c r="Z255" s="52" cm="1">
        <f t="array" aca="1" ref="Z255" ca="1">MMS_PastureBeef_Methane_Equations.VEERG_4_2_1_1__1_TotalAnnualMethaneProductionFromManureManagement(Y223,Z181,Y239)</f>
        <v>8.7599427773422424E-3</v>
      </c>
      <c r="AA255" s="52" cm="1">
        <f t="array" aca="1" ref="AA255" ca="1">MMS_PastureBeef_Methane_Equations.VEERG_4_2_1_1__1_TotalAnnualMethaneProductionFromManureManagement(Z223,AA181,Z239)</f>
        <v>2.7515377761725842E-3</v>
      </c>
      <c r="AB255" s="52" cm="1">
        <f t="array" aca="1" ref="AB255" ca="1">MMS_PastureBeef_Methane_Equations.VEERG_4_2_1_1__1_TotalAnnualMethaneProductionFromManureManagement(AA223,AB181,AA239)</f>
        <v>5.5375999269560751E-3</v>
      </c>
      <c r="AC255" s="52" cm="1">
        <f t="array" aca="1" ref="AC255" ca="1">MMS_PastureBeef_Methane_Equations.VEERG_4_2_1_1__1_TotalAnnualMethaneProductionFromManureManagement(AB223,AC181,AB239)</f>
        <v>6.2441836820771417E-3</v>
      </c>
      <c r="AD255" s="52" cm="1">
        <f t="array" aca="1" ref="AD255" ca="1">MMS_PastureBeef_Methane_Equations.VEERG_4_2_1_1__1_TotalAnnualMethaneProductionFromManureManagement(AC223,AD181,AC239)</f>
        <v>6.2441836820771417E-3</v>
      </c>
      <c r="AE255" s="52" cm="1">
        <f t="array" aca="1" ref="AE255" ca="1">MMS_PastureBeef_Methane_Equations.VEERG_4_2_1_1__1_TotalAnnualMethaneProductionFromManureManagement(AD223,AE181,AD239)</f>
        <v>3.0181818891446837E-3</v>
      </c>
      <c r="AF255" s="52" cm="1">
        <f t="array" aca="1" ref="AF255" ca="1">MMS_PastureBeef_Methane_Equations.VEERG_4_2_1_1__1_TotalAnnualMethaneProductionFromManureManagement(AE223,AF181,AE239)</f>
        <v>5.4795830007768999E-3</v>
      </c>
      <c r="AG255" s="52" cm="1">
        <f t="array" aca="1" ref="AG255" ca="1">MMS_PastureBeef_Methane_Equations.VEERG_4_2_1_1__1_TotalAnnualMethaneProductionFromManureManagement(AF223,AG181,AF239)</f>
        <v>5.4795830007768999E-3</v>
      </c>
      <c r="AH255" s="52" cm="1">
        <f t="array" aca="1" ref="AH255" ca="1">MMS_PastureBeef_Methane_Equations.VEERG_4_2_1_1__1_TotalAnnualMethaneProductionFromManureManagement(AG223,AH181,AG239)</f>
        <v>5.4795830007768999E-3</v>
      </c>
      <c r="AI255" s="2" t="str">
        <f t="shared" si="11"/>
        <v>t CH4</v>
      </c>
      <c r="AJ255" s="2"/>
    </row>
    <row r="256" spans="4:36" ht="20.100000000000001" customHeight="1" x14ac:dyDescent="0.25">
      <c r="W256" s="52" t="str">
        <f>'Input - Pasture Beef'!$D$179</f>
        <v>Pasture range and paddock</v>
      </c>
      <c r="X256" s="52" t="str">
        <f t="shared" si="12"/>
        <v>June 2024</v>
      </c>
      <c r="Y256" s="52" cm="1">
        <f t="array" aca="1" ref="Y256" ca="1">MMS_PastureBeef_Methane_Equations.VEERG_4_2_1_1__1_TotalAnnualMethaneProductionFromManureManagement(X224,Y182,X240)</f>
        <v>2.4794894949935848E-3</v>
      </c>
      <c r="Z256" s="52" cm="1">
        <f t="array" aca="1" ref="Z256" ca="1">MMS_PastureBeef_Methane_Equations.VEERG_4_2_1_1__1_TotalAnnualMethaneProductionFromManureManagement(Y224,Z182,Y240)</f>
        <v>4.81843932999086E-3</v>
      </c>
      <c r="AA256" s="52" cm="1">
        <f t="array" aca="1" ref="AA256" ca="1">MMS_PastureBeef_Methane_Equations.VEERG_4_2_1_1__1_TotalAnnualMethaneProductionFromManureManagement(Z224,AA182,Z240)</f>
        <v>2.0301519349508663E-3</v>
      </c>
      <c r="AB256" s="52" cm="1">
        <f t="array" aca="1" ref="AB256" ca="1">MMS_PastureBeef_Methane_Equations.VEERG_4_2_1_1__1_TotalAnnualMethaneProductionFromManureManagement(AA224,AB182,AA240)</f>
        <v>2.8634797318651669E-3</v>
      </c>
      <c r="AC256" s="52" cm="1">
        <f t="array" aca="1" ref="AC256" ca="1">MMS_PastureBeef_Methane_Equations.VEERG_4_2_1_1__1_TotalAnnualMethaneProductionFromManureManagement(AB224,AC182,AB240)</f>
        <v>3.8414463393299145E-3</v>
      </c>
      <c r="AD256" s="52" cm="1">
        <f t="array" aca="1" ref="AD256" ca="1">MMS_PastureBeef_Methane_Equations.VEERG_4_2_1_1__1_TotalAnnualMethaneProductionFromManureManagement(AC224,AD182,AC240)</f>
        <v>3.8414463393299145E-3</v>
      </c>
      <c r="AE256" s="52" cm="1">
        <f t="array" aca="1" ref="AE256" ca="1">MMS_PastureBeef_Methane_Equations.VEERG_4_2_1_1__1_TotalAnnualMethaneProductionFromManureManagement(AD224,AE182,AD240)</f>
        <v>2.1796889997536114E-3</v>
      </c>
      <c r="AF256" s="52" cm="1">
        <f t="array" aca="1" ref="AF256" ca="1">MMS_PastureBeef_Methane_Equations.VEERG_4_2_1_1__1_TotalAnnualMethaneProductionFromManureManagement(AE224,AF182,AE240)</f>
        <v>3.3185390470607404E-3</v>
      </c>
      <c r="AG256" s="52" cm="1">
        <f t="array" aca="1" ref="AG256" ca="1">MMS_PastureBeef_Methane_Equations.VEERG_4_2_1_1__1_TotalAnnualMethaneProductionFromManureManagement(AF224,AG182,AF240)</f>
        <v>3.3185390470607404E-3</v>
      </c>
      <c r="AH256" s="52" cm="1">
        <f t="array" aca="1" ref="AH256" ca="1">MMS_PastureBeef_Methane_Equations.VEERG_4_2_1_1__1_TotalAnnualMethaneProductionFromManureManagement(AG224,AH182,AG240)</f>
        <v>3.3185390470607404E-3</v>
      </c>
      <c r="AI256" s="2" t="str">
        <f t="shared" si="11"/>
        <v>t CH4</v>
      </c>
      <c r="AJ256" s="2"/>
    </row>
    <row r="257" spans="23:36" ht="20.100000000000001" customHeight="1" x14ac:dyDescent="0.25">
      <c r="W257" s="52" t="str">
        <f>'Input - Pasture Beef'!$D$179</f>
        <v>Pasture range and paddock</v>
      </c>
      <c r="X257" s="52" t="str">
        <f t="shared" si="12"/>
        <v>July 2024</v>
      </c>
      <c r="Y257" s="52" cm="1">
        <f t="array" aca="1" ref="Y257" ca="1">MMS_PastureBeef_Methane_Equations.VEERG_4_2_1_1__1_TotalAnnualMethaneProductionFromManureManagement(X225,Y183,X241)</f>
        <v>2.5621391448267046E-3</v>
      </c>
      <c r="Z257" s="52" cm="1">
        <f t="array" aca="1" ref="Z257" ca="1">MMS_PastureBeef_Methane_Equations.VEERG_4_2_1_1__1_TotalAnnualMethaneProductionFromManureManagement(Y225,Z183,Y241)</f>
        <v>4.9790539743238887E-3</v>
      </c>
      <c r="AA257" s="52" cm="1">
        <f t="array" aca="1" ref="AA257" ca="1">MMS_PastureBeef_Methane_Equations.VEERG_4_2_1_1__1_TotalAnnualMethaneProductionFromManureManagement(Z225,AA183,Z241)</f>
        <v>2.097823666115895E-3</v>
      </c>
      <c r="AB257" s="52" cm="1">
        <f t="array" aca="1" ref="AB257" ca="1">MMS_PastureBeef_Methane_Equations.VEERG_4_2_1_1__1_TotalAnnualMethaneProductionFromManureManagement(AA225,AB183,AA241)</f>
        <v>2.9589290562606727E-3</v>
      </c>
      <c r="AC257" s="52" cm="1">
        <f t="array" aca="1" ref="AC257" ca="1">MMS_PastureBeef_Methane_Equations.VEERG_4_2_1_1__1_TotalAnnualMethaneProductionFromManureManagement(AB225,AC183,AB241)</f>
        <v>3.969494550640911E-3</v>
      </c>
      <c r="AD257" s="52" cm="1">
        <f t="array" aca="1" ref="AD257" ca="1">MMS_PastureBeef_Methane_Equations.VEERG_4_2_1_1__1_TotalAnnualMethaneProductionFromManureManagement(AC225,AD183,AC241)</f>
        <v>3.969494550640911E-3</v>
      </c>
      <c r="AE257" s="52" cm="1">
        <f t="array" aca="1" ref="AE257" ca="1">MMS_PastureBeef_Methane_Equations.VEERG_4_2_1_1__1_TotalAnnualMethaneProductionFromManureManagement(AD225,AE183,AD241)</f>
        <v>2.2523452997453984E-3</v>
      </c>
      <c r="AF257" s="52" cm="1">
        <f t="array" aca="1" ref="AF257" ca="1">MMS_PastureBeef_Methane_Equations.VEERG_4_2_1_1__1_TotalAnnualMethaneProductionFromManureManagement(AE225,AF183,AE241)</f>
        <v>3.4291570152960985E-3</v>
      </c>
      <c r="AG257" s="52" cm="1">
        <f t="array" aca="1" ref="AG257" ca="1">MMS_PastureBeef_Methane_Equations.VEERG_4_2_1_1__1_TotalAnnualMethaneProductionFromManureManagement(AF225,AG183,AF241)</f>
        <v>3.4291570152960985E-3</v>
      </c>
      <c r="AH257" s="52" cm="1">
        <f t="array" aca="1" ref="AH257" ca="1">MMS_PastureBeef_Methane_Equations.VEERG_4_2_1_1__1_TotalAnnualMethaneProductionFromManureManagement(AG225,AH183,AG241)</f>
        <v>3.4291570152960985E-3</v>
      </c>
      <c r="AI257" s="2" t="str">
        <f t="shared" si="11"/>
        <v>t CH4</v>
      </c>
      <c r="AJ257" s="2"/>
    </row>
    <row r="258" spans="23:36" ht="20.100000000000001" customHeight="1" x14ac:dyDescent="0.25">
      <c r="W258" s="52" t="str">
        <f>'Input - Pasture Beef'!$D$179</f>
        <v>Pasture range and paddock</v>
      </c>
      <c r="X258" s="52" t="str">
        <f t="shared" si="12"/>
        <v>August 2024</v>
      </c>
      <c r="Y258" s="52" cm="1">
        <f t="array" aca="1" ref="Y258" ca="1">MMS_PastureBeef_Methane_Equations.VEERG_4_2_1_1__1_TotalAnnualMethaneProductionFromManureManagement(X226,Y184,X242)</f>
        <v>2.5621391448267046E-3</v>
      </c>
      <c r="Z258" s="52" cm="1">
        <f t="array" aca="1" ref="Z258" ca="1">MMS_PastureBeef_Methane_Equations.VEERG_4_2_1_1__1_TotalAnnualMethaneProductionFromManureManagement(Y226,Z184,Y242)</f>
        <v>4.9790539743238887E-3</v>
      </c>
      <c r="AA258" s="52" cm="1">
        <f t="array" aca="1" ref="AA258" ca="1">MMS_PastureBeef_Methane_Equations.VEERG_4_2_1_1__1_TotalAnnualMethaneProductionFromManureManagement(Z226,AA184,Z242)</f>
        <v>2.097823666115895E-3</v>
      </c>
      <c r="AB258" s="52" cm="1">
        <f t="array" aca="1" ref="AB258" ca="1">MMS_PastureBeef_Methane_Equations.VEERG_4_2_1_1__1_TotalAnnualMethaneProductionFromManureManagement(AA226,AB184,AA242)</f>
        <v>3.6246880939193233E-3</v>
      </c>
      <c r="AC258" s="52" cm="1">
        <f t="array" aca="1" ref="AC258" ca="1">MMS_PastureBeef_Methane_Equations.VEERG_4_2_1_1__1_TotalAnnualMethaneProductionFromManureManagement(AB226,AC184,AB242)</f>
        <v>4.862630824535117E-3</v>
      </c>
      <c r="AD258" s="52" cm="1">
        <f t="array" aca="1" ref="AD258" ca="1">MMS_PastureBeef_Methane_Equations.VEERG_4_2_1_1__1_TotalAnnualMethaneProductionFromManureManagement(AC226,AD184,AC242)</f>
        <v>4.862630824535117E-3</v>
      </c>
      <c r="AE258" s="52" cm="1">
        <f t="array" aca="1" ref="AE258" ca="1">MMS_PastureBeef_Methane_Equations.VEERG_4_2_1_1__1_TotalAnnualMethaneProductionFromManureManagement(AD226,AE184,AD242)</f>
        <v>2.2523452997453984E-3</v>
      </c>
      <c r="AF258" s="52" cm="1">
        <f t="array" aca="1" ref="AF258" ca="1">MMS_PastureBeef_Methane_Equations.VEERG_4_2_1_1__1_TotalAnnualMethaneProductionFromManureManagement(AE226,AF184,AE242)</f>
        <v>3.4291570152960985E-3</v>
      </c>
      <c r="AG258" s="52" cm="1">
        <f t="array" aca="1" ref="AG258" ca="1">MMS_PastureBeef_Methane_Equations.VEERG_4_2_1_1__1_TotalAnnualMethaneProductionFromManureManagement(AF226,AG184,AF242)</f>
        <v>3.4291570152960985E-3</v>
      </c>
      <c r="AH258" s="52" cm="1">
        <f t="array" aca="1" ref="AH258" ca="1">MMS_PastureBeef_Methane_Equations.VEERG_4_2_1_1__1_TotalAnnualMethaneProductionFromManureManagement(AG226,AH184,AG242)</f>
        <v>3.4291570152960985E-3</v>
      </c>
      <c r="AI258" s="2" t="str">
        <f t="shared" si="11"/>
        <v>t CH4</v>
      </c>
      <c r="AJ258" s="2"/>
    </row>
    <row r="259" spans="23:36" ht="20.100000000000001" customHeight="1" x14ac:dyDescent="0.25">
      <c r="W259" s="52" t="str">
        <f>'Input - Pasture Beef'!$D$179</f>
        <v>Pasture range and paddock</v>
      </c>
      <c r="X259" s="52" t="str">
        <f t="shared" si="12"/>
        <v>September 2024</v>
      </c>
      <c r="Y259" s="52" cm="1">
        <f t="array" aca="1" ref="Y259" ca="1">MMS_PastureBeef_Methane_Equations.VEERG_4_2_1_1__1_TotalAnnualMethaneProductionFromManureManagement(X227,Y185,X243)</f>
        <v>3.466388959084733E-3</v>
      </c>
      <c r="Z259" s="52" cm="1">
        <f t="array" aca="1" ref="Z259" ca="1">MMS_PastureBeef_Methane_Equations.VEERG_4_2_1_1__1_TotalAnnualMethaneProductionFromManureManagement(Y227,Z185,Y243)</f>
        <v>4.895813594758153E-3</v>
      </c>
      <c r="AA259" s="52" cm="1">
        <f t="array" aca="1" ref="AA259" ca="1">MMS_PastureBeef_Methane_Equations.VEERG_4_2_1_1__1_TotalAnnualMethaneProductionFromManureManagement(Z227,AA185,Z243)</f>
        <v>2.6420807208311007E-3</v>
      </c>
      <c r="AB259" s="52" cm="1">
        <f t="array" aca="1" ref="AB259" ca="1">MMS_PastureBeef_Methane_Equations.VEERG_4_2_1_1__1_TotalAnnualMethaneProductionFromManureManagement(AA227,AB185,AA243)</f>
        <v>4.2473936610232677E-3</v>
      </c>
      <c r="AC259" s="52" cm="1">
        <f t="array" aca="1" ref="AC259" ca="1">MMS_PastureBeef_Methane_Equations.VEERG_4_2_1_1__1_TotalAnnualMethaneProductionFromManureManagement(AB227,AC185,AB243)</f>
        <v>4.7165503887500772E-3</v>
      </c>
      <c r="AD259" s="52" cm="1">
        <f t="array" aca="1" ref="AD259" ca="1">MMS_PastureBeef_Methane_Equations.VEERG_4_2_1_1__1_TotalAnnualMethaneProductionFromManureManagement(AC227,AD185,AC243)</f>
        <v>4.7165503887500772E-3</v>
      </c>
      <c r="AE259" s="52" cm="1">
        <f t="array" aca="1" ref="AE259" ca="1">MMS_PastureBeef_Methane_Equations.VEERG_4_2_1_1__1_TotalAnnualMethaneProductionFromManureManagement(AD227,AE185,AD243)</f>
        <v>3.0459687899296642E-3</v>
      </c>
      <c r="AF259" s="52" cm="1">
        <f t="array" aca="1" ref="AF259" ca="1">MMS_PastureBeef_Methane_Equations.VEERG_4_2_1_1__1_TotalAnnualMethaneProductionFromManureManagement(AE227,AF185,AE243)</f>
        <v>3.8707680927286023E-3</v>
      </c>
      <c r="AG259" s="52" cm="1">
        <f t="array" aca="1" ref="AG259" ca="1">MMS_PastureBeef_Methane_Equations.VEERG_4_2_1_1__1_TotalAnnualMethaneProductionFromManureManagement(AF227,AG185,AF243)</f>
        <v>3.8707680927286023E-3</v>
      </c>
      <c r="AH259" s="52" cm="1">
        <f t="array" aca="1" ref="AH259" ca="1">MMS_PastureBeef_Methane_Equations.VEERG_4_2_1_1__1_TotalAnnualMethaneProductionFromManureManagement(AG227,AH185,AG243)</f>
        <v>3.8707680927286023E-3</v>
      </c>
      <c r="AI259" s="2" t="str">
        <f t="shared" si="11"/>
        <v>t CH4</v>
      </c>
      <c r="AJ259" s="2"/>
    </row>
    <row r="260" spans="23:36" ht="20.100000000000001" customHeight="1" x14ac:dyDescent="0.25">
      <c r="W260" s="52" t="str">
        <f>'Input - Pasture Beef'!$D$179</f>
        <v>Pasture range and paddock</v>
      </c>
      <c r="X260" s="52" t="str">
        <f t="shared" si="12"/>
        <v>October 2024</v>
      </c>
      <c r="Y260" s="52" cm="1">
        <f t="array" aca="1" ref="Y260" ca="1">MMS_PastureBeef_Methane_Equations.VEERG_4_2_1_1__1_TotalAnnualMethaneProductionFromManureManagement(X228,Y186,X244)</f>
        <v>3.5819352577208907E-3</v>
      </c>
      <c r="Z260" s="52" cm="1">
        <f t="array" aca="1" ref="Z260" ca="1">MMS_PastureBeef_Methane_Equations.VEERG_4_2_1_1__1_TotalAnnualMethaneProductionFromManureManagement(Y228,Z186,Y244)</f>
        <v>5.0590073812500913E-3</v>
      </c>
      <c r="AA260" s="52" cm="1">
        <f t="array" aca="1" ref="AA260" ca="1">MMS_PastureBeef_Methane_Equations.VEERG_4_2_1_1__1_TotalAnnualMethaneProductionFromManureManagement(Z228,AA186,Z244)</f>
        <v>2.7301500781921374E-3</v>
      </c>
      <c r="AB260" s="52" cm="1">
        <f t="array" aca="1" ref="AB260" ca="1">MMS_PastureBeef_Methane_Equations.VEERG_4_2_1_1__1_TotalAnnualMethaneProductionFromManureManagement(AA228,AB186,AA244)</f>
        <v>4.3889734497240427E-3</v>
      </c>
      <c r="AC260" s="52" cm="1">
        <f t="array" aca="1" ref="AC260" ca="1">MMS_PastureBeef_Methane_Equations.VEERG_4_2_1_1__1_TotalAnnualMethaneProductionFromManureManagement(AB228,AC186,AB244)</f>
        <v>4.8737687350417468E-3</v>
      </c>
      <c r="AD260" s="52" cm="1">
        <f t="array" aca="1" ref="AD260" ca="1">MMS_PastureBeef_Methane_Equations.VEERG_4_2_1_1__1_TotalAnnualMethaneProductionFromManureManagement(AC228,AD186,AC244)</f>
        <v>4.8737687350417468E-3</v>
      </c>
      <c r="AE260" s="52" cm="1">
        <f t="array" aca="1" ref="AE260" ca="1">MMS_PastureBeef_Methane_Equations.VEERG_4_2_1_1__1_TotalAnnualMethaneProductionFromManureManagement(AD228,AE186,AD244)</f>
        <v>3.1475010829273196E-3</v>
      </c>
      <c r="AF260" s="52" cm="1">
        <f t="array" aca="1" ref="AF260" ca="1">MMS_PastureBeef_Methane_Equations.VEERG_4_2_1_1__1_TotalAnnualMethaneProductionFromManureManagement(AE228,AF186,AE244)</f>
        <v>3.9997936958195554E-3</v>
      </c>
      <c r="AG260" s="52" cm="1">
        <f t="array" aca="1" ref="AG260" ca="1">MMS_PastureBeef_Methane_Equations.VEERG_4_2_1_1__1_TotalAnnualMethaneProductionFromManureManagement(AF228,AG186,AF244)</f>
        <v>3.9997936958195554E-3</v>
      </c>
      <c r="AH260" s="52" cm="1">
        <f t="array" aca="1" ref="AH260" ca="1">MMS_PastureBeef_Methane_Equations.VEERG_4_2_1_1__1_TotalAnnualMethaneProductionFromManureManagement(AG228,AH186,AG244)</f>
        <v>3.9997936958195554E-3</v>
      </c>
      <c r="AI260" s="2" t="str">
        <f t="shared" si="11"/>
        <v>t CH4</v>
      </c>
      <c r="AJ260" s="2"/>
    </row>
    <row r="261" spans="23:36" ht="20.100000000000001" customHeight="1" x14ac:dyDescent="0.25">
      <c r="W261" s="52" t="str">
        <f>'Input - Pasture Beef'!$D$179</f>
        <v>Pasture range and paddock</v>
      </c>
      <c r="X261" s="52" t="str">
        <f t="shared" si="12"/>
        <v>November 2024</v>
      </c>
      <c r="Y261" s="52" cm="1">
        <f t="array" aca="1" ref="Y261" ca="1">MMS_PastureBeef_Methane_Equations.VEERG_4_2_1_1__1_TotalAnnualMethaneProductionFromManureManagement(X229,Y187,X245)</f>
        <v>3.466388959084733E-3</v>
      </c>
      <c r="Z261" s="52" cm="1">
        <f t="array" aca="1" ref="Z261" ca="1">MMS_PastureBeef_Methane_Equations.VEERG_4_2_1_1__1_TotalAnnualMethaneProductionFromManureManagement(Y229,Z187,Y245)</f>
        <v>4.895813594758153E-3</v>
      </c>
      <c r="AA261" s="52" cm="1">
        <f t="array" aca="1" ref="AA261" ca="1">MMS_PastureBeef_Methane_Equations.VEERG_4_2_1_1__1_TotalAnnualMethaneProductionFromManureManagement(Z229,AA187,Z245)</f>
        <v>2.6420807208311007E-3</v>
      </c>
      <c r="AB261" s="52" cm="1">
        <f t="array" aca="1" ref="AB261" ca="1">MMS_PastureBeef_Methane_Equations.VEERG_4_2_1_1__1_TotalAnnualMethaneProductionFromManureManagement(AA229,AB187,AA245)</f>
        <v>3.7273046413061331E-3</v>
      </c>
      <c r="AC261" s="52" cm="1">
        <f t="array" aca="1" ref="AC261" ca="1">MMS_PastureBeef_Methane_Equations.VEERG_4_2_1_1__1_TotalAnnualMethaneProductionFromManureManagement(AB229,AC187,AB245)</f>
        <v>4.1390136064541486E-3</v>
      </c>
      <c r="AD261" s="52" cm="1">
        <f t="array" aca="1" ref="AD261" ca="1">MMS_PastureBeef_Methane_Equations.VEERG_4_2_1_1__1_TotalAnnualMethaneProductionFromManureManagement(AC229,AD187,AC245)</f>
        <v>4.1390136064541486E-3</v>
      </c>
      <c r="AE261" s="52" cm="1">
        <f t="array" aca="1" ref="AE261" ca="1">MMS_PastureBeef_Methane_Equations.VEERG_4_2_1_1__1_TotalAnnualMethaneProductionFromManureManagement(AD229,AE187,AD245)</f>
        <v>3.0459687899296642E-3</v>
      </c>
      <c r="AF261" s="52" cm="1">
        <f t="array" aca="1" ref="AF261" ca="1">MMS_PastureBeef_Methane_Equations.VEERG_4_2_1_1__1_TotalAnnualMethaneProductionFromManureManagement(AE229,AF187,AE245)</f>
        <v>3.8707680927286023E-3</v>
      </c>
      <c r="AG261" s="52" cm="1">
        <f t="array" aca="1" ref="AG261" ca="1">MMS_PastureBeef_Methane_Equations.VEERG_4_2_1_1__1_TotalAnnualMethaneProductionFromManureManagement(AF229,AG187,AF245)</f>
        <v>3.8707680927286023E-3</v>
      </c>
      <c r="AH261" s="52" cm="1">
        <f t="array" aca="1" ref="AH261" ca="1">MMS_PastureBeef_Methane_Equations.VEERG_4_2_1_1__1_TotalAnnualMethaneProductionFromManureManagement(AG229,AH187,AG245)</f>
        <v>3.8707680927286023E-3</v>
      </c>
      <c r="AI261" s="2" t="str">
        <f t="shared" si="11"/>
        <v>t CH4</v>
      </c>
      <c r="AJ261" s="2"/>
    </row>
    <row r="262" spans="23:36" ht="20.100000000000001" customHeight="1" x14ac:dyDescent="0.25">
      <c r="W262" s="52" t="str">
        <f>'Input - Pasture Beef'!$D$179</f>
        <v>Pasture range and paddock</v>
      </c>
      <c r="X262" s="52" t="str">
        <f t="shared" si="12"/>
        <v>December 2024</v>
      </c>
      <c r="Y262" s="52" cm="1">
        <f t="array" aca="1" ref="Y262" ca="1">MMS_PastureBeef_Methane_Equations.VEERG_4_2_1_1__1_TotalAnnualMethaneProductionFromManureManagement(X230,Y188,X246)</f>
        <v>5.6586756154628675E-3</v>
      </c>
      <c r="Z262" s="52" cm="1">
        <f t="array" aca="1" ref="Z262" ca="1">MMS_PastureBeef_Methane_Equations.VEERG_4_2_1_1__1_TotalAnnualMethaneProductionFromManureManagement(Y230,Z188,Y246)</f>
        <v>7.4869872830892192E-3</v>
      </c>
      <c r="AA262" s="52" cm="1">
        <f t="array" aca="1" ref="AA262" ca="1">MMS_PastureBeef_Methane_Equations.VEERG_4_2_1_1__1_TotalAnnualMethaneProductionFromManureManagement(Z230,AA188,Z246)</f>
        <v>4.7588184062509068E-3</v>
      </c>
      <c r="AB262" s="52" cm="1">
        <f t="array" aca="1" ref="AB262" ca="1">MMS_PastureBeef_Methane_Equations.VEERG_4_2_1_1__1_TotalAnnualMethaneProductionFromManureManagement(AA230,AB188,AA246)</f>
        <v>6.6990533649278934E-3</v>
      </c>
      <c r="AC262" s="52" cm="1">
        <f t="array" aca="1" ref="AC262" ca="1">MMS_PastureBeef_Methane_Equations.VEERG_4_2_1_1__1_TotalAnnualMethaneProductionFromManureManagement(AB230,AC188,AB246)</f>
        <v>6.6328825169479936E-3</v>
      </c>
      <c r="AD262" s="52" cm="1">
        <f t="array" aca="1" ref="AD262" ca="1">MMS_PastureBeef_Methane_Equations.VEERG_4_2_1_1__1_TotalAnnualMethaneProductionFromManureManagement(AC230,AD188,AC246)</f>
        <v>6.6328825169479936E-3</v>
      </c>
      <c r="AE262" s="52" cm="1">
        <f t="array" aca="1" ref="AE262" ca="1">MMS_PastureBeef_Methane_Equations.VEERG_4_2_1_1__1_TotalAnnualMethaneProductionFromManureManagement(AD230,AE188,AD246)</f>
        <v>5.2159068150018362E-3</v>
      </c>
      <c r="AF262" s="52" cm="1">
        <f t="array" aca="1" ref="AF262" ca="1">MMS_PastureBeef_Methane_Equations.VEERG_4_2_1_1__1_TotalAnnualMethaneProductionFromManureManagement(AE230,AF188,AE246)</f>
        <v>5.8140342998928615E-3</v>
      </c>
      <c r="AG262" s="52" cm="1">
        <f t="array" aca="1" ref="AG262" ca="1">MMS_PastureBeef_Methane_Equations.VEERG_4_2_1_1__1_TotalAnnualMethaneProductionFromManureManagement(AF230,AG188,AF246)</f>
        <v>5.8140342998928615E-3</v>
      </c>
      <c r="AH262" s="52" cm="1">
        <f t="array" aca="1" ref="AH262" ca="1">MMS_PastureBeef_Methane_Equations.VEERG_4_2_1_1__1_TotalAnnualMethaneProductionFromManureManagement(AG230,AH188,AG246)</f>
        <v>5.8140342998928615E-3</v>
      </c>
      <c r="AI262" s="2" t="str">
        <f t="shared" si="11"/>
        <v>t CH4</v>
      </c>
      <c r="AJ262" s="2"/>
    </row>
    <row r="263" spans="23:36" ht="20.100000000000001" customHeight="1" x14ac:dyDescent="0.25">
      <c r="W263" s="52" t="str">
        <f>'Input - Pasture Beef'!$D$180</f>
        <v>Anaerobic lagoon</v>
      </c>
      <c r="X263" s="52" t="str">
        <f>W235</f>
        <v>January 2024</v>
      </c>
      <c r="Y263" s="52" cm="1">
        <f t="array" aca="1" ref="Y263" ca="1">MMS_PastureBeef_Methane_Equations.VEERG_4_2_1_1__1_TotalAnnualMethaneProductionFromManureManagement(X219,Y189,X235)</f>
        <v>3.5175818308880382E-3</v>
      </c>
      <c r="Z263" s="52" cm="1">
        <f t="array" aca="1" ref="Z263" ca="1">MMS_PastureBeef_Methane_Equations.VEERG_4_2_1_1__1_TotalAnnualMethaneProductionFromManureManagement(Y219,Z189,Y235)</f>
        <v>4.6541085272883585E-3</v>
      </c>
      <c r="AA263" s="52" cm="1">
        <f t="array" aca="1" ref="AA263" ca="1">MMS_PastureBeef_Methane_Equations.VEERG_4_2_1_1__1_TotalAnnualMethaneProductionFromManureManagement(Z219,AA189,Z235)</f>
        <v>2.9582068844132702E-3</v>
      </c>
      <c r="AB263" s="52" cm="1">
        <f t="array" aca="1" ref="AB263" ca="1">MMS_PastureBeef_Methane_Equations.VEERG_4_2_1_1__1_TotalAnnualMethaneProductionFromManureManagement(AA219,AB189,AA235)</f>
        <v>4.1643080469620118E-3</v>
      </c>
      <c r="AC263" s="52" cm="1">
        <f t="array" aca="1" ref="AC263" ca="1">MMS_PastureBeef_Methane_Equations.VEERG_4_2_1_1__1_TotalAnnualMethaneProductionFromManureManagement(AB219,AC189,AB235)</f>
        <v>4.1231745046977223E-3</v>
      </c>
      <c r="AD263" s="52" cm="1">
        <f t="array" aca="1" ref="AD263" ca="1">MMS_PastureBeef_Methane_Equations.VEERG_4_2_1_1__1_TotalAnnualMethaneProductionFromManureManagement(AC219,AD189,AC235)</f>
        <v>4.1231745046977223E-3</v>
      </c>
      <c r="AE263" s="52" cm="1">
        <f t="array" aca="1" ref="AE263" ca="1">MMS_PastureBeef_Methane_Equations.VEERG_4_2_1_1__1_TotalAnnualMethaneProductionFromManureManagement(AD219,AE189,AD235)</f>
        <v>3.242345080520184E-3</v>
      </c>
      <c r="AF263" s="52" cm="1">
        <f t="array" aca="1" ref="AF263" ca="1">MMS_PastureBeef_Methane_Equations.VEERG_4_2_1_1__1_TotalAnnualMethaneProductionFromManureManagement(AE219,AF189,AE235)</f>
        <v>3.6141568817936397E-3</v>
      </c>
      <c r="AG263" s="52" cm="1">
        <f t="array" aca="1" ref="AG263" ca="1">MMS_PastureBeef_Methane_Equations.VEERG_4_2_1_1__1_TotalAnnualMethaneProductionFromManureManagement(AF219,AG189,AF235)</f>
        <v>3.6141568817936397E-3</v>
      </c>
      <c r="AH263" s="52" cm="1">
        <f t="array" aca="1" ref="AH263" ca="1">MMS_PastureBeef_Methane_Equations.VEERG_4_2_1_1__1_TotalAnnualMethaneProductionFromManureManagement(AG219,AH189,AG235)</f>
        <v>3.6141568817936397E-3</v>
      </c>
      <c r="AI263" s="2" t="str">
        <f t="shared" si="11"/>
        <v>t CH4</v>
      </c>
      <c r="AJ263" s="2"/>
    </row>
    <row r="264" spans="23:36" ht="20.100000000000001" customHeight="1" x14ac:dyDescent="0.25">
      <c r="W264" s="52" t="str">
        <f>'Input - Pasture Beef'!$D$180</f>
        <v>Anaerobic lagoon</v>
      </c>
      <c r="X264" s="52" t="str">
        <f t="shared" ref="X264:X274" si="13">W236</f>
        <v>February 2024</v>
      </c>
      <c r="Y264" s="52" cm="1">
        <f t="array" aca="1" ref="Y264" ca="1">MMS_PastureBeef_Methane_Equations.VEERG_4_2_1_1__1_TotalAnnualMethaneProductionFromManureManagement(X220,Y190,X236)</f>
        <v>3.290641067604939E-3</v>
      </c>
      <c r="Z264" s="52" cm="1">
        <f t="array" aca="1" ref="Z264" ca="1">MMS_PastureBeef_Methane_Equations.VEERG_4_2_1_1__1_TotalAnnualMethaneProductionFromManureManagement(Y220,Z190,Y236)</f>
        <v>4.3538434610116902E-3</v>
      </c>
      <c r="AA264" s="52" cm="1">
        <f t="array" aca="1" ref="AA264" ca="1">MMS_PastureBeef_Methane_Equations.VEERG_4_2_1_1__1_TotalAnnualMethaneProductionFromManureManagement(Z220,AA190,Z236)</f>
        <v>2.7673548273543496E-3</v>
      </c>
      <c r="AB264" s="52" cm="1">
        <f t="array" aca="1" ref="AB264" ca="1">MMS_PastureBeef_Methane_Equations.VEERG_4_2_1_1__1_TotalAnnualMethaneProductionFromManureManagement(AA220,AB190,AA236)</f>
        <v>3.6238539643480357E-3</v>
      </c>
      <c r="AC264" s="52" cm="1">
        <f t="array" aca="1" ref="AC264" ca="1">MMS_PastureBeef_Methane_Equations.VEERG_4_2_1_1__1_TotalAnnualMethaneProductionFromManureManagement(AB220,AC190,AB236)</f>
        <v>3.5880588337954666E-3</v>
      </c>
      <c r="AD264" s="52" cm="1">
        <f t="array" aca="1" ref="AD264" ca="1">MMS_PastureBeef_Methane_Equations.VEERG_4_2_1_1__1_TotalAnnualMethaneProductionFromManureManagement(AC220,AD190,AC236)</f>
        <v>3.5880588337954666E-3</v>
      </c>
      <c r="AE264" s="52" cm="1">
        <f t="array" aca="1" ref="AE264" ca="1">MMS_PastureBeef_Methane_Equations.VEERG_4_2_1_1__1_TotalAnnualMethaneProductionFromManureManagement(AD220,AE190,AD236)</f>
        <v>3.0331615269382369E-3</v>
      </c>
      <c r="AF264" s="52" cm="1">
        <f t="array" aca="1" ref="AF264" ca="1">MMS_PastureBeef_Methane_Equations.VEERG_4_2_1_1__1_TotalAnnualMethaneProductionFromManureManagement(AE220,AF190,AE236)</f>
        <v>3.3809854700650181E-3</v>
      </c>
      <c r="AG264" s="52" cm="1">
        <f t="array" aca="1" ref="AG264" ca="1">MMS_PastureBeef_Methane_Equations.VEERG_4_2_1_1__1_TotalAnnualMethaneProductionFromManureManagement(AF220,AG190,AF236)</f>
        <v>3.3809854700650181E-3</v>
      </c>
      <c r="AH264" s="52" cm="1">
        <f t="array" aca="1" ref="AH264" ca="1">MMS_PastureBeef_Methane_Equations.VEERG_4_2_1_1__1_TotalAnnualMethaneProductionFromManureManagement(AG220,AH190,AG236)</f>
        <v>3.3809854700650181E-3</v>
      </c>
      <c r="AI264" s="2" t="str">
        <f t="shared" si="11"/>
        <v>t CH4</v>
      </c>
      <c r="AJ264" s="2"/>
    </row>
    <row r="265" spans="23:36" ht="20.100000000000001" customHeight="1" x14ac:dyDescent="0.25">
      <c r="W265" s="52" t="str">
        <f>'Input - Pasture Beef'!$D$180</f>
        <v>Anaerobic lagoon</v>
      </c>
      <c r="X265" s="52" t="str">
        <f t="shared" si="13"/>
        <v>March 2024</v>
      </c>
      <c r="Y265" s="52" cm="1">
        <f t="array" aca="1" ref="Y265" ca="1">MMS_PastureBeef_Methane_Equations.VEERG_4_2_1_1__1_TotalAnnualMethaneProductionFromManureManagement(X221,Y191,X237)</f>
        <v>1.8761813712310229E-3</v>
      </c>
      <c r="Z265" s="52" cm="1">
        <f t="array" aca="1" ref="Z265" ca="1">MMS_PastureBeef_Methane_Equations.VEERG_4_2_1_1__1_TotalAnnualMethaneProductionFromManureManagement(Y221,Z191,Y237)</f>
        <v>5.4454111963930752E-3</v>
      </c>
      <c r="AA265" s="52" cm="1">
        <f t="array" aca="1" ref="AA265" ca="1">MMS_PastureBeef_Methane_Equations.VEERG_4_2_1_1__1_TotalAnnualMethaneProductionFromManureManagement(Z221,AA191,Z237)</f>
        <v>1.7104283663157216E-3</v>
      </c>
      <c r="AB265" s="52" cm="1">
        <f t="array" aca="1" ref="AB265" ca="1">MMS_PastureBeef_Methane_Equations.VEERG_4_2_1_1__1_TotalAnnualMethaneProductionFromManureManagement(AA221,AB191,AA237)</f>
        <v>3.4423179933763134E-3</v>
      </c>
      <c r="AC265" s="52" cm="1">
        <f t="array" aca="1" ref="AC265" ca="1">MMS_PastureBeef_Methane_Equations.VEERG_4_2_1_1__1_TotalAnnualMethaneProductionFromManureManagement(AB221,AC191,AB237)</f>
        <v>3.8815490693232604E-3</v>
      </c>
      <c r="AD265" s="52" cm="1">
        <f t="array" aca="1" ref="AD265" ca="1">MMS_PastureBeef_Methane_Equations.VEERG_4_2_1_1__1_TotalAnnualMethaneProductionFromManureManagement(AC221,AD191,AC237)</f>
        <v>3.8815490693232604E-3</v>
      </c>
      <c r="AE265" s="52" cm="1">
        <f t="array" aca="1" ref="AE265" ca="1">MMS_PastureBeef_Methane_Equations.VEERG_4_2_1_1__1_TotalAnnualMethaneProductionFromManureManagement(AD221,AE191,AD237)</f>
        <v>1.8761813712310229E-3</v>
      </c>
      <c r="AF265" s="52" cm="1">
        <f t="array" aca="1" ref="AF265" ca="1">MMS_PastureBeef_Methane_Equations.VEERG_4_2_1_1__1_TotalAnnualMethaneProductionFromManureManagement(AE221,AF191,AE237)</f>
        <v>3.4062531437047462E-3</v>
      </c>
      <c r="AG265" s="52" cm="1">
        <f t="array" aca="1" ref="AG265" ca="1">MMS_PastureBeef_Methane_Equations.VEERG_4_2_1_1__1_TotalAnnualMethaneProductionFromManureManagement(AF221,AG191,AF237)</f>
        <v>3.4062531437047462E-3</v>
      </c>
      <c r="AH265" s="52" cm="1">
        <f t="array" aca="1" ref="AH265" ca="1">MMS_PastureBeef_Methane_Equations.VEERG_4_2_1_1__1_TotalAnnualMethaneProductionFromManureManagement(AG221,AH191,AG237)</f>
        <v>3.4062531437047462E-3</v>
      </c>
      <c r="AI265" s="2" t="str">
        <f t="shared" si="11"/>
        <v>t CH4</v>
      </c>
      <c r="AJ265" s="2"/>
    </row>
    <row r="266" spans="23:36" ht="20.100000000000001" customHeight="1" x14ac:dyDescent="0.25">
      <c r="W266" s="52" t="str">
        <f>'Input - Pasture Beef'!$D$180</f>
        <v>Anaerobic lagoon</v>
      </c>
      <c r="X266" s="52" t="str">
        <f t="shared" si="13"/>
        <v>April 2024</v>
      </c>
      <c r="Y266" s="52" cm="1">
        <f t="array" aca="1" ref="Y266" ca="1">MMS_PastureBeef_Methane_Equations.VEERG_4_2_1_1__1_TotalAnnualMethaneProductionFromManureManagement(X222,Y192,X238)</f>
        <v>1.815659391513893E-3</v>
      </c>
      <c r="Z266" s="52" cm="1">
        <f t="array" aca="1" ref="Z266" ca="1">MMS_PastureBeef_Methane_Equations.VEERG_4_2_1_1__1_TotalAnnualMethaneProductionFromManureManagement(Y222,Z192,Y238)</f>
        <v>5.2697527707029771E-3</v>
      </c>
      <c r="AA266" s="52" cm="1">
        <f t="array" aca="1" ref="AA266" ca="1">MMS_PastureBeef_Methane_Equations.VEERG_4_2_1_1__1_TotalAnnualMethaneProductionFromManureManagement(Z222,AA192,Z238)</f>
        <v>1.6552532577248918E-3</v>
      </c>
      <c r="AB266" s="52" cm="1">
        <f t="array" aca="1" ref="AB266" ca="1">MMS_PastureBeef_Methane_Equations.VEERG_4_2_1_1__1_TotalAnnualMethaneProductionFromManureManagement(AA222,AB192,AA238)</f>
        <v>3.3312754774609482E-3</v>
      </c>
      <c r="AC266" s="52" cm="1">
        <f t="array" aca="1" ref="AC266" ca="1">MMS_PastureBeef_Methane_Equations.VEERG_4_2_1_1__1_TotalAnnualMethaneProductionFromManureManagement(AB222,AC192,AB238)</f>
        <v>3.7563378090225102E-3</v>
      </c>
      <c r="AD266" s="52" cm="1">
        <f t="array" aca="1" ref="AD266" ca="1">MMS_PastureBeef_Methane_Equations.VEERG_4_2_1_1__1_TotalAnnualMethaneProductionFromManureManagement(AC222,AD192,AC238)</f>
        <v>3.7563378090225102E-3</v>
      </c>
      <c r="AE266" s="52" cm="1">
        <f t="array" aca="1" ref="AE266" ca="1">MMS_PastureBeef_Methane_Equations.VEERG_4_2_1_1__1_TotalAnnualMethaneProductionFromManureManagement(AD222,AE192,AD238)</f>
        <v>1.815659391513893E-3</v>
      </c>
      <c r="AF266" s="52" cm="1">
        <f t="array" aca="1" ref="AF266" ca="1">MMS_PastureBeef_Methane_Equations.VEERG_4_2_1_1__1_TotalAnnualMethaneProductionFromManureManagement(AE222,AF192,AE238)</f>
        <v>3.296374010036851E-3</v>
      </c>
      <c r="AG266" s="52" cm="1">
        <f t="array" aca="1" ref="AG266" ca="1">MMS_PastureBeef_Methane_Equations.VEERG_4_2_1_1__1_TotalAnnualMethaneProductionFromManureManagement(AF222,AG192,AF238)</f>
        <v>3.296374010036851E-3</v>
      </c>
      <c r="AH266" s="52" cm="1">
        <f t="array" aca="1" ref="AH266" ca="1">MMS_PastureBeef_Methane_Equations.VEERG_4_2_1_1__1_TotalAnnualMethaneProductionFromManureManagement(AG222,AH192,AG238)</f>
        <v>3.296374010036851E-3</v>
      </c>
      <c r="AI266" s="2" t="str">
        <f t="shared" si="11"/>
        <v>t CH4</v>
      </c>
      <c r="AJ266" s="2"/>
    </row>
    <row r="267" spans="23:36" ht="20.100000000000001" customHeight="1" x14ac:dyDescent="0.25">
      <c r="W267" s="52" t="str">
        <f>'Input - Pasture Beef'!$D$180</f>
        <v>Anaerobic lagoon</v>
      </c>
      <c r="X267" s="52" t="str">
        <f t="shared" si="13"/>
        <v>May 2024</v>
      </c>
      <c r="Y267" s="52" cm="1">
        <f t="array" aca="1" ref="Y267" ca="1">MMS_PastureBeef_Methane_Equations.VEERG_4_2_1_1__1_TotalAnnualMethaneProductionFromManureManagement(X223,Y193,X239)</f>
        <v>1.8761813712310229E-3</v>
      </c>
      <c r="Z267" s="52" cm="1">
        <f t="array" aca="1" ref="Z267" ca="1">MMS_PastureBeef_Methane_Equations.VEERG_4_2_1_1__1_TotalAnnualMethaneProductionFromManureManagement(Y223,Z193,Y239)</f>
        <v>5.4454111963930752E-3</v>
      </c>
      <c r="AA267" s="52" cm="1">
        <f t="array" aca="1" ref="AA267" ca="1">MMS_PastureBeef_Methane_Equations.VEERG_4_2_1_1__1_TotalAnnualMethaneProductionFromManureManagement(Z223,AA193,Z239)</f>
        <v>1.7104283663157216E-3</v>
      </c>
      <c r="AB267" s="52" cm="1">
        <f t="array" aca="1" ref="AB267" ca="1">MMS_PastureBeef_Methane_Equations.VEERG_4_2_1_1__1_TotalAnnualMethaneProductionFromManureManagement(AA223,AB193,AA239)</f>
        <v>3.4423179933763134E-3</v>
      </c>
      <c r="AC267" s="52" cm="1">
        <f t="array" aca="1" ref="AC267" ca="1">MMS_PastureBeef_Methane_Equations.VEERG_4_2_1_1__1_TotalAnnualMethaneProductionFromManureManagement(AB223,AC193,AB239)</f>
        <v>3.8815490693232604E-3</v>
      </c>
      <c r="AD267" s="52" cm="1">
        <f t="array" aca="1" ref="AD267" ca="1">MMS_PastureBeef_Methane_Equations.VEERG_4_2_1_1__1_TotalAnnualMethaneProductionFromManureManagement(AC223,AD193,AC239)</f>
        <v>3.8815490693232604E-3</v>
      </c>
      <c r="AE267" s="52" cm="1">
        <f t="array" aca="1" ref="AE267" ca="1">MMS_PastureBeef_Methane_Equations.VEERG_4_2_1_1__1_TotalAnnualMethaneProductionFromManureManagement(AD223,AE193,AD239)</f>
        <v>1.8761813712310229E-3</v>
      </c>
      <c r="AF267" s="52" cm="1">
        <f t="array" aca="1" ref="AF267" ca="1">MMS_PastureBeef_Methane_Equations.VEERG_4_2_1_1__1_TotalAnnualMethaneProductionFromManureManagement(AE223,AF193,AE239)</f>
        <v>3.4062531437047462E-3</v>
      </c>
      <c r="AG267" s="52" cm="1">
        <f t="array" aca="1" ref="AG267" ca="1">MMS_PastureBeef_Methane_Equations.VEERG_4_2_1_1__1_TotalAnnualMethaneProductionFromManureManagement(AF223,AG193,AF239)</f>
        <v>3.4062531437047462E-3</v>
      </c>
      <c r="AH267" s="52" cm="1">
        <f t="array" aca="1" ref="AH267" ca="1">MMS_PastureBeef_Methane_Equations.VEERG_4_2_1_1__1_TotalAnnualMethaneProductionFromManureManagement(AG223,AH193,AG239)</f>
        <v>3.4062531437047462E-3</v>
      </c>
      <c r="AI267" s="2" t="str">
        <f t="shared" si="11"/>
        <v>t CH4</v>
      </c>
      <c r="AJ267" s="2"/>
    </row>
    <row r="268" spans="23:36" ht="20.100000000000001" customHeight="1" x14ac:dyDescent="0.25">
      <c r="W268" s="52" t="str">
        <f>'Input - Pasture Beef'!$D$180</f>
        <v>Anaerobic lagoon</v>
      </c>
      <c r="X268" s="52" t="str">
        <f t="shared" si="13"/>
        <v>June 2024</v>
      </c>
      <c r="Y268" s="52" cm="1">
        <f t="array" aca="1" ref="Y268" ca="1">MMS_PastureBeef_Methane_Equations.VEERG_4_2_1_1__1_TotalAnnualMethaneProductionFromManureManagement(X224,Y194,X240)</f>
        <v>1.5413159880792644E-3</v>
      </c>
      <c r="Z268" s="52" cm="1">
        <f t="array" aca="1" ref="Z268" ca="1">MMS_PastureBeef_Methane_Equations.VEERG_4_2_1_1__1_TotalAnnualMethaneProductionFromManureManagement(Y224,Z194,Y240)</f>
        <v>2.9952688212232445E-3</v>
      </c>
      <c r="AA268" s="52" cm="1">
        <f t="array" aca="1" ref="AA268" ca="1">MMS_PastureBeef_Methane_Equations.VEERG_4_2_1_1__1_TotalAnnualMethaneProductionFromManureManagement(Z224,AA194,Z240)</f>
        <v>1.2619959237124823E-3</v>
      </c>
      <c r="AB268" s="52" cm="1">
        <f t="array" aca="1" ref="AB268" ca="1">MMS_PastureBeef_Methane_Equations.VEERG_4_2_1_1__1_TotalAnnualMethaneProductionFromManureManagement(AA224,AB194,AA240)</f>
        <v>1.7800144348972637E-3</v>
      </c>
      <c r="AC268" s="52" cm="1">
        <f t="array" aca="1" ref="AC268" ca="1">MMS_PastureBeef_Methane_Equations.VEERG_4_2_1_1__1_TotalAnnualMethaneProductionFromManureManagement(AB224,AC194,AB240)</f>
        <v>2.3879442409870263E-3</v>
      </c>
      <c r="AD268" s="52" cm="1">
        <f t="array" aca="1" ref="AD268" ca="1">MMS_PastureBeef_Methane_Equations.VEERG_4_2_1_1__1_TotalAnnualMethaneProductionFromManureManagement(AC224,AD194,AC240)</f>
        <v>2.3879442409870263E-3</v>
      </c>
      <c r="AE268" s="52" cm="1">
        <f t="array" aca="1" ref="AE268" ca="1">MMS_PastureBeef_Methane_Equations.VEERG_4_2_1_1__1_TotalAnnualMethaneProductionFromManureManagement(AD224,AE194,AD240)</f>
        <v>1.3549521024969835E-3</v>
      </c>
      <c r="AF268" s="52" cm="1">
        <f t="array" aca="1" ref="AF268" ca="1">MMS_PastureBeef_Methane_Equations.VEERG_4_2_1_1__1_TotalAnnualMethaneProductionFromManureManagement(AE224,AF194,AE240)</f>
        <v>2.0628912929971021E-3</v>
      </c>
      <c r="AG268" s="52" cm="1">
        <f t="array" aca="1" ref="AG268" ca="1">MMS_PastureBeef_Methane_Equations.VEERG_4_2_1_1__1_TotalAnnualMethaneProductionFromManureManagement(AF224,AG194,AF240)</f>
        <v>2.0628912929971021E-3</v>
      </c>
      <c r="AH268" s="52" cm="1">
        <f t="array" aca="1" ref="AH268" ca="1">MMS_PastureBeef_Methane_Equations.VEERG_4_2_1_1__1_TotalAnnualMethaneProductionFromManureManagement(AG224,AH194,AG240)</f>
        <v>2.0628912929971021E-3</v>
      </c>
      <c r="AI268" s="2" t="str">
        <f t="shared" si="11"/>
        <v>t CH4</v>
      </c>
      <c r="AJ268" s="2"/>
    </row>
    <row r="269" spans="23:36" ht="20.100000000000001" customHeight="1" x14ac:dyDescent="0.25">
      <c r="W269" s="52" t="str">
        <f>'Input - Pasture Beef'!$D$180</f>
        <v>Anaerobic lagoon</v>
      </c>
      <c r="X269" s="52" t="str">
        <f t="shared" si="13"/>
        <v>July 2024</v>
      </c>
      <c r="Y269" s="52" cm="1">
        <f t="array" aca="1" ref="Y269" ca="1">MMS_PastureBeef_Methane_Equations.VEERG_4_2_1_1__1_TotalAnnualMethaneProductionFromManureManagement(X225,Y195,X241)</f>
        <v>1.5926931876819065E-3</v>
      </c>
      <c r="Z269" s="52" cm="1">
        <f t="array" aca="1" ref="Z269" ca="1">MMS_PastureBeef_Methane_Equations.VEERG_4_2_1_1__1_TotalAnnualMethaneProductionFromManureManagement(Y225,Z195,Y241)</f>
        <v>3.0951111152640195E-3</v>
      </c>
      <c r="AA269" s="52" cm="1">
        <f t="array" aca="1" ref="AA269" ca="1">MMS_PastureBeef_Methane_Equations.VEERG_4_2_1_1__1_TotalAnnualMethaneProductionFromManureManagement(Z225,AA195,Z241)</f>
        <v>1.3040624545028986E-3</v>
      </c>
      <c r="AB269" s="52" cm="1">
        <f t="array" aca="1" ref="AB269" ca="1">MMS_PastureBeef_Methane_Equations.VEERG_4_2_1_1__1_TotalAnnualMethaneProductionFromManureManagement(AA225,AB195,AA241)</f>
        <v>1.8393482493938393E-3</v>
      </c>
      <c r="AC269" s="52" cm="1">
        <f t="array" aca="1" ref="AC269" ca="1">MMS_PastureBeef_Methane_Equations.VEERG_4_2_1_1__1_TotalAnnualMethaneProductionFromManureManagement(AB225,AC195,AB241)</f>
        <v>2.4675423823532607E-3</v>
      </c>
      <c r="AD269" s="52" cm="1">
        <f t="array" aca="1" ref="AD269" ca="1">MMS_PastureBeef_Methane_Equations.VEERG_4_2_1_1__1_TotalAnnualMethaneProductionFromManureManagement(AC225,AD195,AC241)</f>
        <v>2.4675423823532607E-3</v>
      </c>
      <c r="AE269" s="52" cm="1">
        <f t="array" aca="1" ref="AE269" ca="1">MMS_PastureBeef_Methane_Equations.VEERG_4_2_1_1__1_TotalAnnualMethaneProductionFromManureManagement(AD225,AE195,AD241)</f>
        <v>1.4001171725802162E-3</v>
      </c>
      <c r="AF269" s="52" cm="1">
        <f t="array" aca="1" ref="AF269" ca="1">MMS_PastureBeef_Methane_Equations.VEERG_4_2_1_1__1_TotalAnnualMethaneProductionFromManureManagement(AE225,AF195,AE241)</f>
        <v>2.1316543360970054E-3</v>
      </c>
      <c r="AG269" s="52" cm="1">
        <f t="array" aca="1" ref="AG269" ca="1">MMS_PastureBeef_Methane_Equations.VEERG_4_2_1_1__1_TotalAnnualMethaneProductionFromManureManagement(AF225,AG195,AF241)</f>
        <v>2.1316543360970054E-3</v>
      </c>
      <c r="AH269" s="52" cm="1">
        <f t="array" aca="1" ref="AH269" ca="1">MMS_PastureBeef_Methane_Equations.VEERG_4_2_1_1__1_TotalAnnualMethaneProductionFromManureManagement(AG225,AH195,AG241)</f>
        <v>2.1316543360970054E-3</v>
      </c>
      <c r="AI269" s="2" t="str">
        <f t="shared" si="11"/>
        <v>t CH4</v>
      </c>
      <c r="AJ269" s="2"/>
    </row>
    <row r="270" spans="23:36" ht="20.100000000000001" customHeight="1" x14ac:dyDescent="0.25">
      <c r="W270" s="52" t="str">
        <f>'Input - Pasture Beef'!$D$180</f>
        <v>Anaerobic lagoon</v>
      </c>
      <c r="X270" s="52" t="str">
        <f t="shared" si="13"/>
        <v>August 2024</v>
      </c>
      <c r="Y270" s="52" cm="1">
        <f t="array" aca="1" ref="Y270" ca="1">MMS_PastureBeef_Methane_Equations.VEERG_4_2_1_1__1_TotalAnnualMethaneProductionFromManureManagement(X226,Y196,X242)</f>
        <v>1.5926931876819065E-3</v>
      </c>
      <c r="Z270" s="52" cm="1">
        <f t="array" aca="1" ref="Z270" ca="1">MMS_PastureBeef_Methane_Equations.VEERG_4_2_1_1__1_TotalAnnualMethaneProductionFromManureManagement(Y226,Z196,Y242)</f>
        <v>3.0951111152640195E-3</v>
      </c>
      <c r="AA270" s="52" cm="1">
        <f t="array" aca="1" ref="AA270" ca="1">MMS_PastureBeef_Methane_Equations.VEERG_4_2_1_1__1_TotalAnnualMethaneProductionFromManureManagement(Z226,AA196,Z242)</f>
        <v>1.3040624545028986E-3</v>
      </c>
      <c r="AB270" s="52" cm="1">
        <f t="array" aca="1" ref="AB270" ca="1">MMS_PastureBeef_Methane_Equations.VEERG_4_2_1_1__1_TotalAnnualMethaneProductionFromManureManagement(AA226,AB196,AA242)</f>
        <v>2.253201605507453E-3</v>
      </c>
      <c r="AC270" s="52" cm="1">
        <f t="array" aca="1" ref="AC270" ca="1">MMS_PastureBeef_Methane_Equations.VEERG_4_2_1_1__1_TotalAnnualMethaneProductionFromManureManagement(AB226,AC196,AB242)</f>
        <v>3.0227394183827442E-3</v>
      </c>
      <c r="AD270" s="52" cm="1">
        <f t="array" aca="1" ref="AD270" ca="1">MMS_PastureBeef_Methane_Equations.VEERG_4_2_1_1__1_TotalAnnualMethaneProductionFromManureManagement(AC226,AD196,AC242)</f>
        <v>3.0227394183827442E-3</v>
      </c>
      <c r="AE270" s="52" cm="1">
        <f t="array" aca="1" ref="AE270" ca="1">MMS_PastureBeef_Methane_Equations.VEERG_4_2_1_1__1_TotalAnnualMethaneProductionFromManureManagement(AD226,AE196,AD242)</f>
        <v>1.4001171725802162E-3</v>
      </c>
      <c r="AF270" s="52" cm="1">
        <f t="array" aca="1" ref="AF270" ca="1">MMS_PastureBeef_Methane_Equations.VEERG_4_2_1_1__1_TotalAnnualMethaneProductionFromManureManagement(AE226,AF196,AE242)</f>
        <v>2.1316543360970054E-3</v>
      </c>
      <c r="AG270" s="52" cm="1">
        <f t="array" aca="1" ref="AG270" ca="1">MMS_PastureBeef_Methane_Equations.VEERG_4_2_1_1__1_TotalAnnualMethaneProductionFromManureManagement(AF226,AG196,AF242)</f>
        <v>2.1316543360970054E-3</v>
      </c>
      <c r="AH270" s="52" cm="1">
        <f t="array" aca="1" ref="AH270" ca="1">MMS_PastureBeef_Methane_Equations.VEERG_4_2_1_1__1_TotalAnnualMethaneProductionFromManureManagement(AG226,AH196,AG242)</f>
        <v>2.1316543360970054E-3</v>
      </c>
      <c r="AI270" s="2" t="str">
        <f t="shared" si="11"/>
        <v>t CH4</v>
      </c>
      <c r="AJ270" s="2"/>
    </row>
    <row r="271" spans="23:36" ht="20.100000000000001" customHeight="1" x14ac:dyDescent="0.25">
      <c r="W271" s="52" t="str">
        <f>'Input - Pasture Beef'!$D$180</f>
        <v>Anaerobic lagoon</v>
      </c>
      <c r="X271" s="52" t="str">
        <f t="shared" si="13"/>
        <v>September 2024</v>
      </c>
      <c r="Y271" s="52" cm="1">
        <f t="array" aca="1" ref="Y271" ca="1">MMS_PastureBeef_Methane_Equations.VEERG_4_2_1_1__1_TotalAnnualMethaneProductionFromManureManagement(X227,Y197,X243)</f>
        <v>2.1547986931691209E-3</v>
      </c>
      <c r="Z271" s="52" cm="1">
        <f t="array" aca="1" ref="Z271" ca="1">MMS_PastureBeef_Methane_Equations.VEERG_4_2_1_1__1_TotalAnnualMethaneProductionFromManureManagement(Y227,Z197,Y243)</f>
        <v>3.0433667024977996E-3</v>
      </c>
      <c r="AA271" s="52" cm="1">
        <f t="array" aca="1" ref="AA271" ca="1">MMS_PastureBeef_Methane_Equations.VEERG_4_2_1_1__1_TotalAnnualMethaneProductionFromManureManagement(Z227,AA197,Z243)</f>
        <v>1.6423869772529524E-3</v>
      </c>
      <c r="AB271" s="52" cm="1">
        <f t="array" aca="1" ref="AB271" ca="1">MMS_PastureBeef_Methane_Equations.VEERG_4_2_1_1__1_TotalAnnualMethaneProductionFromManureManagement(AA227,AB197,AA243)</f>
        <v>2.6402917901528038E-3</v>
      </c>
      <c r="AC271" s="52" cm="1">
        <f t="array" aca="1" ref="AC271" ca="1">MMS_PastureBeef_Methane_Equations.VEERG_4_2_1_1__1_TotalAnnualMethaneProductionFromManureManagement(AB227,AC197,AB243)</f>
        <v>2.9319319712547425E-3</v>
      </c>
      <c r="AD271" s="52" cm="1">
        <f t="array" aca="1" ref="AD271" ca="1">MMS_PastureBeef_Methane_Equations.VEERG_4_2_1_1__1_TotalAnnualMethaneProductionFromManureManagement(AC227,AD197,AC243)</f>
        <v>2.9319319712547425E-3</v>
      </c>
      <c r="AE271" s="52" cm="1">
        <f t="array" aca="1" ref="AE271" ca="1">MMS_PastureBeef_Methane_Equations.VEERG_4_2_1_1__1_TotalAnnualMethaneProductionFromManureManagement(AD227,AE197,AD243)</f>
        <v>1.893454440758253E-3</v>
      </c>
      <c r="AF271" s="52" cm="1">
        <f t="array" aca="1" ref="AF271" ca="1">MMS_PastureBeef_Methane_Equations.VEERG_4_2_1_1__1_TotalAnnualMethaneProductionFromManureManagement(AE227,AF197,AE243)</f>
        <v>2.4061714153320547E-3</v>
      </c>
      <c r="AG271" s="52" cm="1">
        <f t="array" aca="1" ref="AG271" ca="1">MMS_PastureBeef_Methane_Equations.VEERG_4_2_1_1__1_TotalAnnualMethaneProductionFromManureManagement(AF227,AG197,AF243)</f>
        <v>2.4061714153320547E-3</v>
      </c>
      <c r="AH271" s="52" cm="1">
        <f t="array" aca="1" ref="AH271" ca="1">MMS_PastureBeef_Methane_Equations.VEERG_4_2_1_1__1_TotalAnnualMethaneProductionFromManureManagement(AG227,AH197,AG243)</f>
        <v>2.4061714153320547E-3</v>
      </c>
      <c r="AI271" s="2" t="str">
        <f t="shared" si="11"/>
        <v>t CH4</v>
      </c>
      <c r="AJ271" s="2"/>
    </row>
    <row r="272" spans="23:36" x14ac:dyDescent="0.25">
      <c r="W272" s="52" t="str">
        <f>'Input - Pasture Beef'!$D$180</f>
        <v>Anaerobic lagoon</v>
      </c>
      <c r="X272" s="52" t="str">
        <f t="shared" si="13"/>
        <v>October 2024</v>
      </c>
      <c r="Y272" s="52" cm="1">
        <f t="array" aca="1" ref="Y272" ca="1">MMS_PastureBeef_Methane_Equations.VEERG_4_2_1_1__1_TotalAnnualMethaneProductionFromManureManagement(X228,Y198,X244)</f>
        <v>2.226625316274758E-3</v>
      </c>
      <c r="Z272" s="52" cm="1">
        <f t="array" aca="1" ref="Z272" ca="1">MMS_PastureBeef_Methane_Equations.VEERG_4_2_1_1__1_TotalAnnualMethaneProductionFromManureManagement(Y228,Z198,Y244)</f>
        <v>3.144812259247726E-3</v>
      </c>
      <c r="AA272" s="52" cm="1">
        <f t="array" aca="1" ref="AA272" ca="1">MMS_PastureBeef_Methane_Equations.VEERG_4_2_1_1__1_TotalAnnualMethaneProductionFromManureManagement(Z228,AA198,Z244)</f>
        <v>1.697133209828051E-3</v>
      </c>
      <c r="AB272" s="52" cm="1">
        <f t="array" aca="1" ref="AB272" ca="1">MMS_PastureBeef_Methane_Equations.VEERG_4_2_1_1__1_TotalAnnualMethaneProductionFromManureManagement(AA228,AB198,AA244)</f>
        <v>2.7283015164912302E-3</v>
      </c>
      <c r="AC272" s="52" cm="1">
        <f t="array" aca="1" ref="AC272" ca="1">MMS_PastureBeef_Methane_Equations.VEERG_4_2_1_1__1_TotalAnnualMethaneProductionFromManureManagement(AB228,AC198,AB244)</f>
        <v>3.0296630369632338E-3</v>
      </c>
      <c r="AD272" s="52" cm="1">
        <f t="array" aca="1" ref="AD272" ca="1">MMS_PastureBeef_Methane_Equations.VEERG_4_2_1_1__1_TotalAnnualMethaneProductionFromManureManagement(AC228,AD198,AC244)</f>
        <v>3.0296630369632338E-3</v>
      </c>
      <c r="AE272" s="52" cm="1">
        <f t="array" aca="1" ref="AE272" ca="1">MMS_PastureBeef_Methane_Equations.VEERG_4_2_1_1__1_TotalAnnualMethaneProductionFromManureManagement(AD228,AE198,AD244)</f>
        <v>1.956569588783528E-3</v>
      </c>
      <c r="AF272" s="52" cm="1">
        <f t="array" aca="1" ref="AF272" ca="1">MMS_PastureBeef_Methane_Equations.VEERG_4_2_1_1__1_TotalAnnualMethaneProductionFromManureManagement(AE228,AF198,AE244)</f>
        <v>2.4863771291764565E-3</v>
      </c>
      <c r="AG272" s="52" cm="1">
        <f t="array" aca="1" ref="AG272" ca="1">MMS_PastureBeef_Methane_Equations.VEERG_4_2_1_1__1_TotalAnnualMethaneProductionFromManureManagement(AF228,AG198,AF244)</f>
        <v>2.4863771291764565E-3</v>
      </c>
      <c r="AH272" s="52" cm="1">
        <f t="array" aca="1" ref="AH272" ca="1">MMS_PastureBeef_Methane_Equations.VEERG_4_2_1_1__1_TotalAnnualMethaneProductionFromManureManagement(AG228,AH198,AG244)</f>
        <v>2.4863771291764565E-3</v>
      </c>
      <c r="AI272" s="2" t="str">
        <f t="shared" si="11"/>
        <v>t CH4</v>
      </c>
      <c r="AJ272" s="2"/>
    </row>
    <row r="273" spans="23:36" x14ac:dyDescent="0.25">
      <c r="W273" s="52" t="str">
        <f>'Input - Pasture Beef'!$D$180</f>
        <v>Anaerobic lagoon</v>
      </c>
      <c r="X273" s="52" t="str">
        <f t="shared" si="13"/>
        <v>November 2024</v>
      </c>
      <c r="Y273" s="52" cm="1">
        <f t="array" aca="1" ref="Y273" ca="1">MMS_PastureBeef_Methane_Equations.VEERG_4_2_1_1__1_TotalAnnualMethaneProductionFromManureManagement(X229,Y199,X245)</f>
        <v>2.1547986931691209E-3</v>
      </c>
      <c r="Z273" s="52" cm="1">
        <f t="array" aca="1" ref="Z273" ca="1">MMS_PastureBeef_Methane_Equations.VEERG_4_2_1_1__1_TotalAnnualMethaneProductionFromManureManagement(Y229,Z199,Y245)</f>
        <v>3.0433667024977996E-3</v>
      </c>
      <c r="AA273" s="52" cm="1">
        <f t="array" aca="1" ref="AA273" ca="1">MMS_PastureBeef_Methane_Equations.VEERG_4_2_1_1__1_TotalAnnualMethaneProductionFromManureManagement(Z229,AA199,Z245)</f>
        <v>1.6423869772529524E-3</v>
      </c>
      <c r="AB273" s="52" cm="1">
        <f t="array" aca="1" ref="AB273" ca="1">MMS_PastureBeef_Methane_Equations.VEERG_4_2_1_1__1_TotalAnnualMethaneProductionFromManureManagement(AA229,AB199,AA245)</f>
        <v>2.3169907546238891E-3</v>
      </c>
      <c r="AC273" s="52" cm="1">
        <f t="array" aca="1" ref="AC273" ca="1">MMS_PastureBeef_Methane_Equations.VEERG_4_2_1_1__1_TotalAnnualMethaneProductionFromManureManagement(AB229,AC199,AB245)</f>
        <v>2.5729198931419158E-3</v>
      </c>
      <c r="AD273" s="52" cm="1">
        <f t="array" aca="1" ref="AD273" ca="1">MMS_PastureBeef_Methane_Equations.VEERG_4_2_1_1__1_TotalAnnualMethaneProductionFromManureManagement(AC229,AD199,AC245)</f>
        <v>2.5729198931419158E-3</v>
      </c>
      <c r="AE273" s="52" cm="1">
        <f t="array" aca="1" ref="AE273" ca="1">MMS_PastureBeef_Methane_Equations.VEERG_4_2_1_1__1_TotalAnnualMethaneProductionFromManureManagement(AD229,AE199,AD245)</f>
        <v>1.893454440758253E-3</v>
      </c>
      <c r="AF273" s="52" cm="1">
        <f t="array" aca="1" ref="AF273" ca="1">MMS_PastureBeef_Methane_Equations.VEERG_4_2_1_1__1_TotalAnnualMethaneProductionFromManureManagement(AE229,AF199,AE245)</f>
        <v>2.4061714153320547E-3</v>
      </c>
      <c r="AG273" s="52" cm="1">
        <f t="array" aca="1" ref="AG273" ca="1">MMS_PastureBeef_Methane_Equations.VEERG_4_2_1_1__1_TotalAnnualMethaneProductionFromManureManagement(AF229,AG199,AF245)</f>
        <v>2.4061714153320547E-3</v>
      </c>
      <c r="AH273" s="52" cm="1">
        <f t="array" aca="1" ref="AH273" ca="1">MMS_PastureBeef_Methane_Equations.VEERG_4_2_1_1__1_TotalAnnualMethaneProductionFromManureManagement(AG229,AH199,AG245)</f>
        <v>2.4061714153320547E-3</v>
      </c>
      <c r="AI273" s="2" t="str">
        <f t="shared" si="11"/>
        <v>t CH4</v>
      </c>
      <c r="AJ273" s="2"/>
    </row>
    <row r="274" spans="23:36" x14ac:dyDescent="0.25">
      <c r="W274" s="52" t="str">
        <f>'Input - Pasture Beef'!$D$180</f>
        <v>Anaerobic lagoon</v>
      </c>
      <c r="X274" s="52" t="str">
        <f t="shared" si="13"/>
        <v>December 2024</v>
      </c>
      <c r="Y274" s="52" cm="1">
        <f t="array" aca="1" ref="Y274" ca="1">MMS_PastureBeef_Methane_Equations.VEERG_4_2_1_1__1_TotalAnnualMethaneProductionFromManureManagement(X230,Y200,X246)</f>
        <v>3.5175818308880382E-3</v>
      </c>
      <c r="Z274" s="52" cm="1">
        <f t="array" aca="1" ref="Z274" ca="1">MMS_PastureBeef_Methane_Equations.VEERG_4_2_1_1__1_TotalAnnualMethaneProductionFromManureManagement(Y230,Z200,Y246)</f>
        <v>4.6541085272883585E-3</v>
      </c>
      <c r="AA274" s="52" cm="1">
        <f t="array" aca="1" ref="AA274" ca="1">MMS_PastureBeef_Methane_Equations.VEERG_4_2_1_1__1_TotalAnnualMethaneProductionFromManureManagement(Z230,AA200,Z246)</f>
        <v>2.9582068844132702E-3</v>
      </c>
      <c r="AB274" s="52" cm="1">
        <f t="array" aca="1" ref="AB274" ca="1">MMS_PastureBeef_Methane_Equations.VEERG_4_2_1_1__1_TotalAnnualMethaneProductionFromManureManagement(AA230,AB200,AA246)</f>
        <v>4.1643080469620118E-3</v>
      </c>
      <c r="AC274" s="52" cm="1">
        <f t="array" aca="1" ref="AC274" ca="1">MMS_PastureBeef_Methane_Equations.VEERG_4_2_1_1__1_TotalAnnualMethaneProductionFromManureManagement(AB230,AC200,AB246)</f>
        <v>4.1231745046977223E-3</v>
      </c>
      <c r="AD274" s="52" cm="1">
        <f t="array" aca="1" ref="AD274" ca="1">MMS_PastureBeef_Methane_Equations.VEERG_4_2_1_1__1_TotalAnnualMethaneProductionFromManureManagement(AC230,AD200,AC246)</f>
        <v>4.1231745046977223E-3</v>
      </c>
      <c r="AE274" s="52" cm="1">
        <f t="array" aca="1" ref="AE274" ca="1">MMS_PastureBeef_Methane_Equations.VEERG_4_2_1_1__1_TotalAnnualMethaneProductionFromManureManagement(AD230,AE200,AD246)</f>
        <v>3.242345080520184E-3</v>
      </c>
      <c r="AF274" s="52" cm="1">
        <f t="array" aca="1" ref="AF274" ca="1">MMS_PastureBeef_Methane_Equations.VEERG_4_2_1_1__1_TotalAnnualMethaneProductionFromManureManagement(AE230,AF200,AE246)</f>
        <v>3.6141568817936397E-3</v>
      </c>
      <c r="AG274" s="52" cm="1">
        <f t="array" aca="1" ref="AG274" ca="1">MMS_PastureBeef_Methane_Equations.VEERG_4_2_1_1__1_TotalAnnualMethaneProductionFromManureManagement(AF230,AG200,AF246)</f>
        <v>3.6141568817936397E-3</v>
      </c>
      <c r="AH274" s="52" cm="1">
        <f t="array" aca="1" ref="AH274" ca="1">MMS_PastureBeef_Methane_Equations.VEERG_4_2_1_1__1_TotalAnnualMethaneProductionFromManureManagement(AG230,AH200,AG246)</f>
        <v>3.6141568817936397E-3</v>
      </c>
      <c r="AI274" s="2" t="str">
        <f t="shared" si="11"/>
        <v>t CH4</v>
      </c>
      <c r="AJ274" s="2"/>
    </row>
    <row r="276" spans="23:36" ht="23.25" x14ac:dyDescent="0.25">
      <c r="W276" s="99" t="s">
        <v>301</v>
      </c>
      <c r="X276" s="100">
        <f ca="1">SUM(Y251:AH274)</f>
        <v>0.89029635334910784</v>
      </c>
      <c r="Y276" s="101">
        <f ca="1">X242</f>
        <v>31</v>
      </c>
    </row>
    <row r="278" spans="23:36" x14ac:dyDescent="0.25">
      <c r="W278" s="57" t="str" cm="1">
        <f t="array" ref="W278:X279">Common_Equations.Common_ConvertCH4ToCO2e_Arguments()</f>
        <v>ECH4</v>
      </c>
      <c r="X278" s="58" t="str">
        <v>Methane emissions (t CH4)</v>
      </c>
      <c r="Y278" s="102"/>
      <c r="Z278" s="52">
        <f ca="1">X276</f>
        <v>0.89029635334910784</v>
      </c>
    </row>
    <row r="279" spans="23:36" x14ac:dyDescent="0.25">
      <c r="W279" s="57" t="str">
        <v>GWPCH4</v>
      </c>
      <c r="X279" s="58" t="str">
        <v>Global warming potential for methane (t CO2-e / t CH4)</v>
      </c>
      <c r="Y279" s="102"/>
      <c r="Z279" s="52">
        <f>Common_InputFunctions.Utility_LookupValueInTableNumber("CH4",Table_GWPData[Gas],Table_GWPData[CO2-e factor])</f>
        <v>28</v>
      </c>
    </row>
    <row r="281" spans="23:36" ht="18.75" x14ac:dyDescent="0.25">
      <c r="W281" s="45" t="s">
        <v>104</v>
      </c>
      <c r="X281" s="45" cm="1">
        <f t="array" aca="1" ref="X281" ca="1">Common_Equations.Common_ConvertN2OToCO2e(Z278,Z279)</f>
        <v>24.928297893775021</v>
      </c>
      <c r="Y281" s="103" t="str" cm="1">
        <f t="array" ref="Y281">Common_Equations.Common_ConvertN2OToCO2e_Unit()</f>
        <v>t CO2e</v>
      </c>
    </row>
  </sheetData>
  <dataValidations count="1">
    <dataValidation operator="equal" allowBlank="1" showInputMessage="1" showErrorMessage="1" sqref="Y167:AC167 E255 D154:G154 G166:J166 E121:J121 F122:J126 X206 E203 E258 X203 E141:J141 Y143:AC144 E206 F135:F136 F142:J144 F167:J167 F172:J173 X166:AC166 Y172:AC173 W154:Z154"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AI291"/>
  <sheetViews>
    <sheetView showGridLines="0" tabSelected="1" topLeftCell="P1" zoomScaleNormal="100" workbookViewId="0">
      <selection activeCell="U178" sqref="U178"/>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7" t="e" vm="1">
        <v>#VALUE!</v>
      </c>
      <c r="C1" s="8" t="s">
        <v>284</v>
      </c>
    </row>
    <row r="2" spans="1:35" s="9" customFormat="1" ht="20.100000000000001" customHeight="1" x14ac:dyDescent="0.25"/>
    <row r="3" spans="1:35" ht="20.100000000000001" customHeight="1" x14ac:dyDescent="0.25">
      <c r="A3" s="17" t="str">
        <f>HYPERLINK("#'Home'!A1", "Home")</f>
        <v>Home</v>
      </c>
      <c r="C3" s="4"/>
      <c r="D3" s="4" t="s">
        <v>108</v>
      </c>
      <c r="E3" s="4"/>
      <c r="F3" s="4"/>
      <c r="G3" s="4"/>
      <c r="H3" s="4"/>
      <c r="I3" s="4"/>
      <c r="J3" s="4"/>
      <c r="K3" s="4"/>
      <c r="L3" s="4"/>
      <c r="M3" s="4"/>
      <c r="N3" s="4"/>
      <c r="O3" s="4"/>
      <c r="P3" s="4"/>
      <c r="Q3" s="4"/>
      <c r="R3" s="4"/>
      <c r="T3" s="4"/>
      <c r="U3" s="4" t="s">
        <v>109</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MMS_PastureBeef_Soil_N2ODirect_Equations.VEERG_4_2_1_3__7_RelativeSize_Title()</f>
        <v>Relative size of the cattle</v>
      </c>
    </row>
    <row r="6" spans="1:35" ht="20.100000000000001" customHeight="1" x14ac:dyDescent="0.25">
      <c r="A6" s="20" t="s">
        <v>3</v>
      </c>
      <c r="D6" s="5" t="str" cm="1">
        <f t="array" ref="D6">MMS_PastureBeef_Soil_N2ODirect_Equations.VEERG_4_2_1_3__7_RelativeSize_Source()</f>
        <v>VEERG 2026: 4.2.1.3, Equation (7)</v>
      </c>
    </row>
    <row r="7" spans="1:35" ht="20.100000000000001" customHeight="1" x14ac:dyDescent="0.25">
      <c r="A7" s="17" t="str">
        <f>HYPERLINK("#'Input - Site'!A1", "Site")</f>
        <v>Site</v>
      </c>
      <c r="D7" s="13" t="s">
        <v>27</v>
      </c>
      <c r="E7" s="13" t="str" cm="1">
        <f t="array" aca="1" ref="E7" ca="1">Common_InputFunctions.Utility_DisplayFunctionName(E33)</f>
        <v>=MMS_PastureBeef_Soil_N2ODirect_Equations.VEERG_4_2_1_3__7_RelativeSize</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77</v>
      </c>
      <c r="D10" s="53" t="s">
        <v>30</v>
      </c>
      <c r="E10" s="1" t="str" cm="1">
        <f t="array" ref="E10">MMS_PastureBeef_Soil_N2ODirect_Equations.VEERG_4_2_1_3__7_RelativeSize_Variable()</f>
        <v>Z_jkl</v>
      </c>
    </row>
    <row r="11" spans="1:35" ht="20.100000000000001" customHeight="1" x14ac:dyDescent="0.25">
      <c r="A11" s="17" t="str">
        <f>HYPERLINK("#'4.2.1.1-2 Methane'!A1", "4.2.1.1-2 Methane")</f>
        <v>4.2.1.1-2 Methane</v>
      </c>
      <c r="D11" s="53" t="s">
        <v>20</v>
      </c>
      <c r="E11" s="54" t="str" cm="1">
        <f t="array" ref="E11">MMS_PastureBeef_Soil_N2ODirect_Equations.VEERG_4_2_1_3__7_RelativeSize_Unit()</f>
        <v>ratio</v>
      </c>
    </row>
    <row r="12" spans="1:35" ht="20.100000000000001" customHeight="1" x14ac:dyDescent="0.25">
      <c r="A12" s="17" t="str">
        <f>HYPERLINK("#'4.2.1.3-4 Soil direct N2O'!A1", "4.2.1.3-4 Soil direct N2O")</f>
        <v>4.2.1.3-4 Soil direct N2O</v>
      </c>
    </row>
    <row r="13" spans="1:35" ht="20.100000000000001" customHeight="1" x14ac:dyDescent="0.25">
      <c r="A13" s="17" t="str">
        <f>HYPERLINK("#'4.2.1.5-6 Soil Atmos Dep'!A1", "4.2.1.5-6 Soil atm. deposition")</f>
        <v>4.2.1.5-6 Soil atm. deposition</v>
      </c>
      <c r="D13" s="119" t="str" cm="1">
        <f t="array" ref="D13:E15">_xlfn.CHOOSECOLS(MMS_PastureBeef_Soil_N2ODirect_Equations.VEERG_4_2_1_3__7_RelativeSize_Arguments(),1,2)</f>
        <v>W_jkl</v>
      </c>
      <c r="E13" s="119" t="str">
        <v>liveweight (kg)</v>
      </c>
      <c r="F13" s="119" t="str" cm="1">
        <f t="array" ref="F13:G15">_xlfn.CHOOSECOLS(MMS_PastureBeef_Soil_N2ODirect_Equations.VEERG_4_2_1_3__7_RelativeSize_Arguments(),3,4)</f>
        <v>kg</v>
      </c>
      <c r="G13" s="121" t="str">
        <v>Input</v>
      </c>
      <c r="H13" s="118" t="str" cm="1">
        <f t="array" aca="1" ref="H13" ca="1">HYPERLINK(Common_InputFunctions.Utility_SourceHyperlink(D17), D17)</f>
        <v>M1_Table_W_j_k_l</v>
      </c>
    </row>
    <row r="14" spans="1:35" ht="20.100000000000001" customHeight="1" x14ac:dyDescent="0.25">
      <c r="A14" s="17" t="str">
        <f>HYPERLINK("#'4.2.1.7-8 Soil leach runoff'!A1", "4.2.1.7-8 Soil leach &amp; runoff")</f>
        <v>4.2.1.7-8 Soil leach &amp; runoff</v>
      </c>
      <c r="D14" s="119" t="str">
        <v>SRW_k</v>
      </c>
      <c r="E14" s="119" t="str">
        <v>standard reference weight (kg)</v>
      </c>
      <c r="F14" s="119" t="str">
        <v>kg</v>
      </c>
      <c r="G14" s="120" t="str">
        <v>Constant</v>
      </c>
      <c r="H14" s="118" t="str" cm="1">
        <f t="array" aca="1" ref="H14" ca="1">HYPERLINK(Common_InputFunctions.Utility_SourceHyperlink(D25), D25)</f>
        <v>Table_SRW_k</v>
      </c>
    </row>
    <row r="15" spans="1:35" ht="20.100000000000001" customHeight="1" x14ac:dyDescent="0.25">
      <c r="A15" s="17"/>
      <c r="D15" s="119" t="str">
        <v>i</v>
      </c>
      <c r="E15" s="119" t="str">
        <v>state</v>
      </c>
      <c r="F15" s="119" t="str">
        <v/>
      </c>
      <c r="G15" s="121" t="str">
        <v>Input</v>
      </c>
      <c r="H15" s="119" t="str">
        <f>'Input - Pasture Beef'!$E$7</f>
        <v>Western Australia</v>
      </c>
    </row>
    <row r="16" spans="1:35" ht="20.100000000000001" customHeight="1" x14ac:dyDescent="0.25">
      <c r="A16" s="18" t="s">
        <v>4</v>
      </c>
    </row>
    <row r="17" spans="1:34" ht="20.100000000000001" customHeight="1" x14ac:dyDescent="0.25">
      <c r="A17" s="17" t="str">
        <f>HYPERLINK("#'Constants - Pasture Beef'!A1", "Constants - Pasture Beef")</f>
        <v>Constants - Pasture Beef</v>
      </c>
      <c r="D17" s="98" t="s">
        <v>285</v>
      </c>
      <c r="U17" s="98" t="s">
        <v>254</v>
      </c>
    </row>
    <row r="18" spans="1:34" ht="20.100000000000001" customHeight="1" x14ac:dyDescent="0.25">
      <c r="A18" s="17" t="str">
        <f>HYPERLINK("#'Constants - Livestock'!A1", "Constants - Livestock")</f>
        <v>Constants - Livestock</v>
      </c>
      <c r="D18" s="97" t="s">
        <v>244</v>
      </c>
      <c r="U18" s="97" t="s">
        <v>255</v>
      </c>
    </row>
    <row r="19" spans="1:34" ht="20.100000000000001" customHeight="1" x14ac:dyDescent="0.25">
      <c r="A19" s="17" t="str">
        <f>HYPERLINK("#'Constants - Common'!A1", "Constants - Common")</f>
        <v>Constants - Common</v>
      </c>
      <c r="D19" s="51" t="s">
        <v>184</v>
      </c>
      <c r="E19" s="122" t="s">
        <v>131</v>
      </c>
      <c r="F19" s="122" t="s">
        <v>130</v>
      </c>
      <c r="G19" s="122" t="s">
        <v>165</v>
      </c>
      <c r="H19" s="122" t="s">
        <v>166</v>
      </c>
      <c r="I19" s="122" t="s">
        <v>167</v>
      </c>
      <c r="J19" s="122" t="s">
        <v>168</v>
      </c>
      <c r="K19" s="122" t="s">
        <v>169</v>
      </c>
      <c r="L19" s="122" t="s">
        <v>170</v>
      </c>
      <c r="M19" s="122" t="s">
        <v>171</v>
      </c>
      <c r="N19" s="122" t="s">
        <v>172</v>
      </c>
      <c r="U19" s="51" t="s">
        <v>132</v>
      </c>
      <c r="V19" s="122" t="s">
        <v>131</v>
      </c>
      <c r="W19" s="122" t="s">
        <v>130</v>
      </c>
      <c r="X19" s="122" t="s">
        <v>165</v>
      </c>
      <c r="Y19" s="122" t="s">
        <v>166</v>
      </c>
      <c r="Z19" s="122" t="s">
        <v>167</v>
      </c>
      <c r="AA19" s="122" t="s">
        <v>168</v>
      </c>
      <c r="AB19" s="122" t="s">
        <v>169</v>
      </c>
      <c r="AC19" s="122" t="s">
        <v>170</v>
      </c>
      <c r="AD19" s="122" t="s">
        <v>171</v>
      </c>
      <c r="AE19" s="122" t="s">
        <v>172</v>
      </c>
      <c r="AF19" s="2"/>
      <c r="AG19" s="2"/>
      <c r="AH19" s="2"/>
    </row>
    <row r="20" spans="1:34" ht="20.100000000000001" customHeight="1" x14ac:dyDescent="0.25">
      <c r="A20" s="17" t="str">
        <f>HYPERLINK("#'Acknowledgements'!A1", "Acknowledgements")</f>
        <v>Acknowledgements</v>
      </c>
      <c r="D20" s="52" t="str">
        <f>'Input - Pasture Beef'!D60</f>
        <v>Spring</v>
      </c>
      <c r="E20" s="52" cm="1">
        <f t="array" aca="1" ref="E20:N23" ca="1">OFFSET(X_Table_PastureBeef_Liveweight_Method1, 1,1, 4,10)</f>
        <v>340</v>
      </c>
      <c r="F20" s="52">
        <f ca="1"/>
        <v>800</v>
      </c>
      <c r="G20" s="52">
        <f ca="1"/>
        <v>260</v>
      </c>
      <c r="H20" s="52">
        <f ca="1"/>
        <v>420</v>
      </c>
      <c r="I20" s="52">
        <f ca="1"/>
        <v>550</v>
      </c>
      <c r="J20" s="52">
        <f ca="1"/>
        <v>550</v>
      </c>
      <c r="K20" s="52">
        <f ca="1"/>
        <v>300</v>
      </c>
      <c r="L20" s="52">
        <f ca="1"/>
        <v>480</v>
      </c>
      <c r="M20" s="52">
        <f ca="1"/>
        <v>480</v>
      </c>
      <c r="N20" s="52">
        <f ca="1"/>
        <v>480</v>
      </c>
      <c r="O20" s="2" t="s">
        <v>133</v>
      </c>
      <c r="U20" s="52" t="str">
        <f>TEXT('Input - Site'!$E$12, "mmmm yyyy")</f>
        <v>January 2024</v>
      </c>
      <c r="V20" s="52" cm="1">
        <f t="array" aca="1" ref="V20:AE31" ca="1">OFFSET(X_Table_PastureBeef_Liveweight_Method2, 1,1, 12,10)</f>
        <v>380</v>
      </c>
      <c r="W20" s="52">
        <f ca="1"/>
        <v>780</v>
      </c>
      <c r="X20" s="52">
        <f ca="1"/>
        <v>300</v>
      </c>
      <c r="Y20" s="52">
        <f ca="1"/>
        <v>450</v>
      </c>
      <c r="Z20" s="52">
        <f ca="1"/>
        <v>530</v>
      </c>
      <c r="AA20" s="52">
        <f ca="1"/>
        <v>530</v>
      </c>
      <c r="AB20" s="52">
        <f ca="1"/>
        <v>340</v>
      </c>
      <c r="AC20" s="52">
        <f ca="1"/>
        <v>470</v>
      </c>
      <c r="AD20" s="52">
        <f ca="1"/>
        <v>470</v>
      </c>
      <c r="AE20" s="52">
        <f ca="1"/>
        <v>470</v>
      </c>
      <c r="AF20" s="2" t="s">
        <v>133</v>
      </c>
      <c r="AG20" s="2"/>
      <c r="AH20" s="2"/>
    </row>
    <row r="21" spans="1:34" ht="20.100000000000001" customHeight="1" x14ac:dyDescent="0.25">
      <c r="D21" s="52" t="str">
        <f>'Input - Pasture Beef'!D61</f>
        <v>Summer</v>
      </c>
      <c r="E21" s="52">
        <f ca="1"/>
        <v>380</v>
      </c>
      <c r="F21" s="52">
        <f ca="1"/>
        <v>780</v>
      </c>
      <c r="G21" s="52">
        <f ca="1"/>
        <v>300</v>
      </c>
      <c r="H21" s="52">
        <f ca="1"/>
        <v>450</v>
      </c>
      <c r="I21" s="52">
        <f ca="1"/>
        <v>530</v>
      </c>
      <c r="J21" s="52">
        <f ca="1"/>
        <v>530</v>
      </c>
      <c r="K21" s="52">
        <f ca="1"/>
        <v>340</v>
      </c>
      <c r="L21" s="52">
        <f ca="1"/>
        <v>470</v>
      </c>
      <c r="M21" s="52">
        <f ca="1"/>
        <v>470</v>
      </c>
      <c r="N21" s="52">
        <f ca="1"/>
        <v>470</v>
      </c>
      <c r="O21" s="2" t="s">
        <v>133</v>
      </c>
      <c r="U21" s="52" t="str">
        <f>TEXT(EDATE('Input - Site'!$E$12,1), "mmmm yyyy")</f>
        <v>February 2024</v>
      </c>
      <c r="V21" s="52">
        <f ca="1"/>
        <v>380</v>
      </c>
      <c r="W21" s="52">
        <f ca="1"/>
        <v>780</v>
      </c>
      <c r="X21" s="52">
        <f ca="1"/>
        <v>300</v>
      </c>
      <c r="Y21" s="52">
        <f ca="1"/>
        <v>450</v>
      </c>
      <c r="Z21" s="52">
        <f ca="1"/>
        <v>530</v>
      </c>
      <c r="AA21" s="52">
        <f ca="1"/>
        <v>530</v>
      </c>
      <c r="AB21" s="52">
        <f ca="1"/>
        <v>340</v>
      </c>
      <c r="AC21" s="52">
        <f ca="1"/>
        <v>470</v>
      </c>
      <c r="AD21" s="52">
        <f ca="1"/>
        <v>470</v>
      </c>
      <c r="AE21" s="52">
        <f ca="1"/>
        <v>470</v>
      </c>
      <c r="AF21" s="2" t="s">
        <v>133</v>
      </c>
      <c r="AG21" s="2"/>
      <c r="AH21" s="2"/>
    </row>
    <row r="22" spans="1:34" ht="20.100000000000001" customHeight="1" x14ac:dyDescent="0.25">
      <c r="A22" s="17"/>
      <c r="D22" s="52" t="str">
        <f>'Input - Pasture Beef'!D62</f>
        <v>Autumn</v>
      </c>
      <c r="E22" s="52">
        <f ca="1"/>
        <v>100</v>
      </c>
      <c r="F22" s="52">
        <f ca="1"/>
        <v>680</v>
      </c>
      <c r="G22" s="52">
        <f ca="1"/>
        <v>80</v>
      </c>
      <c r="H22" s="52">
        <f ca="1"/>
        <v>320</v>
      </c>
      <c r="I22" s="52">
        <f ca="1"/>
        <v>480</v>
      </c>
      <c r="J22" s="52">
        <f ca="1"/>
        <v>480</v>
      </c>
      <c r="K22" s="52">
        <f ca="1"/>
        <v>100</v>
      </c>
      <c r="L22" s="52">
        <f ca="1"/>
        <v>340</v>
      </c>
      <c r="M22" s="52">
        <f ca="1"/>
        <v>340</v>
      </c>
      <c r="N22" s="52">
        <f ca="1"/>
        <v>340</v>
      </c>
      <c r="O22" s="2" t="s">
        <v>133</v>
      </c>
      <c r="U22" s="52" t="str">
        <f>TEXT(EDATE('Input - Site'!$E$12,2), "mmmm yyyy")</f>
        <v>March 2024</v>
      </c>
      <c r="V22" s="52">
        <f ca="1"/>
        <v>100</v>
      </c>
      <c r="W22" s="52">
        <f ca="1"/>
        <v>680</v>
      </c>
      <c r="X22" s="52">
        <f ca="1"/>
        <v>80</v>
      </c>
      <c r="Y22" s="52">
        <f ca="1"/>
        <v>320</v>
      </c>
      <c r="Z22" s="52">
        <f ca="1"/>
        <v>480</v>
      </c>
      <c r="AA22" s="52">
        <f ca="1"/>
        <v>480</v>
      </c>
      <c r="AB22" s="52">
        <f ca="1"/>
        <v>100</v>
      </c>
      <c r="AC22" s="52">
        <f ca="1"/>
        <v>340</v>
      </c>
      <c r="AD22" s="52">
        <f ca="1"/>
        <v>340</v>
      </c>
      <c r="AE22" s="52">
        <f ca="1"/>
        <v>340</v>
      </c>
      <c r="AF22" s="2" t="s">
        <v>133</v>
      </c>
      <c r="AG22" s="2"/>
      <c r="AH22" s="2"/>
    </row>
    <row r="23" spans="1:34" ht="20.100000000000001" customHeight="1" x14ac:dyDescent="0.25">
      <c r="A23" s="17"/>
      <c r="D23" s="52" t="str">
        <f>'Input - Pasture Beef'!D63</f>
        <v>Winter</v>
      </c>
      <c r="E23" s="52">
        <f ca="1"/>
        <v>190</v>
      </c>
      <c r="F23" s="52">
        <f ca="1"/>
        <v>700</v>
      </c>
      <c r="G23" s="52">
        <f ca="1"/>
        <v>150</v>
      </c>
      <c r="H23" s="52">
        <f ca="1"/>
        <v>330</v>
      </c>
      <c r="I23" s="52">
        <f ca="1"/>
        <v>490</v>
      </c>
      <c r="J23" s="52">
        <f ca="1"/>
        <v>490</v>
      </c>
      <c r="K23" s="52">
        <f ca="1"/>
        <v>170</v>
      </c>
      <c r="L23" s="52">
        <f ca="1"/>
        <v>360</v>
      </c>
      <c r="M23" s="52">
        <f ca="1"/>
        <v>360</v>
      </c>
      <c r="N23" s="52">
        <f ca="1"/>
        <v>360</v>
      </c>
      <c r="O23" s="2" t="s">
        <v>133</v>
      </c>
      <c r="U23" s="52" t="str">
        <f>TEXT(EDATE('Input - Site'!$E$12,3), "mmmm yyyy")</f>
        <v>April 2024</v>
      </c>
      <c r="V23" s="52">
        <f ca="1"/>
        <v>100</v>
      </c>
      <c r="W23" s="52">
        <f ca="1"/>
        <v>680</v>
      </c>
      <c r="X23" s="52">
        <f ca="1"/>
        <v>80</v>
      </c>
      <c r="Y23" s="52">
        <f ca="1"/>
        <v>320</v>
      </c>
      <c r="Z23" s="52">
        <f ca="1"/>
        <v>480</v>
      </c>
      <c r="AA23" s="52">
        <f ca="1"/>
        <v>480</v>
      </c>
      <c r="AB23" s="52">
        <f ca="1"/>
        <v>100</v>
      </c>
      <c r="AC23" s="52">
        <f ca="1"/>
        <v>340</v>
      </c>
      <c r="AD23" s="52">
        <f ca="1"/>
        <v>340</v>
      </c>
      <c r="AE23" s="52">
        <f ca="1"/>
        <v>340</v>
      </c>
      <c r="AF23" s="2" t="s">
        <v>133</v>
      </c>
      <c r="AG23" s="2"/>
      <c r="AH23" s="2"/>
    </row>
    <row r="24" spans="1:34" ht="20.100000000000001" customHeight="1" x14ac:dyDescent="0.25">
      <c r="A24" s="17"/>
      <c r="U24" s="52" t="str">
        <f>TEXT(EDATE('Input - Site'!$E$12,4), "mmmm yyyy")</f>
        <v>May 2024</v>
      </c>
      <c r="V24" s="52">
        <f ca="1"/>
        <v>100</v>
      </c>
      <c r="W24" s="52">
        <f ca="1"/>
        <v>680</v>
      </c>
      <c r="X24" s="52">
        <f ca="1"/>
        <v>80</v>
      </c>
      <c r="Y24" s="52">
        <f ca="1"/>
        <v>320</v>
      </c>
      <c r="Z24" s="52">
        <f ca="1"/>
        <v>480</v>
      </c>
      <c r="AA24" s="52">
        <f ca="1"/>
        <v>480</v>
      </c>
      <c r="AB24" s="52">
        <f ca="1"/>
        <v>100</v>
      </c>
      <c r="AC24" s="52">
        <f ca="1"/>
        <v>340</v>
      </c>
      <c r="AD24" s="52">
        <f ca="1"/>
        <v>340</v>
      </c>
      <c r="AE24" s="52">
        <f ca="1"/>
        <v>340</v>
      </c>
      <c r="AF24" s="2" t="s">
        <v>133</v>
      </c>
      <c r="AG24" s="2"/>
      <c r="AH24" s="2"/>
    </row>
    <row r="25" spans="1:34" ht="20.100000000000001" customHeight="1" x14ac:dyDescent="0.25">
      <c r="D25" s="98" t="s">
        <v>287</v>
      </c>
      <c r="U25" s="52" t="str">
        <f>TEXT(EDATE('Input - Site'!$E$12,5), "mmmm yyyy")</f>
        <v>June 2024</v>
      </c>
      <c r="V25" s="52">
        <f ca="1"/>
        <v>190</v>
      </c>
      <c r="W25" s="52">
        <f ca="1"/>
        <v>700</v>
      </c>
      <c r="X25" s="52">
        <f ca="1"/>
        <v>150</v>
      </c>
      <c r="Y25" s="52">
        <f ca="1"/>
        <v>330</v>
      </c>
      <c r="Z25" s="52">
        <f ca="1"/>
        <v>490</v>
      </c>
      <c r="AA25" s="52">
        <f ca="1"/>
        <v>490</v>
      </c>
      <c r="AB25" s="52">
        <f ca="1"/>
        <v>170</v>
      </c>
      <c r="AC25" s="52">
        <f ca="1"/>
        <v>360</v>
      </c>
      <c r="AD25" s="52">
        <f ca="1"/>
        <v>360</v>
      </c>
      <c r="AE25" s="52">
        <f ca="1"/>
        <v>360</v>
      </c>
      <c r="AF25" s="2" t="s">
        <v>133</v>
      </c>
      <c r="AG25" s="2"/>
      <c r="AH25" s="2"/>
    </row>
    <row r="26" spans="1:34" ht="20.100000000000001" customHeight="1" x14ac:dyDescent="0.25">
      <c r="D26" s="97" t="s">
        <v>286</v>
      </c>
      <c r="U26" s="52" t="str">
        <f>TEXT(EDATE('Input - Site'!$E$12,6), "mmmm yyyy")</f>
        <v>July 2024</v>
      </c>
      <c r="V26" s="52">
        <f ca="1"/>
        <v>190</v>
      </c>
      <c r="W26" s="52">
        <f ca="1"/>
        <v>700</v>
      </c>
      <c r="X26" s="52">
        <f ca="1"/>
        <v>150</v>
      </c>
      <c r="Y26" s="52">
        <f ca="1"/>
        <v>330</v>
      </c>
      <c r="Z26" s="52">
        <f ca="1"/>
        <v>490</v>
      </c>
      <c r="AA26" s="52">
        <f ca="1"/>
        <v>490</v>
      </c>
      <c r="AB26" s="52">
        <f ca="1"/>
        <v>170</v>
      </c>
      <c r="AC26" s="52">
        <f ca="1"/>
        <v>360</v>
      </c>
      <c r="AD26" s="52">
        <f ca="1"/>
        <v>360</v>
      </c>
      <c r="AE26" s="52">
        <f ca="1"/>
        <v>360</v>
      </c>
      <c r="AF26" s="2" t="s">
        <v>133</v>
      </c>
      <c r="AG26" s="2"/>
      <c r="AH26" s="2"/>
    </row>
    <row r="27" spans="1:34" ht="20.100000000000001" customHeight="1" x14ac:dyDescent="0.25">
      <c r="D27" s="51" t="s">
        <v>131</v>
      </c>
      <c r="E27" s="51" t="s">
        <v>130</v>
      </c>
      <c r="F27" s="51" t="s">
        <v>165</v>
      </c>
      <c r="G27" s="51" t="s">
        <v>166</v>
      </c>
      <c r="H27" s="51" t="s">
        <v>167</v>
      </c>
      <c r="I27" s="51" t="s">
        <v>168</v>
      </c>
      <c r="J27" s="51" t="s">
        <v>169</v>
      </c>
      <c r="K27" s="51" t="s">
        <v>170</v>
      </c>
      <c r="L27" s="51" t="s">
        <v>171</v>
      </c>
      <c r="M27" s="51" t="s">
        <v>172</v>
      </c>
      <c r="U27" s="52" t="str">
        <f>TEXT(EDATE('Input - Site'!$E$12,7), "mmmm yyyy")</f>
        <v>August 2024</v>
      </c>
      <c r="V27" s="52">
        <f ca="1"/>
        <v>190</v>
      </c>
      <c r="W27" s="52">
        <f ca="1"/>
        <v>700</v>
      </c>
      <c r="X27" s="52">
        <f ca="1"/>
        <v>150</v>
      </c>
      <c r="Y27" s="52">
        <f ca="1"/>
        <v>330</v>
      </c>
      <c r="Z27" s="52">
        <f ca="1"/>
        <v>490</v>
      </c>
      <c r="AA27" s="52">
        <f ca="1"/>
        <v>490</v>
      </c>
      <c r="AB27" s="52">
        <f ca="1"/>
        <v>170</v>
      </c>
      <c r="AC27" s="52">
        <f ca="1"/>
        <v>360</v>
      </c>
      <c r="AD27" s="52">
        <f ca="1"/>
        <v>360</v>
      </c>
      <c r="AE27" s="52">
        <f ca="1"/>
        <v>360</v>
      </c>
      <c r="AF27" s="2" t="s">
        <v>133</v>
      </c>
      <c r="AG27" s="2"/>
      <c r="AH27" s="2"/>
    </row>
    <row r="28" spans="1:34" ht="20.100000000000001" customHeight="1" x14ac:dyDescent="0.25">
      <c r="D28" s="52">
        <f>Common_InputFunctions.Utility_LookupValueInTableOneColumnAndHeader(Common_InputFunctions.Utility_ConvertStateCommonNameToAbbreviation($H$15,Table_AustralianStates[Common Name],Table_AustralianStates[Abbreviation]),D27,Table_SourceData_PastureBeef_StandardReferenceWeightsExpanded[State abbreviation],Table_SourceData_PastureBeef_StandardReferenceWeightsExpanded[#Headers],Table_SourceData_PastureBeef_StandardReferenceWeightsExpanded[])</f>
        <v>770</v>
      </c>
      <c r="E28" s="52">
        <f>Common_InputFunctions.Utility_LookupValueInTableOneColumnAndHeader(Common_InputFunctions.Utility_ConvertStateCommonNameToAbbreviation($H$15,Table_AustralianStates[Common Name],Table_AustralianStates[Abbreviation]),E27,Table_SourceData_PastureBeef_StandardReferenceWeightsExpanded[State abbreviation],Table_SourceData_PastureBeef_StandardReferenceWeightsExpanded[#Headers],Table_SourceData_PastureBeef_StandardReferenceWeightsExpanded[])</f>
        <v>770</v>
      </c>
      <c r="F28" s="52">
        <f>Common_InputFunctions.Utility_LookupValueInTableOneColumnAndHeader(Common_InputFunctions.Utility_ConvertStateCommonNameToAbbreviation($H$15,Table_AustralianStates[Common Name],Table_AustralianStates[Abbreviation]),F27,Table_SourceData_PastureBeef_StandardReferenceWeightsExpanded[State abbreviation],Table_SourceData_PastureBeef_StandardReferenceWeightsExpanded[#Headers],Table_SourceData_PastureBeef_StandardReferenceWeightsExpanded[])</f>
        <v>550</v>
      </c>
      <c r="G28" s="52">
        <f>Common_InputFunctions.Utility_LookupValueInTableOneColumnAndHeader(Common_InputFunctions.Utility_ConvertStateCommonNameToAbbreviation($H$15,Table_AustralianStates[Common Name],Table_AustralianStates[Abbreviation]),G27,Table_SourceData_PastureBeef_StandardReferenceWeightsExpanded[State abbreviation],Table_SourceData_PastureBeef_StandardReferenceWeightsExpanded[#Headers],Table_SourceData_PastureBeef_StandardReferenceWeightsExpanded[])</f>
        <v>550</v>
      </c>
      <c r="H28" s="52">
        <f>Common_InputFunctions.Utility_LookupValueInTableOneColumnAndHeader(Common_InputFunctions.Utility_ConvertStateCommonNameToAbbreviation($H$15,Table_AustralianStates[Common Name],Table_AustralianStates[Abbreviation]),H27,Table_SourceData_PastureBeef_StandardReferenceWeightsExpanded[State abbreviation],Table_SourceData_PastureBeef_StandardReferenceWeightsExpanded[#Headers],Table_SourceData_PastureBeef_StandardReferenceWeightsExpanded[])</f>
        <v>550</v>
      </c>
      <c r="I28" s="52">
        <f>Common_InputFunctions.Utility_LookupValueInTableOneColumnAndHeader(Common_InputFunctions.Utility_ConvertStateCommonNameToAbbreviation($H$15,Table_AustralianStates[Common Name],Table_AustralianStates[Abbreviation]),I27,Table_SourceData_PastureBeef_StandardReferenceWeightsExpanded[State abbreviation],Table_SourceData_PastureBeef_StandardReferenceWeightsExpanded[#Headers],Table_SourceData_PastureBeef_StandardReferenceWeightsExpanded[])</f>
        <v>550</v>
      </c>
      <c r="J28" s="52">
        <f>Common_InputFunctions.Utility_LookupValueInTableOneColumnAndHeader(Common_InputFunctions.Utility_ConvertStateCommonNameToAbbreviation($H$15,Table_AustralianStates[Common Name],Table_AustralianStates[Abbreviation]),J27,Table_SourceData_PastureBeef_StandardReferenceWeightsExpanded[State abbreviation],Table_SourceData_PastureBeef_StandardReferenceWeightsExpanded[#Headers],Table_SourceData_PastureBeef_StandardReferenceWeightsExpanded[])</f>
        <v>660</v>
      </c>
      <c r="K28" s="52">
        <f>Common_InputFunctions.Utility_LookupValueInTableOneColumnAndHeader(Common_InputFunctions.Utility_ConvertStateCommonNameToAbbreviation($H$15,Table_AustralianStates[Common Name],Table_AustralianStates[Abbreviation]),K27,Table_SourceData_PastureBeef_StandardReferenceWeightsExpanded[State abbreviation],Table_SourceData_PastureBeef_StandardReferenceWeightsExpanded[#Headers],Table_SourceData_PastureBeef_StandardReferenceWeightsExpanded[])</f>
        <v>660</v>
      </c>
      <c r="L28" s="52">
        <f>Common_InputFunctions.Utility_LookupValueInTableOneColumnAndHeader(Common_InputFunctions.Utility_ConvertStateCommonNameToAbbreviation($H$15,Table_AustralianStates[Common Name],Table_AustralianStates[Abbreviation]),L27,Table_SourceData_PastureBeef_StandardReferenceWeightsExpanded[State abbreviation],Table_SourceData_PastureBeef_StandardReferenceWeightsExpanded[#Headers],Table_SourceData_PastureBeef_StandardReferenceWeightsExpanded[])</f>
        <v>660</v>
      </c>
      <c r="M28" s="52">
        <f>Common_InputFunctions.Utility_LookupValueInTableOneColumnAndHeader(Common_InputFunctions.Utility_ConvertStateCommonNameToAbbreviation($H$15,Table_AustralianStates[Common Name],Table_AustralianStates[Abbreviation]),M27,Table_SourceData_PastureBeef_StandardReferenceWeightsExpanded[State abbreviation],Table_SourceData_PastureBeef_StandardReferenceWeightsExpanded[#Headers],Table_SourceData_PastureBeef_StandardReferenceWeightsExpanded[])</f>
        <v>660</v>
      </c>
      <c r="N28" s="2" t="s">
        <v>133</v>
      </c>
      <c r="U28" s="52" t="str">
        <f>TEXT(EDATE('Input - Site'!$E$12,8), "mmmm yyyy")</f>
        <v>September 2024</v>
      </c>
      <c r="V28" s="52">
        <f ca="1"/>
        <v>340</v>
      </c>
      <c r="W28" s="52">
        <f ca="1"/>
        <v>800</v>
      </c>
      <c r="X28" s="52">
        <f ca="1"/>
        <v>260</v>
      </c>
      <c r="Y28" s="52">
        <f ca="1"/>
        <v>420</v>
      </c>
      <c r="Z28" s="52">
        <f ca="1"/>
        <v>550</v>
      </c>
      <c r="AA28" s="52">
        <f ca="1"/>
        <v>550</v>
      </c>
      <c r="AB28" s="52">
        <f ca="1"/>
        <v>300</v>
      </c>
      <c r="AC28" s="52">
        <f ca="1"/>
        <v>480</v>
      </c>
      <c r="AD28" s="52">
        <f ca="1"/>
        <v>480</v>
      </c>
      <c r="AE28" s="52">
        <f ca="1"/>
        <v>480</v>
      </c>
      <c r="AF28" s="2" t="s">
        <v>133</v>
      </c>
      <c r="AG28" s="2"/>
      <c r="AH28" s="2"/>
    </row>
    <row r="29" spans="1:34" ht="20.100000000000001" customHeight="1" x14ac:dyDescent="0.25">
      <c r="U29" s="52" t="str">
        <f>TEXT(EDATE('Input - Site'!$E$12,9), "mmmm yyyy")</f>
        <v>October 2024</v>
      </c>
      <c r="V29" s="52">
        <f ca="1"/>
        <v>340</v>
      </c>
      <c r="W29" s="52">
        <f ca="1"/>
        <v>800</v>
      </c>
      <c r="X29" s="52">
        <f ca="1"/>
        <v>260</v>
      </c>
      <c r="Y29" s="52">
        <f ca="1"/>
        <v>420</v>
      </c>
      <c r="Z29" s="52">
        <f ca="1"/>
        <v>550</v>
      </c>
      <c r="AA29" s="52">
        <f ca="1"/>
        <v>550</v>
      </c>
      <c r="AB29" s="52">
        <f ca="1"/>
        <v>300</v>
      </c>
      <c r="AC29" s="52">
        <f ca="1"/>
        <v>480</v>
      </c>
      <c r="AD29" s="52">
        <f ca="1"/>
        <v>480</v>
      </c>
      <c r="AE29" s="52">
        <f ca="1"/>
        <v>480</v>
      </c>
      <c r="AF29" s="2" t="s">
        <v>133</v>
      </c>
      <c r="AG29" s="2"/>
      <c r="AH29" s="2"/>
    </row>
    <row r="30" spans="1:34" ht="20.100000000000001" customHeight="1" x14ac:dyDescent="0.25">
      <c r="D30" s="98" t="s">
        <v>288</v>
      </c>
      <c r="U30" s="52" t="str">
        <f>TEXT(EDATE('Input - Site'!$E$12,10), "mmmm yyyy")</f>
        <v>November 2024</v>
      </c>
      <c r="V30" s="52">
        <f ca="1"/>
        <v>340</v>
      </c>
      <c r="W30" s="52">
        <f ca="1"/>
        <v>800</v>
      </c>
      <c r="X30" s="52">
        <f ca="1"/>
        <v>260</v>
      </c>
      <c r="Y30" s="52">
        <f ca="1"/>
        <v>420</v>
      </c>
      <c r="Z30" s="52">
        <f ca="1"/>
        <v>550</v>
      </c>
      <c r="AA30" s="52">
        <f ca="1"/>
        <v>550</v>
      </c>
      <c r="AB30" s="52">
        <f ca="1"/>
        <v>300</v>
      </c>
      <c r="AC30" s="52">
        <f ca="1"/>
        <v>480</v>
      </c>
      <c r="AD30" s="52">
        <f ca="1"/>
        <v>480</v>
      </c>
      <c r="AE30" s="52">
        <f ca="1"/>
        <v>480</v>
      </c>
      <c r="AF30" s="2" t="s">
        <v>133</v>
      </c>
      <c r="AG30" s="2"/>
      <c r="AH30" s="2"/>
    </row>
    <row r="31" spans="1:34" ht="20.100000000000001" customHeight="1" x14ac:dyDescent="0.25">
      <c r="D31" s="97" t="s">
        <v>289</v>
      </c>
      <c r="U31" s="52" t="str">
        <f>TEXT(EDATE('Input - Site'!$E$12,11), "mmmm yyyy")</f>
        <v>December 2024</v>
      </c>
      <c r="V31" s="52">
        <f ca="1"/>
        <v>380</v>
      </c>
      <c r="W31" s="52">
        <f ca="1"/>
        <v>780</v>
      </c>
      <c r="X31" s="52">
        <f ca="1"/>
        <v>300</v>
      </c>
      <c r="Y31" s="52">
        <f ca="1"/>
        <v>450</v>
      </c>
      <c r="Z31" s="52">
        <f ca="1"/>
        <v>530</v>
      </c>
      <c r="AA31" s="52">
        <f ca="1"/>
        <v>530</v>
      </c>
      <c r="AB31" s="52">
        <f ca="1"/>
        <v>340</v>
      </c>
      <c r="AC31" s="52">
        <f ca="1"/>
        <v>470</v>
      </c>
      <c r="AD31" s="52">
        <f ca="1"/>
        <v>470</v>
      </c>
      <c r="AE31" s="52">
        <f ca="1"/>
        <v>470</v>
      </c>
      <c r="AF31" s="2" t="s">
        <v>133</v>
      </c>
      <c r="AG31" s="2"/>
      <c r="AH31" s="2"/>
    </row>
    <row r="32" spans="1:34" ht="20.100000000000001" customHeight="1" x14ac:dyDescent="0.25">
      <c r="D32" s="51" t="s">
        <v>184</v>
      </c>
      <c r="E32" s="51" t="s">
        <v>131</v>
      </c>
      <c r="F32" s="51" t="s">
        <v>130</v>
      </c>
      <c r="G32" s="51" t="s">
        <v>165</v>
      </c>
      <c r="H32" s="51" t="s">
        <v>166</v>
      </c>
      <c r="I32" s="51" t="s">
        <v>167</v>
      </c>
      <c r="J32" s="51" t="s">
        <v>168</v>
      </c>
      <c r="K32" s="51" t="s">
        <v>169</v>
      </c>
      <c r="L32" s="51" t="s">
        <v>170</v>
      </c>
      <c r="M32" s="51" t="s">
        <v>171</v>
      </c>
      <c r="N32" s="51" t="s">
        <v>172</v>
      </c>
    </row>
    <row r="33" spans="3:34" ht="20.100000000000001" customHeight="1" x14ac:dyDescent="0.25">
      <c r="D33" s="52" t="str">
        <f>'Input - Pasture Beef'!D60</f>
        <v>Spring</v>
      </c>
      <c r="E33" s="52" cm="1">
        <f t="array" aca="1" ref="E33" ca="1">MMS_PastureBeef_Soil_N2ODirect_Equations.VEERG_4_2_1_3__7_RelativeSize(E20,D$28)</f>
        <v>0.44155844155844154</v>
      </c>
      <c r="F33" s="52" cm="1">
        <f t="array" aca="1" ref="F33" ca="1">MMS_PastureBeef_Soil_N2ODirect_Equations.VEERG_4_2_1_3__7_RelativeSize(F20,E$28)</f>
        <v>1.0389610389610389</v>
      </c>
      <c r="G33" s="52" cm="1">
        <f t="array" aca="1" ref="G33" ca="1">MMS_PastureBeef_Soil_N2ODirect_Equations.VEERG_4_2_1_3__7_RelativeSize(G20,F$28)</f>
        <v>0.47272727272727272</v>
      </c>
      <c r="H33" s="52" cm="1">
        <f t="array" aca="1" ref="H33" ca="1">MMS_PastureBeef_Soil_N2ODirect_Equations.VEERG_4_2_1_3__7_RelativeSize(H20,G$28)</f>
        <v>0.76363636363636367</v>
      </c>
      <c r="I33" s="52" cm="1">
        <f t="array" aca="1" ref="I33" ca="1">MMS_PastureBeef_Soil_N2ODirect_Equations.VEERG_4_2_1_3__7_RelativeSize(I20,H$28)</f>
        <v>1</v>
      </c>
      <c r="J33" s="52" cm="1">
        <f t="array" aca="1" ref="J33" ca="1">MMS_PastureBeef_Soil_N2ODirect_Equations.VEERG_4_2_1_3__7_RelativeSize(J20,I$28)</f>
        <v>1</v>
      </c>
      <c r="K33" s="52" cm="1">
        <f t="array" aca="1" ref="K33" ca="1">MMS_PastureBeef_Soil_N2ODirect_Equations.VEERG_4_2_1_3__7_RelativeSize(K20,J$28)</f>
        <v>0.45454545454545453</v>
      </c>
      <c r="L33" s="52" cm="1">
        <f t="array" aca="1" ref="L33" ca="1">MMS_PastureBeef_Soil_N2ODirect_Equations.VEERG_4_2_1_3__7_RelativeSize(L20,K$28)</f>
        <v>0.72727272727272729</v>
      </c>
      <c r="M33" s="52" cm="1">
        <f t="array" aca="1" ref="M33" ca="1">MMS_PastureBeef_Soil_N2ODirect_Equations.VEERG_4_2_1_3__7_RelativeSize(M20,L$28)</f>
        <v>0.72727272727272729</v>
      </c>
      <c r="N33" s="52" cm="1">
        <f t="array" aca="1" ref="N33" ca="1">MMS_PastureBeef_Soil_N2ODirect_Equations.VEERG_4_2_1_3__7_RelativeSize(N20,M$28)</f>
        <v>0.72727272727272729</v>
      </c>
      <c r="O33" s="2" t="str">
        <f>$E$11</f>
        <v>ratio</v>
      </c>
      <c r="U33" s="98" t="s">
        <v>290</v>
      </c>
    </row>
    <row r="34" spans="3:34" ht="20.100000000000001" customHeight="1" x14ac:dyDescent="0.25">
      <c r="D34" s="52" t="str">
        <f>'Input - Pasture Beef'!D61</f>
        <v>Summer</v>
      </c>
      <c r="E34" s="52" cm="1">
        <f t="array" aca="1" ref="E34" ca="1">MMS_PastureBeef_Soil_N2ODirect_Equations.VEERG_4_2_1_3__7_RelativeSize(E21,D$28)</f>
        <v>0.4935064935064935</v>
      </c>
      <c r="F34" s="52" cm="1">
        <f t="array" aca="1" ref="F34" ca="1">MMS_PastureBeef_Soil_N2ODirect_Equations.VEERG_4_2_1_3__7_RelativeSize(F21,E$28)</f>
        <v>1.0129870129870129</v>
      </c>
      <c r="G34" s="52" cm="1">
        <f t="array" aca="1" ref="G34" ca="1">MMS_PastureBeef_Soil_N2ODirect_Equations.VEERG_4_2_1_3__7_RelativeSize(G21,F$28)</f>
        <v>0.54545454545454541</v>
      </c>
      <c r="H34" s="52" cm="1">
        <f t="array" aca="1" ref="H34" ca="1">MMS_PastureBeef_Soil_N2ODirect_Equations.VEERG_4_2_1_3__7_RelativeSize(H21,G$28)</f>
        <v>0.81818181818181823</v>
      </c>
      <c r="I34" s="52" cm="1">
        <f t="array" aca="1" ref="I34" ca="1">MMS_PastureBeef_Soil_N2ODirect_Equations.VEERG_4_2_1_3__7_RelativeSize(I21,H$28)</f>
        <v>0.96363636363636362</v>
      </c>
      <c r="J34" s="52" cm="1">
        <f t="array" aca="1" ref="J34" ca="1">MMS_PastureBeef_Soil_N2ODirect_Equations.VEERG_4_2_1_3__7_RelativeSize(J21,I$28)</f>
        <v>0.96363636363636362</v>
      </c>
      <c r="K34" s="52" cm="1">
        <f t="array" aca="1" ref="K34" ca="1">MMS_PastureBeef_Soil_N2ODirect_Equations.VEERG_4_2_1_3__7_RelativeSize(K21,J$28)</f>
        <v>0.51515151515151514</v>
      </c>
      <c r="L34" s="52" cm="1">
        <f t="array" aca="1" ref="L34" ca="1">MMS_PastureBeef_Soil_N2ODirect_Equations.VEERG_4_2_1_3__7_RelativeSize(L21,K$28)</f>
        <v>0.71212121212121215</v>
      </c>
      <c r="M34" s="52" cm="1">
        <f t="array" aca="1" ref="M34" ca="1">MMS_PastureBeef_Soil_N2ODirect_Equations.VEERG_4_2_1_3__7_RelativeSize(M21,L$28)</f>
        <v>0.71212121212121215</v>
      </c>
      <c r="N34" s="52" cm="1">
        <f t="array" aca="1" ref="N34" ca="1">MMS_PastureBeef_Soil_N2ODirect_Equations.VEERG_4_2_1_3__7_RelativeSize(N21,M$28)</f>
        <v>0.71212121212121215</v>
      </c>
      <c r="O34" s="2" t="str">
        <f t="shared" ref="O34:O36" si="0">$E$11</f>
        <v>ratio</v>
      </c>
      <c r="U34" s="97" t="s">
        <v>291</v>
      </c>
    </row>
    <row r="35" spans="3:34" ht="20.100000000000001" customHeight="1" x14ac:dyDescent="0.25">
      <c r="D35" s="52" t="str">
        <f>'Input - Pasture Beef'!D62</f>
        <v>Autumn</v>
      </c>
      <c r="E35" s="52" cm="1">
        <f t="array" aca="1" ref="E35" ca="1">MMS_PastureBeef_Soil_N2ODirect_Equations.VEERG_4_2_1_3__7_RelativeSize(E22,D$28)</f>
        <v>0.12987012987012986</v>
      </c>
      <c r="F35" s="52" cm="1">
        <f t="array" aca="1" ref="F35" ca="1">MMS_PastureBeef_Soil_N2ODirect_Equations.VEERG_4_2_1_3__7_RelativeSize(F22,E$28)</f>
        <v>0.88311688311688308</v>
      </c>
      <c r="G35" s="52" cm="1">
        <f t="array" aca="1" ref="G35" ca="1">MMS_PastureBeef_Soil_N2ODirect_Equations.VEERG_4_2_1_3__7_RelativeSize(G22,F$28)</f>
        <v>0.14545454545454545</v>
      </c>
      <c r="H35" s="52" cm="1">
        <f t="array" aca="1" ref="H35" ca="1">MMS_PastureBeef_Soil_N2ODirect_Equations.VEERG_4_2_1_3__7_RelativeSize(H22,G$28)</f>
        <v>0.58181818181818179</v>
      </c>
      <c r="I35" s="52" cm="1">
        <f t="array" aca="1" ref="I35" ca="1">MMS_PastureBeef_Soil_N2ODirect_Equations.VEERG_4_2_1_3__7_RelativeSize(I22,H$28)</f>
        <v>0.87272727272727268</v>
      </c>
      <c r="J35" s="52" cm="1">
        <f t="array" aca="1" ref="J35" ca="1">MMS_PastureBeef_Soil_N2ODirect_Equations.VEERG_4_2_1_3__7_RelativeSize(J22,I$28)</f>
        <v>0.87272727272727268</v>
      </c>
      <c r="K35" s="52" cm="1">
        <f t="array" aca="1" ref="K35" ca="1">MMS_PastureBeef_Soil_N2ODirect_Equations.VEERG_4_2_1_3__7_RelativeSize(K22,J$28)</f>
        <v>0.15151515151515152</v>
      </c>
      <c r="L35" s="52" cm="1">
        <f t="array" aca="1" ref="L35" ca="1">MMS_PastureBeef_Soil_N2ODirect_Equations.VEERG_4_2_1_3__7_RelativeSize(L22,K$28)</f>
        <v>0.51515151515151514</v>
      </c>
      <c r="M35" s="52" cm="1">
        <f t="array" aca="1" ref="M35" ca="1">MMS_PastureBeef_Soil_N2ODirect_Equations.VEERG_4_2_1_3__7_RelativeSize(M22,L$28)</f>
        <v>0.51515151515151514</v>
      </c>
      <c r="N35" s="52" cm="1">
        <f t="array" aca="1" ref="N35" ca="1">MMS_PastureBeef_Soil_N2ODirect_Equations.VEERG_4_2_1_3__7_RelativeSize(N22,M$28)</f>
        <v>0.51515151515151514</v>
      </c>
      <c r="O35" s="2" t="str">
        <f t="shared" si="0"/>
        <v>ratio</v>
      </c>
      <c r="U35" s="51" t="s">
        <v>132</v>
      </c>
      <c r="V35" s="51" t="s">
        <v>131</v>
      </c>
      <c r="W35" s="51" t="s">
        <v>130</v>
      </c>
      <c r="X35" s="51" t="s">
        <v>165</v>
      </c>
      <c r="Y35" s="51" t="s">
        <v>166</v>
      </c>
      <c r="Z35" s="51" t="s">
        <v>167</v>
      </c>
      <c r="AA35" s="51" t="s">
        <v>168</v>
      </c>
      <c r="AB35" s="51" t="s">
        <v>169</v>
      </c>
      <c r="AC35" s="51" t="s">
        <v>170</v>
      </c>
      <c r="AD35" s="51" t="s">
        <v>171</v>
      </c>
      <c r="AE35" s="51" t="s">
        <v>172</v>
      </c>
      <c r="AF35" s="2"/>
      <c r="AG35" s="2"/>
      <c r="AH35" s="2"/>
    </row>
    <row r="36" spans="3:34" ht="20.100000000000001" customHeight="1" x14ac:dyDescent="0.25">
      <c r="D36" s="52" t="str">
        <f>'Input - Pasture Beef'!D63</f>
        <v>Winter</v>
      </c>
      <c r="E36" s="52" cm="1">
        <f t="array" aca="1" ref="E36" ca="1">MMS_PastureBeef_Soil_N2ODirect_Equations.VEERG_4_2_1_3__7_RelativeSize(E23,D$28)</f>
        <v>0.24675324675324675</v>
      </c>
      <c r="F36" s="52" cm="1">
        <f t="array" aca="1" ref="F36" ca="1">MMS_PastureBeef_Soil_N2ODirect_Equations.VEERG_4_2_1_3__7_RelativeSize(F23,E$28)</f>
        <v>0.90909090909090906</v>
      </c>
      <c r="G36" s="52" cm="1">
        <f t="array" aca="1" ref="G36" ca="1">MMS_PastureBeef_Soil_N2ODirect_Equations.VEERG_4_2_1_3__7_RelativeSize(G23,F$28)</f>
        <v>0.27272727272727271</v>
      </c>
      <c r="H36" s="52" cm="1">
        <f t="array" aca="1" ref="H36" ca="1">MMS_PastureBeef_Soil_N2ODirect_Equations.VEERG_4_2_1_3__7_RelativeSize(H23,G$28)</f>
        <v>0.6</v>
      </c>
      <c r="I36" s="52" cm="1">
        <f t="array" aca="1" ref="I36" ca="1">MMS_PastureBeef_Soil_N2ODirect_Equations.VEERG_4_2_1_3__7_RelativeSize(I23,H$28)</f>
        <v>0.89090909090909087</v>
      </c>
      <c r="J36" s="52" cm="1">
        <f t="array" aca="1" ref="J36" ca="1">MMS_PastureBeef_Soil_N2ODirect_Equations.VEERG_4_2_1_3__7_RelativeSize(J23,I$28)</f>
        <v>0.89090909090909087</v>
      </c>
      <c r="K36" s="52" cm="1">
        <f t="array" aca="1" ref="K36" ca="1">MMS_PastureBeef_Soil_N2ODirect_Equations.VEERG_4_2_1_3__7_RelativeSize(K23,J$28)</f>
        <v>0.25757575757575757</v>
      </c>
      <c r="L36" s="52" cm="1">
        <f t="array" aca="1" ref="L36" ca="1">MMS_PastureBeef_Soil_N2ODirect_Equations.VEERG_4_2_1_3__7_RelativeSize(L23,K$28)</f>
        <v>0.54545454545454541</v>
      </c>
      <c r="M36" s="52" cm="1">
        <f t="array" aca="1" ref="M36" ca="1">MMS_PastureBeef_Soil_N2ODirect_Equations.VEERG_4_2_1_3__7_RelativeSize(M23,L$28)</f>
        <v>0.54545454545454541</v>
      </c>
      <c r="N36" s="52" cm="1">
        <f t="array" aca="1" ref="N36" ca="1">MMS_PastureBeef_Soil_N2ODirect_Equations.VEERG_4_2_1_3__7_RelativeSize(N23,M$28)</f>
        <v>0.54545454545454541</v>
      </c>
      <c r="O36" s="2" t="str">
        <f t="shared" si="0"/>
        <v>ratio</v>
      </c>
      <c r="U36" s="52" t="str">
        <f>TEXT('Input - Site'!$E$12, "mmmm yyyy")</f>
        <v>January 2024</v>
      </c>
      <c r="V36" s="52" cm="1">
        <f t="array" aca="1" ref="V36" ca="1">MMS_PastureBeef_Soil_N2ODirect_Equations.VEERG_4_2_1_3__7_RelativeSize(V20,D$28)</f>
        <v>0.4935064935064935</v>
      </c>
      <c r="W36" s="52" cm="1">
        <f t="array" aca="1" ref="W36" ca="1">MMS_PastureBeef_Soil_N2ODirect_Equations.VEERG_4_2_1_3__7_RelativeSize(W20,E$28)</f>
        <v>1.0129870129870129</v>
      </c>
      <c r="X36" s="52" cm="1">
        <f t="array" aca="1" ref="X36" ca="1">MMS_PastureBeef_Soil_N2ODirect_Equations.VEERG_4_2_1_3__7_RelativeSize(X20,F$28)</f>
        <v>0.54545454545454541</v>
      </c>
      <c r="Y36" s="52" cm="1">
        <f t="array" aca="1" ref="Y36" ca="1">MMS_PastureBeef_Soil_N2ODirect_Equations.VEERG_4_2_1_3__7_RelativeSize(Y20,G$28)</f>
        <v>0.81818181818181823</v>
      </c>
      <c r="Z36" s="52" cm="1">
        <f t="array" aca="1" ref="Z36" ca="1">MMS_PastureBeef_Soil_N2ODirect_Equations.VEERG_4_2_1_3__7_RelativeSize(Z20,H$28)</f>
        <v>0.96363636363636362</v>
      </c>
      <c r="AA36" s="52" cm="1">
        <f t="array" aca="1" ref="AA36" ca="1">MMS_PastureBeef_Soil_N2ODirect_Equations.VEERG_4_2_1_3__7_RelativeSize(AA20,I$28)</f>
        <v>0.96363636363636362</v>
      </c>
      <c r="AB36" s="52" cm="1">
        <f t="array" aca="1" ref="AB36" ca="1">MMS_PastureBeef_Soil_N2ODirect_Equations.VEERG_4_2_1_3__7_RelativeSize(AB20,J$28)</f>
        <v>0.51515151515151514</v>
      </c>
      <c r="AC36" s="52" cm="1">
        <f t="array" aca="1" ref="AC36" ca="1">MMS_PastureBeef_Soil_N2ODirect_Equations.VEERG_4_2_1_3__7_RelativeSize(AC20,K$28)</f>
        <v>0.71212121212121215</v>
      </c>
      <c r="AD36" s="52" cm="1">
        <f t="array" aca="1" ref="AD36" ca="1">MMS_PastureBeef_Soil_N2ODirect_Equations.VEERG_4_2_1_3__7_RelativeSize(AD20,L$28)</f>
        <v>0.71212121212121215</v>
      </c>
      <c r="AE36" s="52" cm="1">
        <f t="array" aca="1" ref="AE36" ca="1">MMS_PastureBeef_Soil_N2ODirect_Equations.VEERG_4_2_1_3__7_RelativeSize(AE20,M$28)</f>
        <v>0.71212121212121215</v>
      </c>
      <c r="AF36" s="2" t="str">
        <f t="shared" ref="AF36:AF47" si="1">$E$11</f>
        <v>ratio</v>
      </c>
      <c r="AG36" s="2"/>
      <c r="AH36" s="2"/>
    </row>
    <row r="37" spans="3:34" ht="20.100000000000001" customHeight="1" x14ac:dyDescent="0.25">
      <c r="U37" s="52" t="str">
        <f>TEXT(EDATE('Input - Site'!$E$12,1), "mmmm yyyy")</f>
        <v>February 2024</v>
      </c>
      <c r="V37" s="52" cm="1">
        <f t="array" aca="1" ref="V37" ca="1">MMS_PastureBeef_Soil_N2ODirect_Equations.VEERG_4_2_1_3__7_RelativeSize(V21,D$28)</f>
        <v>0.4935064935064935</v>
      </c>
      <c r="W37" s="52" cm="1">
        <f t="array" aca="1" ref="W37" ca="1">MMS_PastureBeef_Soil_N2ODirect_Equations.VEERG_4_2_1_3__7_RelativeSize(W21,E$28)</f>
        <v>1.0129870129870129</v>
      </c>
      <c r="X37" s="52" cm="1">
        <f t="array" aca="1" ref="X37" ca="1">MMS_PastureBeef_Soil_N2ODirect_Equations.VEERG_4_2_1_3__7_RelativeSize(X21,F$28)</f>
        <v>0.54545454545454541</v>
      </c>
      <c r="Y37" s="52" cm="1">
        <f t="array" aca="1" ref="Y37" ca="1">MMS_PastureBeef_Soil_N2ODirect_Equations.VEERG_4_2_1_3__7_RelativeSize(Y21,G$28)</f>
        <v>0.81818181818181823</v>
      </c>
      <c r="Z37" s="52" cm="1">
        <f t="array" aca="1" ref="Z37" ca="1">MMS_PastureBeef_Soil_N2ODirect_Equations.VEERG_4_2_1_3__7_RelativeSize(Z21,H$28)</f>
        <v>0.96363636363636362</v>
      </c>
      <c r="AA37" s="52" cm="1">
        <f t="array" aca="1" ref="AA37" ca="1">MMS_PastureBeef_Soil_N2ODirect_Equations.VEERG_4_2_1_3__7_RelativeSize(AA21,I$28)</f>
        <v>0.96363636363636362</v>
      </c>
      <c r="AB37" s="52" cm="1">
        <f t="array" aca="1" ref="AB37" ca="1">MMS_PastureBeef_Soil_N2ODirect_Equations.VEERG_4_2_1_3__7_RelativeSize(AB21,J$28)</f>
        <v>0.51515151515151514</v>
      </c>
      <c r="AC37" s="52" cm="1">
        <f t="array" aca="1" ref="AC37" ca="1">MMS_PastureBeef_Soil_N2ODirect_Equations.VEERG_4_2_1_3__7_RelativeSize(AC21,K$28)</f>
        <v>0.71212121212121215</v>
      </c>
      <c r="AD37" s="52" cm="1">
        <f t="array" aca="1" ref="AD37" ca="1">MMS_PastureBeef_Soil_N2ODirect_Equations.VEERG_4_2_1_3__7_RelativeSize(AD21,L$28)</f>
        <v>0.71212121212121215</v>
      </c>
      <c r="AE37" s="52" cm="1">
        <f t="array" aca="1" ref="AE37" ca="1">MMS_PastureBeef_Soil_N2ODirect_Equations.VEERG_4_2_1_3__7_RelativeSize(AE21,M$28)</f>
        <v>0.71212121212121215</v>
      </c>
      <c r="AF37" s="2" t="str">
        <f t="shared" si="1"/>
        <v>ratio</v>
      </c>
      <c r="AG37" s="2"/>
      <c r="AH37" s="2"/>
    </row>
    <row r="38" spans="3:34" ht="20.100000000000001" customHeight="1" x14ac:dyDescent="0.25">
      <c r="U38" s="52" t="str">
        <f>TEXT(EDATE('Input - Site'!$E$12,2), "mmmm yyyy")</f>
        <v>March 2024</v>
      </c>
      <c r="V38" s="52" cm="1">
        <f t="array" aca="1" ref="V38" ca="1">MMS_PastureBeef_Soil_N2ODirect_Equations.VEERG_4_2_1_3__7_RelativeSize(V22,D$28)</f>
        <v>0.12987012987012986</v>
      </c>
      <c r="W38" s="52" cm="1">
        <f t="array" aca="1" ref="W38" ca="1">MMS_PastureBeef_Soil_N2ODirect_Equations.VEERG_4_2_1_3__7_RelativeSize(W22,E$28)</f>
        <v>0.88311688311688308</v>
      </c>
      <c r="X38" s="52" cm="1">
        <f t="array" aca="1" ref="X38" ca="1">MMS_PastureBeef_Soil_N2ODirect_Equations.VEERG_4_2_1_3__7_RelativeSize(X22,F$28)</f>
        <v>0.14545454545454545</v>
      </c>
      <c r="Y38" s="52" cm="1">
        <f t="array" aca="1" ref="Y38" ca="1">MMS_PastureBeef_Soil_N2ODirect_Equations.VEERG_4_2_1_3__7_RelativeSize(Y22,G$28)</f>
        <v>0.58181818181818179</v>
      </c>
      <c r="Z38" s="52" cm="1">
        <f t="array" aca="1" ref="Z38" ca="1">MMS_PastureBeef_Soil_N2ODirect_Equations.VEERG_4_2_1_3__7_RelativeSize(Z22,H$28)</f>
        <v>0.87272727272727268</v>
      </c>
      <c r="AA38" s="52" cm="1">
        <f t="array" aca="1" ref="AA38" ca="1">MMS_PastureBeef_Soil_N2ODirect_Equations.VEERG_4_2_1_3__7_RelativeSize(AA22,I$28)</f>
        <v>0.87272727272727268</v>
      </c>
      <c r="AB38" s="52" cm="1">
        <f t="array" aca="1" ref="AB38" ca="1">MMS_PastureBeef_Soil_N2ODirect_Equations.VEERG_4_2_1_3__7_RelativeSize(AB22,J$28)</f>
        <v>0.15151515151515152</v>
      </c>
      <c r="AC38" s="52" cm="1">
        <f t="array" aca="1" ref="AC38" ca="1">MMS_PastureBeef_Soil_N2ODirect_Equations.VEERG_4_2_1_3__7_RelativeSize(AC22,K$28)</f>
        <v>0.51515151515151514</v>
      </c>
      <c r="AD38" s="52" cm="1">
        <f t="array" aca="1" ref="AD38" ca="1">MMS_PastureBeef_Soil_N2ODirect_Equations.VEERG_4_2_1_3__7_RelativeSize(AD22,L$28)</f>
        <v>0.51515151515151514</v>
      </c>
      <c r="AE38" s="52" cm="1">
        <f t="array" aca="1" ref="AE38" ca="1">MMS_PastureBeef_Soil_N2ODirect_Equations.VEERG_4_2_1_3__7_RelativeSize(AE22,M$28)</f>
        <v>0.51515151515151514</v>
      </c>
      <c r="AF38" s="2" t="str">
        <f t="shared" si="1"/>
        <v>ratio</v>
      </c>
      <c r="AG38" s="2"/>
      <c r="AH38" s="2"/>
    </row>
    <row r="39" spans="3:34" ht="20.100000000000001" customHeight="1" x14ac:dyDescent="0.25">
      <c r="C39" s="45"/>
      <c r="D39" s="45"/>
      <c r="E39" s="45"/>
      <c r="F39" s="45"/>
      <c r="G39" s="45"/>
      <c r="H39" s="45"/>
      <c r="I39" s="45"/>
      <c r="J39" s="45"/>
      <c r="K39" s="45"/>
      <c r="L39" s="45"/>
      <c r="M39" s="45"/>
      <c r="N39" s="45"/>
      <c r="O39" s="45"/>
      <c r="P39" s="45"/>
      <c r="Q39" s="45"/>
      <c r="R39" s="45"/>
      <c r="U39" s="52" t="str">
        <f>TEXT(EDATE('Input - Site'!$E$12,3), "mmmm yyyy")</f>
        <v>April 2024</v>
      </c>
      <c r="V39" s="52" cm="1">
        <f t="array" aca="1" ref="V39" ca="1">MMS_PastureBeef_Soil_N2ODirect_Equations.VEERG_4_2_1_3__7_RelativeSize(V23,D$28)</f>
        <v>0.12987012987012986</v>
      </c>
      <c r="W39" s="52" cm="1">
        <f t="array" aca="1" ref="W39" ca="1">MMS_PastureBeef_Soil_N2ODirect_Equations.VEERG_4_2_1_3__7_RelativeSize(W23,E$28)</f>
        <v>0.88311688311688308</v>
      </c>
      <c r="X39" s="52" cm="1">
        <f t="array" aca="1" ref="X39" ca="1">MMS_PastureBeef_Soil_N2ODirect_Equations.VEERG_4_2_1_3__7_RelativeSize(X23,F$28)</f>
        <v>0.14545454545454545</v>
      </c>
      <c r="Y39" s="52" cm="1">
        <f t="array" aca="1" ref="Y39" ca="1">MMS_PastureBeef_Soil_N2ODirect_Equations.VEERG_4_2_1_3__7_RelativeSize(Y23,G$28)</f>
        <v>0.58181818181818179</v>
      </c>
      <c r="Z39" s="52" cm="1">
        <f t="array" aca="1" ref="Z39" ca="1">MMS_PastureBeef_Soil_N2ODirect_Equations.VEERG_4_2_1_3__7_RelativeSize(Z23,H$28)</f>
        <v>0.87272727272727268</v>
      </c>
      <c r="AA39" s="52" cm="1">
        <f t="array" aca="1" ref="AA39" ca="1">MMS_PastureBeef_Soil_N2ODirect_Equations.VEERG_4_2_1_3__7_RelativeSize(AA23,I$28)</f>
        <v>0.87272727272727268</v>
      </c>
      <c r="AB39" s="52" cm="1">
        <f t="array" aca="1" ref="AB39" ca="1">MMS_PastureBeef_Soil_N2ODirect_Equations.VEERG_4_2_1_3__7_RelativeSize(AB23,J$28)</f>
        <v>0.15151515151515152</v>
      </c>
      <c r="AC39" s="52" cm="1">
        <f t="array" aca="1" ref="AC39" ca="1">MMS_PastureBeef_Soil_N2ODirect_Equations.VEERG_4_2_1_3__7_RelativeSize(AC23,K$28)</f>
        <v>0.51515151515151514</v>
      </c>
      <c r="AD39" s="52" cm="1">
        <f t="array" aca="1" ref="AD39" ca="1">MMS_PastureBeef_Soil_N2ODirect_Equations.VEERG_4_2_1_3__7_RelativeSize(AD23,L$28)</f>
        <v>0.51515151515151514</v>
      </c>
      <c r="AE39" s="52" cm="1">
        <f t="array" aca="1" ref="AE39" ca="1">MMS_PastureBeef_Soil_N2ODirect_Equations.VEERG_4_2_1_3__7_RelativeSize(AE23,M$28)</f>
        <v>0.51515151515151514</v>
      </c>
      <c r="AF39" s="2" t="str">
        <f t="shared" si="1"/>
        <v>ratio</v>
      </c>
      <c r="AG39" s="2"/>
      <c r="AH39" s="2"/>
    </row>
    <row r="40" spans="3:34" ht="20.100000000000001" customHeight="1" x14ac:dyDescent="0.25">
      <c r="D40" s="6" t="str" cm="1">
        <f t="array" ref="D40">MMS_PastureBeef_Soil_N2ODirect_Equations.VEERG_4_2_1_3__6_IntakeRelativeToMaintenance_Title()</f>
        <v>Intake relative to that needed for maintenance</v>
      </c>
      <c r="U40" s="52" t="str">
        <f>TEXT(EDATE('Input - Site'!$E$12,4), "mmmm yyyy")</f>
        <v>May 2024</v>
      </c>
      <c r="V40" s="52" cm="1">
        <f t="array" aca="1" ref="V40" ca="1">MMS_PastureBeef_Soil_N2ODirect_Equations.VEERG_4_2_1_3__7_RelativeSize(V24,D$28)</f>
        <v>0.12987012987012986</v>
      </c>
      <c r="W40" s="52" cm="1">
        <f t="array" aca="1" ref="W40" ca="1">MMS_PastureBeef_Soil_N2ODirect_Equations.VEERG_4_2_1_3__7_RelativeSize(W24,E$28)</f>
        <v>0.88311688311688308</v>
      </c>
      <c r="X40" s="52" cm="1">
        <f t="array" aca="1" ref="X40" ca="1">MMS_PastureBeef_Soil_N2ODirect_Equations.VEERG_4_2_1_3__7_RelativeSize(X24,F$28)</f>
        <v>0.14545454545454545</v>
      </c>
      <c r="Y40" s="52" cm="1">
        <f t="array" aca="1" ref="Y40" ca="1">MMS_PastureBeef_Soil_N2ODirect_Equations.VEERG_4_2_1_3__7_RelativeSize(Y24,G$28)</f>
        <v>0.58181818181818179</v>
      </c>
      <c r="Z40" s="52" cm="1">
        <f t="array" aca="1" ref="Z40" ca="1">MMS_PastureBeef_Soil_N2ODirect_Equations.VEERG_4_2_1_3__7_RelativeSize(Z24,H$28)</f>
        <v>0.87272727272727268</v>
      </c>
      <c r="AA40" s="52" cm="1">
        <f t="array" aca="1" ref="AA40" ca="1">MMS_PastureBeef_Soil_N2ODirect_Equations.VEERG_4_2_1_3__7_RelativeSize(AA24,I$28)</f>
        <v>0.87272727272727268</v>
      </c>
      <c r="AB40" s="52" cm="1">
        <f t="array" aca="1" ref="AB40" ca="1">MMS_PastureBeef_Soil_N2ODirect_Equations.VEERG_4_2_1_3__7_RelativeSize(AB24,J$28)</f>
        <v>0.15151515151515152</v>
      </c>
      <c r="AC40" s="52" cm="1">
        <f t="array" aca="1" ref="AC40" ca="1">MMS_PastureBeef_Soil_N2ODirect_Equations.VEERG_4_2_1_3__7_RelativeSize(AC24,K$28)</f>
        <v>0.51515151515151514</v>
      </c>
      <c r="AD40" s="52" cm="1">
        <f t="array" aca="1" ref="AD40" ca="1">MMS_PastureBeef_Soil_N2ODirect_Equations.VEERG_4_2_1_3__7_RelativeSize(AD24,L$28)</f>
        <v>0.51515151515151514</v>
      </c>
      <c r="AE40" s="52" cm="1">
        <f t="array" aca="1" ref="AE40" ca="1">MMS_PastureBeef_Soil_N2ODirect_Equations.VEERG_4_2_1_3__7_RelativeSize(AE24,M$28)</f>
        <v>0.51515151515151514</v>
      </c>
      <c r="AF40" s="2" t="str">
        <f t="shared" si="1"/>
        <v>ratio</v>
      </c>
      <c r="AG40" s="2"/>
      <c r="AH40" s="2"/>
    </row>
    <row r="41" spans="3:34" ht="20.100000000000001" customHeight="1" x14ac:dyDescent="0.25">
      <c r="D41" s="5" t="str" cm="1">
        <f t="array" ref="D41">MMS_PastureBeef_Soil_N2ODirect_Equations.VEERG_4_2_1_3__6_IntakeRelativeToMaintenance_Source()</f>
        <v>VEERG 2026: 4.2.1.3, Equation (6)</v>
      </c>
      <c r="U41" s="52" t="str">
        <f>TEXT(EDATE('Input - Site'!$E$12,5), "mmmm yyyy")</f>
        <v>June 2024</v>
      </c>
      <c r="V41" s="52" cm="1">
        <f t="array" aca="1" ref="V41" ca="1">MMS_PastureBeef_Soil_N2ODirect_Equations.VEERG_4_2_1_3__7_RelativeSize(V25,D$28)</f>
        <v>0.24675324675324675</v>
      </c>
      <c r="W41" s="52" cm="1">
        <f t="array" aca="1" ref="W41" ca="1">MMS_PastureBeef_Soil_N2ODirect_Equations.VEERG_4_2_1_3__7_RelativeSize(W25,E$28)</f>
        <v>0.90909090909090906</v>
      </c>
      <c r="X41" s="52" cm="1">
        <f t="array" aca="1" ref="X41" ca="1">MMS_PastureBeef_Soil_N2ODirect_Equations.VEERG_4_2_1_3__7_RelativeSize(X25,F$28)</f>
        <v>0.27272727272727271</v>
      </c>
      <c r="Y41" s="52" cm="1">
        <f t="array" aca="1" ref="Y41" ca="1">MMS_PastureBeef_Soil_N2ODirect_Equations.VEERG_4_2_1_3__7_RelativeSize(Y25,G$28)</f>
        <v>0.6</v>
      </c>
      <c r="Z41" s="52" cm="1">
        <f t="array" aca="1" ref="Z41" ca="1">MMS_PastureBeef_Soil_N2ODirect_Equations.VEERG_4_2_1_3__7_RelativeSize(Z25,H$28)</f>
        <v>0.89090909090909087</v>
      </c>
      <c r="AA41" s="52" cm="1">
        <f t="array" aca="1" ref="AA41" ca="1">MMS_PastureBeef_Soil_N2ODirect_Equations.VEERG_4_2_1_3__7_RelativeSize(AA25,I$28)</f>
        <v>0.89090909090909087</v>
      </c>
      <c r="AB41" s="52" cm="1">
        <f t="array" aca="1" ref="AB41" ca="1">MMS_PastureBeef_Soil_N2ODirect_Equations.VEERG_4_2_1_3__7_RelativeSize(AB25,J$28)</f>
        <v>0.25757575757575757</v>
      </c>
      <c r="AC41" s="52" cm="1">
        <f t="array" aca="1" ref="AC41" ca="1">MMS_PastureBeef_Soil_N2ODirect_Equations.VEERG_4_2_1_3__7_RelativeSize(AC25,K$28)</f>
        <v>0.54545454545454541</v>
      </c>
      <c r="AD41" s="52" cm="1">
        <f t="array" aca="1" ref="AD41" ca="1">MMS_PastureBeef_Soil_N2ODirect_Equations.VEERG_4_2_1_3__7_RelativeSize(AD25,L$28)</f>
        <v>0.54545454545454541</v>
      </c>
      <c r="AE41" s="52" cm="1">
        <f t="array" aca="1" ref="AE41" ca="1">MMS_PastureBeef_Soil_N2ODirect_Equations.VEERG_4_2_1_3__7_RelativeSize(AE25,M$28)</f>
        <v>0.54545454545454541</v>
      </c>
      <c r="AF41" s="2" t="str">
        <f t="shared" si="1"/>
        <v>ratio</v>
      </c>
      <c r="AG41" s="2"/>
      <c r="AH41" s="2"/>
    </row>
    <row r="42" spans="3:34" ht="20.100000000000001" customHeight="1" x14ac:dyDescent="0.25">
      <c r="D42" s="13" t="s">
        <v>27</v>
      </c>
      <c r="E42" s="13" t="str" cm="1">
        <f t="array" aca="1" ref="E42" ca="1">Common_InputFunctions.Utility_DisplayFunctionName(E62)</f>
        <v>=MMS_PastureBeef_Soil_N2ODirect_Equations.VEERG_4_2_1_3__6_IntakeRelativeToMaintenance</v>
      </c>
      <c r="U42" s="52" t="str">
        <f>TEXT(EDATE('Input - Site'!$E$12,6), "mmmm yyyy")</f>
        <v>July 2024</v>
      </c>
      <c r="V42" s="52" cm="1">
        <f t="array" aca="1" ref="V42" ca="1">MMS_PastureBeef_Soil_N2ODirect_Equations.VEERG_4_2_1_3__7_RelativeSize(V26,D$28)</f>
        <v>0.24675324675324675</v>
      </c>
      <c r="W42" s="52" cm="1">
        <f t="array" aca="1" ref="W42" ca="1">MMS_PastureBeef_Soil_N2ODirect_Equations.VEERG_4_2_1_3__7_RelativeSize(W26,E$28)</f>
        <v>0.90909090909090906</v>
      </c>
      <c r="X42" s="52" cm="1">
        <f t="array" aca="1" ref="X42" ca="1">MMS_PastureBeef_Soil_N2ODirect_Equations.VEERG_4_2_1_3__7_RelativeSize(X26,F$28)</f>
        <v>0.27272727272727271</v>
      </c>
      <c r="Y42" s="52" cm="1">
        <f t="array" aca="1" ref="Y42" ca="1">MMS_PastureBeef_Soil_N2ODirect_Equations.VEERG_4_2_1_3__7_RelativeSize(Y26,G$28)</f>
        <v>0.6</v>
      </c>
      <c r="Z42" s="52" cm="1">
        <f t="array" aca="1" ref="Z42" ca="1">MMS_PastureBeef_Soil_N2ODirect_Equations.VEERG_4_2_1_3__7_RelativeSize(Z26,H$28)</f>
        <v>0.89090909090909087</v>
      </c>
      <c r="AA42" s="52" cm="1">
        <f t="array" aca="1" ref="AA42" ca="1">MMS_PastureBeef_Soil_N2ODirect_Equations.VEERG_4_2_1_3__7_RelativeSize(AA26,I$28)</f>
        <v>0.89090909090909087</v>
      </c>
      <c r="AB42" s="52" cm="1">
        <f t="array" aca="1" ref="AB42" ca="1">MMS_PastureBeef_Soil_N2ODirect_Equations.VEERG_4_2_1_3__7_RelativeSize(AB26,J$28)</f>
        <v>0.25757575757575757</v>
      </c>
      <c r="AC42" s="52" cm="1">
        <f t="array" aca="1" ref="AC42" ca="1">MMS_PastureBeef_Soil_N2ODirect_Equations.VEERG_4_2_1_3__7_RelativeSize(AC26,K$28)</f>
        <v>0.54545454545454541</v>
      </c>
      <c r="AD42" s="52" cm="1">
        <f t="array" aca="1" ref="AD42" ca="1">MMS_PastureBeef_Soil_N2ODirect_Equations.VEERG_4_2_1_3__7_RelativeSize(AD26,L$28)</f>
        <v>0.54545454545454541</v>
      </c>
      <c r="AE42" s="52" cm="1">
        <f t="array" aca="1" ref="AE42" ca="1">MMS_PastureBeef_Soil_N2ODirect_Equations.VEERG_4_2_1_3__7_RelativeSize(AE26,M$28)</f>
        <v>0.54545454545454541</v>
      </c>
      <c r="AF42" s="2" t="str">
        <f t="shared" si="1"/>
        <v>ratio</v>
      </c>
      <c r="AG42" s="2"/>
      <c r="AH42" s="2"/>
    </row>
    <row r="43" spans="3:34" ht="20.100000000000001" customHeight="1" x14ac:dyDescent="0.25">
      <c r="U43" s="52" t="str">
        <f>TEXT(EDATE('Input - Site'!$E$12,7), "mmmm yyyy")</f>
        <v>August 2024</v>
      </c>
      <c r="V43" s="52" cm="1">
        <f t="array" aca="1" ref="V43" ca="1">MMS_PastureBeef_Soil_N2ODirect_Equations.VEERG_4_2_1_3__7_RelativeSize(V27,D$28)</f>
        <v>0.24675324675324675</v>
      </c>
      <c r="W43" s="52" cm="1">
        <f t="array" aca="1" ref="W43" ca="1">MMS_PastureBeef_Soil_N2ODirect_Equations.VEERG_4_2_1_3__7_RelativeSize(W27,E$28)</f>
        <v>0.90909090909090906</v>
      </c>
      <c r="X43" s="52" cm="1">
        <f t="array" aca="1" ref="X43" ca="1">MMS_PastureBeef_Soil_N2ODirect_Equations.VEERG_4_2_1_3__7_RelativeSize(X27,F$28)</f>
        <v>0.27272727272727271</v>
      </c>
      <c r="Y43" s="52" cm="1">
        <f t="array" aca="1" ref="Y43" ca="1">MMS_PastureBeef_Soil_N2ODirect_Equations.VEERG_4_2_1_3__7_RelativeSize(Y27,G$28)</f>
        <v>0.6</v>
      </c>
      <c r="Z43" s="52" cm="1">
        <f t="array" aca="1" ref="Z43" ca="1">MMS_PastureBeef_Soil_N2ODirect_Equations.VEERG_4_2_1_3__7_RelativeSize(Z27,H$28)</f>
        <v>0.89090909090909087</v>
      </c>
      <c r="AA43" s="52" cm="1">
        <f t="array" aca="1" ref="AA43" ca="1">MMS_PastureBeef_Soil_N2ODirect_Equations.VEERG_4_2_1_3__7_RelativeSize(AA27,I$28)</f>
        <v>0.89090909090909087</v>
      </c>
      <c r="AB43" s="52" cm="1">
        <f t="array" aca="1" ref="AB43" ca="1">MMS_PastureBeef_Soil_N2ODirect_Equations.VEERG_4_2_1_3__7_RelativeSize(AB27,J$28)</f>
        <v>0.25757575757575757</v>
      </c>
      <c r="AC43" s="52" cm="1">
        <f t="array" aca="1" ref="AC43" ca="1">MMS_PastureBeef_Soil_N2ODirect_Equations.VEERG_4_2_1_3__7_RelativeSize(AC27,K$28)</f>
        <v>0.54545454545454541</v>
      </c>
      <c r="AD43" s="52" cm="1">
        <f t="array" aca="1" ref="AD43" ca="1">MMS_PastureBeef_Soil_N2ODirect_Equations.VEERG_4_2_1_3__7_RelativeSize(AD27,L$28)</f>
        <v>0.54545454545454541</v>
      </c>
      <c r="AE43" s="52" cm="1">
        <f t="array" aca="1" ref="AE43" ca="1">MMS_PastureBeef_Soil_N2ODirect_Equations.VEERG_4_2_1_3__7_RelativeSize(AE27,M$28)</f>
        <v>0.54545454545454541</v>
      </c>
      <c r="AF43" s="2" t="str">
        <f t="shared" si="1"/>
        <v>ratio</v>
      </c>
      <c r="AG43" s="2"/>
      <c r="AH43" s="2"/>
    </row>
    <row r="44" spans="3:34" ht="20.100000000000001" customHeight="1" x14ac:dyDescent="0.25">
      <c r="U44" s="52" t="str">
        <f>TEXT(EDATE('Input - Site'!$E$12,8), "mmmm yyyy")</f>
        <v>September 2024</v>
      </c>
      <c r="V44" s="52" cm="1">
        <f t="array" aca="1" ref="V44" ca="1">MMS_PastureBeef_Soil_N2ODirect_Equations.VEERG_4_2_1_3__7_RelativeSize(V28,D$28)</f>
        <v>0.44155844155844154</v>
      </c>
      <c r="W44" s="52" cm="1">
        <f t="array" aca="1" ref="W44" ca="1">MMS_PastureBeef_Soil_N2ODirect_Equations.VEERG_4_2_1_3__7_RelativeSize(W28,E$28)</f>
        <v>1.0389610389610389</v>
      </c>
      <c r="X44" s="52" cm="1">
        <f t="array" aca="1" ref="X44" ca="1">MMS_PastureBeef_Soil_N2ODirect_Equations.VEERG_4_2_1_3__7_RelativeSize(X28,F$28)</f>
        <v>0.47272727272727272</v>
      </c>
      <c r="Y44" s="52" cm="1">
        <f t="array" aca="1" ref="Y44" ca="1">MMS_PastureBeef_Soil_N2ODirect_Equations.VEERG_4_2_1_3__7_RelativeSize(Y28,G$28)</f>
        <v>0.76363636363636367</v>
      </c>
      <c r="Z44" s="52" cm="1">
        <f t="array" aca="1" ref="Z44" ca="1">MMS_PastureBeef_Soil_N2ODirect_Equations.VEERG_4_2_1_3__7_RelativeSize(Z28,H$28)</f>
        <v>1</v>
      </c>
      <c r="AA44" s="52" cm="1">
        <f t="array" aca="1" ref="AA44" ca="1">MMS_PastureBeef_Soil_N2ODirect_Equations.VEERG_4_2_1_3__7_RelativeSize(AA28,I$28)</f>
        <v>1</v>
      </c>
      <c r="AB44" s="52" cm="1">
        <f t="array" aca="1" ref="AB44" ca="1">MMS_PastureBeef_Soil_N2ODirect_Equations.VEERG_4_2_1_3__7_RelativeSize(AB28,J$28)</f>
        <v>0.45454545454545453</v>
      </c>
      <c r="AC44" s="52" cm="1">
        <f t="array" aca="1" ref="AC44" ca="1">MMS_PastureBeef_Soil_N2ODirect_Equations.VEERG_4_2_1_3__7_RelativeSize(AC28,K$28)</f>
        <v>0.72727272727272729</v>
      </c>
      <c r="AD44" s="52" cm="1">
        <f t="array" aca="1" ref="AD44" ca="1">MMS_PastureBeef_Soil_N2ODirect_Equations.VEERG_4_2_1_3__7_RelativeSize(AD28,L$28)</f>
        <v>0.72727272727272729</v>
      </c>
      <c r="AE44" s="52" cm="1">
        <f t="array" aca="1" ref="AE44" ca="1">MMS_PastureBeef_Soil_N2ODirect_Equations.VEERG_4_2_1_3__7_RelativeSize(AE28,M$28)</f>
        <v>0.72727272727272729</v>
      </c>
      <c r="AF44" s="2" t="str">
        <f t="shared" si="1"/>
        <v>ratio</v>
      </c>
      <c r="AG44" s="2"/>
      <c r="AH44" s="2"/>
    </row>
    <row r="45" spans="3:34" ht="20.100000000000001" customHeight="1" x14ac:dyDescent="0.25">
      <c r="D45" s="53" t="s">
        <v>30</v>
      </c>
      <c r="E45" s="1" t="str" cm="1">
        <f t="array" ref="E45">MMS_PastureBeef_Soil_N2ODirect_Equations.VEERG_4_2_1_3__6_IntakeRelativeToMaintenance_Variable()</f>
        <v>L_jkl</v>
      </c>
      <c r="U45" s="52" t="str">
        <f>TEXT(EDATE('Input - Site'!$E$12,9), "mmmm yyyy")</f>
        <v>October 2024</v>
      </c>
      <c r="V45" s="52" cm="1">
        <f t="array" aca="1" ref="V45" ca="1">MMS_PastureBeef_Soil_N2ODirect_Equations.VEERG_4_2_1_3__7_RelativeSize(V29,D$28)</f>
        <v>0.44155844155844154</v>
      </c>
      <c r="W45" s="52" cm="1">
        <f t="array" aca="1" ref="W45" ca="1">MMS_PastureBeef_Soil_N2ODirect_Equations.VEERG_4_2_1_3__7_RelativeSize(W29,E$28)</f>
        <v>1.0389610389610389</v>
      </c>
      <c r="X45" s="52" cm="1">
        <f t="array" aca="1" ref="X45" ca="1">MMS_PastureBeef_Soil_N2ODirect_Equations.VEERG_4_2_1_3__7_RelativeSize(X29,F$28)</f>
        <v>0.47272727272727272</v>
      </c>
      <c r="Y45" s="52" cm="1">
        <f t="array" aca="1" ref="Y45" ca="1">MMS_PastureBeef_Soil_N2ODirect_Equations.VEERG_4_2_1_3__7_RelativeSize(Y29,G$28)</f>
        <v>0.76363636363636367</v>
      </c>
      <c r="Z45" s="52" cm="1">
        <f t="array" aca="1" ref="Z45" ca="1">MMS_PastureBeef_Soil_N2ODirect_Equations.VEERG_4_2_1_3__7_RelativeSize(Z29,H$28)</f>
        <v>1</v>
      </c>
      <c r="AA45" s="52" cm="1">
        <f t="array" aca="1" ref="AA45" ca="1">MMS_PastureBeef_Soil_N2ODirect_Equations.VEERG_4_2_1_3__7_RelativeSize(AA29,I$28)</f>
        <v>1</v>
      </c>
      <c r="AB45" s="52" cm="1">
        <f t="array" aca="1" ref="AB45" ca="1">MMS_PastureBeef_Soil_N2ODirect_Equations.VEERG_4_2_1_3__7_RelativeSize(AB29,J$28)</f>
        <v>0.45454545454545453</v>
      </c>
      <c r="AC45" s="52" cm="1">
        <f t="array" aca="1" ref="AC45" ca="1">MMS_PastureBeef_Soil_N2ODirect_Equations.VEERG_4_2_1_3__7_RelativeSize(AC29,K$28)</f>
        <v>0.72727272727272729</v>
      </c>
      <c r="AD45" s="52" cm="1">
        <f t="array" aca="1" ref="AD45" ca="1">MMS_PastureBeef_Soil_N2ODirect_Equations.VEERG_4_2_1_3__7_RelativeSize(AD29,L$28)</f>
        <v>0.72727272727272729</v>
      </c>
      <c r="AE45" s="52" cm="1">
        <f t="array" aca="1" ref="AE45" ca="1">MMS_PastureBeef_Soil_N2ODirect_Equations.VEERG_4_2_1_3__7_RelativeSize(AE29,M$28)</f>
        <v>0.72727272727272729</v>
      </c>
      <c r="AF45" s="2" t="str">
        <f t="shared" si="1"/>
        <v>ratio</v>
      </c>
      <c r="AG45" s="2"/>
      <c r="AH45" s="2"/>
    </row>
    <row r="46" spans="3:34" ht="20.100000000000001" customHeight="1" x14ac:dyDescent="0.25">
      <c r="D46" s="53" t="s">
        <v>20</v>
      </c>
      <c r="E46" s="54" t="str" cm="1">
        <f t="array" ref="E46">MMS_PastureBeef_Soil_N2ODirect_Equations.VEERG_4_2_1_3__6_IntakeRelativeToMaintenance_Unit()</f>
        <v>ratio</v>
      </c>
      <c r="U46" s="52" t="str">
        <f>TEXT(EDATE('Input - Site'!$E$12,10), "mmmm yyyy")</f>
        <v>November 2024</v>
      </c>
      <c r="V46" s="52" cm="1">
        <f t="array" aca="1" ref="V46" ca="1">MMS_PastureBeef_Soil_N2ODirect_Equations.VEERG_4_2_1_3__7_RelativeSize(V30,D$28)</f>
        <v>0.44155844155844154</v>
      </c>
      <c r="W46" s="52" cm="1">
        <f t="array" aca="1" ref="W46" ca="1">MMS_PastureBeef_Soil_N2ODirect_Equations.VEERG_4_2_1_3__7_RelativeSize(W30,E$28)</f>
        <v>1.0389610389610389</v>
      </c>
      <c r="X46" s="52" cm="1">
        <f t="array" aca="1" ref="X46" ca="1">MMS_PastureBeef_Soil_N2ODirect_Equations.VEERG_4_2_1_3__7_RelativeSize(X30,F$28)</f>
        <v>0.47272727272727272</v>
      </c>
      <c r="Y46" s="52" cm="1">
        <f t="array" aca="1" ref="Y46" ca="1">MMS_PastureBeef_Soil_N2ODirect_Equations.VEERG_4_2_1_3__7_RelativeSize(Y30,G$28)</f>
        <v>0.76363636363636367</v>
      </c>
      <c r="Z46" s="52" cm="1">
        <f t="array" aca="1" ref="Z46" ca="1">MMS_PastureBeef_Soil_N2ODirect_Equations.VEERG_4_2_1_3__7_RelativeSize(Z30,H$28)</f>
        <v>1</v>
      </c>
      <c r="AA46" s="52" cm="1">
        <f t="array" aca="1" ref="AA46" ca="1">MMS_PastureBeef_Soil_N2ODirect_Equations.VEERG_4_2_1_3__7_RelativeSize(AA30,I$28)</f>
        <v>1</v>
      </c>
      <c r="AB46" s="52" cm="1">
        <f t="array" aca="1" ref="AB46" ca="1">MMS_PastureBeef_Soil_N2ODirect_Equations.VEERG_4_2_1_3__7_RelativeSize(AB30,J$28)</f>
        <v>0.45454545454545453</v>
      </c>
      <c r="AC46" s="52" cm="1">
        <f t="array" aca="1" ref="AC46" ca="1">MMS_PastureBeef_Soil_N2ODirect_Equations.VEERG_4_2_1_3__7_RelativeSize(AC30,K$28)</f>
        <v>0.72727272727272729</v>
      </c>
      <c r="AD46" s="52" cm="1">
        <f t="array" aca="1" ref="AD46" ca="1">MMS_PastureBeef_Soil_N2ODirect_Equations.VEERG_4_2_1_3__7_RelativeSize(AD30,L$28)</f>
        <v>0.72727272727272729</v>
      </c>
      <c r="AE46" s="52" cm="1">
        <f t="array" aca="1" ref="AE46" ca="1">MMS_PastureBeef_Soil_N2ODirect_Equations.VEERG_4_2_1_3__7_RelativeSize(AE30,M$28)</f>
        <v>0.72727272727272729</v>
      </c>
      <c r="AF46" s="2" t="str">
        <f t="shared" si="1"/>
        <v>ratio</v>
      </c>
      <c r="AG46" s="2"/>
      <c r="AH46" s="2"/>
    </row>
    <row r="47" spans="3:34" ht="20.100000000000001" customHeight="1" x14ac:dyDescent="0.25">
      <c r="U47" s="52" t="str">
        <f>TEXT(EDATE('Input - Site'!$E$12,11), "mmmm yyyy")</f>
        <v>December 2024</v>
      </c>
      <c r="V47" s="52" cm="1">
        <f t="array" aca="1" ref="V47" ca="1">MMS_PastureBeef_Soil_N2ODirect_Equations.VEERG_4_2_1_3__7_RelativeSize(V31,D$28)</f>
        <v>0.4935064935064935</v>
      </c>
      <c r="W47" s="52" cm="1">
        <f t="array" aca="1" ref="W47" ca="1">MMS_PastureBeef_Soil_N2ODirect_Equations.VEERG_4_2_1_3__7_RelativeSize(W31,E$28)</f>
        <v>1.0129870129870129</v>
      </c>
      <c r="X47" s="52" cm="1">
        <f t="array" aca="1" ref="X47" ca="1">MMS_PastureBeef_Soil_N2ODirect_Equations.VEERG_4_2_1_3__7_RelativeSize(X31,F$28)</f>
        <v>0.54545454545454541</v>
      </c>
      <c r="Y47" s="52" cm="1">
        <f t="array" aca="1" ref="Y47" ca="1">MMS_PastureBeef_Soil_N2ODirect_Equations.VEERG_4_2_1_3__7_RelativeSize(Y31,G$28)</f>
        <v>0.81818181818181823</v>
      </c>
      <c r="Z47" s="52" cm="1">
        <f t="array" aca="1" ref="Z47" ca="1">MMS_PastureBeef_Soil_N2ODirect_Equations.VEERG_4_2_1_3__7_RelativeSize(Z31,H$28)</f>
        <v>0.96363636363636362</v>
      </c>
      <c r="AA47" s="52" cm="1">
        <f t="array" aca="1" ref="AA47" ca="1">MMS_PastureBeef_Soil_N2ODirect_Equations.VEERG_4_2_1_3__7_RelativeSize(AA31,I$28)</f>
        <v>0.96363636363636362</v>
      </c>
      <c r="AB47" s="52" cm="1">
        <f t="array" aca="1" ref="AB47" ca="1">MMS_PastureBeef_Soil_N2ODirect_Equations.VEERG_4_2_1_3__7_RelativeSize(AB31,J$28)</f>
        <v>0.51515151515151514</v>
      </c>
      <c r="AC47" s="52" cm="1">
        <f t="array" aca="1" ref="AC47" ca="1">MMS_PastureBeef_Soil_N2ODirect_Equations.VEERG_4_2_1_3__7_RelativeSize(AC31,K$28)</f>
        <v>0.71212121212121215</v>
      </c>
      <c r="AD47" s="52" cm="1">
        <f t="array" aca="1" ref="AD47" ca="1">MMS_PastureBeef_Soil_N2ODirect_Equations.VEERG_4_2_1_3__7_RelativeSize(AD31,L$28)</f>
        <v>0.71212121212121215</v>
      </c>
      <c r="AE47" s="52" cm="1">
        <f t="array" aca="1" ref="AE47" ca="1">MMS_PastureBeef_Soil_N2ODirect_Equations.VEERG_4_2_1_3__7_RelativeSize(AE31,M$28)</f>
        <v>0.71212121212121215</v>
      </c>
      <c r="AF47" s="2" t="str">
        <f t="shared" si="1"/>
        <v>ratio</v>
      </c>
      <c r="AG47" s="2"/>
      <c r="AH47" s="2"/>
    </row>
    <row r="48" spans="3:34" ht="20.100000000000001" customHeight="1" x14ac:dyDescent="0.25">
      <c r="D48" s="119" t="str" cm="1">
        <f t="array" ref="D48:E49">_xlfn.CHOOSECOLS(MMS_PastureBeef_Soil_N2ODirect_Equations.VEERG_4_2_1_3__6_IntakeRelativeToMaintenance_Arguments(),1,2)</f>
        <v>I_jkl</v>
      </c>
      <c r="E48" s="124" t="str">
        <v>dry matter intake as calculated in Chapter 3 Section 3.2.1 (kg DM/head/day)</v>
      </c>
      <c r="F48" s="123"/>
      <c r="G48" s="119" t="str" cm="1">
        <f t="array" ref="G48:H49">_xlfn.CHOOSECOLS(MMS_PastureBeef_Soil_N2ODirect_Equations.VEERG_4_2_1_3__6_IntakeRelativeToMaintenance_Arguments(),3,4)</f>
        <v>kg DM/head/day</v>
      </c>
      <c r="H48" s="120" t="str">
        <v>Calculated from 3.2.1.1 (3)</v>
      </c>
      <c r="I48" s="118" t="str" cm="1">
        <f t="array" aca="1" ref="I48" ca="1">HYPERLINK(Common_InputFunctions.Utility_SourceHyperlink($D$51), $D$51)</f>
        <v>M1_Table_I_j_k_l</v>
      </c>
    </row>
    <row r="49" spans="4:35" ht="20.100000000000001" customHeight="1" x14ac:dyDescent="0.25">
      <c r="D49" s="119" t="str">
        <v>W_jkl</v>
      </c>
      <c r="E49" s="124" t="str">
        <v>liveweight (kg/head)</v>
      </c>
      <c r="F49" s="123"/>
      <c r="G49" s="119" t="str">
        <v>kg/head</v>
      </c>
      <c r="H49" s="121" t="str">
        <v>Input</v>
      </c>
      <c r="I49" s="118" t="str" cm="1">
        <f t="array" aca="1" ref="I49" ca="1">HYPERLINK(Common_InputFunctions.Utility_SourceHyperlink($D$17), $D$17)</f>
        <v>M1_Table_W_j_k_l</v>
      </c>
    </row>
    <row r="50" spans="4:35" ht="20.100000000000001" customHeight="1" x14ac:dyDescent="0.25">
      <c r="T50" s="45"/>
      <c r="U50" s="45"/>
      <c r="V50" s="45"/>
      <c r="W50" s="45"/>
      <c r="X50" s="45"/>
      <c r="Y50" s="45"/>
      <c r="Z50" s="45"/>
      <c r="AA50" s="45"/>
      <c r="AB50" s="45"/>
      <c r="AC50" s="45"/>
      <c r="AD50" s="45"/>
      <c r="AE50" s="45"/>
      <c r="AF50" s="45"/>
      <c r="AG50" s="45"/>
      <c r="AH50" s="45"/>
      <c r="AI50" s="45"/>
    </row>
    <row r="51" spans="4:35" ht="20.100000000000001" customHeight="1" x14ac:dyDescent="0.25">
      <c r="D51" s="98" t="s">
        <v>245</v>
      </c>
      <c r="U51" s="6" t="str" cm="1">
        <f t="array" ref="U51">MMS_PastureBeef_Soil_N2ODirect_Equations.VEERG_4_2_1_3__6_IntakeRelativeToMaintenance_Title()</f>
        <v>Intake relative to that needed for maintenance</v>
      </c>
    </row>
    <row r="52" spans="4:35" ht="20.100000000000001" customHeight="1" x14ac:dyDescent="0.25">
      <c r="D52" s="97" t="s">
        <v>144</v>
      </c>
    </row>
    <row r="53" spans="4:35" ht="20.100000000000001" customHeight="1" x14ac:dyDescent="0.25">
      <c r="D53" s="51" t="s">
        <v>184</v>
      </c>
      <c r="E53" s="51" t="s">
        <v>131</v>
      </c>
      <c r="F53" s="51" t="s">
        <v>130</v>
      </c>
      <c r="G53" s="51" t="s">
        <v>165</v>
      </c>
      <c r="H53" s="51" t="s">
        <v>166</v>
      </c>
      <c r="I53" s="51" t="s">
        <v>167</v>
      </c>
      <c r="J53" s="51" t="s">
        <v>168</v>
      </c>
      <c r="K53" s="51" t="s">
        <v>169</v>
      </c>
      <c r="L53" s="51" t="s">
        <v>170</v>
      </c>
      <c r="M53" s="51" t="s">
        <v>171</v>
      </c>
      <c r="N53" s="51" t="s">
        <v>172</v>
      </c>
      <c r="U53" s="98" t="s">
        <v>258</v>
      </c>
    </row>
    <row r="54" spans="4:35" ht="20.100000000000001" customHeight="1" x14ac:dyDescent="0.25">
      <c r="D54" s="52" t="s">
        <v>173</v>
      </c>
      <c r="E54" s="52">
        <f ca="1">'4.2.1.1-2 Methane'!E84</f>
        <v>8.6709047296000001</v>
      </c>
      <c r="F54" s="52">
        <f ca="1">'4.2.1.1-2 Methane'!F84</f>
        <v>12.246500250000002</v>
      </c>
      <c r="G54" s="52">
        <f ca="1">'4.2.1.1-2 Methane'!G84</f>
        <v>6.6089612241000006</v>
      </c>
      <c r="H54" s="52">
        <f ca="1">'4.2.1.1-2 Methane'!H84</f>
        <v>9.5403922901100024</v>
      </c>
      <c r="I54" s="52">
        <f ca="1">'4.2.1.1-2 Methane'!I84</f>
        <v>11.268377125200001</v>
      </c>
      <c r="J54" s="52">
        <f ca="1">'4.2.1.1-2 Methane'!J84</f>
        <v>11.268377125200001</v>
      </c>
      <c r="K54" s="52">
        <f ca="1">'4.2.1.1-2 Methane'!K84</f>
        <v>7.6192560899999977</v>
      </c>
      <c r="L54" s="52">
        <f ca="1">'4.2.1.1-2 Methane'!L84</f>
        <v>9.6824279555999979</v>
      </c>
      <c r="M54" s="52">
        <f ca="1">'4.2.1.1-2 Methane'!M84</f>
        <v>9.6824279555999979</v>
      </c>
      <c r="N54" s="52">
        <f ca="1">'4.2.1.1-2 Methane'!N84</f>
        <v>9.6824279555999979</v>
      </c>
      <c r="O54" s="2" t="str">
        <f>'4.2.1.1-2 Methane'!O84</f>
        <v>kg DM/head/day</v>
      </c>
      <c r="U54" s="97" t="s">
        <v>143</v>
      </c>
    </row>
    <row r="55" spans="4:35" ht="20.100000000000001" customHeight="1" x14ac:dyDescent="0.25">
      <c r="D55" s="52" t="s">
        <v>174</v>
      </c>
      <c r="E55" s="52">
        <f ca="1">'4.2.1.1-2 Methane'!E85</f>
        <v>7.1468536895999959</v>
      </c>
      <c r="F55" s="52">
        <f ca="1">'4.2.1.1-2 Methane'!F85</f>
        <v>9.4559940036000008</v>
      </c>
      <c r="G55" s="52">
        <f ca="1">'4.2.1.1-2 Methane'!G85</f>
        <v>6.010342559999998</v>
      </c>
      <c r="H55" s="52">
        <f ca="1">'4.2.1.1-2 Methane'!H85</f>
        <v>8.1853716906000002</v>
      </c>
      <c r="I55" s="52">
        <f ca="1">'4.2.1.1-2 Methane'!I85</f>
        <v>8.1045195229439972</v>
      </c>
      <c r="J55" s="52">
        <f ca="1">'4.2.1.1-2 Methane'!J85</f>
        <v>8.1045195229439972</v>
      </c>
      <c r="K55" s="52">
        <f ca="1">'4.2.1.1-2 Methane'!K85</f>
        <v>6.5876408896000003</v>
      </c>
      <c r="L55" s="52">
        <f ca="1">'4.2.1.1-2 Methane'!L85</f>
        <v>7.3430702361</v>
      </c>
      <c r="M55" s="52">
        <f ca="1">'4.2.1.1-2 Methane'!M85</f>
        <v>7.3430702361</v>
      </c>
      <c r="N55" s="52">
        <f ca="1">'4.2.1.1-2 Methane'!N85</f>
        <v>7.3430702361</v>
      </c>
      <c r="O55" s="2" t="str">
        <f>'4.2.1.1-2 Methane'!O85</f>
        <v>kg DM/head/day</v>
      </c>
      <c r="U55" s="51" t="s">
        <v>132</v>
      </c>
      <c r="V55" s="51" t="s">
        <v>131</v>
      </c>
      <c r="W55" s="51" t="s">
        <v>130</v>
      </c>
      <c r="X55" s="51" t="s">
        <v>165</v>
      </c>
      <c r="Y55" s="51" t="s">
        <v>166</v>
      </c>
      <c r="Z55" s="51" t="s">
        <v>167</v>
      </c>
      <c r="AA55" s="51" t="s">
        <v>168</v>
      </c>
      <c r="AB55" s="51" t="s">
        <v>169</v>
      </c>
      <c r="AC55" s="51" t="s">
        <v>170</v>
      </c>
      <c r="AD55" s="51" t="s">
        <v>171</v>
      </c>
      <c r="AE55" s="51" t="s">
        <v>172</v>
      </c>
    </row>
    <row r="56" spans="4:35" ht="20.100000000000001" customHeight="1" x14ac:dyDescent="0.25">
      <c r="D56" s="52" t="s">
        <v>175</v>
      </c>
      <c r="E56" s="52">
        <f ca="1">'4.2.1.1-2 Methane'!E86</f>
        <v>3.247204</v>
      </c>
      <c r="F56" s="52">
        <f ca="1">'4.2.1.1-2 Methane'!F86</f>
        <v>9.4246544015999998</v>
      </c>
      <c r="G56" s="52">
        <f ca="1">'4.2.1.1-2 Methane'!G86</f>
        <v>2.9603267136000002</v>
      </c>
      <c r="H56" s="52">
        <f ca="1">'4.2.1.1-2 Methane'!H86</f>
        <v>6.0173755149959991</v>
      </c>
      <c r="I56" s="52">
        <f ca="1">'4.2.1.1-2 Methane'!I86</f>
        <v>6.7179974480999993</v>
      </c>
      <c r="J56" s="52">
        <f ca="1">'4.2.1.1-2 Methane'!J86</f>
        <v>6.7179974480999993</v>
      </c>
      <c r="K56" s="52">
        <f ca="1">'4.2.1.1-2 Methane'!K86</f>
        <v>3.247204</v>
      </c>
      <c r="L56" s="52">
        <f ca="1">'4.2.1.1-2 Methane'!L86</f>
        <v>5.8953782416000013</v>
      </c>
      <c r="M56" s="52">
        <f ca="1">'4.2.1.1-2 Methane'!M86</f>
        <v>5.8953782416000013</v>
      </c>
      <c r="N56" s="52">
        <f ca="1">'4.2.1.1-2 Methane'!N86</f>
        <v>5.8953782416000013</v>
      </c>
      <c r="O56" s="2" t="str">
        <f>'4.2.1.1-2 Methane'!O86</f>
        <v>kg DM/head/day</v>
      </c>
      <c r="U56" s="52" t="str">
        <f>TEXT('Input - Site'!$E$12, "mmmm yyyy")</f>
        <v>January 2024</v>
      </c>
      <c r="V56" s="52">
        <f ca="1">'4.2.1.1-2 Methane'!X76</f>
        <v>7.1468536895999959</v>
      </c>
      <c r="W56" s="52">
        <f ca="1">'4.2.1.1-2 Methane'!Y76</f>
        <v>9.4559940036000008</v>
      </c>
      <c r="X56" s="52">
        <f ca="1">'4.2.1.1-2 Methane'!Z76</f>
        <v>6.010342559999998</v>
      </c>
      <c r="Y56" s="52">
        <f ca="1">'4.2.1.1-2 Methane'!AA76</f>
        <v>8.4608409301875014</v>
      </c>
      <c r="Z56" s="52">
        <f ca="1">'4.2.1.1-2 Methane'!AB76</f>
        <v>8.3772677761199983</v>
      </c>
      <c r="AA56" s="52">
        <f ca="1">'4.2.1.1-2 Methane'!AC76</f>
        <v>8.3772677761199983</v>
      </c>
      <c r="AB56" s="52">
        <f ca="1">'4.2.1.1-2 Methane'!AD76</f>
        <v>6.5876408896000003</v>
      </c>
      <c r="AC56" s="52">
        <f ca="1">'4.2.1.1-2 Methane'!AE76</f>
        <v>7.3430702361</v>
      </c>
      <c r="AD56" s="52">
        <f ca="1">'4.2.1.1-2 Methane'!AF76</f>
        <v>7.3430702361</v>
      </c>
      <c r="AE56" s="52">
        <f ca="1">'4.2.1.1-2 Methane'!AG76</f>
        <v>7.3430702361</v>
      </c>
      <c r="AF56" s="2" t="str">
        <f>'4.2.1.1-2 Methane'!AH76</f>
        <v>kg DM/head/day</v>
      </c>
      <c r="AG56" s="2"/>
      <c r="AH56" s="2"/>
    </row>
    <row r="57" spans="4:35" ht="20.100000000000001" customHeight="1" x14ac:dyDescent="0.25">
      <c r="D57" s="52" t="s">
        <v>176</v>
      </c>
      <c r="E57" s="52">
        <f ca="1">'4.2.1.1-2 Methane'!E87</f>
        <v>5.1328980481000004</v>
      </c>
      <c r="F57" s="52">
        <f ca="1">'4.2.1.1-2 Methane'!F87</f>
        <v>9.9748588899999984</v>
      </c>
      <c r="G57" s="52">
        <f ca="1">'4.2.1.1-2 Methane'!G87</f>
        <v>4.202705002500001</v>
      </c>
      <c r="H57" s="52">
        <f ca="1">'4.2.1.1-2 Methane'!H87</f>
        <v>7.172653468761002</v>
      </c>
      <c r="I57" s="52">
        <f ca="1">'4.2.1.1-2 Methane'!I87</f>
        <v>9.145195140114998</v>
      </c>
      <c r="J57" s="52">
        <f ca="1">'4.2.1.1-2 Methane'!J87</f>
        <v>9.145195140114998</v>
      </c>
      <c r="K57" s="52">
        <f ca="1">'4.2.1.1-2 Methane'!K87</f>
        <v>4.5122681240999984</v>
      </c>
      <c r="L57" s="52">
        <f ca="1">'4.2.1.1-2 Methane'!L87</f>
        <v>6.8698506815999991</v>
      </c>
      <c r="M57" s="52">
        <f ca="1">'4.2.1.1-2 Methane'!M87</f>
        <v>6.8698506815999991</v>
      </c>
      <c r="N57" s="52">
        <f ca="1">'4.2.1.1-2 Methane'!N87</f>
        <v>6.8698506815999991</v>
      </c>
      <c r="O57" s="2" t="str">
        <f>'4.2.1.1-2 Methane'!O87</f>
        <v>kg DM/head/day</v>
      </c>
      <c r="U57" s="52" t="str">
        <f>TEXT(EDATE('Input - Site'!$E$12,1), "mmmm yyyy")</f>
        <v>February 2024</v>
      </c>
      <c r="V57" s="52">
        <f ca="1">'4.2.1.1-2 Methane'!X77</f>
        <v>7.1468536895999959</v>
      </c>
      <c r="W57" s="52">
        <f ca="1">'4.2.1.1-2 Methane'!Y77</f>
        <v>9.4559940036000008</v>
      </c>
      <c r="X57" s="52">
        <f ca="1">'4.2.1.1-2 Methane'!Z77</f>
        <v>6.010342559999998</v>
      </c>
      <c r="Y57" s="52">
        <f ca="1">'4.2.1.1-2 Methane'!AA77</f>
        <v>7.8705497025</v>
      </c>
      <c r="Z57" s="52">
        <f ca="1">'4.2.1.1-2 Methane'!AB77</f>
        <v>7.7928072335999978</v>
      </c>
      <c r="AA57" s="52">
        <f ca="1">'4.2.1.1-2 Methane'!AC77</f>
        <v>7.7928072335999978</v>
      </c>
      <c r="AB57" s="52">
        <f ca="1">'4.2.1.1-2 Methane'!AD77</f>
        <v>6.5876408896000003</v>
      </c>
      <c r="AC57" s="52">
        <f ca="1">'4.2.1.1-2 Methane'!AE77</f>
        <v>7.3430702361</v>
      </c>
      <c r="AD57" s="52">
        <f ca="1">'4.2.1.1-2 Methane'!AF77</f>
        <v>7.3430702361</v>
      </c>
      <c r="AE57" s="52">
        <f ca="1">'4.2.1.1-2 Methane'!AG77</f>
        <v>7.3430702361</v>
      </c>
      <c r="AF57" s="2" t="str">
        <f>'4.2.1.1-2 Methane'!AH77</f>
        <v>kg DM/head/day</v>
      </c>
      <c r="AG57" s="2"/>
      <c r="AH57" s="2"/>
    </row>
    <row r="58" spans="4:35" ht="20.100000000000001" customHeight="1" x14ac:dyDescent="0.25">
      <c r="U58" s="52" t="str">
        <f>TEXT(EDATE('Input - Site'!$E$12,2), "mmmm yyyy")</f>
        <v>March 2024</v>
      </c>
      <c r="V58" s="52">
        <f ca="1">'4.2.1.1-2 Methane'!X78</f>
        <v>3.247204</v>
      </c>
      <c r="W58" s="52">
        <f ca="1">'4.2.1.1-2 Methane'!Y78</f>
        <v>9.4246544015999998</v>
      </c>
      <c r="X58" s="52">
        <f ca="1">'4.2.1.1-2 Methane'!Z78</f>
        <v>2.9603267136000002</v>
      </c>
      <c r="Y58" s="52">
        <f ca="1">'4.2.1.1-2 Methane'!AA78</f>
        <v>5.9577975395999987</v>
      </c>
      <c r="Z58" s="52">
        <f ca="1">'4.2.1.1-2 Methane'!AB78</f>
        <v>6.7179974480999993</v>
      </c>
      <c r="AA58" s="52">
        <f ca="1">'4.2.1.1-2 Methane'!AC78</f>
        <v>6.7179974480999993</v>
      </c>
      <c r="AB58" s="52">
        <f ca="1">'4.2.1.1-2 Methane'!AD78</f>
        <v>3.247204</v>
      </c>
      <c r="AC58" s="52">
        <f ca="1">'4.2.1.1-2 Methane'!AE78</f>
        <v>5.8953782416000013</v>
      </c>
      <c r="AD58" s="52">
        <f ca="1">'4.2.1.1-2 Methane'!AF78</f>
        <v>5.8953782416000013</v>
      </c>
      <c r="AE58" s="52">
        <f ca="1">'4.2.1.1-2 Methane'!AG78</f>
        <v>5.8953782416000013</v>
      </c>
      <c r="AF58" s="2" t="str">
        <f>'4.2.1.1-2 Methane'!AH78</f>
        <v>kg DM/head/day</v>
      </c>
      <c r="AG58" s="2"/>
      <c r="AH58" s="2"/>
    </row>
    <row r="59" spans="4:35" ht="20.100000000000001" customHeight="1" x14ac:dyDescent="0.25">
      <c r="D59" s="98" t="s">
        <v>292</v>
      </c>
      <c r="U59" s="52" t="str">
        <f>TEXT(EDATE('Input - Site'!$E$12,3), "mmmm yyyy")</f>
        <v>April 2024</v>
      </c>
      <c r="V59" s="52">
        <f ca="1">'4.2.1.1-2 Methane'!X79</f>
        <v>3.247204</v>
      </c>
      <c r="W59" s="52">
        <f ca="1">'4.2.1.1-2 Methane'!Y79</f>
        <v>9.4246544015999998</v>
      </c>
      <c r="X59" s="52">
        <f ca="1">'4.2.1.1-2 Methane'!Z79</f>
        <v>2.9603267136000002</v>
      </c>
      <c r="Y59" s="52">
        <f ca="1">'4.2.1.1-2 Methane'!AA79</f>
        <v>5.9577975395999987</v>
      </c>
      <c r="Z59" s="52">
        <f ca="1">'4.2.1.1-2 Methane'!AB79</f>
        <v>6.7179974480999993</v>
      </c>
      <c r="AA59" s="52">
        <f ca="1">'4.2.1.1-2 Methane'!AC79</f>
        <v>6.7179974480999993</v>
      </c>
      <c r="AB59" s="52">
        <f ca="1">'4.2.1.1-2 Methane'!AD79</f>
        <v>3.247204</v>
      </c>
      <c r="AC59" s="52">
        <f ca="1">'4.2.1.1-2 Methane'!AE79</f>
        <v>5.8953782416000013</v>
      </c>
      <c r="AD59" s="52">
        <f ca="1">'4.2.1.1-2 Methane'!AF79</f>
        <v>5.8953782416000013</v>
      </c>
      <c r="AE59" s="52">
        <f ca="1">'4.2.1.1-2 Methane'!AG79</f>
        <v>5.8953782416000013</v>
      </c>
      <c r="AF59" s="2" t="str">
        <f>'4.2.1.1-2 Methane'!AH79</f>
        <v>kg DM/head/day</v>
      </c>
      <c r="AG59" s="2"/>
      <c r="AH59" s="2"/>
    </row>
    <row r="60" spans="4:35" ht="20.100000000000001" customHeight="1" x14ac:dyDescent="0.25">
      <c r="D60" s="97" t="s">
        <v>150</v>
      </c>
      <c r="U60" s="52" t="str">
        <f>TEXT(EDATE('Input - Site'!$E$12,4), "mmmm yyyy")</f>
        <v>May 2024</v>
      </c>
      <c r="V60" s="52">
        <f ca="1">'4.2.1.1-2 Methane'!X80</f>
        <v>3.247204</v>
      </c>
      <c r="W60" s="52">
        <f ca="1">'4.2.1.1-2 Methane'!Y80</f>
        <v>9.4246544015999998</v>
      </c>
      <c r="X60" s="52">
        <f ca="1">'4.2.1.1-2 Methane'!Z80</f>
        <v>2.9603267136000002</v>
      </c>
      <c r="Y60" s="52">
        <f ca="1">'4.2.1.1-2 Methane'!AA80</f>
        <v>5.9577975395999987</v>
      </c>
      <c r="Z60" s="52">
        <f ca="1">'4.2.1.1-2 Methane'!AB80</f>
        <v>6.7179974480999993</v>
      </c>
      <c r="AA60" s="52">
        <f ca="1">'4.2.1.1-2 Methane'!AC80</f>
        <v>6.7179974480999993</v>
      </c>
      <c r="AB60" s="52">
        <f ca="1">'4.2.1.1-2 Methane'!AD80</f>
        <v>3.247204</v>
      </c>
      <c r="AC60" s="52">
        <f ca="1">'4.2.1.1-2 Methane'!AE80</f>
        <v>5.8953782416000013</v>
      </c>
      <c r="AD60" s="52">
        <f ca="1">'4.2.1.1-2 Methane'!AF80</f>
        <v>5.8953782416000013</v>
      </c>
      <c r="AE60" s="52">
        <f ca="1">'4.2.1.1-2 Methane'!AG80</f>
        <v>5.8953782416000013</v>
      </c>
      <c r="AF60" s="2" t="str">
        <f>'4.2.1.1-2 Methane'!AH80</f>
        <v>kg DM/head/day</v>
      </c>
      <c r="AG60" s="2"/>
      <c r="AH60" s="2"/>
    </row>
    <row r="61" spans="4:35" ht="20.100000000000001" customHeight="1" x14ac:dyDescent="0.25">
      <c r="D61" s="51" t="s">
        <v>184</v>
      </c>
      <c r="E61" s="51" t="s">
        <v>131</v>
      </c>
      <c r="F61" s="51" t="s">
        <v>130</v>
      </c>
      <c r="G61" s="51" t="s">
        <v>165</v>
      </c>
      <c r="H61" s="51" t="s">
        <v>166</v>
      </c>
      <c r="I61" s="51" t="s">
        <v>167</v>
      </c>
      <c r="J61" s="51" t="s">
        <v>168</v>
      </c>
      <c r="K61" s="51" t="s">
        <v>169</v>
      </c>
      <c r="L61" s="51" t="s">
        <v>170</v>
      </c>
      <c r="M61" s="51" t="s">
        <v>171</v>
      </c>
      <c r="N61" s="51" t="s">
        <v>172</v>
      </c>
      <c r="U61" s="52" t="str">
        <f>TEXT(EDATE('Input - Site'!$E$12,5), "mmmm yyyy")</f>
        <v>June 2024</v>
      </c>
      <c r="V61" s="52">
        <f ca="1">'4.2.1.1-2 Methane'!X81</f>
        <v>5.1328980481000004</v>
      </c>
      <c r="W61" s="52">
        <f ca="1">'4.2.1.1-2 Methane'!Y81</f>
        <v>9.9748588899999984</v>
      </c>
      <c r="X61" s="52">
        <f ca="1">'4.2.1.1-2 Methane'!Z81</f>
        <v>4.202705002500001</v>
      </c>
      <c r="Y61" s="52">
        <f ca="1">'4.2.1.1-2 Methane'!AA81</f>
        <v>5.9278127841000021</v>
      </c>
      <c r="Z61" s="52">
        <f ca="1">'4.2.1.1-2 Methane'!AB81</f>
        <v>7.952343600099999</v>
      </c>
      <c r="AA61" s="52">
        <f ca="1">'4.2.1.1-2 Methane'!AC81</f>
        <v>7.952343600099999</v>
      </c>
      <c r="AB61" s="52">
        <f ca="1">'4.2.1.1-2 Methane'!AD81</f>
        <v>4.5122681240999984</v>
      </c>
      <c r="AC61" s="52">
        <f ca="1">'4.2.1.1-2 Methane'!AE81</f>
        <v>6.8698506815999991</v>
      </c>
      <c r="AD61" s="52">
        <f ca="1">'4.2.1.1-2 Methane'!AF81</f>
        <v>6.8698506815999991</v>
      </c>
      <c r="AE61" s="52">
        <f ca="1">'4.2.1.1-2 Methane'!AG81</f>
        <v>6.8698506815999991</v>
      </c>
      <c r="AF61" s="2" t="str">
        <f>'4.2.1.1-2 Methane'!AH81</f>
        <v>kg DM/head/day</v>
      </c>
      <c r="AG61" s="2"/>
      <c r="AH61" s="2"/>
    </row>
    <row r="62" spans="4:35" ht="20.100000000000001" customHeight="1" x14ac:dyDescent="0.25">
      <c r="D62" s="52" t="s">
        <v>173</v>
      </c>
      <c r="E62" s="52" cm="1">
        <f t="array" aca="1" ref="E62" ca="1">MMS_PastureBeef_Soil_N2ODirect_Equations.VEERG_4_2_1_3__6_IntakeRelativeToMaintenance(E54,E20)</f>
        <v>1.4707970166214006</v>
      </c>
      <c r="F62" s="52" cm="1">
        <f t="array" aca="1" ref="F62" ca="1">MMS_PastureBeef_Soil_N2ODirect_Equations.VEERG_4_2_1_3__6_IntakeRelativeToMaintenance(F54,F20)</f>
        <v>1.2318676608114607</v>
      </c>
      <c r="G62" s="52" cm="1">
        <f t="array" aca="1" ref="G62" ca="1">MMS_PastureBeef_Soil_N2ODirect_Equations.VEERG_4_2_1_3__6_IntakeRelativeToMaintenance(G54,G20)</f>
        <v>1.3784396841492426</v>
      </c>
      <c r="H62" s="52" cm="1">
        <f t="array" aca="1" ref="H62" ca="1">MMS_PastureBeef_Soil_N2ODirect_Equations.VEERG_4_2_1_3__6_IntakeRelativeToMaintenance(H54,H20)</f>
        <v>1.3759787739229594</v>
      </c>
      <c r="I62" s="52" cm="1">
        <f t="array" aca="1" ref="I62" ca="1">MMS_PastureBeef_Soil_N2ODirect_Equations.VEERG_4_2_1_3__6_IntakeRelativeToMaintenance(I54,I20)</f>
        <v>1.3440463159462901</v>
      </c>
      <c r="J62" s="52" cm="1">
        <f t="array" aca="1" ref="J62" ca="1">MMS_PastureBeef_Soil_N2ODirect_Equations.VEERG_4_2_1_3__6_IntakeRelativeToMaintenance(J54,J20)</f>
        <v>1.3440463159462901</v>
      </c>
      <c r="K62" s="52" cm="1">
        <f t="array" aca="1" ref="K62" ca="1">MMS_PastureBeef_Soil_N2ODirect_Equations.VEERG_4_2_1_3__6_IntakeRelativeToMaintenance(K54,K20)</f>
        <v>1.4241682690123998</v>
      </c>
      <c r="L62" s="52" cm="1">
        <f t="array" aca="1" ref="L62" ca="1">MMS_PastureBeef_Soil_N2ODirect_Equations.VEERG_4_2_1_3__6_IntakeRelativeToMaintenance(L54,L20)</f>
        <v>1.2663208058014268</v>
      </c>
      <c r="M62" s="52" cm="1">
        <f t="array" aca="1" ref="M62" ca="1">MMS_PastureBeef_Soil_N2ODirect_Equations.VEERG_4_2_1_3__6_IntakeRelativeToMaintenance(M54,M20)</f>
        <v>1.2663208058014268</v>
      </c>
      <c r="N62" s="52" cm="1">
        <f t="array" aca="1" ref="N62" ca="1">MMS_PastureBeef_Soil_N2ODirect_Equations.VEERG_4_2_1_3__6_IntakeRelativeToMaintenance(N54,N20)</f>
        <v>1.2663208058014268</v>
      </c>
      <c r="O62" s="2" t="str">
        <f>$E$46</f>
        <v>ratio</v>
      </c>
      <c r="U62" s="52" t="str">
        <f>TEXT(EDATE('Input - Site'!$E$12,6), "mmmm yyyy")</f>
        <v>July 2024</v>
      </c>
      <c r="V62" s="52">
        <f ca="1">'4.2.1.1-2 Methane'!X82</f>
        <v>5.1328980481000004</v>
      </c>
      <c r="W62" s="52">
        <f ca="1">'4.2.1.1-2 Methane'!Y82</f>
        <v>9.9748588899999984</v>
      </c>
      <c r="X62" s="52">
        <f ca="1">'4.2.1.1-2 Methane'!Z82</f>
        <v>4.202705002500001</v>
      </c>
      <c r="Y62" s="52">
        <f ca="1">'4.2.1.1-2 Methane'!AA82</f>
        <v>5.9278127841000021</v>
      </c>
      <c r="Z62" s="52">
        <f ca="1">'4.2.1.1-2 Methane'!AB82</f>
        <v>7.952343600099999</v>
      </c>
      <c r="AA62" s="52">
        <f ca="1">'4.2.1.1-2 Methane'!AC82</f>
        <v>7.952343600099999</v>
      </c>
      <c r="AB62" s="52">
        <f ca="1">'4.2.1.1-2 Methane'!AD82</f>
        <v>4.5122681240999984</v>
      </c>
      <c r="AC62" s="52">
        <f ca="1">'4.2.1.1-2 Methane'!AE82</f>
        <v>6.8698506815999991</v>
      </c>
      <c r="AD62" s="52">
        <f ca="1">'4.2.1.1-2 Methane'!AF82</f>
        <v>6.8698506815999991</v>
      </c>
      <c r="AE62" s="52">
        <f ca="1">'4.2.1.1-2 Methane'!AG82</f>
        <v>6.8698506815999991</v>
      </c>
      <c r="AF62" s="2" t="str">
        <f>'4.2.1.1-2 Methane'!AH82</f>
        <v>kg DM/head/day</v>
      </c>
      <c r="AG62" s="2"/>
      <c r="AH62" s="2"/>
    </row>
    <row r="63" spans="4:35" ht="20.100000000000001" customHeight="1" x14ac:dyDescent="0.25">
      <c r="D63" s="52" t="s">
        <v>174</v>
      </c>
      <c r="E63" s="52" cm="1">
        <f t="array" aca="1" ref="E63" ca="1">MMS_PastureBeef_Soil_N2ODirect_Equations.VEERG_4_2_1_3__6_IntakeRelativeToMaintenance(E55,E21)</f>
        <v>1.1123493391850732</v>
      </c>
      <c r="F63" s="52" cm="1">
        <f t="array" aca="1" ref="F63" ca="1">MMS_PastureBeef_Soil_N2ODirect_Equations.VEERG_4_2_1_3__6_IntakeRelativeToMaintenance(F55,F21)</f>
        <v>0.95640681558610863</v>
      </c>
      <c r="G63" s="52" cm="1">
        <f t="array" aca="1" ref="G63" ca="1">MMS_PastureBeef_Soil_N2ODirect_Equations.VEERG_4_2_1_3__6_IntakeRelativeToMaintenance(G55,G21)</f>
        <v>1.1234350255113625</v>
      </c>
      <c r="H63" s="52" cm="1">
        <f t="array" aca="1" ref="H63" ca="1">MMS_PastureBeef_Soil_N2ODirect_Equations.VEERG_4_2_1_3__6_IntakeRelativeToMaintenance(H55,H21)</f>
        <v>1.1215753644175104</v>
      </c>
      <c r="I63" s="52" cm="1">
        <f t="array" aca="1" ref="I63" ca="1">MMS_PastureBeef_Soil_N2ODirect_Equations.VEERG_4_2_1_3__6_IntakeRelativeToMaintenance(I55,I21)</f>
        <v>0.99022539901590001</v>
      </c>
      <c r="J63" s="52" cm="1">
        <f t="array" aca="1" ref="J63" ca="1">MMS_PastureBeef_Soil_N2ODirect_Equations.VEERG_4_2_1_3__6_IntakeRelativeToMaintenance(J55,J21)</f>
        <v>0.99022539901590001</v>
      </c>
      <c r="K63" s="52" cm="1">
        <f t="array" aca="1" ref="K63" ca="1">MMS_PastureBeef_Soil_N2ODirect_Equations.VEERG_4_2_1_3__6_IntakeRelativeToMaintenance(K55,K21)</f>
        <v>1.1174246366611618</v>
      </c>
      <c r="L63" s="52" cm="1">
        <f t="array" aca="1" ref="L63" ca="1">MMS_PastureBeef_Soil_N2ODirect_Equations.VEERG_4_2_1_3__6_IntakeRelativeToMaintenance(L55,L21)</f>
        <v>0.97490853257319487</v>
      </c>
      <c r="M63" s="52" cm="1">
        <f t="array" aca="1" ref="M63" ca="1">MMS_PastureBeef_Soil_N2ODirect_Equations.VEERG_4_2_1_3__6_IntakeRelativeToMaintenance(M55,M21)</f>
        <v>0.97490853257319487</v>
      </c>
      <c r="N63" s="52" cm="1">
        <f t="array" aca="1" ref="N63" ca="1">MMS_PastureBeef_Soil_N2ODirect_Equations.VEERG_4_2_1_3__6_IntakeRelativeToMaintenance(N55,N21)</f>
        <v>0.97490853257319487</v>
      </c>
      <c r="O63" s="2" t="str">
        <f t="shared" ref="O63:O65" si="2">$E$46</f>
        <v>ratio</v>
      </c>
      <c r="U63" s="52" t="str">
        <f>TEXT(EDATE('Input - Site'!$E$12,7), "mmmm yyyy")</f>
        <v>August 2024</v>
      </c>
      <c r="V63" s="52">
        <f ca="1">'4.2.1.1-2 Methane'!X83</f>
        <v>5.1328980481000004</v>
      </c>
      <c r="W63" s="52">
        <f ca="1">'4.2.1.1-2 Methane'!Y83</f>
        <v>9.9748588899999984</v>
      </c>
      <c r="X63" s="52">
        <f ca="1">'4.2.1.1-2 Methane'!Z83</f>
        <v>4.202705002500001</v>
      </c>
      <c r="Y63" s="52">
        <f ca="1">'4.2.1.1-2 Methane'!AA83</f>
        <v>7.2615706605225032</v>
      </c>
      <c r="Z63" s="52">
        <f ca="1">'4.2.1.1-2 Methane'!AB83</f>
        <v>9.7416209101224993</v>
      </c>
      <c r="AA63" s="52">
        <f ca="1">'4.2.1.1-2 Methane'!AC83</f>
        <v>9.7416209101224993</v>
      </c>
      <c r="AB63" s="52">
        <f ca="1">'4.2.1.1-2 Methane'!AD83</f>
        <v>4.5122681240999984</v>
      </c>
      <c r="AC63" s="52">
        <f ca="1">'4.2.1.1-2 Methane'!AE83</f>
        <v>6.8698506815999991</v>
      </c>
      <c r="AD63" s="52">
        <f ca="1">'4.2.1.1-2 Methane'!AF83</f>
        <v>6.8698506815999991</v>
      </c>
      <c r="AE63" s="52">
        <f ca="1">'4.2.1.1-2 Methane'!AG83</f>
        <v>6.8698506815999991</v>
      </c>
      <c r="AF63" s="2" t="str">
        <f>'4.2.1.1-2 Methane'!AH83</f>
        <v>kg DM/head/day</v>
      </c>
      <c r="AG63" s="2"/>
      <c r="AH63" s="2"/>
    </row>
    <row r="64" spans="4:35" ht="20.100000000000001" customHeight="1" x14ac:dyDescent="0.25">
      <c r="D64" s="52" t="s">
        <v>175</v>
      </c>
      <c r="E64" s="52" cm="1">
        <f t="array" aca="1" ref="E64" ca="1">MMS_PastureBeef_Soil_N2ODirect_Equations.VEERG_4_2_1_3__6_IntakeRelativeToMaintenance(E56,E22)</f>
        <v>1.2480754440536419</v>
      </c>
      <c r="F64" s="52" cm="1">
        <f t="array" aca="1" ref="F64" ca="1">MMS_PastureBeef_Soil_N2ODirect_Equations.VEERG_4_2_1_3__6_IntakeRelativeToMaintenance(F56,F22)</f>
        <v>1</v>
      </c>
      <c r="G64" s="52" cm="1">
        <f t="array" aca="1" ref="G64" ca="1">MMS_PastureBeef_Soil_N2ODirect_Equations.VEERG_4_2_1_3__6_IntakeRelativeToMaintenance(G56,G22)</f>
        <v>1.2620356226501883</v>
      </c>
      <c r="H64" s="52" cm="1">
        <f t="array" aca="1" ref="H64" ca="1">MMS_PastureBeef_Soil_N2ODirect_Equations.VEERG_4_2_1_3__6_IntakeRelativeToMaintenance(H56,H22)</f>
        <v>1.0698893911586809</v>
      </c>
      <c r="I64" s="52" cm="1">
        <f t="array" aca="1" ref="I64" ca="1">MMS_PastureBeef_Soil_N2ODirect_Equations.VEERG_4_2_1_3__6_IntakeRelativeToMaintenance(I56,I22)</f>
        <v>0.87861639465436669</v>
      </c>
      <c r="J64" s="52" cm="1">
        <f t="array" aca="1" ref="J64" ca="1">MMS_PastureBeef_Soil_N2ODirect_Equations.VEERG_4_2_1_3__6_IntakeRelativeToMaintenance(J56,J22)</f>
        <v>0.87861639465436669</v>
      </c>
      <c r="K64" s="52" cm="1">
        <f t="array" aca="1" ref="K64" ca="1">MMS_PastureBeef_Soil_N2ODirect_Equations.VEERG_4_2_1_3__6_IntakeRelativeToMaintenance(K56,K22)</f>
        <v>1.2480754440536419</v>
      </c>
      <c r="L64" s="52" cm="1">
        <f t="array" aca="1" ref="L64" ca="1">MMS_PastureBeef_Soil_N2ODirect_Equations.VEERG_4_2_1_3__6_IntakeRelativeToMaintenance(L56,L22)</f>
        <v>1</v>
      </c>
      <c r="M64" s="52" cm="1">
        <f t="array" aca="1" ref="M64" ca="1">MMS_PastureBeef_Soil_N2ODirect_Equations.VEERG_4_2_1_3__6_IntakeRelativeToMaintenance(M56,M22)</f>
        <v>1</v>
      </c>
      <c r="N64" s="52" cm="1">
        <f t="array" aca="1" ref="N64" ca="1">MMS_PastureBeef_Soil_N2ODirect_Equations.VEERG_4_2_1_3__6_IntakeRelativeToMaintenance(N56,N22)</f>
        <v>1</v>
      </c>
      <c r="O64" s="2" t="str">
        <f t="shared" si="2"/>
        <v>ratio</v>
      </c>
      <c r="U64" s="52" t="str">
        <f>TEXT(EDATE('Input - Site'!$E$12,8), "mmmm yyyy")</f>
        <v>September 2024</v>
      </c>
      <c r="V64" s="52">
        <f ca="1">'4.2.1.1-2 Methane'!X84</f>
        <v>8.6709047296000001</v>
      </c>
      <c r="W64" s="52">
        <f ca="1">'4.2.1.1-2 Methane'!Y84</f>
        <v>12.246500250000002</v>
      </c>
      <c r="X64" s="52">
        <f ca="1">'4.2.1.1-2 Methane'!Z84</f>
        <v>6.6089612241000006</v>
      </c>
      <c r="Y64" s="52">
        <f ca="1">'4.2.1.1-2 Methane'!AA84</f>
        <v>10.624527777622504</v>
      </c>
      <c r="Z64" s="52">
        <f ca="1">'4.2.1.1-2 Methane'!AB84</f>
        <v>11.798087161000003</v>
      </c>
      <c r="AA64" s="52">
        <f ca="1">'4.2.1.1-2 Methane'!AC84</f>
        <v>11.798087161000003</v>
      </c>
      <c r="AB64" s="52">
        <f ca="1">'4.2.1.1-2 Methane'!AD84</f>
        <v>7.6192560899999977</v>
      </c>
      <c r="AC64" s="52">
        <f ca="1">'4.2.1.1-2 Methane'!AE84</f>
        <v>9.6824279555999979</v>
      </c>
      <c r="AD64" s="52">
        <f ca="1">'4.2.1.1-2 Methane'!AF84</f>
        <v>9.6824279555999979</v>
      </c>
      <c r="AE64" s="52">
        <f ca="1">'4.2.1.1-2 Methane'!AG84</f>
        <v>9.6824279555999979</v>
      </c>
      <c r="AF64" s="2" t="str">
        <f>'4.2.1.1-2 Methane'!AH84</f>
        <v>kg DM/head/day</v>
      </c>
      <c r="AG64" s="2"/>
      <c r="AH64" s="2"/>
    </row>
    <row r="65" spans="3:34" ht="20.100000000000001" customHeight="1" x14ac:dyDescent="0.25">
      <c r="D65" s="52" t="s">
        <v>176</v>
      </c>
      <c r="E65" s="52" cm="1">
        <f t="array" aca="1" ref="E65" ca="1">MMS_PastureBeef_Soil_N2ODirect_Equations.VEERG_4_2_1_3__6_IntakeRelativeToMaintenance(E57,E23)</f>
        <v>1.3447114471128401</v>
      </c>
      <c r="F65" s="52" cm="1">
        <f t="array" aca="1" ref="F65" ca="1">MMS_PastureBeef_Soil_N2ODirect_Equations.VEERG_4_2_1_3__6_IntakeRelativeToMaintenance(F57,F23)</f>
        <v>1.0453721939219578</v>
      </c>
      <c r="G65" s="52" cm="1">
        <f t="array" aca="1" ref="G65" ca="1">MMS_PastureBeef_Soil_N2ODirect_Equations.VEERG_4_2_1_3__6_IntakeRelativeToMaintenance(G57,G23)</f>
        <v>1.2863889326974398</v>
      </c>
      <c r="H65" s="52" cm="1">
        <f t="array" aca="1" ref="H65" ca="1">MMS_PastureBeef_Soil_N2ODirect_Equations.VEERG_4_2_1_3__6_IntakeRelativeToMaintenance(H57,H23)</f>
        <v>1.2451900780444165</v>
      </c>
      <c r="I65" s="52" cm="1">
        <f t="array" aca="1" ref="I65" ca="1">MMS_PastureBeef_Soil_N2ODirect_Equations.VEERG_4_2_1_3__6_IntakeRelativeToMaintenance(I57,I23)</f>
        <v>1.1787902763034313</v>
      </c>
      <c r="J65" s="52" cm="1">
        <f t="array" aca="1" ref="J65" ca="1">MMS_PastureBeef_Soil_N2ODirect_Equations.VEERG_4_2_1_3__6_IntakeRelativeToMaintenance(J57,J23)</f>
        <v>1.1787902763034313</v>
      </c>
      <c r="K65" s="52" cm="1">
        <f t="array" aca="1" ref="K65" ca="1">MMS_PastureBeef_Soil_N2ODirect_Equations.VEERG_4_2_1_3__6_IntakeRelativeToMaintenance(K57,K23)</f>
        <v>1.2744200407937745</v>
      </c>
      <c r="L65" s="52" cm="1">
        <f t="array" aca="1" ref="L65" ca="1">MMS_PastureBeef_Soil_N2ODirect_Equations.VEERG_4_2_1_3__6_IntakeRelativeToMaintenance(L57,L23)</f>
        <v>1.1147815609185805</v>
      </c>
      <c r="M65" s="52" cm="1">
        <f t="array" aca="1" ref="M65" ca="1">MMS_PastureBeef_Soil_N2ODirect_Equations.VEERG_4_2_1_3__6_IntakeRelativeToMaintenance(M57,M23)</f>
        <v>1.1147815609185805</v>
      </c>
      <c r="N65" s="52" cm="1">
        <f t="array" aca="1" ref="N65" ca="1">MMS_PastureBeef_Soil_N2ODirect_Equations.VEERG_4_2_1_3__6_IntakeRelativeToMaintenance(N57,N23)</f>
        <v>1.1147815609185805</v>
      </c>
      <c r="O65" s="2" t="str">
        <f t="shared" si="2"/>
        <v>ratio</v>
      </c>
      <c r="U65" s="52" t="str">
        <f>TEXT(EDATE('Input - Site'!$E$12,9), "mmmm yyyy")</f>
        <v>October 2024</v>
      </c>
      <c r="V65" s="52">
        <f ca="1">'4.2.1.1-2 Methane'!X85</f>
        <v>8.6709047296000001</v>
      </c>
      <c r="W65" s="52">
        <f ca="1">'4.2.1.1-2 Methane'!Y85</f>
        <v>12.246500250000002</v>
      </c>
      <c r="X65" s="52">
        <f ca="1">'4.2.1.1-2 Methane'!Z85</f>
        <v>6.6089612241000006</v>
      </c>
      <c r="Y65" s="52">
        <f ca="1">'4.2.1.1-2 Methane'!AA85</f>
        <v>10.624527777622504</v>
      </c>
      <c r="Z65" s="52">
        <f ca="1">'4.2.1.1-2 Methane'!AB85</f>
        <v>11.798087161000003</v>
      </c>
      <c r="AA65" s="52">
        <f ca="1">'4.2.1.1-2 Methane'!AC85</f>
        <v>11.798087161000003</v>
      </c>
      <c r="AB65" s="52">
        <f ca="1">'4.2.1.1-2 Methane'!AD85</f>
        <v>7.6192560899999977</v>
      </c>
      <c r="AC65" s="52">
        <f ca="1">'4.2.1.1-2 Methane'!AE85</f>
        <v>9.6824279555999979</v>
      </c>
      <c r="AD65" s="52">
        <f ca="1">'4.2.1.1-2 Methane'!AF85</f>
        <v>9.6824279555999979</v>
      </c>
      <c r="AE65" s="52">
        <f ca="1">'4.2.1.1-2 Methane'!AG85</f>
        <v>9.6824279555999979</v>
      </c>
      <c r="AF65" s="2" t="str">
        <f>'4.2.1.1-2 Methane'!AH85</f>
        <v>kg DM/head/day</v>
      </c>
      <c r="AG65" s="2"/>
      <c r="AH65" s="2"/>
    </row>
    <row r="66" spans="3:34" ht="20.100000000000001" customHeight="1" x14ac:dyDescent="0.25">
      <c r="U66" s="52" t="str">
        <f>TEXT(EDATE('Input - Site'!$E$12,10), "mmmm yyyy")</f>
        <v>November 2024</v>
      </c>
      <c r="V66" s="52">
        <f ca="1">'4.2.1.1-2 Methane'!X86</f>
        <v>8.6709047296000001</v>
      </c>
      <c r="W66" s="52">
        <f ca="1">'4.2.1.1-2 Methane'!Y86</f>
        <v>12.246500250000002</v>
      </c>
      <c r="X66" s="52">
        <f ca="1">'4.2.1.1-2 Methane'!Z86</f>
        <v>6.6089612241000006</v>
      </c>
      <c r="Y66" s="52">
        <f ca="1">'4.2.1.1-2 Methane'!AA86</f>
        <v>9.3235651926075036</v>
      </c>
      <c r="Z66" s="52">
        <f ca="1">'4.2.1.1-2 Methane'!AB86</f>
        <v>10.353423427000003</v>
      </c>
      <c r="AA66" s="52">
        <f ca="1">'4.2.1.1-2 Methane'!AC86</f>
        <v>10.353423427000003</v>
      </c>
      <c r="AB66" s="52">
        <f ca="1">'4.2.1.1-2 Methane'!AD86</f>
        <v>7.6192560899999977</v>
      </c>
      <c r="AC66" s="52">
        <f ca="1">'4.2.1.1-2 Methane'!AE86</f>
        <v>9.6824279555999979</v>
      </c>
      <c r="AD66" s="52">
        <f ca="1">'4.2.1.1-2 Methane'!AF86</f>
        <v>9.6824279555999979</v>
      </c>
      <c r="AE66" s="52">
        <f ca="1">'4.2.1.1-2 Methane'!AG86</f>
        <v>9.6824279555999979</v>
      </c>
      <c r="AF66" s="2" t="str">
        <f>'4.2.1.1-2 Methane'!AH86</f>
        <v>kg DM/head/day</v>
      </c>
      <c r="AG66" s="2"/>
      <c r="AH66" s="2"/>
    </row>
    <row r="67" spans="3:34" ht="20.100000000000001" customHeight="1" x14ac:dyDescent="0.25">
      <c r="U67" s="52" t="str">
        <f>TEXT(EDATE('Input - Site'!$E$12,11), "mmmm yyyy")</f>
        <v>December 2024</v>
      </c>
      <c r="V67" s="52">
        <f ca="1">'4.2.1.1-2 Methane'!X87</f>
        <v>7.1468536895999959</v>
      </c>
      <c r="W67" s="52">
        <f ca="1">'4.2.1.1-2 Methane'!Y87</f>
        <v>9.4559940036000008</v>
      </c>
      <c r="X67" s="52">
        <f ca="1">'4.2.1.1-2 Methane'!Z87</f>
        <v>6.010342559999998</v>
      </c>
      <c r="Y67" s="52">
        <f ca="1">'4.2.1.1-2 Methane'!AA87</f>
        <v>8.4608409301875014</v>
      </c>
      <c r="Z67" s="52">
        <f ca="1">'4.2.1.1-2 Methane'!AB87</f>
        <v>8.3772677761199983</v>
      </c>
      <c r="AA67" s="52">
        <f ca="1">'4.2.1.1-2 Methane'!AC87</f>
        <v>8.3772677761199983</v>
      </c>
      <c r="AB67" s="52">
        <f ca="1">'4.2.1.1-2 Methane'!AD87</f>
        <v>6.5876408896000003</v>
      </c>
      <c r="AC67" s="52">
        <f ca="1">'4.2.1.1-2 Methane'!AE87</f>
        <v>7.3430702361</v>
      </c>
      <c r="AD67" s="52">
        <f ca="1">'4.2.1.1-2 Methane'!AF87</f>
        <v>7.3430702361</v>
      </c>
      <c r="AE67" s="52">
        <f ca="1">'4.2.1.1-2 Methane'!AG87</f>
        <v>7.3430702361</v>
      </c>
      <c r="AF67" s="2" t="str">
        <f>'4.2.1.1-2 Methane'!AH87</f>
        <v>kg DM/head/day</v>
      </c>
      <c r="AG67" s="2"/>
      <c r="AH67" s="2"/>
    </row>
    <row r="68" spans="3:34" ht="20.100000000000001" customHeight="1" x14ac:dyDescent="0.25">
      <c r="C68" s="45"/>
      <c r="D68" s="45"/>
      <c r="E68" s="45"/>
      <c r="F68" s="45"/>
      <c r="G68" s="45"/>
      <c r="H68" s="45"/>
      <c r="I68" s="45"/>
      <c r="J68" s="45"/>
      <c r="K68" s="45"/>
      <c r="L68" s="45"/>
      <c r="M68" s="45"/>
      <c r="N68" s="45"/>
      <c r="O68" s="45"/>
      <c r="P68" s="45"/>
      <c r="Q68" s="45"/>
      <c r="R68" s="45"/>
    </row>
    <row r="69" spans="3:34" ht="20.100000000000001" customHeight="1" x14ac:dyDescent="0.25">
      <c r="D69" s="6" t="str" cm="1">
        <f t="array" ref="D69">MMS_PastureBeef_Soil_N2ODirect_Equations.VEERG_4_2_1_3__5_MilkProductionForCalvingSeason_Title()</f>
        <v>Milk production for the season of calving and season after calving</v>
      </c>
      <c r="U69" s="98" t="s">
        <v>307</v>
      </c>
    </row>
    <row r="70" spans="3:34" ht="20.100000000000001" customHeight="1" x14ac:dyDescent="0.25">
      <c r="D70" s="5" t="str" cm="1">
        <f t="array" ref="D70">MMS_PastureBeef_Soil_N2ODirect_Equations.VEERG_4_2_1_3__5_MilkProductionForCalvingSeason_Source()</f>
        <v>VEERG 2026: 4.2.1.3, Equation (5)</v>
      </c>
      <c r="U70" s="97" t="s">
        <v>151</v>
      </c>
    </row>
    <row r="71" spans="3:34" ht="20.100000000000001" customHeight="1" x14ac:dyDescent="0.25">
      <c r="D71" s="55"/>
      <c r="U71" s="51" t="s">
        <v>132</v>
      </c>
      <c r="V71" s="51" t="s">
        <v>131</v>
      </c>
      <c r="W71" s="51" t="s">
        <v>130</v>
      </c>
      <c r="X71" s="51" t="s">
        <v>165</v>
      </c>
      <c r="Y71" s="51" t="s">
        <v>166</v>
      </c>
      <c r="Z71" s="51" t="s">
        <v>167</v>
      </c>
      <c r="AA71" s="51" t="s">
        <v>168</v>
      </c>
      <c r="AB71" s="51" t="s">
        <v>169</v>
      </c>
      <c r="AC71" s="51" t="s">
        <v>170</v>
      </c>
      <c r="AD71" s="51" t="s">
        <v>171</v>
      </c>
      <c r="AE71" s="51" t="s">
        <v>172</v>
      </c>
    </row>
    <row r="72" spans="3:34" ht="20.100000000000001" customHeight="1" x14ac:dyDescent="0.25">
      <c r="D72" s="13" t="s">
        <v>27</v>
      </c>
      <c r="E72" s="13" t="s">
        <v>345</v>
      </c>
      <c r="U72" s="52" t="str">
        <f>TEXT('Input - Site'!$E$12, "mmmm yyyy")</f>
        <v>January 2024</v>
      </c>
      <c r="V72" s="52" cm="1">
        <f t="array" aca="1" ref="V72" ca="1">MMS_PastureBeef_Soil_N2ODirect_Equations.VEERG_4_2_1_3__6_IntakeRelativeToMaintenance(V56,V20)</f>
        <v>1.1123493391850732</v>
      </c>
      <c r="W72" s="52" cm="1">
        <f t="array" aca="1" ref="W72" ca="1">MMS_PastureBeef_Soil_N2ODirect_Equations.VEERG_4_2_1_3__6_IntakeRelativeToMaintenance(W56,W20)</f>
        <v>0.95640681558610863</v>
      </c>
      <c r="X72" s="52" cm="1">
        <f t="array" aca="1" ref="X72" ca="1">MMS_PastureBeef_Soil_N2ODirect_Equations.VEERG_4_2_1_3__6_IntakeRelativeToMaintenance(X56,X20)</f>
        <v>1.1234350255113625</v>
      </c>
      <c r="Y72" s="52" cm="1">
        <f t="array" aca="1" ref="Y72" ca="1">MMS_PastureBeef_Soil_N2ODirect_Equations.VEERG_4_2_1_3__6_IntakeRelativeToMaintenance(Y56,Y20)</f>
        <v>1.1593206891815613</v>
      </c>
      <c r="Z72" s="52" cm="1">
        <f t="array" aca="1" ref="Z72" ca="1">MMS_PastureBeef_Soil_N2ODirect_Equations.VEERG_4_2_1_3__6_IntakeRelativeToMaintenance(Z56,Z20)</f>
        <v>1.0235502922520121</v>
      </c>
      <c r="AA72" s="52" cm="1">
        <f t="array" aca="1" ref="AA72" ca="1">MMS_PastureBeef_Soil_N2ODirect_Equations.VEERG_4_2_1_3__6_IntakeRelativeToMaintenance(AA56,AA20)</f>
        <v>1.0235502922520121</v>
      </c>
      <c r="AB72" s="52" cm="1">
        <f t="array" aca="1" ref="AB72" ca="1">MMS_PastureBeef_Soil_N2ODirect_Equations.VEERG_4_2_1_3__6_IntakeRelativeToMaintenance(AB56,AB20)</f>
        <v>1.1174246366611618</v>
      </c>
      <c r="AC72" s="52" cm="1">
        <f t="array" aca="1" ref="AC72" ca="1">MMS_PastureBeef_Soil_N2ODirect_Equations.VEERG_4_2_1_3__6_IntakeRelativeToMaintenance(AC56,AC20)</f>
        <v>0.97490853257319487</v>
      </c>
      <c r="AD72" s="52" cm="1">
        <f t="array" aca="1" ref="AD72" ca="1">MMS_PastureBeef_Soil_N2ODirect_Equations.VEERG_4_2_1_3__6_IntakeRelativeToMaintenance(AD56,AD20)</f>
        <v>0.97490853257319487</v>
      </c>
      <c r="AE72" s="52" cm="1">
        <f t="array" aca="1" ref="AE72" ca="1">MMS_PastureBeef_Soil_N2ODirect_Equations.VEERG_4_2_1_3__6_IntakeRelativeToMaintenance(AE56,AE20)</f>
        <v>0.97490853257319487</v>
      </c>
      <c r="AF72" s="2" t="str">
        <f t="shared" ref="AF72:AF83" si="3">$E$46</f>
        <v>ratio</v>
      </c>
      <c r="AG72" s="2"/>
      <c r="AH72" s="2"/>
    </row>
    <row r="73" spans="3:34" ht="20.100000000000001" customHeight="1" x14ac:dyDescent="0.25">
      <c r="U73" s="52" t="str">
        <f>TEXT(EDATE('Input - Site'!$E$12,1), "mmmm yyyy")</f>
        <v>February 2024</v>
      </c>
      <c r="V73" s="52" cm="1">
        <f t="array" aca="1" ref="V73" ca="1">MMS_PastureBeef_Soil_N2ODirect_Equations.VEERG_4_2_1_3__6_IntakeRelativeToMaintenance(V57,V21)</f>
        <v>1.1123493391850732</v>
      </c>
      <c r="W73" s="52" cm="1">
        <f t="array" aca="1" ref="W73" ca="1">MMS_PastureBeef_Soil_N2ODirect_Equations.VEERG_4_2_1_3__6_IntakeRelativeToMaintenance(W57,W21)</f>
        <v>0.95640681558610863</v>
      </c>
      <c r="X73" s="52" cm="1">
        <f t="array" aca="1" ref="X73" ca="1">MMS_PastureBeef_Soil_N2ODirect_Equations.VEERG_4_2_1_3__6_IntakeRelativeToMaintenance(X57,X21)</f>
        <v>1.1234350255113625</v>
      </c>
      <c r="Y73" s="52" cm="1">
        <f t="array" aca="1" ref="Y73" ca="1">MMS_PastureBeef_Soil_N2ODirect_Equations.VEERG_4_2_1_3__6_IntakeRelativeToMaintenance(Y57,Y21)</f>
        <v>1.0784378504014522</v>
      </c>
      <c r="Z73" s="52" cm="1">
        <f t="array" aca="1" ref="Z73" ca="1">MMS_PastureBeef_Soil_N2ODirect_Equations.VEERG_4_2_1_3__6_IntakeRelativeToMaintenance(Z57,Z21)</f>
        <v>0.95213980674605769</v>
      </c>
      <c r="AA73" s="52" cm="1">
        <f t="array" aca="1" ref="AA73" ca="1">MMS_PastureBeef_Soil_N2ODirect_Equations.VEERG_4_2_1_3__6_IntakeRelativeToMaintenance(AA57,AA21)</f>
        <v>0.95213980674605769</v>
      </c>
      <c r="AB73" s="52" cm="1">
        <f t="array" aca="1" ref="AB73" ca="1">MMS_PastureBeef_Soil_N2ODirect_Equations.VEERG_4_2_1_3__6_IntakeRelativeToMaintenance(AB57,AB21)</f>
        <v>1.1174246366611618</v>
      </c>
      <c r="AC73" s="52" cm="1">
        <f t="array" aca="1" ref="AC73" ca="1">MMS_PastureBeef_Soil_N2ODirect_Equations.VEERG_4_2_1_3__6_IntakeRelativeToMaintenance(AC57,AC21)</f>
        <v>0.97490853257319487</v>
      </c>
      <c r="AD73" s="52" cm="1">
        <f t="array" aca="1" ref="AD73" ca="1">MMS_PastureBeef_Soil_N2ODirect_Equations.VEERG_4_2_1_3__6_IntakeRelativeToMaintenance(AD57,AD21)</f>
        <v>0.97490853257319487</v>
      </c>
      <c r="AE73" s="52" cm="1">
        <f t="array" aca="1" ref="AE73" ca="1">MMS_PastureBeef_Soil_N2ODirect_Equations.VEERG_4_2_1_3__6_IntakeRelativeToMaintenance(AE57,AE21)</f>
        <v>0.97490853257319487</v>
      </c>
      <c r="AF73" s="2" t="str">
        <f t="shared" si="3"/>
        <v>ratio</v>
      </c>
      <c r="AG73" s="2"/>
      <c r="AH73" s="2"/>
    </row>
    <row r="74" spans="3:34" ht="20.100000000000001" customHeight="1" x14ac:dyDescent="0.25">
      <c r="U74" s="52" t="str">
        <f>TEXT(EDATE('Input - Site'!$E$12,2), "mmmm yyyy")</f>
        <v>March 2024</v>
      </c>
      <c r="V74" s="52" cm="1">
        <f t="array" aca="1" ref="V74" ca="1">MMS_PastureBeef_Soil_N2ODirect_Equations.VEERG_4_2_1_3__6_IntakeRelativeToMaintenance(V58,V22)</f>
        <v>1.2480754440536419</v>
      </c>
      <c r="W74" s="52" cm="1">
        <f t="array" aca="1" ref="W74" ca="1">MMS_PastureBeef_Soil_N2ODirect_Equations.VEERG_4_2_1_3__6_IntakeRelativeToMaintenance(W58,W22)</f>
        <v>1</v>
      </c>
      <c r="X74" s="52" cm="1">
        <f t="array" aca="1" ref="X74" ca="1">MMS_PastureBeef_Soil_N2ODirect_Equations.VEERG_4_2_1_3__6_IntakeRelativeToMaintenance(X58,X22)</f>
        <v>1.2620356226501883</v>
      </c>
      <c r="Y74" s="52" cm="1">
        <f t="array" aca="1" ref="Y74" ca="1">MMS_PastureBeef_Soil_N2ODirect_Equations.VEERG_4_2_1_3__6_IntakeRelativeToMaintenance(Y58,Y22)</f>
        <v>1.0592964268897831</v>
      </c>
      <c r="Z74" s="52" cm="1">
        <f t="array" aca="1" ref="Z74" ca="1">MMS_PastureBeef_Soil_N2ODirect_Equations.VEERG_4_2_1_3__6_IntakeRelativeToMaintenance(Z58,Z22)</f>
        <v>0.87861639465436669</v>
      </c>
      <c r="AA74" s="52" cm="1">
        <f t="array" aca="1" ref="AA74" ca="1">MMS_PastureBeef_Soil_N2ODirect_Equations.VEERG_4_2_1_3__6_IntakeRelativeToMaintenance(AA58,AA22)</f>
        <v>0.87861639465436669</v>
      </c>
      <c r="AB74" s="52" cm="1">
        <f t="array" aca="1" ref="AB74" ca="1">MMS_PastureBeef_Soil_N2ODirect_Equations.VEERG_4_2_1_3__6_IntakeRelativeToMaintenance(AB58,AB22)</f>
        <v>1.2480754440536419</v>
      </c>
      <c r="AC74" s="52" cm="1">
        <f t="array" aca="1" ref="AC74" ca="1">MMS_PastureBeef_Soil_N2ODirect_Equations.VEERG_4_2_1_3__6_IntakeRelativeToMaintenance(AC58,AC22)</f>
        <v>1</v>
      </c>
      <c r="AD74" s="52" cm="1">
        <f t="array" aca="1" ref="AD74" ca="1">MMS_PastureBeef_Soil_N2ODirect_Equations.VEERG_4_2_1_3__6_IntakeRelativeToMaintenance(AD58,AD22)</f>
        <v>1</v>
      </c>
      <c r="AE74" s="52" cm="1">
        <f t="array" aca="1" ref="AE74" ca="1">MMS_PastureBeef_Soil_N2ODirect_Equations.VEERG_4_2_1_3__6_IntakeRelativeToMaintenance(AE58,AE22)</f>
        <v>1</v>
      </c>
      <c r="AF74" s="2" t="str">
        <f t="shared" si="3"/>
        <v>ratio</v>
      </c>
      <c r="AG74" s="2"/>
      <c r="AH74" s="2"/>
    </row>
    <row r="75" spans="3:34" ht="20.100000000000001" customHeight="1" x14ac:dyDescent="0.25">
      <c r="D75" s="53" t="s">
        <v>30</v>
      </c>
      <c r="E75" s="1" t="str" cm="1">
        <f t="array" ref="E75">MMS_PastureBeef_Soil_N2ODirect_Equations.VEERG_4_2_1_3__5_MilkProductionForCalvingSeason_Variable()</f>
        <v>MP_jk5</v>
      </c>
      <c r="U75" s="52" t="str">
        <f>TEXT(EDATE('Input - Site'!$E$12,3), "mmmm yyyy")</f>
        <v>April 2024</v>
      </c>
      <c r="V75" s="52" cm="1">
        <f t="array" aca="1" ref="V75" ca="1">MMS_PastureBeef_Soil_N2ODirect_Equations.VEERG_4_2_1_3__6_IntakeRelativeToMaintenance(V59,V23)</f>
        <v>1.2480754440536419</v>
      </c>
      <c r="W75" s="52" cm="1">
        <f t="array" aca="1" ref="W75" ca="1">MMS_PastureBeef_Soil_N2ODirect_Equations.VEERG_4_2_1_3__6_IntakeRelativeToMaintenance(W59,W23)</f>
        <v>1</v>
      </c>
      <c r="X75" s="52" cm="1">
        <f t="array" aca="1" ref="X75" ca="1">MMS_PastureBeef_Soil_N2ODirect_Equations.VEERG_4_2_1_3__6_IntakeRelativeToMaintenance(X59,X23)</f>
        <v>1.2620356226501883</v>
      </c>
      <c r="Y75" s="52" cm="1">
        <f t="array" aca="1" ref="Y75" ca="1">MMS_PastureBeef_Soil_N2ODirect_Equations.VEERG_4_2_1_3__6_IntakeRelativeToMaintenance(Y59,Y23)</f>
        <v>1.0592964268897831</v>
      </c>
      <c r="Z75" s="52" cm="1">
        <f t="array" aca="1" ref="Z75" ca="1">MMS_PastureBeef_Soil_N2ODirect_Equations.VEERG_4_2_1_3__6_IntakeRelativeToMaintenance(Z59,Z23)</f>
        <v>0.87861639465436669</v>
      </c>
      <c r="AA75" s="52" cm="1">
        <f t="array" aca="1" ref="AA75" ca="1">MMS_PastureBeef_Soil_N2ODirect_Equations.VEERG_4_2_1_3__6_IntakeRelativeToMaintenance(AA59,AA23)</f>
        <v>0.87861639465436669</v>
      </c>
      <c r="AB75" s="52" cm="1">
        <f t="array" aca="1" ref="AB75" ca="1">MMS_PastureBeef_Soil_N2ODirect_Equations.VEERG_4_2_1_3__6_IntakeRelativeToMaintenance(AB59,AB23)</f>
        <v>1.2480754440536419</v>
      </c>
      <c r="AC75" s="52" cm="1">
        <f t="array" aca="1" ref="AC75" ca="1">MMS_PastureBeef_Soil_N2ODirect_Equations.VEERG_4_2_1_3__6_IntakeRelativeToMaintenance(AC59,AC23)</f>
        <v>1</v>
      </c>
      <c r="AD75" s="52" cm="1">
        <f t="array" aca="1" ref="AD75" ca="1">MMS_PastureBeef_Soil_N2ODirect_Equations.VEERG_4_2_1_3__6_IntakeRelativeToMaintenance(AD59,AD23)</f>
        <v>1</v>
      </c>
      <c r="AE75" s="52" cm="1">
        <f t="array" aca="1" ref="AE75" ca="1">MMS_PastureBeef_Soil_N2ODirect_Equations.VEERG_4_2_1_3__6_IntakeRelativeToMaintenance(AE59,AE23)</f>
        <v>1</v>
      </c>
      <c r="AF75" s="2" t="str">
        <f t="shared" si="3"/>
        <v>ratio</v>
      </c>
      <c r="AG75" s="2"/>
      <c r="AH75" s="2"/>
    </row>
    <row r="76" spans="3:34" ht="20.100000000000001" customHeight="1" x14ac:dyDescent="0.25">
      <c r="D76" s="53" t="s">
        <v>20</v>
      </c>
      <c r="E76" s="54" t="str" cm="1">
        <f t="array" ref="E76">MMS_PastureBeef_Soil_N2ODirect_Equations.VEERG_4_2_1_3__5_MilkProductionForCalvingSeason_Unit()</f>
        <v>kg/head/day</v>
      </c>
      <c r="U76" s="52" t="str">
        <f>TEXT(EDATE('Input - Site'!$E$12,4), "mmmm yyyy")</f>
        <v>May 2024</v>
      </c>
      <c r="V76" s="52" cm="1">
        <f t="array" aca="1" ref="V76" ca="1">MMS_PastureBeef_Soil_N2ODirect_Equations.VEERG_4_2_1_3__6_IntakeRelativeToMaintenance(V60,V24)</f>
        <v>1.2480754440536419</v>
      </c>
      <c r="W76" s="52" cm="1">
        <f t="array" aca="1" ref="W76" ca="1">MMS_PastureBeef_Soil_N2ODirect_Equations.VEERG_4_2_1_3__6_IntakeRelativeToMaintenance(W60,W24)</f>
        <v>1</v>
      </c>
      <c r="X76" s="52" cm="1">
        <f t="array" aca="1" ref="X76" ca="1">MMS_PastureBeef_Soil_N2ODirect_Equations.VEERG_4_2_1_3__6_IntakeRelativeToMaintenance(X60,X24)</f>
        <v>1.2620356226501883</v>
      </c>
      <c r="Y76" s="52" cm="1">
        <f t="array" aca="1" ref="Y76" ca="1">MMS_PastureBeef_Soil_N2ODirect_Equations.VEERG_4_2_1_3__6_IntakeRelativeToMaintenance(Y60,Y24)</f>
        <v>1.0592964268897831</v>
      </c>
      <c r="Z76" s="52" cm="1">
        <f t="array" aca="1" ref="Z76" ca="1">MMS_PastureBeef_Soil_N2ODirect_Equations.VEERG_4_2_1_3__6_IntakeRelativeToMaintenance(Z60,Z24)</f>
        <v>0.87861639465436669</v>
      </c>
      <c r="AA76" s="52" cm="1">
        <f t="array" aca="1" ref="AA76" ca="1">MMS_PastureBeef_Soil_N2ODirect_Equations.VEERG_4_2_1_3__6_IntakeRelativeToMaintenance(AA60,AA24)</f>
        <v>0.87861639465436669</v>
      </c>
      <c r="AB76" s="52" cm="1">
        <f t="array" aca="1" ref="AB76" ca="1">MMS_PastureBeef_Soil_N2ODirect_Equations.VEERG_4_2_1_3__6_IntakeRelativeToMaintenance(AB60,AB24)</f>
        <v>1.2480754440536419</v>
      </c>
      <c r="AC76" s="52" cm="1">
        <f t="array" aca="1" ref="AC76" ca="1">MMS_PastureBeef_Soil_N2ODirect_Equations.VEERG_4_2_1_3__6_IntakeRelativeToMaintenance(AC60,AC24)</f>
        <v>1</v>
      </c>
      <c r="AD76" s="52" cm="1">
        <f t="array" aca="1" ref="AD76" ca="1">MMS_PastureBeef_Soil_N2ODirect_Equations.VEERG_4_2_1_3__6_IntakeRelativeToMaintenance(AD60,AD24)</f>
        <v>1</v>
      </c>
      <c r="AE76" s="52" cm="1">
        <f t="array" aca="1" ref="AE76" ca="1">MMS_PastureBeef_Soil_N2ODirect_Equations.VEERG_4_2_1_3__6_IntakeRelativeToMaintenance(AE60,AE24)</f>
        <v>1</v>
      </c>
      <c r="AF76" s="2" t="str">
        <f t="shared" si="3"/>
        <v>ratio</v>
      </c>
      <c r="AG76" s="2"/>
      <c r="AH76" s="2"/>
    </row>
    <row r="77" spans="3:34" ht="20.100000000000001" customHeight="1" x14ac:dyDescent="0.25">
      <c r="U77" s="52" t="str">
        <f>TEXT(EDATE('Input - Site'!$E$12,5), "mmmm yyyy")</f>
        <v>June 2024</v>
      </c>
      <c r="V77" s="52" cm="1">
        <f t="array" aca="1" ref="V77" ca="1">MMS_PastureBeef_Soil_N2ODirect_Equations.VEERG_4_2_1_3__6_IntakeRelativeToMaintenance(V61,V25)</f>
        <v>1.3447114471128401</v>
      </c>
      <c r="W77" s="52" cm="1">
        <f t="array" aca="1" ref="W77" ca="1">MMS_PastureBeef_Soil_N2ODirect_Equations.VEERG_4_2_1_3__6_IntakeRelativeToMaintenance(W61,W25)</f>
        <v>1.0453721939219578</v>
      </c>
      <c r="X77" s="52" cm="1">
        <f t="array" aca="1" ref="X77" ca="1">MMS_PastureBeef_Soil_N2ODirect_Equations.VEERG_4_2_1_3__6_IntakeRelativeToMaintenance(X61,X25)</f>
        <v>1.2863889326974398</v>
      </c>
      <c r="Y77" s="52" cm="1">
        <f t="array" aca="1" ref="Y77" ca="1">MMS_PastureBeef_Soil_N2ODirect_Equations.VEERG_4_2_1_3__6_IntakeRelativeToMaintenance(Y61,Y25)</f>
        <v>1.0290827091276171</v>
      </c>
      <c r="Z77" s="52" cm="1">
        <f t="array" aca="1" ref="Z77" ca="1">MMS_PastureBeef_Soil_N2ODirect_Equations.VEERG_4_2_1_3__6_IntakeRelativeToMaintenance(Z61,Z25)</f>
        <v>1.0250350228725489</v>
      </c>
      <c r="AA77" s="52" cm="1">
        <f t="array" aca="1" ref="AA77" ca="1">MMS_PastureBeef_Soil_N2ODirect_Equations.VEERG_4_2_1_3__6_IntakeRelativeToMaintenance(AA61,AA25)</f>
        <v>1.0250350228725489</v>
      </c>
      <c r="AB77" s="52" cm="1">
        <f t="array" aca="1" ref="AB77" ca="1">MMS_PastureBeef_Soil_N2ODirect_Equations.VEERG_4_2_1_3__6_IntakeRelativeToMaintenance(AB61,AB25)</f>
        <v>1.2744200407937745</v>
      </c>
      <c r="AC77" s="52" cm="1">
        <f t="array" aca="1" ref="AC77" ca="1">MMS_PastureBeef_Soil_N2ODirect_Equations.VEERG_4_2_1_3__6_IntakeRelativeToMaintenance(AC61,AC25)</f>
        <v>1.1147815609185805</v>
      </c>
      <c r="AD77" s="52" cm="1">
        <f t="array" aca="1" ref="AD77" ca="1">MMS_PastureBeef_Soil_N2ODirect_Equations.VEERG_4_2_1_3__6_IntakeRelativeToMaintenance(AD61,AD25)</f>
        <v>1.1147815609185805</v>
      </c>
      <c r="AE77" s="52" cm="1">
        <f t="array" aca="1" ref="AE77" ca="1">MMS_PastureBeef_Soil_N2ODirect_Equations.VEERG_4_2_1_3__6_IntakeRelativeToMaintenance(AE61,AE25)</f>
        <v>1.1147815609185805</v>
      </c>
      <c r="AF77" s="2" t="str">
        <f t="shared" si="3"/>
        <v>ratio</v>
      </c>
      <c r="AG77" s="2"/>
      <c r="AH77" s="2"/>
    </row>
    <row r="78" spans="3:34" ht="20.100000000000001" customHeight="1" x14ac:dyDescent="0.25">
      <c r="D78" s="119" t="str" cm="1">
        <f t="array" ref="D78:E82">_xlfn.CHOOSECOLS(MMS_PastureBeef_Soil_N2ODirect_Equations.VEERG_4_2_1_3__5_MilkProductionForCalvingSeason_ArgumentsVariation(),1,2)</f>
        <v>LC_jk5curr</v>
      </c>
      <c r="E78" s="124" t="str">
        <v>proportion of cows greater than 2 years lactating for the season of calving</v>
      </c>
      <c r="F78" s="123"/>
      <c r="G78" s="119" t="str" cm="1">
        <f t="array" ref="G78:H82">_xlfn.CHOOSECOLS(MMS_PastureBeef_Soil_N2ODirect_Equations.VEERG_4_2_1_3__5_MilkProductionForCalvingSeason_ArgumentsVariation(),3,4)</f>
        <v>fraction</v>
      </c>
      <c r="H78" s="121" t="str">
        <v>Input</v>
      </c>
      <c r="I78" s="118" t="str" cm="1">
        <f t="array" aca="1" ref="I78" ca="1">HYPERLINK(Common_InputFunctions.Utility_SourceHyperlink($D$84), $D$84)</f>
        <v>M1_Table_LC_j_k-4-5</v>
      </c>
      <c r="U78" s="52" t="str">
        <f>TEXT(EDATE('Input - Site'!$E$12,6), "mmmm yyyy")</f>
        <v>July 2024</v>
      </c>
      <c r="V78" s="52" cm="1">
        <f t="array" aca="1" ref="V78" ca="1">MMS_PastureBeef_Soil_N2ODirect_Equations.VEERG_4_2_1_3__6_IntakeRelativeToMaintenance(V62,V26)</f>
        <v>1.3447114471128401</v>
      </c>
      <c r="W78" s="52" cm="1">
        <f t="array" aca="1" ref="W78" ca="1">MMS_PastureBeef_Soil_N2ODirect_Equations.VEERG_4_2_1_3__6_IntakeRelativeToMaintenance(W62,W26)</f>
        <v>1.0453721939219578</v>
      </c>
      <c r="X78" s="52" cm="1">
        <f t="array" aca="1" ref="X78" ca="1">MMS_PastureBeef_Soil_N2ODirect_Equations.VEERG_4_2_1_3__6_IntakeRelativeToMaintenance(X62,X26)</f>
        <v>1.2863889326974398</v>
      </c>
      <c r="Y78" s="52" cm="1">
        <f t="array" aca="1" ref="Y78" ca="1">MMS_PastureBeef_Soil_N2ODirect_Equations.VEERG_4_2_1_3__6_IntakeRelativeToMaintenance(Y62,Y26)</f>
        <v>1.0290827091276171</v>
      </c>
      <c r="Z78" s="52" cm="1">
        <f t="array" aca="1" ref="Z78" ca="1">MMS_PastureBeef_Soil_N2ODirect_Equations.VEERG_4_2_1_3__6_IntakeRelativeToMaintenance(Z62,Z26)</f>
        <v>1.0250350228725489</v>
      </c>
      <c r="AA78" s="52" cm="1">
        <f t="array" aca="1" ref="AA78" ca="1">MMS_PastureBeef_Soil_N2ODirect_Equations.VEERG_4_2_1_3__6_IntakeRelativeToMaintenance(AA62,AA26)</f>
        <v>1.0250350228725489</v>
      </c>
      <c r="AB78" s="52" cm="1">
        <f t="array" aca="1" ref="AB78" ca="1">MMS_PastureBeef_Soil_N2ODirect_Equations.VEERG_4_2_1_3__6_IntakeRelativeToMaintenance(AB62,AB26)</f>
        <v>1.2744200407937745</v>
      </c>
      <c r="AC78" s="52" cm="1">
        <f t="array" aca="1" ref="AC78" ca="1">MMS_PastureBeef_Soil_N2ODirect_Equations.VEERG_4_2_1_3__6_IntakeRelativeToMaintenance(AC62,AC26)</f>
        <v>1.1147815609185805</v>
      </c>
      <c r="AD78" s="52" cm="1">
        <f t="array" aca="1" ref="AD78" ca="1">MMS_PastureBeef_Soil_N2ODirect_Equations.VEERG_4_2_1_3__6_IntakeRelativeToMaintenance(AD62,AD26)</f>
        <v>1.1147815609185805</v>
      </c>
      <c r="AE78" s="52" cm="1">
        <f t="array" aca="1" ref="AE78" ca="1">MMS_PastureBeef_Soil_N2ODirect_Equations.VEERG_4_2_1_3__6_IntakeRelativeToMaintenance(AE62,AE26)</f>
        <v>1.1147815609185805</v>
      </c>
      <c r="AF78" s="2" t="str">
        <f t="shared" si="3"/>
        <v>ratio</v>
      </c>
      <c r="AG78" s="2"/>
      <c r="AH78" s="2"/>
    </row>
    <row r="79" spans="3:34" ht="20.100000000000001" customHeight="1" x14ac:dyDescent="0.25">
      <c r="D79" s="119" t="str">
        <v>LC_jk5prev</v>
      </c>
      <c r="E79" s="124" t="str">
        <v>proportion of cows greater than 2 years lactating for the season after calving</v>
      </c>
      <c r="F79" s="123"/>
      <c r="G79" s="119" t="str">
        <v>fraction</v>
      </c>
      <c r="H79" s="121" t="str">
        <v>Input</v>
      </c>
      <c r="I79" s="118" t="str" cm="1">
        <f t="array" aca="1" ref="I79" ca="1">HYPERLINK(Common_InputFunctions.Utility_SourceHyperlink($D$84), $D$84)</f>
        <v>M1_Table_LC_j_k-4-5</v>
      </c>
      <c r="U79" s="52" t="str">
        <f>TEXT(EDATE('Input - Site'!$E$12,7), "mmmm yyyy")</f>
        <v>August 2024</v>
      </c>
      <c r="V79" s="52" cm="1">
        <f t="array" aca="1" ref="V79" ca="1">MMS_PastureBeef_Soil_N2ODirect_Equations.VEERG_4_2_1_3__6_IntakeRelativeToMaintenance(V63,V27)</f>
        <v>1.3447114471128401</v>
      </c>
      <c r="W79" s="52" cm="1">
        <f t="array" aca="1" ref="W79" ca="1">MMS_PastureBeef_Soil_N2ODirect_Equations.VEERG_4_2_1_3__6_IntakeRelativeToMaintenance(W63,W27)</f>
        <v>1.0453721939219578</v>
      </c>
      <c r="X79" s="52" cm="1">
        <f t="array" aca="1" ref="X79" ca="1">MMS_PastureBeef_Soil_N2ODirect_Equations.VEERG_4_2_1_3__6_IntakeRelativeToMaintenance(X63,X27)</f>
        <v>1.2863889326974398</v>
      </c>
      <c r="Y79" s="52" cm="1">
        <f t="array" aca="1" ref="Y79" ca="1">MMS_PastureBeef_Soil_N2ODirect_Equations.VEERG_4_2_1_3__6_IntakeRelativeToMaintenance(Y63,Y27)</f>
        <v>1.2606263186813311</v>
      </c>
      <c r="Z79" s="52" cm="1">
        <f t="array" aca="1" ref="Z79" ca="1">MMS_PastureBeef_Soil_N2ODirect_Equations.VEERG_4_2_1_3__6_IntakeRelativeToMaintenance(Z63,Z27)</f>
        <v>1.2556679030188727</v>
      </c>
      <c r="AA79" s="52" cm="1">
        <f t="array" aca="1" ref="AA79" ca="1">MMS_PastureBeef_Soil_N2ODirect_Equations.VEERG_4_2_1_3__6_IntakeRelativeToMaintenance(AA63,AA27)</f>
        <v>1.2556679030188727</v>
      </c>
      <c r="AB79" s="52" cm="1">
        <f t="array" aca="1" ref="AB79" ca="1">MMS_PastureBeef_Soil_N2ODirect_Equations.VEERG_4_2_1_3__6_IntakeRelativeToMaintenance(AB63,AB27)</f>
        <v>1.2744200407937745</v>
      </c>
      <c r="AC79" s="52" cm="1">
        <f t="array" aca="1" ref="AC79" ca="1">MMS_PastureBeef_Soil_N2ODirect_Equations.VEERG_4_2_1_3__6_IntakeRelativeToMaintenance(AC63,AC27)</f>
        <v>1.1147815609185805</v>
      </c>
      <c r="AD79" s="52" cm="1">
        <f t="array" aca="1" ref="AD79" ca="1">MMS_PastureBeef_Soil_N2ODirect_Equations.VEERG_4_2_1_3__6_IntakeRelativeToMaintenance(AD63,AD27)</f>
        <v>1.1147815609185805</v>
      </c>
      <c r="AE79" s="52" cm="1">
        <f t="array" aca="1" ref="AE79" ca="1">MMS_PastureBeef_Soil_N2ODirect_Equations.VEERG_4_2_1_3__6_IntakeRelativeToMaintenance(AE63,AE27)</f>
        <v>1.1147815609185805</v>
      </c>
      <c r="AF79" s="2" t="str">
        <f t="shared" si="3"/>
        <v>ratio</v>
      </c>
      <c r="AG79" s="2"/>
      <c r="AH79" s="2"/>
    </row>
    <row r="80" spans="3:34" ht="20.100000000000001" customHeight="1" x14ac:dyDescent="0.25">
      <c r="D80" s="119" t="str">
        <v>DMP_jk5calv</v>
      </c>
      <c r="E80" s="124" t="str">
        <v>daily milk production for the season of calving (kg/head/day)</v>
      </c>
      <c r="F80" s="123"/>
      <c r="G80" s="119" t="str">
        <v>kg/head/day</v>
      </c>
      <c r="H80" s="120" t="str">
        <v>Constant</v>
      </c>
      <c r="I80" s="57" cm="1">
        <f t="array" ref="I80">_xlfn.XLOOKUP(1, (Table_SourceData_PastureBeef_FeedIntakeAdjustment_Variation[Breed]=$I$82)*(Table_SourceData_PastureBeef_FeedIntakeAdjustment_Variation[Season]=+"Calving season"),Table_SourceData_PastureBeef_FeedIntakeAdjustment_Variation[Milk intake/production])</f>
        <v>6</v>
      </c>
      <c r="U80" s="52" t="str">
        <f>TEXT(EDATE('Input - Site'!$E$12,8), "mmmm yyyy")</f>
        <v>September 2024</v>
      </c>
      <c r="V80" s="52" cm="1">
        <f t="array" aca="1" ref="V80" ca="1">MMS_PastureBeef_Soil_N2ODirect_Equations.VEERG_4_2_1_3__6_IntakeRelativeToMaintenance(V64,V28)</f>
        <v>1.4707970166214006</v>
      </c>
      <c r="W80" s="52" cm="1">
        <f t="array" aca="1" ref="W80" ca="1">MMS_PastureBeef_Soil_N2ODirect_Equations.VEERG_4_2_1_3__6_IntakeRelativeToMaintenance(W64,W28)</f>
        <v>1.2318676608114607</v>
      </c>
      <c r="X80" s="52" cm="1">
        <f t="array" aca="1" ref="X80" ca="1">MMS_PastureBeef_Soil_N2ODirect_Equations.VEERG_4_2_1_3__6_IntakeRelativeToMaintenance(X64,X28)</f>
        <v>1.3784396841492426</v>
      </c>
      <c r="Y80" s="52" cm="1">
        <f t="array" aca="1" ref="Y80" ca="1">MMS_PastureBeef_Soil_N2ODirect_Equations.VEERG_4_2_1_3__6_IntakeRelativeToMaintenance(Y64,Y28)</f>
        <v>1.5323399982323869</v>
      </c>
      <c r="Z80" s="52" cm="1">
        <f t="array" aca="1" ref="Z80" ca="1">MMS_PastureBeef_Soil_N2ODirect_Equations.VEERG_4_2_1_3__6_IntakeRelativeToMaintenance(Z64,Z28)</f>
        <v>1.4072279803711161</v>
      </c>
      <c r="AA80" s="52" cm="1">
        <f t="array" aca="1" ref="AA80" ca="1">MMS_PastureBeef_Soil_N2ODirect_Equations.VEERG_4_2_1_3__6_IntakeRelativeToMaintenance(AA64,AA28)</f>
        <v>1.4072279803711161</v>
      </c>
      <c r="AB80" s="52" cm="1">
        <f t="array" aca="1" ref="AB80" ca="1">MMS_PastureBeef_Soil_N2ODirect_Equations.VEERG_4_2_1_3__6_IntakeRelativeToMaintenance(AB64,AB28)</f>
        <v>1.4241682690123998</v>
      </c>
      <c r="AC80" s="52" cm="1">
        <f t="array" aca="1" ref="AC80" ca="1">MMS_PastureBeef_Soil_N2ODirect_Equations.VEERG_4_2_1_3__6_IntakeRelativeToMaintenance(AC64,AC28)</f>
        <v>1.2663208058014268</v>
      </c>
      <c r="AD80" s="52" cm="1">
        <f t="array" aca="1" ref="AD80" ca="1">MMS_PastureBeef_Soil_N2ODirect_Equations.VEERG_4_2_1_3__6_IntakeRelativeToMaintenance(AD64,AD28)</f>
        <v>1.2663208058014268</v>
      </c>
      <c r="AE80" s="52" cm="1">
        <f t="array" aca="1" ref="AE80" ca="1">MMS_PastureBeef_Soil_N2ODirect_Equations.VEERG_4_2_1_3__6_IntakeRelativeToMaintenance(AE64,AE28)</f>
        <v>1.2663208058014268</v>
      </c>
      <c r="AF80" s="2" t="str">
        <f t="shared" si="3"/>
        <v>ratio</v>
      </c>
      <c r="AG80" s="2"/>
      <c r="AH80" s="2"/>
    </row>
    <row r="81" spans="4:35" ht="20.100000000000001" customHeight="1" x14ac:dyDescent="0.25">
      <c r="D81" s="119" t="str">
        <v>DMP_jk5after</v>
      </c>
      <c r="E81" s="124" t="str">
        <v>daily milk production for the season after calving (kg/head/day)</v>
      </c>
      <c r="F81" s="123"/>
      <c r="G81" s="119" t="str">
        <v>kg/head/day</v>
      </c>
      <c r="H81" s="120" t="str">
        <v>Constant</v>
      </c>
      <c r="I81" s="57" cm="1">
        <f t="array" ref="I81">_xlfn.XLOOKUP(1, (Table_SourceData_PastureBeef_FeedIntakeAdjustment_Variation[Breed]=$I$82)*(Table_SourceData_PastureBeef_FeedIntakeAdjustment_Variation[Season]=+"Season after calving"),Table_SourceData_PastureBeef_FeedIntakeAdjustment_Variation[Milk intake/production])</f>
        <v>4</v>
      </c>
      <c r="U81" s="52" t="str">
        <f>TEXT(EDATE('Input - Site'!$E$12,9), "mmmm yyyy")</f>
        <v>October 2024</v>
      </c>
      <c r="V81" s="52" cm="1">
        <f t="array" aca="1" ref="V81" ca="1">MMS_PastureBeef_Soil_N2ODirect_Equations.VEERG_4_2_1_3__6_IntakeRelativeToMaintenance(V65,V29)</f>
        <v>1.4707970166214006</v>
      </c>
      <c r="W81" s="52" cm="1">
        <f t="array" aca="1" ref="W81" ca="1">MMS_PastureBeef_Soil_N2ODirect_Equations.VEERG_4_2_1_3__6_IntakeRelativeToMaintenance(W65,W29)</f>
        <v>1.2318676608114607</v>
      </c>
      <c r="X81" s="52" cm="1">
        <f t="array" aca="1" ref="X81" ca="1">MMS_PastureBeef_Soil_N2ODirect_Equations.VEERG_4_2_1_3__6_IntakeRelativeToMaintenance(X65,X29)</f>
        <v>1.3784396841492426</v>
      </c>
      <c r="Y81" s="52" cm="1">
        <f t="array" aca="1" ref="Y81" ca="1">MMS_PastureBeef_Soil_N2ODirect_Equations.VEERG_4_2_1_3__6_IntakeRelativeToMaintenance(Y65,Y29)</f>
        <v>1.5323399982323869</v>
      </c>
      <c r="Z81" s="52" cm="1">
        <f t="array" aca="1" ref="Z81" ca="1">MMS_PastureBeef_Soil_N2ODirect_Equations.VEERG_4_2_1_3__6_IntakeRelativeToMaintenance(Z65,Z29)</f>
        <v>1.4072279803711161</v>
      </c>
      <c r="AA81" s="52" cm="1">
        <f t="array" aca="1" ref="AA81" ca="1">MMS_PastureBeef_Soil_N2ODirect_Equations.VEERG_4_2_1_3__6_IntakeRelativeToMaintenance(AA65,AA29)</f>
        <v>1.4072279803711161</v>
      </c>
      <c r="AB81" s="52" cm="1">
        <f t="array" aca="1" ref="AB81" ca="1">MMS_PastureBeef_Soil_N2ODirect_Equations.VEERG_4_2_1_3__6_IntakeRelativeToMaintenance(AB65,AB29)</f>
        <v>1.4241682690123998</v>
      </c>
      <c r="AC81" s="52" cm="1">
        <f t="array" aca="1" ref="AC81" ca="1">MMS_PastureBeef_Soil_N2ODirect_Equations.VEERG_4_2_1_3__6_IntakeRelativeToMaintenance(AC65,AC29)</f>
        <v>1.2663208058014268</v>
      </c>
      <c r="AD81" s="52" cm="1">
        <f t="array" aca="1" ref="AD81" ca="1">MMS_PastureBeef_Soil_N2ODirect_Equations.VEERG_4_2_1_3__6_IntakeRelativeToMaintenance(AD65,AD29)</f>
        <v>1.2663208058014268</v>
      </c>
      <c r="AE81" s="52" cm="1">
        <f t="array" aca="1" ref="AE81" ca="1">MMS_PastureBeef_Soil_N2ODirect_Equations.VEERG_4_2_1_3__6_IntakeRelativeToMaintenance(AE65,AE29)</f>
        <v>1.2663208058014268</v>
      </c>
      <c r="AF81" s="2" t="str">
        <f t="shared" si="3"/>
        <v>ratio</v>
      </c>
      <c r="AG81" s="2"/>
      <c r="AH81" s="2"/>
    </row>
    <row r="82" spans="4:35" ht="20.100000000000001" customHeight="1" x14ac:dyDescent="0.25">
      <c r="D82" s="119" t="str">
        <v>b</v>
      </c>
      <c r="E82" s="124" t="str">
        <v>breed of cattle</v>
      </c>
      <c r="F82" s="123"/>
      <c r="G82" s="119" t="str">
        <v/>
      </c>
      <c r="H82" s="121" t="str">
        <v>Input</v>
      </c>
      <c r="I82" s="57" t="str">
        <f>X_Cell_PastureBeef_Breed</f>
        <v>Hereford or Shorthorn breeds</v>
      </c>
      <c r="U82" s="52" t="str">
        <f>TEXT(EDATE('Input - Site'!$E$12,10), "mmmm yyyy")</f>
        <v>November 2024</v>
      </c>
      <c r="V82" s="52" cm="1">
        <f t="array" aca="1" ref="V82" ca="1">MMS_PastureBeef_Soil_N2ODirect_Equations.VEERG_4_2_1_3__6_IntakeRelativeToMaintenance(V66,V30)</f>
        <v>1.4707970166214006</v>
      </c>
      <c r="W82" s="52" cm="1">
        <f t="array" aca="1" ref="W82" ca="1">MMS_PastureBeef_Soil_N2ODirect_Equations.VEERG_4_2_1_3__6_IntakeRelativeToMaintenance(W66,W30)</f>
        <v>1.2318676608114607</v>
      </c>
      <c r="X82" s="52" cm="1">
        <f t="array" aca="1" ref="X82" ca="1">MMS_PastureBeef_Soil_N2ODirect_Equations.VEERG_4_2_1_3__6_IntakeRelativeToMaintenance(X66,X30)</f>
        <v>1.3784396841492426</v>
      </c>
      <c r="Y82" s="52" cm="1">
        <f t="array" aca="1" ref="Y82" ca="1">MMS_PastureBeef_Soil_N2ODirect_Equations.VEERG_4_2_1_3__6_IntakeRelativeToMaintenance(Y66,Y30)</f>
        <v>1.3447065290610742</v>
      </c>
      <c r="Z82" s="52" cm="1">
        <f t="array" aca="1" ref="Z82" ca="1">MMS_PastureBeef_Soil_N2ODirect_Equations.VEERG_4_2_1_3__6_IntakeRelativeToMaintenance(Z66,Z30)</f>
        <v>1.2349143501215916</v>
      </c>
      <c r="AA82" s="52" cm="1">
        <f t="array" aca="1" ref="AA82" ca="1">MMS_PastureBeef_Soil_N2ODirect_Equations.VEERG_4_2_1_3__6_IntakeRelativeToMaintenance(AA66,AA30)</f>
        <v>1.2349143501215916</v>
      </c>
      <c r="AB82" s="52" cm="1">
        <f t="array" aca="1" ref="AB82" ca="1">MMS_PastureBeef_Soil_N2ODirect_Equations.VEERG_4_2_1_3__6_IntakeRelativeToMaintenance(AB66,AB30)</f>
        <v>1.4241682690123998</v>
      </c>
      <c r="AC82" s="52" cm="1">
        <f t="array" aca="1" ref="AC82" ca="1">MMS_PastureBeef_Soil_N2ODirect_Equations.VEERG_4_2_1_3__6_IntakeRelativeToMaintenance(AC66,AC30)</f>
        <v>1.2663208058014268</v>
      </c>
      <c r="AD82" s="52" cm="1">
        <f t="array" aca="1" ref="AD82" ca="1">MMS_PastureBeef_Soil_N2ODirect_Equations.VEERG_4_2_1_3__6_IntakeRelativeToMaintenance(AD66,AD30)</f>
        <v>1.2663208058014268</v>
      </c>
      <c r="AE82" s="52" cm="1">
        <f t="array" aca="1" ref="AE82" ca="1">MMS_PastureBeef_Soil_N2ODirect_Equations.VEERG_4_2_1_3__6_IntakeRelativeToMaintenance(AE66,AE30)</f>
        <v>1.2663208058014268</v>
      </c>
      <c r="AF82" s="2" t="str">
        <f t="shared" si="3"/>
        <v>ratio</v>
      </c>
      <c r="AG82" s="2"/>
      <c r="AH82" s="2"/>
    </row>
    <row r="83" spans="4:35" ht="20.100000000000001" customHeight="1" x14ac:dyDescent="0.25">
      <c r="U83" s="52" t="str">
        <f>TEXT(EDATE('Input - Site'!$E$12,11), "mmmm yyyy")</f>
        <v>December 2024</v>
      </c>
      <c r="V83" s="52" cm="1">
        <f t="array" aca="1" ref="V83" ca="1">MMS_PastureBeef_Soil_N2ODirect_Equations.VEERG_4_2_1_3__6_IntakeRelativeToMaintenance(V67,V31)</f>
        <v>1.1123493391850732</v>
      </c>
      <c r="W83" s="52" cm="1">
        <f t="array" aca="1" ref="W83" ca="1">MMS_PastureBeef_Soil_N2ODirect_Equations.VEERG_4_2_1_3__6_IntakeRelativeToMaintenance(W67,W31)</f>
        <v>0.95640681558610863</v>
      </c>
      <c r="X83" s="52" cm="1">
        <f t="array" aca="1" ref="X83" ca="1">MMS_PastureBeef_Soil_N2ODirect_Equations.VEERG_4_2_1_3__6_IntakeRelativeToMaintenance(X67,X31)</f>
        <v>1.1234350255113625</v>
      </c>
      <c r="Y83" s="52" cm="1">
        <f t="array" aca="1" ref="Y83" ca="1">MMS_PastureBeef_Soil_N2ODirect_Equations.VEERG_4_2_1_3__6_IntakeRelativeToMaintenance(Y67,Y31)</f>
        <v>1.1593206891815613</v>
      </c>
      <c r="Z83" s="52" cm="1">
        <f t="array" aca="1" ref="Z83" ca="1">MMS_PastureBeef_Soil_N2ODirect_Equations.VEERG_4_2_1_3__6_IntakeRelativeToMaintenance(Z67,Z31)</f>
        <v>1.0235502922520121</v>
      </c>
      <c r="AA83" s="52" cm="1">
        <f t="array" aca="1" ref="AA83" ca="1">MMS_PastureBeef_Soil_N2ODirect_Equations.VEERG_4_2_1_3__6_IntakeRelativeToMaintenance(AA67,AA31)</f>
        <v>1.0235502922520121</v>
      </c>
      <c r="AB83" s="52" cm="1">
        <f t="array" aca="1" ref="AB83" ca="1">MMS_PastureBeef_Soil_N2ODirect_Equations.VEERG_4_2_1_3__6_IntakeRelativeToMaintenance(AB67,AB31)</f>
        <v>1.1174246366611618</v>
      </c>
      <c r="AC83" s="52" cm="1">
        <f t="array" aca="1" ref="AC83" ca="1">MMS_PastureBeef_Soil_N2ODirect_Equations.VEERG_4_2_1_3__6_IntakeRelativeToMaintenance(AC67,AC31)</f>
        <v>0.97490853257319487</v>
      </c>
      <c r="AD83" s="52" cm="1">
        <f t="array" aca="1" ref="AD83" ca="1">MMS_PastureBeef_Soil_N2ODirect_Equations.VEERG_4_2_1_3__6_IntakeRelativeToMaintenance(AD67,AD31)</f>
        <v>0.97490853257319487</v>
      </c>
      <c r="AE83" s="52" cm="1">
        <f t="array" aca="1" ref="AE83" ca="1">MMS_PastureBeef_Soil_N2ODirect_Equations.VEERG_4_2_1_3__6_IntakeRelativeToMaintenance(AE67,AE31)</f>
        <v>0.97490853257319487</v>
      </c>
      <c r="AF83" s="2" t="str">
        <f t="shared" si="3"/>
        <v>ratio</v>
      </c>
      <c r="AG83" s="2"/>
      <c r="AH83" s="2"/>
    </row>
    <row r="84" spans="4:35" ht="20.100000000000001" customHeight="1" x14ac:dyDescent="0.25">
      <c r="D84" s="98" t="s">
        <v>230</v>
      </c>
    </row>
    <row r="85" spans="4:35" ht="20.100000000000001" customHeight="1" x14ac:dyDescent="0.25">
      <c r="D85" s="97" t="s">
        <v>253</v>
      </c>
    </row>
    <row r="86" spans="4:35" ht="20.100000000000001" customHeight="1" x14ac:dyDescent="0.25">
      <c r="D86" s="51" t="s">
        <v>184</v>
      </c>
      <c r="E86" s="122" t="s">
        <v>166</v>
      </c>
      <c r="F86" s="122" t="s">
        <v>167</v>
      </c>
      <c r="G86" s="122" t="s">
        <v>168</v>
      </c>
      <c r="T86" s="45"/>
      <c r="U86" s="45"/>
      <c r="V86" s="45"/>
      <c r="W86" s="45"/>
      <c r="X86" s="45"/>
      <c r="Y86" s="45"/>
      <c r="Z86" s="45"/>
      <c r="AA86" s="45"/>
      <c r="AB86" s="45"/>
      <c r="AC86" s="45"/>
      <c r="AD86" s="45"/>
      <c r="AE86" s="45"/>
      <c r="AF86" s="45"/>
      <c r="AG86" s="45"/>
      <c r="AH86" s="45"/>
      <c r="AI86" s="45"/>
    </row>
    <row r="87" spans="4:35" ht="20.100000000000001" customHeight="1" x14ac:dyDescent="0.25">
      <c r="D87" s="52" t="str">
        <f>'Input - Pasture Beef'!$E$104</f>
        <v>Winter</v>
      </c>
      <c r="E87" s="52">
        <f>'Input - Pasture Beef'!$F$110</f>
        <v>0.7</v>
      </c>
      <c r="F87" s="52">
        <f>'Input - Pasture Beef'!$G$110</f>
        <v>0.5</v>
      </c>
      <c r="G87" s="52">
        <f>'Input - Pasture Beef'!$H$110</f>
        <v>0.5</v>
      </c>
      <c r="H87" s="2" t="s">
        <v>100</v>
      </c>
      <c r="U87" s="6" t="str" cm="1">
        <f t="array" ref="U87">MMS_PastureBeef_Soil_N2ODirect_Equations.VEERG_4_2_1_3__5_MilkProductionForCalvingSeason_Title()</f>
        <v>Milk production for the season of calving and season after calving</v>
      </c>
    </row>
    <row r="88" spans="4:35" ht="20.100000000000001" customHeight="1" x14ac:dyDescent="0.25"/>
    <row r="89" spans="4:35" ht="20.100000000000001" customHeight="1" x14ac:dyDescent="0.25">
      <c r="U89" s="98" t="s">
        <v>249</v>
      </c>
    </row>
    <row r="90" spans="4:35" ht="20.100000000000001" customHeight="1" x14ac:dyDescent="0.25">
      <c r="U90" s="97" t="s">
        <v>250</v>
      </c>
    </row>
    <row r="91" spans="4:35" ht="20.100000000000001" customHeight="1" x14ac:dyDescent="0.25">
      <c r="U91" s="51" t="s">
        <v>132</v>
      </c>
      <c r="V91" s="122" t="s">
        <v>166</v>
      </c>
      <c r="W91" s="122" t="s">
        <v>167</v>
      </c>
      <c r="X91" s="122" t="s">
        <v>168</v>
      </c>
    </row>
    <row r="92" spans="4:35" ht="20.100000000000001" customHeight="1" x14ac:dyDescent="0.25">
      <c r="D92" s="98" t="s">
        <v>293</v>
      </c>
      <c r="U92" s="52" t="str">
        <f>TEXT(EDATE('Input - Pasture Beef'!$D$124,0), "mmmm") &amp; ", " &amp; TEXT(EDATE('Input - Pasture Beef'!$D$125,0), "mmmm") &amp; ", " &amp; TEXT(EDATE('Input - Pasture Beef'!$D$126,0), "mmmm")</f>
        <v>August, September, October</v>
      </c>
      <c r="V92" s="52">
        <f>'Input - Pasture Beef'!$E$127</f>
        <v>0.75</v>
      </c>
      <c r="W92" s="52">
        <f>'Input - Pasture Beef'!$F$127</f>
        <v>0.75</v>
      </c>
      <c r="X92" s="52">
        <f>'Input - Pasture Beef'!$G$127</f>
        <v>0.75</v>
      </c>
      <c r="Y92" s="2" t="s">
        <v>100</v>
      </c>
    </row>
    <row r="93" spans="4:35" ht="20.100000000000001" customHeight="1" x14ac:dyDescent="0.25">
      <c r="D93" s="97" t="s">
        <v>135</v>
      </c>
      <c r="U93" s="52" t="str">
        <f>TEXT(EDATE('Input - Pasture Beef'!$D$126,1), "mmmm") &amp; ", " &amp; TEXT(EDATE('Input - Pasture Beef'!$D$126,2), "mmmm") &amp; ", " &amp; TEXT(EDATE('Input - Pasture Beef'!$D$126,3), "mmmm")</f>
        <v>November, December, January</v>
      </c>
      <c r="Y93" s="2"/>
    </row>
    <row r="94" spans="4:35" ht="20.100000000000001" customHeight="1" x14ac:dyDescent="0.25">
      <c r="D94" s="51" t="s">
        <v>184</v>
      </c>
      <c r="E94" s="51" t="s">
        <v>246</v>
      </c>
      <c r="F94" s="51" t="s">
        <v>344</v>
      </c>
      <c r="G94" s="51" t="s">
        <v>131</v>
      </c>
      <c r="H94" s="51" t="s">
        <v>130</v>
      </c>
      <c r="I94" s="51" t="s">
        <v>165</v>
      </c>
      <c r="J94" s="51" t="s">
        <v>166</v>
      </c>
      <c r="K94" s="51" t="s">
        <v>167</v>
      </c>
      <c r="L94" s="51" t="s">
        <v>168</v>
      </c>
      <c r="M94" s="51" t="s">
        <v>169</v>
      </c>
      <c r="N94" s="51" t="s">
        <v>170</v>
      </c>
      <c r="O94" s="51" t="s">
        <v>171</v>
      </c>
      <c r="P94" s="51" t="s">
        <v>172</v>
      </c>
    </row>
    <row r="95" spans="4:35" ht="20.100000000000001" customHeight="1" x14ac:dyDescent="0.25">
      <c r="D95" s="52" t="str">
        <f>'4.2.1.1-2 Methane'!D30</f>
        <v>Spring</v>
      </c>
      <c r="E95" s="52" t="str" cm="1">
        <f t="array" ref="E95">_xlfn.IFS(D87=D95, "Calving season", D87=D98, "Season after calving", D87=D96, "", D87=D97, "")</f>
        <v>Season after calving</v>
      </c>
      <c r="F95" s="52" cm="1">
        <f t="array" ref="F95">_xlfn.IFS(E95="Calving season", $I$80, E95="Season after calving", $I$81, E95="", "")</f>
        <v>4</v>
      </c>
      <c r="G95" s="52">
        <v>0</v>
      </c>
      <c r="H95" s="52">
        <v>0</v>
      </c>
      <c r="I95" s="52">
        <v>0</v>
      </c>
      <c r="J95" s="52" cm="1">
        <f t="array" ref="J95">IFERROR(MMS_PastureBeef_Soil_N2ODirect_Equations.VEERG_4_2_1_3__5_MilkProductionForCalvingSeason(E$87,$F95), 0)</f>
        <v>2.8</v>
      </c>
      <c r="K95" s="52" cm="1">
        <f t="array" ref="K95">IFERROR(MMS_PastureBeef_Soil_N2ODirect_Equations.VEERG_4_2_1_3__5_MilkProductionForCalvingSeason(F$87,$F95), 0)</f>
        <v>2</v>
      </c>
      <c r="L95" s="52" cm="1">
        <f t="array" ref="L95">IFERROR(MMS_PastureBeef_Soil_N2ODirect_Equations.VEERG_4_2_1_3__5_MilkProductionForCalvingSeason(G$87,$F95), 0)</f>
        <v>2</v>
      </c>
      <c r="M95" s="52">
        <v>0</v>
      </c>
      <c r="N95" s="52">
        <v>0</v>
      </c>
      <c r="O95" s="52">
        <v>0</v>
      </c>
      <c r="P95" s="52">
        <v>0</v>
      </c>
      <c r="Q95" s="2" t="str">
        <f>$E$76</f>
        <v>kg/head/day</v>
      </c>
    </row>
    <row r="96" spans="4:35" ht="20.100000000000001" customHeight="1" x14ac:dyDescent="0.25">
      <c r="D96" s="52" t="str">
        <f>'4.2.1.1-2 Methane'!D31</f>
        <v>Summer</v>
      </c>
      <c r="E96" s="52" t="str" cm="1">
        <f t="array" ref="E96">_xlfn.IFS(D87=D96, "Calving season", D87=D95, "Season after calving", D87=D97, "", D87=D98, "")</f>
        <v/>
      </c>
      <c r="F96" s="52" t="str" cm="1">
        <f t="array" ref="F96">_xlfn.IFS(E96="Calving season", $I$80, E96="Season after calving", $I$81, E96="", "")</f>
        <v/>
      </c>
      <c r="G96" s="52">
        <v>0</v>
      </c>
      <c r="H96" s="52">
        <v>0</v>
      </c>
      <c r="I96" s="52">
        <v>0</v>
      </c>
      <c r="J96" s="52" cm="1">
        <f t="array" ref="J96">IFERROR(MMS_PastureBeef_Soil_N2ODirect_Equations.VEERG_4_2_1_3__5_MilkProductionForCalvingSeason(E$87,$F96), 0)</f>
        <v>0</v>
      </c>
      <c r="K96" s="52" cm="1">
        <f t="array" ref="K96">IFERROR(MMS_PastureBeef_Soil_N2ODirect_Equations.VEERG_4_2_1_3__5_MilkProductionForCalvingSeason(F$87,$F96), 0)</f>
        <v>0</v>
      </c>
      <c r="L96" s="52" cm="1">
        <f t="array" ref="L96">IFERROR(MMS_PastureBeef_Soil_N2ODirect_Equations.VEERG_4_2_1_3__5_MilkProductionForCalvingSeason(G$87,$F96), 0)</f>
        <v>0</v>
      </c>
      <c r="M96" s="52">
        <v>0</v>
      </c>
      <c r="N96" s="52">
        <v>0</v>
      </c>
      <c r="O96" s="52">
        <v>0</v>
      </c>
      <c r="P96" s="52">
        <v>0</v>
      </c>
      <c r="Q96" s="2" t="str">
        <f t="shared" ref="Q96:Q98" si="4">$E$76</f>
        <v>kg/head/day</v>
      </c>
    </row>
    <row r="97" spans="3:34" ht="20.100000000000001" customHeight="1" x14ac:dyDescent="0.25">
      <c r="D97" s="52" t="str">
        <f>'4.2.1.1-2 Methane'!D32</f>
        <v>Autumn</v>
      </c>
      <c r="E97" s="52" t="str" cm="1">
        <f t="array" ref="E97">_xlfn.IFS(D87=D97, "Calving season", D87=D96, "Season after calving", D87=D98, "", D87=D95, "")</f>
        <v/>
      </c>
      <c r="F97" s="52" t="str" cm="1">
        <f t="array" ref="F97">_xlfn.IFS(E97="Calving season", $I$80, E97="Season after calving", $I$81, E97="", "")</f>
        <v/>
      </c>
      <c r="G97" s="52">
        <v>0</v>
      </c>
      <c r="H97" s="52">
        <v>0</v>
      </c>
      <c r="I97" s="52">
        <v>0</v>
      </c>
      <c r="J97" s="52" cm="1">
        <f t="array" ref="J97">IFERROR(MMS_PastureBeef_Soil_N2ODirect_Equations.VEERG_4_2_1_3__5_MilkProductionForCalvingSeason(E$87,$F97), 0)</f>
        <v>0</v>
      </c>
      <c r="K97" s="52" cm="1">
        <f t="array" ref="K97">IFERROR(MMS_PastureBeef_Soil_N2ODirect_Equations.VEERG_4_2_1_3__5_MilkProductionForCalvingSeason(F$87,$F97), 0)</f>
        <v>0</v>
      </c>
      <c r="L97" s="52" cm="1">
        <f t="array" ref="L97">IFERROR(MMS_PastureBeef_Soil_N2ODirect_Equations.VEERG_4_2_1_3__5_MilkProductionForCalvingSeason(G$87,$F97), 0)</f>
        <v>0</v>
      </c>
      <c r="M97" s="52">
        <v>0</v>
      </c>
      <c r="N97" s="52">
        <v>0</v>
      </c>
      <c r="O97" s="52">
        <v>0</v>
      </c>
      <c r="P97" s="52">
        <v>0</v>
      </c>
      <c r="Q97" s="2" t="str">
        <f t="shared" si="4"/>
        <v>kg/head/day</v>
      </c>
      <c r="U97" s="98" t="s">
        <v>368</v>
      </c>
    </row>
    <row r="98" spans="3:34" ht="20.100000000000001" customHeight="1" x14ac:dyDescent="0.25">
      <c r="D98" s="52" t="str">
        <f>'4.2.1.1-2 Methane'!D33</f>
        <v>Winter</v>
      </c>
      <c r="E98" s="52" t="str" cm="1">
        <f t="array" ref="E98">_xlfn.IFS(D87=D98, "Calving season", D87=D97, "Season after calving", D87=D95, "", D87=D96, "")</f>
        <v>Calving season</v>
      </c>
      <c r="F98" s="52" cm="1">
        <f t="array" ref="F98">_xlfn.IFS(E98="Calving season", $I$80, E98="Season after calving", $I$81, E98="", "")</f>
        <v>6</v>
      </c>
      <c r="G98" s="52">
        <v>0</v>
      </c>
      <c r="H98" s="52">
        <v>0</v>
      </c>
      <c r="I98" s="52">
        <v>0</v>
      </c>
      <c r="J98" s="52" cm="1">
        <f t="array" ref="J98">IFERROR(MMS_PastureBeef_Soil_N2ODirect_Equations.VEERG_4_2_1_3__5_MilkProductionForCalvingSeason(E$87,$F98), 0)</f>
        <v>4.1999999999999993</v>
      </c>
      <c r="K98" s="52" cm="1">
        <f t="array" ref="K98">IFERROR(MMS_PastureBeef_Soil_N2ODirect_Equations.VEERG_4_2_1_3__5_MilkProductionForCalvingSeason(F$87,$F98), 0)</f>
        <v>3</v>
      </c>
      <c r="L98" s="52" cm="1">
        <f t="array" ref="L98">IFERROR(MMS_PastureBeef_Soil_N2ODirect_Equations.VEERG_4_2_1_3__5_MilkProductionForCalvingSeason(G$87,$F98), 0)</f>
        <v>3</v>
      </c>
      <c r="M98" s="52">
        <v>0</v>
      </c>
      <c r="N98" s="52">
        <v>0</v>
      </c>
      <c r="O98" s="52">
        <v>0</v>
      </c>
      <c r="P98" s="52">
        <v>0</v>
      </c>
      <c r="Q98" s="2" t="str">
        <f t="shared" si="4"/>
        <v>kg/head/day</v>
      </c>
      <c r="U98" s="97" t="s">
        <v>135</v>
      </c>
    </row>
    <row r="99" spans="3:34" ht="20.100000000000001" customHeight="1" x14ac:dyDescent="0.25">
      <c r="U99" s="51" t="s">
        <v>132</v>
      </c>
      <c r="V99" s="51" t="s">
        <v>246</v>
      </c>
      <c r="W99" s="51" t="s">
        <v>344</v>
      </c>
      <c r="X99" s="51" t="s">
        <v>131</v>
      </c>
      <c r="Y99" s="51" t="s">
        <v>130</v>
      </c>
      <c r="Z99" s="51" t="s">
        <v>165</v>
      </c>
      <c r="AA99" s="51" t="s">
        <v>166</v>
      </c>
      <c r="AB99" s="51" t="s">
        <v>167</v>
      </c>
      <c r="AC99" s="51" t="s">
        <v>168</v>
      </c>
      <c r="AD99" s="51" t="s">
        <v>169</v>
      </c>
      <c r="AE99" s="51" t="s">
        <v>170</v>
      </c>
      <c r="AF99" s="51" t="s">
        <v>171</v>
      </c>
      <c r="AG99" s="51" t="s">
        <v>172</v>
      </c>
    </row>
    <row r="100" spans="3:34" ht="20.100000000000001" customHeight="1" x14ac:dyDescent="0.25">
      <c r="U100" s="52" t="str">
        <f>TEXT('Input - Site'!$E$12,"mmmm")</f>
        <v>January</v>
      </c>
      <c r="V100" s="52" t="str" cm="1">
        <f t="array" ref="V100">IFERROR(_xlfn.IFS(SUMPRODUCT(ISNUMBER(SEARCH(TRIM(_xlfn.TEXTSPLIT($U$92,",")),U100))*1)&gt;0,"Calving season",SUMPRODUCT(ISNUMBER(SEARCH(TRIM(_xlfn.TEXTSPLIT($U$93,",")),U100))*1)&gt;0,"Season after calving"), "")</f>
        <v>Season after calving</v>
      </c>
      <c r="W100" s="52" cm="1">
        <f t="array" ref="W100">_xlfn.IFS(V100="Calving season", $I$80, V100="Season after calving", $I$81, V100="", "")</f>
        <v>4</v>
      </c>
      <c r="X100" s="52">
        <v>0</v>
      </c>
      <c r="Y100" s="52">
        <v>0</v>
      </c>
      <c r="Z100" s="52">
        <v>0</v>
      </c>
      <c r="AA100" s="52" cm="1">
        <f t="array" ref="AA100">IFERROR(MMS_PastureBeef_Soil_N2ODirect_Equations.VEERG_4_2_1_3__5_MilkProductionForCalvingSeason(V$92, $W100), 0)</f>
        <v>3</v>
      </c>
      <c r="AB100" s="52" cm="1">
        <f t="array" ref="AB100">IFERROR(MMS_PastureBeef_Soil_N2ODirect_Equations.VEERG_4_2_1_3__5_MilkProductionForCalvingSeason(W$92, $W100), 0)</f>
        <v>3</v>
      </c>
      <c r="AC100" s="52" cm="1">
        <f t="array" ref="AC100">IFERROR(MMS_PastureBeef_Soil_N2ODirect_Equations.VEERG_4_2_1_3__5_MilkProductionForCalvingSeason(X$92, $W100), 0)</f>
        <v>3</v>
      </c>
      <c r="AD100" s="52">
        <v>0</v>
      </c>
      <c r="AE100" s="52">
        <v>0</v>
      </c>
      <c r="AF100" s="52">
        <v>0</v>
      </c>
      <c r="AG100" s="52">
        <v>0</v>
      </c>
      <c r="AH100" s="2" t="str">
        <f t="shared" ref="AH100:AH111" si="5">$E$76</f>
        <v>kg/head/day</v>
      </c>
    </row>
    <row r="101" spans="3:34" ht="20.100000000000001" customHeight="1" x14ac:dyDescent="0.25">
      <c r="C101" s="45"/>
      <c r="D101" s="45"/>
      <c r="E101" s="45"/>
      <c r="F101" s="45"/>
      <c r="G101" s="45"/>
      <c r="H101" s="45"/>
      <c r="I101" s="45"/>
      <c r="J101" s="45"/>
      <c r="K101" s="45"/>
      <c r="L101" s="45"/>
      <c r="M101" s="45"/>
      <c r="N101" s="45"/>
      <c r="O101" s="45"/>
      <c r="P101" s="45"/>
      <c r="Q101" s="45"/>
      <c r="R101" s="45"/>
      <c r="U101" s="52" t="str">
        <f>TEXT(EDATE('Input - Site'!$E$12,1), "mmmm")</f>
        <v>February</v>
      </c>
      <c r="V101" s="52" t="str" cm="1">
        <f t="array" ref="V101">IFERROR(_xlfn.IFS(SUMPRODUCT(ISNUMBER(SEARCH(TRIM(_xlfn.TEXTSPLIT($U$92,",")),U101))*1)&gt;0,"Calving season",SUMPRODUCT(ISNUMBER(SEARCH(TRIM(_xlfn.TEXTSPLIT($U$93,",")),U101))*1)&gt;0,"Season after calving"), "")</f>
        <v/>
      </c>
      <c r="W101" s="52" t="str" cm="1">
        <f t="array" ref="W101">_xlfn.IFS(V101="Calving season", $I$80, V101="Season after calving", $I$81, V101="", "")</f>
        <v/>
      </c>
      <c r="X101" s="52">
        <v>0</v>
      </c>
      <c r="Y101" s="52">
        <v>0</v>
      </c>
      <c r="Z101" s="52">
        <v>0</v>
      </c>
      <c r="AA101" s="52" cm="1">
        <f t="array" ref="AA101">IFERROR(MMS_PastureBeef_Soil_N2ODirect_Equations.VEERG_4_2_1_3__5_MilkProductionForCalvingSeason(V$92, $W101), 0)</f>
        <v>0</v>
      </c>
      <c r="AB101" s="52" cm="1">
        <f t="array" ref="AB101">IFERROR(MMS_PastureBeef_Soil_N2ODirect_Equations.VEERG_4_2_1_3__5_MilkProductionForCalvingSeason(W$92, $W101), 0)</f>
        <v>0</v>
      </c>
      <c r="AC101" s="52" cm="1">
        <f t="array" ref="AC101">IFERROR(MMS_PastureBeef_Soil_N2ODirect_Equations.VEERG_4_2_1_3__5_MilkProductionForCalvingSeason(X$92, $W101), 0)</f>
        <v>0</v>
      </c>
      <c r="AD101" s="52">
        <v>0</v>
      </c>
      <c r="AE101" s="52">
        <v>0</v>
      </c>
      <c r="AF101" s="52">
        <v>0</v>
      </c>
      <c r="AG101" s="52">
        <v>0</v>
      </c>
      <c r="AH101" s="2" t="str">
        <f t="shared" si="5"/>
        <v>kg/head/day</v>
      </c>
    </row>
    <row r="102" spans="3:34" ht="20.100000000000001" customHeight="1" x14ac:dyDescent="0.25">
      <c r="D102" s="6" t="str" cm="1">
        <f t="array" ref="D102">MMS_PastureBeef_Soil_N2ODirect_Equations.VEERG_4_2_1_3__4_NitrogenRetainedByBody_Title()</f>
        <v>Amount of nitrogen retained by the body</v>
      </c>
      <c r="U102" s="52" t="str">
        <f>TEXT(EDATE('Input - Site'!$E$12,2), "mmmm")</f>
        <v>March</v>
      </c>
      <c r="V102" s="52" t="str" cm="1">
        <f t="array" ref="V102">IFERROR(_xlfn.IFS(SUMPRODUCT(ISNUMBER(SEARCH(TRIM(_xlfn.TEXTSPLIT($U$92,",")),U102))*1)&gt;0,"Calving season",SUMPRODUCT(ISNUMBER(SEARCH(TRIM(_xlfn.TEXTSPLIT($U$93,",")),U102))*1)&gt;0,"Season after calving"), "")</f>
        <v/>
      </c>
      <c r="W102" s="52" t="str" cm="1">
        <f t="array" ref="W102">_xlfn.IFS(V102="Calving season", $I$80, V102="Season after calving", $I$81, V102="", "")</f>
        <v/>
      </c>
      <c r="X102" s="52">
        <v>0</v>
      </c>
      <c r="Y102" s="52">
        <v>0</v>
      </c>
      <c r="Z102" s="52">
        <v>0</v>
      </c>
      <c r="AA102" s="52" cm="1">
        <f t="array" ref="AA102">IFERROR(MMS_PastureBeef_Soil_N2ODirect_Equations.VEERG_4_2_1_3__5_MilkProductionForCalvingSeason(V$92, $W102), 0)</f>
        <v>0</v>
      </c>
      <c r="AB102" s="52" cm="1">
        <f t="array" ref="AB102">IFERROR(MMS_PastureBeef_Soil_N2ODirect_Equations.VEERG_4_2_1_3__5_MilkProductionForCalvingSeason(W$92, $W102), 0)</f>
        <v>0</v>
      </c>
      <c r="AC102" s="52" cm="1">
        <f t="array" ref="AC102">IFERROR(MMS_PastureBeef_Soil_N2ODirect_Equations.VEERG_4_2_1_3__5_MilkProductionForCalvingSeason(X$92, $W102), 0)</f>
        <v>0</v>
      </c>
      <c r="AD102" s="52">
        <v>0</v>
      </c>
      <c r="AE102" s="52">
        <v>0</v>
      </c>
      <c r="AF102" s="52">
        <v>0</v>
      </c>
      <c r="AG102" s="52">
        <v>0</v>
      </c>
      <c r="AH102" s="2" t="str">
        <f t="shared" si="5"/>
        <v>kg/head/day</v>
      </c>
    </row>
    <row r="103" spans="3:34" ht="20.100000000000001" customHeight="1" x14ac:dyDescent="0.25">
      <c r="D103" s="5" t="str" cm="1">
        <f t="array" ref="D103">MMS_PastureBeef_Soil_N2ODirect_Equations.VEERG_4_2_1_3__4_NitrogenRetainedByBody_Source()</f>
        <v>VEERG 2026: 4.2.1.3, Equation (4)</v>
      </c>
      <c r="U103" s="52" t="str">
        <f>TEXT(EDATE('Input - Site'!$E$12,3), "mmmm")</f>
        <v>April</v>
      </c>
      <c r="V103" s="52" t="str" cm="1">
        <f t="array" ref="V103">IFERROR(_xlfn.IFS(SUMPRODUCT(ISNUMBER(SEARCH(TRIM(_xlfn.TEXTSPLIT($U$92,",")),U103))*1)&gt;0,"Calving season",SUMPRODUCT(ISNUMBER(SEARCH(TRIM(_xlfn.TEXTSPLIT($U$93,",")),U103))*1)&gt;0,"Season after calving"), "")</f>
        <v/>
      </c>
      <c r="W103" s="52" t="str" cm="1">
        <f t="array" ref="W103">_xlfn.IFS(V103="Calving season", $I$80, V103="Season after calving", $I$81, V103="", "")</f>
        <v/>
      </c>
      <c r="X103" s="52">
        <v>0</v>
      </c>
      <c r="Y103" s="52">
        <v>0</v>
      </c>
      <c r="Z103" s="52">
        <v>0</v>
      </c>
      <c r="AA103" s="52" cm="1">
        <f t="array" ref="AA103">IFERROR(MMS_PastureBeef_Soil_N2ODirect_Equations.VEERG_4_2_1_3__5_MilkProductionForCalvingSeason(V$92, $W103), 0)</f>
        <v>0</v>
      </c>
      <c r="AB103" s="52" cm="1">
        <f t="array" ref="AB103">IFERROR(MMS_PastureBeef_Soil_N2ODirect_Equations.VEERG_4_2_1_3__5_MilkProductionForCalvingSeason(W$92, $W103), 0)</f>
        <v>0</v>
      </c>
      <c r="AC103" s="52" cm="1">
        <f t="array" ref="AC103">IFERROR(MMS_PastureBeef_Soil_N2ODirect_Equations.VEERG_4_2_1_3__5_MilkProductionForCalvingSeason(X$92, $W103), 0)</f>
        <v>0</v>
      </c>
      <c r="AD103" s="52">
        <v>0</v>
      </c>
      <c r="AE103" s="52">
        <v>0</v>
      </c>
      <c r="AF103" s="52">
        <v>0</v>
      </c>
      <c r="AG103" s="52">
        <v>0</v>
      </c>
      <c r="AH103" s="2" t="str">
        <f t="shared" si="5"/>
        <v>kg/head/day</v>
      </c>
    </row>
    <row r="104" spans="3:34" ht="20.100000000000001" customHeight="1" x14ac:dyDescent="0.25">
      <c r="D104" s="13" t="s">
        <v>27</v>
      </c>
      <c r="E104" s="13" t="str" cm="1">
        <f t="array" aca="1" ref="E104" ca="1">Common_InputFunctions.Utility_DisplayFunctionName(E127)</f>
        <v>=MMS_PastureBeef_Soil_N2ODirect_Equations.VEERG_4_2_1_3__4_NitrogenRetainedByBody</v>
      </c>
      <c r="U104" s="52" t="str">
        <f>TEXT(EDATE('Input - Site'!$E$12,4), "mmmm")</f>
        <v>May</v>
      </c>
      <c r="V104" s="52" t="str" cm="1">
        <f t="array" ref="V104">IFERROR(_xlfn.IFS(SUMPRODUCT(ISNUMBER(SEARCH(TRIM(_xlfn.TEXTSPLIT($U$92,",")),U104))*1)&gt;0,"Calving season",SUMPRODUCT(ISNUMBER(SEARCH(TRIM(_xlfn.TEXTSPLIT($U$93,",")),U104))*1)&gt;0,"Season after calving"), "")</f>
        <v/>
      </c>
      <c r="W104" s="52" t="str" cm="1">
        <f t="array" ref="W104">_xlfn.IFS(V104="Calving season", $I$80, V104="Season after calving", $I$81, V104="", "")</f>
        <v/>
      </c>
      <c r="X104" s="52">
        <v>0</v>
      </c>
      <c r="Y104" s="52">
        <v>0</v>
      </c>
      <c r="Z104" s="52">
        <v>0</v>
      </c>
      <c r="AA104" s="52" cm="1">
        <f t="array" ref="AA104">IFERROR(MMS_PastureBeef_Soil_N2ODirect_Equations.VEERG_4_2_1_3__5_MilkProductionForCalvingSeason(V$92, $W104), 0)</f>
        <v>0</v>
      </c>
      <c r="AB104" s="52" cm="1">
        <f t="array" ref="AB104">IFERROR(MMS_PastureBeef_Soil_N2ODirect_Equations.VEERG_4_2_1_3__5_MilkProductionForCalvingSeason(W$92, $W104), 0)</f>
        <v>0</v>
      </c>
      <c r="AC104" s="52" cm="1">
        <f t="array" ref="AC104">IFERROR(MMS_PastureBeef_Soil_N2ODirect_Equations.VEERG_4_2_1_3__5_MilkProductionForCalvingSeason(X$92, $W104), 0)</f>
        <v>0</v>
      </c>
      <c r="AD104" s="52">
        <v>0</v>
      </c>
      <c r="AE104" s="52">
        <v>0</v>
      </c>
      <c r="AF104" s="52">
        <v>0</v>
      </c>
      <c r="AG104" s="52">
        <v>0</v>
      </c>
      <c r="AH104" s="2" t="str">
        <f t="shared" si="5"/>
        <v>kg/head/day</v>
      </c>
    </row>
    <row r="105" spans="3:34" ht="20.100000000000001" customHeight="1" x14ac:dyDescent="0.25">
      <c r="U105" s="52" t="str">
        <f>TEXT(EDATE('Input - Site'!$E$12,5), "mmmm")</f>
        <v>June</v>
      </c>
      <c r="V105" s="52" t="str" cm="1">
        <f t="array" ref="V105">IFERROR(_xlfn.IFS(SUMPRODUCT(ISNUMBER(SEARCH(TRIM(_xlfn.TEXTSPLIT($U$92,",")),U105))*1)&gt;0,"Calving season",SUMPRODUCT(ISNUMBER(SEARCH(TRIM(_xlfn.TEXTSPLIT($U$93,",")),U105))*1)&gt;0,"Season after calving"), "")</f>
        <v/>
      </c>
      <c r="W105" s="52" t="str" cm="1">
        <f t="array" ref="W105">_xlfn.IFS(V105="Calving season", $I$80, V105="Season after calving", $I$81, V105="", "")</f>
        <v/>
      </c>
      <c r="X105" s="52">
        <v>0</v>
      </c>
      <c r="Y105" s="52">
        <v>0</v>
      </c>
      <c r="Z105" s="52">
        <v>0</v>
      </c>
      <c r="AA105" s="52" cm="1">
        <f t="array" ref="AA105">IFERROR(MMS_PastureBeef_Soil_N2ODirect_Equations.VEERG_4_2_1_3__5_MilkProductionForCalvingSeason(V$92, $W105), 0)</f>
        <v>0</v>
      </c>
      <c r="AB105" s="52" cm="1">
        <f t="array" ref="AB105">IFERROR(MMS_PastureBeef_Soil_N2ODirect_Equations.VEERG_4_2_1_3__5_MilkProductionForCalvingSeason(W$92, $W105), 0)</f>
        <v>0</v>
      </c>
      <c r="AC105" s="52" cm="1">
        <f t="array" ref="AC105">IFERROR(MMS_PastureBeef_Soil_N2ODirect_Equations.VEERG_4_2_1_3__5_MilkProductionForCalvingSeason(X$92, $W105), 0)</f>
        <v>0</v>
      </c>
      <c r="AD105" s="52">
        <v>0</v>
      </c>
      <c r="AE105" s="52">
        <v>0</v>
      </c>
      <c r="AF105" s="52">
        <v>0</v>
      </c>
      <c r="AG105" s="52">
        <v>0</v>
      </c>
      <c r="AH105" s="2" t="str">
        <f t="shared" si="5"/>
        <v>kg/head/day</v>
      </c>
    </row>
    <row r="106" spans="3:34" ht="20.100000000000001" customHeight="1" x14ac:dyDescent="0.25">
      <c r="U106" s="52" t="str">
        <f>TEXT(EDATE('Input - Site'!$E$12,6), "mmmm")</f>
        <v>July</v>
      </c>
      <c r="V106" s="52" t="str" cm="1">
        <f t="array" ref="V106">IFERROR(_xlfn.IFS(SUMPRODUCT(ISNUMBER(SEARCH(TRIM(_xlfn.TEXTSPLIT($U$92,",")),U106))*1)&gt;0,"Calving season",SUMPRODUCT(ISNUMBER(SEARCH(TRIM(_xlfn.TEXTSPLIT($U$93,",")),U106))*1)&gt;0,"Season after calving"), "")</f>
        <v/>
      </c>
      <c r="W106" s="52" t="str" cm="1">
        <f t="array" ref="W106">_xlfn.IFS(V106="Calving season", $I$80, V106="Season after calving", $I$81, V106="", "")</f>
        <v/>
      </c>
      <c r="X106" s="52">
        <v>0</v>
      </c>
      <c r="Y106" s="52">
        <v>0</v>
      </c>
      <c r="Z106" s="52">
        <v>0</v>
      </c>
      <c r="AA106" s="52" cm="1">
        <f t="array" ref="AA106">IFERROR(MMS_PastureBeef_Soil_N2ODirect_Equations.VEERG_4_2_1_3__5_MilkProductionForCalvingSeason(V$92, $W106), 0)</f>
        <v>0</v>
      </c>
      <c r="AB106" s="52" cm="1">
        <f t="array" ref="AB106">IFERROR(MMS_PastureBeef_Soil_N2ODirect_Equations.VEERG_4_2_1_3__5_MilkProductionForCalvingSeason(W$92, $W106), 0)</f>
        <v>0</v>
      </c>
      <c r="AC106" s="52" cm="1">
        <f t="array" ref="AC106">IFERROR(MMS_PastureBeef_Soil_N2ODirect_Equations.VEERG_4_2_1_3__5_MilkProductionForCalvingSeason(X$92, $W106), 0)</f>
        <v>0</v>
      </c>
      <c r="AD106" s="52">
        <v>0</v>
      </c>
      <c r="AE106" s="52">
        <v>0</v>
      </c>
      <c r="AF106" s="52">
        <v>0</v>
      </c>
      <c r="AG106" s="52">
        <v>0</v>
      </c>
      <c r="AH106" s="2" t="str">
        <f t="shared" si="5"/>
        <v>kg/head/day</v>
      </c>
    </row>
    <row r="107" spans="3:34" ht="20.100000000000001" customHeight="1" x14ac:dyDescent="0.25">
      <c r="U107" s="52" t="str">
        <f>TEXT(EDATE('Input - Site'!$E$12,7), "mmmm")</f>
        <v>August</v>
      </c>
      <c r="V107" s="52" t="str" cm="1">
        <f t="array" ref="V107">IFERROR(_xlfn.IFS(SUMPRODUCT(ISNUMBER(SEARCH(TRIM(_xlfn.TEXTSPLIT($U$92,",")),U107))*1)&gt;0,"Calving season",SUMPRODUCT(ISNUMBER(SEARCH(TRIM(_xlfn.TEXTSPLIT($U$93,",")),U107))*1)&gt;0,"Season after calving"), "")</f>
        <v>Calving season</v>
      </c>
      <c r="W107" s="52" cm="1">
        <f t="array" ref="W107">_xlfn.IFS(V107="Calving season", $I$80, V107="Season after calving", $I$81, V107="", "")</f>
        <v>6</v>
      </c>
      <c r="X107" s="52">
        <v>0</v>
      </c>
      <c r="Y107" s="52">
        <v>0</v>
      </c>
      <c r="Z107" s="52">
        <v>0</v>
      </c>
      <c r="AA107" s="52" cm="1">
        <f t="array" ref="AA107">IFERROR(MMS_PastureBeef_Soil_N2ODirect_Equations.VEERG_4_2_1_3__5_MilkProductionForCalvingSeason(V$92, $W107), 0)</f>
        <v>4.5</v>
      </c>
      <c r="AB107" s="52" cm="1">
        <f t="array" ref="AB107">IFERROR(MMS_PastureBeef_Soil_N2ODirect_Equations.VEERG_4_2_1_3__5_MilkProductionForCalvingSeason(W$92, $W107), 0)</f>
        <v>4.5</v>
      </c>
      <c r="AC107" s="52" cm="1">
        <f t="array" ref="AC107">IFERROR(MMS_PastureBeef_Soil_N2ODirect_Equations.VEERG_4_2_1_3__5_MilkProductionForCalvingSeason(X$92, $W107), 0)</f>
        <v>4.5</v>
      </c>
      <c r="AD107" s="52">
        <v>0</v>
      </c>
      <c r="AE107" s="52">
        <v>0</v>
      </c>
      <c r="AF107" s="52">
        <v>0</v>
      </c>
      <c r="AG107" s="52">
        <v>0</v>
      </c>
      <c r="AH107" s="2" t="str">
        <f t="shared" si="5"/>
        <v>kg/head/day</v>
      </c>
    </row>
    <row r="108" spans="3:34" ht="20.100000000000001" customHeight="1" x14ac:dyDescent="0.25">
      <c r="D108" s="53" t="s">
        <v>30</v>
      </c>
      <c r="E108" s="1" t="str" cm="1">
        <f t="array" ref="E108">MMS_PastureBeef_Soil_N2ODirect_Equations.VEERG_4_2_1_3__4_NitrogenRetainedByBody_Variable()</f>
        <v>NR_jkl</v>
      </c>
      <c r="U108" s="52" t="str">
        <f>TEXT(EDATE('Input - Site'!$E$12,8), "mmmm")</f>
        <v>September</v>
      </c>
      <c r="V108" s="52" t="str" cm="1">
        <f t="array" ref="V108">IFERROR(_xlfn.IFS(SUMPRODUCT(ISNUMBER(SEARCH(TRIM(_xlfn.TEXTSPLIT($U$92,",")),U108))*1)&gt;0,"Calving season",SUMPRODUCT(ISNUMBER(SEARCH(TRIM(_xlfn.TEXTSPLIT($U$93,",")),U108))*1)&gt;0,"Season after calving"), "")</f>
        <v>Calving season</v>
      </c>
      <c r="W108" s="52" cm="1">
        <f t="array" ref="W108">_xlfn.IFS(V108="Calving season", $I$80, V108="Season after calving", $I$81, V108="", "")</f>
        <v>6</v>
      </c>
      <c r="X108" s="52">
        <v>0</v>
      </c>
      <c r="Y108" s="52">
        <v>0</v>
      </c>
      <c r="Z108" s="52">
        <v>0</v>
      </c>
      <c r="AA108" s="52" cm="1">
        <f t="array" ref="AA108">IFERROR(MMS_PastureBeef_Soil_N2ODirect_Equations.VEERG_4_2_1_3__5_MilkProductionForCalvingSeason(V$92, $W108), 0)</f>
        <v>4.5</v>
      </c>
      <c r="AB108" s="52" cm="1">
        <f t="array" ref="AB108">IFERROR(MMS_PastureBeef_Soil_N2ODirect_Equations.VEERG_4_2_1_3__5_MilkProductionForCalvingSeason(W$92, $W108), 0)</f>
        <v>4.5</v>
      </c>
      <c r="AC108" s="52" cm="1">
        <f t="array" ref="AC108">IFERROR(MMS_PastureBeef_Soil_N2ODirect_Equations.VEERG_4_2_1_3__5_MilkProductionForCalvingSeason(X$92, $W108), 0)</f>
        <v>4.5</v>
      </c>
      <c r="AD108" s="52">
        <v>0</v>
      </c>
      <c r="AE108" s="52">
        <v>0</v>
      </c>
      <c r="AF108" s="52">
        <v>0</v>
      </c>
      <c r="AG108" s="52">
        <v>0</v>
      </c>
      <c r="AH108" s="2" t="str">
        <f t="shared" si="5"/>
        <v>kg/head/day</v>
      </c>
    </row>
    <row r="109" spans="3:34" ht="20.100000000000001" customHeight="1" x14ac:dyDescent="0.25">
      <c r="D109" s="53" t="s">
        <v>20</v>
      </c>
      <c r="E109" s="54" t="str" cm="1">
        <f t="array" ref="E109">MMS_PastureBeef_Soil_N2ODirect_Equations.VEERG_4_2_1_3__4_NitrogenRetainedByBody_Unit()</f>
        <v>kg N/head/day</v>
      </c>
      <c r="U109" s="52" t="str">
        <f>TEXT(EDATE('Input - Site'!$E$12,9), "mmmm")</f>
        <v>October</v>
      </c>
      <c r="V109" s="52" t="str" cm="1">
        <f t="array" ref="V109">IFERROR(_xlfn.IFS(SUMPRODUCT(ISNUMBER(SEARCH(TRIM(_xlfn.TEXTSPLIT($U$92,",")),U109))*1)&gt;0,"Calving season",SUMPRODUCT(ISNUMBER(SEARCH(TRIM(_xlfn.TEXTSPLIT($U$93,",")),U109))*1)&gt;0,"Season after calving"), "")</f>
        <v>Calving season</v>
      </c>
      <c r="W109" s="52" cm="1">
        <f t="array" ref="W109">_xlfn.IFS(V109="Calving season", $I$80, V109="Season after calving", $I$81, V109="", "")</f>
        <v>6</v>
      </c>
      <c r="X109" s="52">
        <v>0</v>
      </c>
      <c r="Y109" s="52">
        <v>0</v>
      </c>
      <c r="Z109" s="52">
        <v>0</v>
      </c>
      <c r="AA109" s="52" cm="1">
        <f t="array" ref="AA109">IFERROR(MMS_PastureBeef_Soil_N2ODirect_Equations.VEERG_4_2_1_3__5_MilkProductionForCalvingSeason(V$92, $W109), 0)</f>
        <v>4.5</v>
      </c>
      <c r="AB109" s="52" cm="1">
        <f t="array" ref="AB109">IFERROR(MMS_PastureBeef_Soil_N2ODirect_Equations.VEERG_4_2_1_3__5_MilkProductionForCalvingSeason(W$92, $W109), 0)</f>
        <v>4.5</v>
      </c>
      <c r="AC109" s="52" cm="1">
        <f t="array" ref="AC109">IFERROR(MMS_PastureBeef_Soil_N2ODirect_Equations.VEERG_4_2_1_3__5_MilkProductionForCalvingSeason(X$92, $W109), 0)</f>
        <v>4.5</v>
      </c>
      <c r="AD109" s="52">
        <v>0</v>
      </c>
      <c r="AE109" s="52">
        <v>0</v>
      </c>
      <c r="AF109" s="52">
        <v>0</v>
      </c>
      <c r="AG109" s="52">
        <v>0</v>
      </c>
      <c r="AH109" s="2" t="str">
        <f t="shared" si="5"/>
        <v>kg/head/day</v>
      </c>
    </row>
    <row r="110" spans="3:34" ht="20.100000000000001" customHeight="1" x14ac:dyDescent="0.25">
      <c r="U110" s="52" t="str">
        <f>TEXT(EDATE('Input - Site'!$E$12,10), "mmmm")</f>
        <v>November</v>
      </c>
      <c r="V110" s="52" t="str" cm="1">
        <f t="array" ref="V110">IFERROR(_xlfn.IFS(SUMPRODUCT(ISNUMBER(SEARCH(TRIM(_xlfn.TEXTSPLIT($U$92,",")),U110))*1)&gt;0,"Calving season",SUMPRODUCT(ISNUMBER(SEARCH(TRIM(_xlfn.TEXTSPLIT($U$93,",")),U110))*1)&gt;0,"Season after calving"), "")</f>
        <v>Season after calving</v>
      </c>
      <c r="W110" s="52" cm="1">
        <f t="array" ref="W110">_xlfn.IFS(V110="Calving season", $I$80, V110="Season after calving", $I$81, V110="", "")</f>
        <v>4</v>
      </c>
      <c r="X110" s="52">
        <v>0</v>
      </c>
      <c r="Y110" s="52">
        <v>0</v>
      </c>
      <c r="Z110" s="52">
        <v>0</v>
      </c>
      <c r="AA110" s="52" cm="1">
        <f t="array" ref="AA110">IFERROR(MMS_PastureBeef_Soil_N2ODirect_Equations.VEERG_4_2_1_3__5_MilkProductionForCalvingSeason(V$92, $W110), 0)</f>
        <v>3</v>
      </c>
      <c r="AB110" s="52" cm="1">
        <f t="array" ref="AB110">IFERROR(MMS_PastureBeef_Soil_N2ODirect_Equations.VEERG_4_2_1_3__5_MilkProductionForCalvingSeason(W$92, $W110), 0)</f>
        <v>3</v>
      </c>
      <c r="AC110" s="52" cm="1">
        <f t="array" ref="AC110">IFERROR(MMS_PastureBeef_Soil_N2ODirect_Equations.VEERG_4_2_1_3__5_MilkProductionForCalvingSeason(X$92, $W110), 0)</f>
        <v>3</v>
      </c>
      <c r="AD110" s="52">
        <v>0</v>
      </c>
      <c r="AE110" s="52">
        <v>0</v>
      </c>
      <c r="AF110" s="52">
        <v>0</v>
      </c>
      <c r="AG110" s="52">
        <v>0</v>
      </c>
      <c r="AH110" s="2" t="str">
        <f t="shared" si="5"/>
        <v>kg/head/day</v>
      </c>
    </row>
    <row r="111" spans="3:34" ht="20.100000000000001" customHeight="1" x14ac:dyDescent="0.25">
      <c r="D111" s="119" t="str" cm="1">
        <f t="array" ref="D111:E114">_xlfn.CHOOSECOLS(MMS_PastureBeef_Soil_N2ODirect_Equations.VEERG_4_2_1_3__4_NitrogenRetainedByBody_Arguments(),1,2)</f>
        <v>MP_jk5</v>
      </c>
      <c r="E111" s="124" t="str">
        <v>milk production (kg/head/day)</v>
      </c>
      <c r="F111" s="123"/>
      <c r="G111" s="119" t="str" cm="1">
        <f t="array" ref="G111:H114">_xlfn.CHOOSECOLS(MMS_PastureBeef_Soil_N2ODirect_Equations.VEERG_4_2_1_3__4_NitrogenRetainedByBody_Arguments(),3,4)</f>
        <v>kg/head/day</v>
      </c>
      <c r="H111" s="120" t="str">
        <v>Calculated from 4.2.1.3 (5)</v>
      </c>
      <c r="I111" s="118" t="str" cm="1">
        <f t="array" aca="1" ref="I111" ca="1">HYPERLINK(Common_InputFunctions.Utility_SourceHyperlinkDifferentSheet($D$92), $D$92)</f>
        <v>M1_Table_MP_j_k-4-5</v>
      </c>
      <c r="U111" s="52" t="str">
        <f>TEXT(EDATE('Input - Site'!$E$12,11), "mmmm")</f>
        <v>December</v>
      </c>
      <c r="V111" s="52" t="str" cm="1">
        <f t="array" ref="V111">IFERROR(_xlfn.IFS(SUMPRODUCT(ISNUMBER(SEARCH(TRIM(_xlfn.TEXTSPLIT($U$92,",")),U111))*1)&gt;0,"Calving season",SUMPRODUCT(ISNUMBER(SEARCH(TRIM(_xlfn.TEXTSPLIT($U$93,",")),U111))*1)&gt;0,"Season after calving"), "")</f>
        <v>Season after calving</v>
      </c>
      <c r="W111" s="52" cm="1">
        <f t="array" ref="W111">_xlfn.IFS(V111="Calving season", $I$80, V111="Season after calving", $I$81, V111="", "")</f>
        <v>4</v>
      </c>
      <c r="X111" s="52">
        <v>0</v>
      </c>
      <c r="Y111" s="52">
        <v>0</v>
      </c>
      <c r="Z111" s="52">
        <v>0</v>
      </c>
      <c r="AA111" s="52" cm="1">
        <f t="array" ref="AA111">IFERROR(MMS_PastureBeef_Soil_N2ODirect_Equations.VEERG_4_2_1_3__5_MilkProductionForCalvingSeason(V$92, $W111), 0)</f>
        <v>3</v>
      </c>
      <c r="AB111" s="52" cm="1">
        <f t="array" ref="AB111">IFERROR(MMS_PastureBeef_Soil_N2ODirect_Equations.VEERG_4_2_1_3__5_MilkProductionForCalvingSeason(W$92, $W111), 0)</f>
        <v>3</v>
      </c>
      <c r="AC111" s="52" cm="1">
        <f t="array" ref="AC111">IFERROR(MMS_PastureBeef_Soil_N2ODirect_Equations.VEERG_4_2_1_3__5_MilkProductionForCalvingSeason(X$92, $W111), 0)</f>
        <v>3</v>
      </c>
      <c r="AD111" s="52">
        <v>0</v>
      </c>
      <c r="AE111" s="52">
        <v>0</v>
      </c>
      <c r="AF111" s="52">
        <v>0</v>
      </c>
      <c r="AG111" s="52">
        <v>0</v>
      </c>
      <c r="AH111" s="2" t="str">
        <f t="shared" si="5"/>
        <v>kg/head/day</v>
      </c>
    </row>
    <row r="112" spans="3:34" ht="20.100000000000001" customHeight="1" x14ac:dyDescent="0.25">
      <c r="D112" s="119" t="str">
        <v>L_jkl</v>
      </c>
      <c r="E112" s="124" t="str">
        <v>intake relative to that needed for maintenance</v>
      </c>
      <c r="F112" s="123"/>
      <c r="G112" s="119" t="str">
        <v/>
      </c>
      <c r="H112" s="120" t="str">
        <v>Calculated from 4.2.1.3 (6)</v>
      </c>
      <c r="I112" s="118" t="str" cm="1">
        <f t="array" aca="1" ref="I112" ca="1">HYPERLINK(Common_InputFunctions.Utility_SourceHyperlink($D$59), $D$59)</f>
        <v>M1_Table_L_j_k_l</v>
      </c>
    </row>
    <row r="113" spans="4:35" ht="20.100000000000001" customHeight="1" x14ac:dyDescent="0.25">
      <c r="D113" s="119" t="str">
        <v>Z_jkl</v>
      </c>
      <c r="E113" s="124" t="str">
        <v>relative size</v>
      </c>
      <c r="F113" s="123"/>
      <c r="G113" s="119" t="str">
        <v/>
      </c>
      <c r="H113" s="120" t="str">
        <v>Calculated from 4.2.1.3 (7)</v>
      </c>
      <c r="I113" s="118" t="str" cm="1">
        <f t="array" aca="1" ref="I113" ca="1">HYPERLINK(Common_InputFunctions.Utility_SourceHyperlink($D$30), $D$30)</f>
        <v>M1_Table_Z_j_k_l</v>
      </c>
    </row>
    <row r="114" spans="4:35" ht="20.100000000000001" customHeight="1" x14ac:dyDescent="0.25">
      <c r="D114" s="119" t="str">
        <v>LWG_jkl</v>
      </c>
      <c r="E114" s="124" t="str">
        <v>liveweight gain (kg/head/day)</v>
      </c>
      <c r="F114" s="123"/>
      <c r="G114" s="119" t="str">
        <v>kg/head/day</v>
      </c>
      <c r="H114" s="121" t="str">
        <v>Input</v>
      </c>
      <c r="I114" s="118" t="str" cm="1">
        <f t="array" aca="1" ref="I114" ca="1">HYPERLINK(Common_InputFunctions.Utility_SourceHyperlink($D$116), $D$116)</f>
        <v>M1_Table_LWG_j_k_l</v>
      </c>
      <c r="T114" s="45"/>
      <c r="U114" s="45"/>
      <c r="V114" s="45"/>
      <c r="W114" s="45"/>
      <c r="X114" s="45"/>
      <c r="Y114" s="45"/>
      <c r="Z114" s="45"/>
      <c r="AA114" s="45"/>
      <c r="AB114" s="45"/>
      <c r="AC114" s="45"/>
      <c r="AD114" s="45"/>
      <c r="AE114" s="45"/>
      <c r="AF114" s="45"/>
      <c r="AG114" s="45"/>
      <c r="AH114" s="45"/>
      <c r="AI114" s="45"/>
    </row>
    <row r="115" spans="4:35" ht="20.100000000000001" customHeight="1" x14ac:dyDescent="0.25">
      <c r="U115" s="6" t="str" cm="1">
        <f t="array" ref="U115">MMS_PastureBeef_Soil_N2ODirect_Equations.VEERG_4_2_1_3__4_NitrogenRetainedByBody_Title()</f>
        <v>Amount of nitrogen retained by the body</v>
      </c>
    </row>
    <row r="116" spans="4:35" ht="20.100000000000001" customHeight="1" x14ac:dyDescent="0.25">
      <c r="D116" s="98" t="s">
        <v>242</v>
      </c>
    </row>
    <row r="117" spans="4:35" ht="20.100000000000001" customHeight="1" x14ac:dyDescent="0.25">
      <c r="D117" s="97" t="s">
        <v>243</v>
      </c>
      <c r="U117" s="98" t="s">
        <v>256</v>
      </c>
    </row>
    <row r="118" spans="4:35" ht="20.100000000000001" customHeight="1" x14ac:dyDescent="0.25">
      <c r="D118" s="51" t="s">
        <v>184</v>
      </c>
      <c r="E118" s="122" t="s">
        <v>131</v>
      </c>
      <c r="F118" s="122" t="s">
        <v>130</v>
      </c>
      <c r="G118" s="122" t="s">
        <v>165</v>
      </c>
      <c r="H118" s="122" t="s">
        <v>166</v>
      </c>
      <c r="I118" s="122" t="s">
        <v>167</v>
      </c>
      <c r="J118" s="122" t="s">
        <v>168</v>
      </c>
      <c r="K118" s="122" t="s">
        <v>169</v>
      </c>
      <c r="L118" s="122" t="s">
        <v>170</v>
      </c>
      <c r="M118" s="122" t="s">
        <v>171</v>
      </c>
      <c r="N118" s="122" t="s">
        <v>172</v>
      </c>
      <c r="U118" s="97" t="s">
        <v>257</v>
      </c>
    </row>
    <row r="119" spans="4:35" ht="20.100000000000001" customHeight="1" x14ac:dyDescent="0.25">
      <c r="D119" s="52" t="str">
        <f>'Input - Pasture Beef'!D82</f>
        <v>Spring</v>
      </c>
      <c r="E119" s="52" cm="1">
        <f t="array" aca="1" ref="E119:N122" ca="1">OFFSET(X_Table_PastureBeef_LiveweightGain_Method1, 1,1, 4,10)</f>
        <v>1.64</v>
      </c>
      <c r="F119" s="52">
        <f ca="1"/>
        <v>1.1000000000000001</v>
      </c>
      <c r="G119" s="52">
        <f ca="1"/>
        <v>1.21</v>
      </c>
      <c r="H119" s="52">
        <f ca="1"/>
        <v>0.99</v>
      </c>
      <c r="I119" s="52">
        <f ca="1"/>
        <v>0.66</v>
      </c>
      <c r="J119" s="52">
        <f ca="1"/>
        <v>0.66</v>
      </c>
      <c r="K119" s="52">
        <f ca="1"/>
        <v>1.42</v>
      </c>
      <c r="L119" s="52">
        <f ca="1"/>
        <v>1.1000000000000001</v>
      </c>
      <c r="M119" s="52">
        <f ca="1"/>
        <v>1.1000000000000001</v>
      </c>
      <c r="N119" s="52">
        <f ca="1"/>
        <v>1.1000000000000001</v>
      </c>
      <c r="O119" s="2" t="s">
        <v>133</v>
      </c>
      <c r="U119" s="51" t="s">
        <v>132</v>
      </c>
      <c r="V119" s="122" t="s">
        <v>131</v>
      </c>
      <c r="W119" s="122" t="s">
        <v>130</v>
      </c>
      <c r="X119" s="122" t="s">
        <v>165</v>
      </c>
      <c r="Y119" s="122" t="s">
        <v>166</v>
      </c>
      <c r="Z119" s="122" t="s">
        <v>167</v>
      </c>
      <c r="AA119" s="122" t="s">
        <v>168</v>
      </c>
      <c r="AB119" s="122" t="s">
        <v>169</v>
      </c>
      <c r="AC119" s="122" t="s">
        <v>170</v>
      </c>
      <c r="AD119" s="122" t="s">
        <v>171</v>
      </c>
      <c r="AE119" s="122" t="s">
        <v>172</v>
      </c>
    </row>
    <row r="120" spans="4:35" ht="20.100000000000001" customHeight="1" x14ac:dyDescent="0.25">
      <c r="D120" s="52" t="str">
        <f>'Input - Pasture Beef'!D83</f>
        <v>Summer</v>
      </c>
      <c r="E120" s="52">
        <f ca="1"/>
        <v>0.44</v>
      </c>
      <c r="F120" s="52">
        <f ca="1"/>
        <v>-0.22</v>
      </c>
      <c r="G120" s="52">
        <f ca="1"/>
        <v>0.44</v>
      </c>
      <c r="H120" s="52">
        <f ca="1"/>
        <v>0.33</v>
      </c>
      <c r="I120" s="52">
        <f ca="1"/>
        <v>-0.22</v>
      </c>
      <c r="J120" s="52">
        <f ca="1"/>
        <v>-0.22</v>
      </c>
      <c r="K120" s="52">
        <f ca="1"/>
        <v>0.44</v>
      </c>
      <c r="L120" s="52">
        <f ca="1"/>
        <v>-0.11</v>
      </c>
      <c r="M120" s="52">
        <f ca="1"/>
        <v>-0.11</v>
      </c>
      <c r="N120" s="52">
        <f ca="1"/>
        <v>-0.11</v>
      </c>
      <c r="O120" s="2" t="s">
        <v>133</v>
      </c>
      <c r="U120" s="52" t="str">
        <f>TEXT('Input - Site'!$E$12, "mmmm yyyy")</f>
        <v>January 2024</v>
      </c>
      <c r="V120" s="52" cm="1">
        <f t="array" aca="1" ref="V120:AE131" ca="1">OFFSET(X_Table_PastureBeef_LiveweightGain_Method2, 1,1, 12,10)</f>
        <v>0.44</v>
      </c>
      <c r="W120" s="52">
        <f ca="1"/>
        <v>-0.22</v>
      </c>
      <c r="X120" s="52">
        <f ca="1"/>
        <v>0.44</v>
      </c>
      <c r="Y120" s="52">
        <f ca="1"/>
        <v>0.33</v>
      </c>
      <c r="Z120" s="52">
        <f ca="1"/>
        <v>-0.22</v>
      </c>
      <c r="AA120" s="52">
        <f ca="1"/>
        <v>-0.22</v>
      </c>
      <c r="AB120" s="52">
        <f ca="1"/>
        <v>0.44</v>
      </c>
      <c r="AC120" s="52">
        <f ca="1"/>
        <v>-0.11</v>
      </c>
      <c r="AD120" s="52">
        <f ca="1"/>
        <v>-0.11</v>
      </c>
      <c r="AE120" s="52">
        <f ca="1"/>
        <v>-0.11</v>
      </c>
      <c r="AF120" s="2" t="s">
        <v>134</v>
      </c>
      <c r="AG120" s="2"/>
      <c r="AH120" s="2"/>
    </row>
    <row r="121" spans="4:35" ht="20.100000000000001" customHeight="1" x14ac:dyDescent="0.25">
      <c r="D121" s="52" t="str">
        <f>'Input - Pasture Beef'!D84</f>
        <v>Autumn</v>
      </c>
      <c r="E121" s="52">
        <f ca="1"/>
        <v>0.6</v>
      </c>
      <c r="F121" s="52">
        <f ca="1"/>
        <v>0</v>
      </c>
      <c r="G121" s="52">
        <f ca="1"/>
        <v>0.6</v>
      </c>
      <c r="H121" s="52">
        <f ca="1"/>
        <v>0.22</v>
      </c>
      <c r="I121" s="52">
        <f ca="1"/>
        <v>-0.55000000000000004</v>
      </c>
      <c r="J121" s="52">
        <f ca="1"/>
        <v>-0.55000000000000004</v>
      </c>
      <c r="K121" s="52">
        <f ca="1"/>
        <v>0.6</v>
      </c>
      <c r="L121" s="52">
        <f ca="1"/>
        <v>0</v>
      </c>
      <c r="M121" s="52">
        <f ca="1"/>
        <v>0</v>
      </c>
      <c r="N121" s="52">
        <f ca="1"/>
        <v>0</v>
      </c>
      <c r="O121" s="2" t="s">
        <v>133</v>
      </c>
      <c r="U121" s="52" t="str">
        <f>TEXT(EDATE('Input - Site'!$E$12,1), "mmmm yyyy")</f>
        <v>February 2024</v>
      </c>
      <c r="V121" s="52">
        <f ca="1"/>
        <v>0.44</v>
      </c>
      <c r="W121" s="52">
        <f ca="1"/>
        <v>-0.22</v>
      </c>
      <c r="X121" s="52">
        <f ca="1"/>
        <v>0.44</v>
      </c>
      <c r="Y121" s="52">
        <f ca="1"/>
        <v>0.33</v>
      </c>
      <c r="Z121" s="52">
        <f ca="1"/>
        <v>-0.22</v>
      </c>
      <c r="AA121" s="52">
        <f ca="1"/>
        <v>-0.22</v>
      </c>
      <c r="AB121" s="52">
        <f ca="1"/>
        <v>0.44</v>
      </c>
      <c r="AC121" s="52">
        <f ca="1"/>
        <v>-0.11</v>
      </c>
      <c r="AD121" s="52">
        <f ca="1"/>
        <v>-0.11</v>
      </c>
      <c r="AE121" s="52">
        <f ca="1"/>
        <v>-0.11</v>
      </c>
      <c r="AF121" s="2" t="s">
        <v>134</v>
      </c>
      <c r="AG121" s="2"/>
      <c r="AH121" s="2"/>
    </row>
    <row r="122" spans="4:35" ht="20.100000000000001" customHeight="1" x14ac:dyDescent="0.25">
      <c r="D122" s="52" t="str">
        <f>'Input - Pasture Beef'!D85</f>
        <v>Winter</v>
      </c>
      <c r="E122" s="52">
        <f ca="1"/>
        <v>0.99</v>
      </c>
      <c r="F122" s="52">
        <f ca="1"/>
        <v>0.22</v>
      </c>
      <c r="G122" s="52">
        <f ca="1"/>
        <v>0.77</v>
      </c>
      <c r="H122" s="52">
        <f ca="1"/>
        <v>0.11</v>
      </c>
      <c r="I122" s="52">
        <f ca="1"/>
        <v>0.11</v>
      </c>
      <c r="J122" s="52">
        <f ca="1"/>
        <v>0.11</v>
      </c>
      <c r="K122" s="52">
        <f ca="1"/>
        <v>0.77</v>
      </c>
      <c r="L122" s="52">
        <f ca="1"/>
        <v>0.44</v>
      </c>
      <c r="M122" s="52">
        <f ca="1"/>
        <v>0.44</v>
      </c>
      <c r="N122" s="52">
        <f ca="1"/>
        <v>0.44</v>
      </c>
      <c r="O122" s="2" t="s">
        <v>133</v>
      </c>
      <c r="U122" s="52" t="str">
        <f>TEXT(EDATE('Input - Site'!$E$12,2), "mmmm yyyy")</f>
        <v>March 2024</v>
      </c>
      <c r="V122" s="52">
        <f ca="1"/>
        <v>0.6</v>
      </c>
      <c r="W122" s="52">
        <f ca="1"/>
        <v>0</v>
      </c>
      <c r="X122" s="52">
        <f ca="1"/>
        <v>0.6</v>
      </c>
      <c r="Y122" s="52">
        <f ca="1"/>
        <v>0.22</v>
      </c>
      <c r="Z122" s="52">
        <f ca="1"/>
        <v>-0.55000000000000004</v>
      </c>
      <c r="AA122" s="52">
        <f ca="1"/>
        <v>-0.55000000000000004</v>
      </c>
      <c r="AB122" s="52">
        <f ca="1"/>
        <v>0.6</v>
      </c>
      <c r="AC122" s="52">
        <f ca="1"/>
        <v>0</v>
      </c>
      <c r="AD122" s="52">
        <f ca="1"/>
        <v>0</v>
      </c>
      <c r="AE122" s="52">
        <f ca="1"/>
        <v>0</v>
      </c>
      <c r="AF122" s="2" t="s">
        <v>134</v>
      </c>
      <c r="AG122" s="2"/>
      <c r="AH122" s="2"/>
    </row>
    <row r="123" spans="4:35" ht="20.100000000000001" customHeight="1" x14ac:dyDescent="0.25">
      <c r="U123" s="52" t="str">
        <f>TEXT(EDATE('Input - Site'!$E$12,3), "mmmm yyyy")</f>
        <v>April 2024</v>
      </c>
      <c r="V123" s="52">
        <f ca="1"/>
        <v>0.6</v>
      </c>
      <c r="W123" s="52">
        <f ca="1"/>
        <v>0</v>
      </c>
      <c r="X123" s="52">
        <f ca="1"/>
        <v>0.6</v>
      </c>
      <c r="Y123" s="52">
        <f ca="1"/>
        <v>0.22</v>
      </c>
      <c r="Z123" s="52">
        <f ca="1"/>
        <v>-0.55000000000000004</v>
      </c>
      <c r="AA123" s="52">
        <f ca="1"/>
        <v>-0.55000000000000004</v>
      </c>
      <c r="AB123" s="52">
        <f ca="1"/>
        <v>0.6</v>
      </c>
      <c r="AC123" s="52">
        <f ca="1"/>
        <v>0</v>
      </c>
      <c r="AD123" s="52">
        <f ca="1"/>
        <v>0</v>
      </c>
      <c r="AE123" s="52">
        <f ca="1"/>
        <v>0</v>
      </c>
      <c r="AF123" s="2" t="s">
        <v>134</v>
      </c>
      <c r="AG123" s="2"/>
      <c r="AH123" s="2"/>
    </row>
    <row r="124" spans="4:35" ht="20.100000000000001" customHeight="1" x14ac:dyDescent="0.25">
      <c r="D124" s="98" t="s">
        <v>294</v>
      </c>
      <c r="U124" s="52" t="str">
        <f>TEXT(EDATE('Input - Site'!$E$12,4), "mmmm yyyy")</f>
        <v>May 2024</v>
      </c>
      <c r="V124" s="52">
        <f ca="1"/>
        <v>0.6</v>
      </c>
      <c r="W124" s="52">
        <f ca="1"/>
        <v>0</v>
      </c>
      <c r="X124" s="52">
        <f ca="1"/>
        <v>0.6</v>
      </c>
      <c r="Y124" s="52">
        <f ca="1"/>
        <v>0.22</v>
      </c>
      <c r="Z124" s="52">
        <f ca="1"/>
        <v>-0.55000000000000004</v>
      </c>
      <c r="AA124" s="52">
        <f ca="1"/>
        <v>-0.55000000000000004</v>
      </c>
      <c r="AB124" s="52">
        <f ca="1"/>
        <v>0.6</v>
      </c>
      <c r="AC124" s="52">
        <f ca="1"/>
        <v>0</v>
      </c>
      <c r="AD124" s="52">
        <f ca="1"/>
        <v>0</v>
      </c>
      <c r="AE124" s="52">
        <f ca="1"/>
        <v>0</v>
      </c>
      <c r="AF124" s="2" t="s">
        <v>134</v>
      </c>
      <c r="AG124" s="2"/>
      <c r="AH124" s="2"/>
    </row>
    <row r="125" spans="4:35" ht="20.100000000000001" customHeight="1" x14ac:dyDescent="0.25">
      <c r="D125" s="97" t="s">
        <v>295</v>
      </c>
      <c r="U125" s="52" t="str">
        <f>TEXT(EDATE('Input - Site'!$E$12,5), "mmmm yyyy")</f>
        <v>June 2024</v>
      </c>
      <c r="V125" s="52">
        <f ca="1"/>
        <v>0.99</v>
      </c>
      <c r="W125" s="52">
        <f ca="1"/>
        <v>0.22</v>
      </c>
      <c r="X125" s="52">
        <f ca="1"/>
        <v>0.77</v>
      </c>
      <c r="Y125" s="52">
        <f ca="1"/>
        <v>0.11</v>
      </c>
      <c r="Z125" s="52">
        <f ca="1"/>
        <v>0.11</v>
      </c>
      <c r="AA125" s="52">
        <f ca="1"/>
        <v>0.11</v>
      </c>
      <c r="AB125" s="52">
        <f ca="1"/>
        <v>0.77</v>
      </c>
      <c r="AC125" s="52">
        <f ca="1"/>
        <v>0.44</v>
      </c>
      <c r="AD125" s="52">
        <f ca="1"/>
        <v>0.44</v>
      </c>
      <c r="AE125" s="52">
        <f ca="1"/>
        <v>0.44</v>
      </c>
      <c r="AF125" s="2" t="s">
        <v>134</v>
      </c>
      <c r="AG125" s="2"/>
      <c r="AH125" s="2"/>
    </row>
    <row r="126" spans="4:35" ht="20.100000000000001" customHeight="1" x14ac:dyDescent="0.25">
      <c r="D126" s="51" t="s">
        <v>184</v>
      </c>
      <c r="E126" s="51" t="s">
        <v>131</v>
      </c>
      <c r="F126" s="51" t="s">
        <v>130</v>
      </c>
      <c r="G126" s="51" t="s">
        <v>165</v>
      </c>
      <c r="H126" s="51" t="s">
        <v>166</v>
      </c>
      <c r="I126" s="51" t="s">
        <v>167</v>
      </c>
      <c r="J126" s="51" t="s">
        <v>168</v>
      </c>
      <c r="K126" s="51" t="s">
        <v>169</v>
      </c>
      <c r="L126" s="51" t="s">
        <v>170</v>
      </c>
      <c r="M126" s="51" t="s">
        <v>171</v>
      </c>
      <c r="N126" s="51" t="s">
        <v>172</v>
      </c>
      <c r="U126" s="52" t="str">
        <f>TEXT(EDATE('Input - Site'!$E$12,6), "mmmm yyyy")</f>
        <v>July 2024</v>
      </c>
      <c r="V126" s="52">
        <f ca="1"/>
        <v>0.99</v>
      </c>
      <c r="W126" s="52">
        <f ca="1"/>
        <v>0.22</v>
      </c>
      <c r="X126" s="52">
        <f ca="1"/>
        <v>0.77</v>
      </c>
      <c r="Y126" s="52">
        <f ca="1"/>
        <v>0.11</v>
      </c>
      <c r="Z126" s="52">
        <f ca="1"/>
        <v>0.11</v>
      </c>
      <c r="AA126" s="52">
        <f ca="1"/>
        <v>0.11</v>
      </c>
      <c r="AB126" s="52">
        <f ca="1"/>
        <v>0.77</v>
      </c>
      <c r="AC126" s="52">
        <f ca="1"/>
        <v>0.44</v>
      </c>
      <c r="AD126" s="52">
        <f ca="1"/>
        <v>0.44</v>
      </c>
      <c r="AE126" s="52">
        <f ca="1"/>
        <v>0.44</v>
      </c>
      <c r="AF126" s="2" t="s">
        <v>134</v>
      </c>
      <c r="AG126" s="2"/>
      <c r="AH126" s="2"/>
    </row>
    <row r="127" spans="4:35" ht="20.100000000000001" customHeight="1" x14ac:dyDescent="0.25">
      <c r="D127" s="52" t="s">
        <v>173</v>
      </c>
      <c r="E127" s="52" cm="1">
        <f t="array" aca="1" ref="E127" ca="1">MMS_PastureBeef_Soil_N2ODirect_Equations.VEERG_4_2_1_3__4_NitrogenRetainedByBody(G95,E62,E33,E119)</f>
        <v>3.2631583658999173E-2</v>
      </c>
      <c r="F127" s="52" cm="1">
        <f t="array" aca="1" ref="F127" ca="1">MMS_PastureBeef_Soil_N2ODirect_Equations.VEERG_4_2_1_3__4_NitrogenRetainedByBody(H95,F62,F33,F119)</f>
        <v>1.2159206080141413E-2</v>
      </c>
      <c r="G127" s="52" cm="1">
        <f t="array" aca="1" ref="G127" ca="1">MMS_PastureBeef_Soil_N2ODirect_Equations.VEERG_4_2_1_3__4_NitrogenRetainedByBody(I95,G62,G33,G119)</f>
        <v>2.2961722562736007E-2</v>
      </c>
      <c r="H127" s="52" cm="1">
        <f t="array" aca="1" ref="H127" ca="1">MMS_PastureBeef_Soil_N2ODirect_Equations.VEERG_4_2_1_3__4_NitrogenRetainedByBody(J95,H62,H33,H119)</f>
        <v>2.6678723656787657E-2</v>
      </c>
      <c r="I127" s="52" cm="1">
        <f t="array" aca="1" ref="I127" ca="1">MMS_PastureBeef_Soil_N2ODirect_Equations.VEERG_4_2_1_3__4_NitrogenRetainedByBody(K95,I62,I33,I119)</f>
        <v>1.7401604737232124E-2</v>
      </c>
      <c r="J127" s="52" cm="1">
        <f t="array" aca="1" ref="J127" ca="1">MMS_PastureBeef_Soil_N2ODirect_Equations.VEERG_4_2_1_3__4_NitrogenRetainedByBody(L95,J62,J33,J119)</f>
        <v>1.7401604737232124E-2</v>
      </c>
      <c r="K127" s="52" cm="1">
        <f t="array" aca="1" ref="K127" ca="1">MMS_PastureBeef_Soil_N2ODirect_Equations.VEERG_4_2_1_3__4_NitrogenRetainedByBody(M95,K62,K33,K119)</f>
        <v>2.7711640554981157E-2</v>
      </c>
      <c r="L127" s="52" cm="1">
        <f t="array" aca="1" ref="L127" ca="1">MMS_PastureBeef_Soil_N2ODirect_Equations.VEERG_4_2_1_3__4_NitrogenRetainedByBody(N95,L62,L33,L119)</f>
        <v>1.4565147934229335E-2</v>
      </c>
      <c r="M127" s="52" cm="1">
        <f t="array" aca="1" ref="M127" ca="1">MMS_PastureBeef_Soil_N2ODirect_Equations.VEERG_4_2_1_3__4_NitrogenRetainedByBody(O95,M62,M33,M119)</f>
        <v>1.4565147934229335E-2</v>
      </c>
      <c r="N127" s="52" cm="1">
        <f t="array" aca="1" ref="N127" ca="1">MMS_PastureBeef_Soil_N2ODirect_Equations.VEERG_4_2_1_3__4_NitrogenRetainedByBody(P95,N62,N33,N119)</f>
        <v>1.4565147934229335E-2</v>
      </c>
      <c r="O127" s="2" t="str">
        <f>$E$109</f>
        <v>kg N/head/day</v>
      </c>
      <c r="U127" s="52" t="str">
        <f>TEXT(EDATE('Input - Site'!$E$12,7), "mmmm yyyy")</f>
        <v>August 2024</v>
      </c>
      <c r="V127" s="52">
        <f ca="1"/>
        <v>0.99</v>
      </c>
      <c r="W127" s="52">
        <f ca="1"/>
        <v>0.22</v>
      </c>
      <c r="X127" s="52">
        <f ca="1"/>
        <v>0.77</v>
      </c>
      <c r="Y127" s="52">
        <f ca="1"/>
        <v>0.11</v>
      </c>
      <c r="Z127" s="52">
        <f ca="1"/>
        <v>0.11</v>
      </c>
      <c r="AA127" s="52">
        <f ca="1"/>
        <v>0.11</v>
      </c>
      <c r="AB127" s="52">
        <f ca="1"/>
        <v>0.77</v>
      </c>
      <c r="AC127" s="52">
        <f ca="1"/>
        <v>0.44</v>
      </c>
      <c r="AD127" s="52">
        <f ca="1"/>
        <v>0.44</v>
      </c>
      <c r="AE127" s="52">
        <f ca="1"/>
        <v>0.44</v>
      </c>
      <c r="AF127" s="2" t="s">
        <v>134</v>
      </c>
      <c r="AG127" s="2"/>
      <c r="AH127" s="2"/>
    </row>
    <row r="128" spans="4:35" ht="20.100000000000001" customHeight="1" x14ac:dyDescent="0.25">
      <c r="D128" s="52" t="s">
        <v>174</v>
      </c>
      <c r="E128" s="52" cm="1">
        <f t="array" aca="1" ref="E128" ca="1">MMS_PastureBeef_Soil_N2ODirect_Equations.VEERG_4_2_1_3__4_NitrogenRetainedByBody(G96,E63,E34,E120)</f>
        <v>8.1246865273940476E-3</v>
      </c>
      <c r="F128" s="52" cm="1">
        <f t="array" aca="1" ref="F128" ca="1">MMS_PastureBeef_Soil_N2ODirect_Equations.VEERG_4_2_1_3__4_NitrogenRetainedByBody(H96,F63,F34,F120)</f>
        <v>-2.4500809510830074E-3</v>
      </c>
      <c r="G128" s="52" cm="1">
        <f t="array" aca="1" ref="G128" ca="1">MMS_PastureBeef_Soil_N2ODirect_Equations.VEERG_4_2_1_3__4_NitrogenRetainedByBody(I96,G63,G34,G120)</f>
        <v>7.4692204769955996E-3</v>
      </c>
      <c r="H128" s="52" cm="1">
        <f t="array" aca="1" ref="H128" ca="1">MMS_PastureBeef_Soil_N2ODirect_Equations.VEERG_4_2_1_3__4_NitrogenRetainedByBody(J96,H63,H34,H120)</f>
        <v>4.0347172063606223E-3</v>
      </c>
      <c r="I128" s="52" cm="1">
        <f t="array" aca="1" ref="I128" ca="1">MMS_PastureBeef_Soil_N2ODirect_Equations.VEERG_4_2_1_3__4_NitrogenRetainedByBody(K96,I63,I34,I120)</f>
        <v>-2.4892646670301153E-3</v>
      </c>
      <c r="J128" s="52" cm="1">
        <f t="array" aca="1" ref="J128" ca="1">MMS_PastureBeef_Soil_N2ODirect_Equations.VEERG_4_2_1_3__4_NitrogenRetainedByBody(L96,J63,J34,J120)</f>
        <v>-2.4892646670301153E-3</v>
      </c>
      <c r="K128" s="52" cm="1">
        <f t="array" aca="1" ref="K128" ca="1">MMS_PastureBeef_Soil_N2ODirect_Equations.VEERG_4_2_1_3__4_NitrogenRetainedByBody(M96,K63,K34,K120)</f>
        <v>7.842975342880058E-3</v>
      </c>
      <c r="L128" s="52" cm="1">
        <f t="array" aca="1" ref="L128" ca="1">MMS_PastureBeef_Soil_N2ODirect_Equations.VEERG_4_2_1_3__4_NitrogenRetainedByBody(N96,L63,L34,L120)</f>
        <v>-1.4855230625479237E-3</v>
      </c>
      <c r="M128" s="52" cm="1">
        <f t="array" aca="1" ref="M128" ca="1">MMS_PastureBeef_Soil_N2ODirect_Equations.VEERG_4_2_1_3__4_NitrogenRetainedByBody(O96,M63,M34,M120)</f>
        <v>-1.4855230625479237E-3</v>
      </c>
      <c r="N128" s="52" cm="1">
        <f t="array" aca="1" ref="N128" ca="1">MMS_PastureBeef_Soil_N2ODirect_Equations.VEERG_4_2_1_3__4_NitrogenRetainedByBody(P96,N63,N34,N120)</f>
        <v>-1.4855230625479237E-3</v>
      </c>
      <c r="O128" s="2" t="str">
        <f t="shared" ref="O128:O130" si="6">$E$109</f>
        <v>kg N/head/day</v>
      </c>
      <c r="U128" s="52" t="str">
        <f>TEXT(EDATE('Input - Site'!$E$12,8), "mmmm yyyy")</f>
        <v>September 2024</v>
      </c>
      <c r="V128" s="52">
        <f ca="1"/>
        <v>1.64</v>
      </c>
      <c r="W128" s="52">
        <f ca="1"/>
        <v>1.1000000000000001</v>
      </c>
      <c r="X128" s="52">
        <f ca="1"/>
        <v>1.21</v>
      </c>
      <c r="Y128" s="52">
        <f ca="1"/>
        <v>0.99</v>
      </c>
      <c r="Z128" s="52">
        <f ca="1"/>
        <v>0.66</v>
      </c>
      <c r="AA128" s="52">
        <f ca="1"/>
        <v>0.66</v>
      </c>
      <c r="AB128" s="52">
        <f ca="1"/>
        <v>1.42</v>
      </c>
      <c r="AC128" s="52">
        <f ca="1"/>
        <v>1.1000000000000001</v>
      </c>
      <c r="AD128" s="52">
        <f ca="1"/>
        <v>1.1000000000000001</v>
      </c>
      <c r="AE128" s="52">
        <f ca="1"/>
        <v>1.1000000000000001</v>
      </c>
      <c r="AF128" s="2" t="s">
        <v>134</v>
      </c>
      <c r="AG128" s="2"/>
      <c r="AH128" s="2"/>
    </row>
    <row r="129" spans="3:34" ht="20.100000000000001" customHeight="1" x14ac:dyDescent="0.25">
      <c r="D129" s="52" t="s">
        <v>175</v>
      </c>
      <c r="E129" s="52" cm="1">
        <f t="array" aca="1" ref="E129" ca="1">MMS_PastureBeef_Soil_N2ODirect_Equations.VEERG_4_2_1_3__4_NitrogenRetainedByBody(G97,E64,E35,E121)</f>
        <v>1.7126010126251881E-2</v>
      </c>
      <c r="F129" s="52" cm="1">
        <f t="array" aca="1" ref="F129" ca="1">MMS_PastureBeef_Soil_N2ODirect_Equations.VEERG_4_2_1_3__4_NitrogenRetainedByBody(H97,F64,F35,F121)</f>
        <v>0</v>
      </c>
      <c r="G129" s="52" cm="1">
        <f t="array" aca="1" ref="G129" ca="1">MMS_PastureBeef_Soil_N2ODirect_Equations.VEERG_4_2_1_3__4_NitrogenRetainedByBody(I97,G64,G35,G121)</f>
        <v>1.6946444473002843E-2</v>
      </c>
      <c r="H129" s="52" cm="1">
        <f t="array" aca="1" ref="H129" ca="1">MMS_PastureBeef_Soil_N2ODirect_Equations.VEERG_4_2_1_3__4_NitrogenRetainedByBody(J97,H64,H35,H121)</f>
        <v>3.53223904927357E-3</v>
      </c>
      <c r="I129" s="52" cm="1">
        <f t="array" aca="1" ref="I129" ca="1">MMS_PastureBeef_Soil_N2ODirect_Equations.VEERG_4_2_1_3__4_NitrogenRetainedByBody(K97,I64,I35,I121)</f>
        <v>-6.4971680016475087E-3</v>
      </c>
      <c r="J129" s="52" cm="1">
        <f t="array" aca="1" ref="J129" ca="1">MMS_PastureBeef_Soil_N2ODirect_Equations.VEERG_4_2_1_3__4_NitrogenRetainedByBody(L97,J64,J35,J121)</f>
        <v>-6.4971680016475087E-3</v>
      </c>
      <c r="K129" s="52" cm="1">
        <f t="array" aca="1" ref="K129" ca="1">MMS_PastureBeef_Soil_N2ODirect_Equations.VEERG_4_2_1_3__4_NitrogenRetainedByBody(M97,K64,K35,K121)</f>
        <v>1.6885009696797144E-2</v>
      </c>
      <c r="L129" s="52" cm="1">
        <f t="array" aca="1" ref="L129" ca="1">MMS_PastureBeef_Soil_N2ODirect_Equations.VEERG_4_2_1_3__4_NitrogenRetainedByBody(N97,L64,L35,L121)</f>
        <v>0</v>
      </c>
      <c r="M129" s="52" cm="1">
        <f t="array" aca="1" ref="M129" ca="1">MMS_PastureBeef_Soil_N2ODirect_Equations.VEERG_4_2_1_3__4_NitrogenRetainedByBody(O97,M64,M35,M121)</f>
        <v>0</v>
      </c>
      <c r="N129" s="52" cm="1">
        <f t="array" aca="1" ref="N129" ca="1">MMS_PastureBeef_Soil_N2ODirect_Equations.VEERG_4_2_1_3__4_NitrogenRetainedByBody(P97,N64,N35,N121)</f>
        <v>0</v>
      </c>
      <c r="O129" s="2" t="str">
        <f t="shared" si="6"/>
        <v>kg N/head/day</v>
      </c>
      <c r="U129" s="52" t="str">
        <f>TEXT(EDATE('Input - Site'!$E$12,9), "mmmm yyyy")</f>
        <v>October 2024</v>
      </c>
      <c r="V129" s="52">
        <f ca="1"/>
        <v>1.64</v>
      </c>
      <c r="W129" s="52">
        <f ca="1"/>
        <v>1.1000000000000001</v>
      </c>
      <c r="X129" s="52">
        <f ca="1"/>
        <v>1.21</v>
      </c>
      <c r="Y129" s="52">
        <f ca="1"/>
        <v>0.99</v>
      </c>
      <c r="Z129" s="52">
        <f ca="1"/>
        <v>0.66</v>
      </c>
      <c r="AA129" s="52">
        <f ca="1"/>
        <v>0.66</v>
      </c>
      <c r="AB129" s="52">
        <f ca="1"/>
        <v>1.42</v>
      </c>
      <c r="AC129" s="52">
        <f ca="1"/>
        <v>1.1000000000000001</v>
      </c>
      <c r="AD129" s="52">
        <f ca="1"/>
        <v>1.1000000000000001</v>
      </c>
      <c r="AE129" s="52">
        <f ca="1"/>
        <v>1.1000000000000001</v>
      </c>
      <c r="AF129" s="2" t="s">
        <v>134</v>
      </c>
      <c r="AG129" s="2"/>
      <c r="AH129" s="2"/>
    </row>
    <row r="130" spans="3:34" ht="20.100000000000001" customHeight="1" x14ac:dyDescent="0.25">
      <c r="D130" s="52" t="s">
        <v>176</v>
      </c>
      <c r="E130" s="52" cm="1">
        <f t="array" aca="1" ref="E130" ca="1">MMS_PastureBeef_Soil_N2ODirect_Equations.VEERG_4_2_1_3__4_NitrogenRetainedByBody(G98,E65,E36,E122)</f>
        <v>2.5624664446187655E-2</v>
      </c>
      <c r="F130" s="52" cm="1">
        <f t="array" aca="1" ref="F130" ca="1">MMS_PastureBeef_Soil_N2ODirect_Equations.VEERG_4_2_1_3__4_NitrogenRetainedByBody(H98,F65,F36,F122)</f>
        <v>2.5468999349659745E-3</v>
      </c>
      <c r="G130" s="52" cm="1">
        <f t="array" aca="1" ref="G130" ca="1">MMS_PastureBeef_Soil_N2ODirect_Equations.VEERG_4_2_1_3__4_NitrogenRetainedByBody(I98,G65,G36,G122)</f>
        <v>1.942651050577586E-2</v>
      </c>
      <c r="H130" s="52" cm="1">
        <f t="array" aca="1" ref="H130" ca="1">MMS_PastureBeef_Soil_N2ODirect_Equations.VEERG_4_2_1_3__4_NitrogenRetainedByBody(J98,H65,H36,H122)</f>
        <v>2.2779013762515499E-2</v>
      </c>
      <c r="I130" s="52" cm="1">
        <f t="array" aca="1" ref="I130" ca="1">MMS_PastureBeef_Soil_N2ODirect_Equations.VEERG_4_2_1_3__4_NitrogenRetainedByBody(K98,I65,I36,I122)</f>
        <v>1.6331394322564873E-2</v>
      </c>
      <c r="J130" s="52" cm="1">
        <f t="array" aca="1" ref="J130" ca="1">MMS_PastureBeef_Soil_N2ODirect_Equations.VEERG_4_2_1_3__4_NitrogenRetainedByBody(L98,J65,J36,J122)</f>
        <v>1.6331394322564873E-2</v>
      </c>
      <c r="K130" s="52" cm="1">
        <f t="array" aca="1" ref="K130" ca="1">MMS_PastureBeef_Soil_N2ODirect_Equations.VEERG_4_2_1_3__4_NitrogenRetainedByBody(M98,K65,K36,K122)</f>
        <v>1.9754140848253471E-2</v>
      </c>
      <c r="L130" s="52" cm="1">
        <f t="array" aca="1" ref="L130" ca="1">MMS_PastureBeef_Soil_N2ODirect_Equations.VEERG_4_2_1_3__4_NitrogenRetainedByBody(N98,L65,L36,L122)</f>
        <v>7.4705417776927329E-3</v>
      </c>
      <c r="M130" s="52" cm="1">
        <f t="array" aca="1" ref="M130" ca="1">MMS_PastureBeef_Soil_N2ODirect_Equations.VEERG_4_2_1_3__4_NitrogenRetainedByBody(O98,M65,M36,M122)</f>
        <v>7.4705417776927329E-3</v>
      </c>
      <c r="N130" s="52" cm="1">
        <f t="array" aca="1" ref="N130" ca="1">MMS_PastureBeef_Soil_N2ODirect_Equations.VEERG_4_2_1_3__4_NitrogenRetainedByBody(P98,N65,N36,N122)</f>
        <v>7.4705417776927329E-3</v>
      </c>
      <c r="O130" s="2" t="str">
        <f t="shared" si="6"/>
        <v>kg N/head/day</v>
      </c>
      <c r="U130" s="52" t="str">
        <f>TEXT(EDATE('Input - Site'!$E$12,10), "mmmm yyyy")</f>
        <v>November 2024</v>
      </c>
      <c r="V130" s="52">
        <f ca="1"/>
        <v>1.64</v>
      </c>
      <c r="W130" s="52">
        <f ca="1"/>
        <v>1.1000000000000001</v>
      </c>
      <c r="X130" s="52">
        <f ca="1"/>
        <v>1.21</v>
      </c>
      <c r="Y130" s="52">
        <f ca="1"/>
        <v>0.99</v>
      </c>
      <c r="Z130" s="52">
        <f ca="1"/>
        <v>0.66</v>
      </c>
      <c r="AA130" s="52">
        <f ca="1"/>
        <v>0.66</v>
      </c>
      <c r="AB130" s="52">
        <f ca="1"/>
        <v>1.42</v>
      </c>
      <c r="AC130" s="52">
        <f ca="1"/>
        <v>1.1000000000000001</v>
      </c>
      <c r="AD130" s="52">
        <f ca="1"/>
        <v>1.1000000000000001</v>
      </c>
      <c r="AE130" s="52">
        <f ca="1"/>
        <v>1.1000000000000001</v>
      </c>
      <c r="AF130" s="2" t="s">
        <v>134</v>
      </c>
      <c r="AG130" s="2"/>
      <c r="AH130" s="2"/>
    </row>
    <row r="131" spans="3:34" ht="20.100000000000001" customHeight="1" x14ac:dyDescent="0.25">
      <c r="U131" s="52" t="str">
        <f>TEXT(EDATE('Input - Site'!$E$12,11), "mmmm yyyy")</f>
        <v>December 2024</v>
      </c>
      <c r="V131" s="52">
        <f ca="1"/>
        <v>0.44</v>
      </c>
      <c r="W131" s="52">
        <f ca="1"/>
        <v>-0.22</v>
      </c>
      <c r="X131" s="52">
        <f ca="1"/>
        <v>0.44</v>
      </c>
      <c r="Y131" s="52">
        <f ca="1"/>
        <v>0.33</v>
      </c>
      <c r="Z131" s="52">
        <f ca="1"/>
        <v>-0.22</v>
      </c>
      <c r="AA131" s="52">
        <f ca="1"/>
        <v>-0.22</v>
      </c>
      <c r="AB131" s="52">
        <f ca="1"/>
        <v>0.44</v>
      </c>
      <c r="AC131" s="52">
        <f ca="1"/>
        <v>-0.11</v>
      </c>
      <c r="AD131" s="52">
        <f ca="1"/>
        <v>-0.11</v>
      </c>
      <c r="AE131" s="52">
        <f ca="1"/>
        <v>-0.11</v>
      </c>
      <c r="AF131" s="2" t="s">
        <v>134</v>
      </c>
      <c r="AG131" s="2"/>
      <c r="AH131" s="2"/>
    </row>
    <row r="132" spans="3:34" ht="20.100000000000001" customHeight="1" x14ac:dyDescent="0.25"/>
    <row r="133" spans="3:34" ht="20.100000000000001" customHeight="1" x14ac:dyDescent="0.25">
      <c r="C133" s="45"/>
      <c r="D133" s="45"/>
      <c r="E133" s="45"/>
      <c r="F133" s="45"/>
      <c r="G133" s="45"/>
      <c r="H133" s="45"/>
      <c r="I133" s="45"/>
      <c r="J133" s="45"/>
      <c r="K133" s="45"/>
      <c r="L133" s="45"/>
      <c r="M133" s="45"/>
      <c r="N133" s="45"/>
      <c r="O133" s="45"/>
      <c r="P133" s="45"/>
      <c r="Q133" s="45"/>
      <c r="R133" s="45"/>
      <c r="U133" s="98" t="s">
        <v>308</v>
      </c>
    </row>
    <row r="134" spans="3:34" ht="20.100000000000001" customHeight="1" x14ac:dyDescent="0.25">
      <c r="D134" s="6" t="str" cm="1">
        <f t="array" ref="D134">MMS_PastureBeef_Soil_N2ODirect_Equations.VEERG_4_2_1_3__3_NitrogenExcreted_Title()</f>
        <v>Nitrogen excreted</v>
      </c>
      <c r="U134" s="97" t="s">
        <v>309</v>
      </c>
    </row>
    <row r="135" spans="3:34" ht="20.100000000000001" customHeight="1" x14ac:dyDescent="0.25">
      <c r="D135" s="5" t="str" cm="1">
        <f t="array" ref="D135">MMS_PastureBeef_Soil_N2ODirect_Equations.VEERG_4_2_1_3__3_NitrogenExcreted_Source()</f>
        <v>VEERG 2026: 4.2.1.3, Equation (3)</v>
      </c>
      <c r="U135" s="51" t="s">
        <v>132</v>
      </c>
      <c r="V135" s="51" t="s">
        <v>131</v>
      </c>
      <c r="W135" s="51" t="s">
        <v>130</v>
      </c>
      <c r="X135" s="51" t="s">
        <v>165</v>
      </c>
      <c r="Y135" s="51" t="s">
        <v>166</v>
      </c>
      <c r="Z135" s="51" t="s">
        <v>167</v>
      </c>
      <c r="AA135" s="51" t="s">
        <v>168</v>
      </c>
      <c r="AB135" s="51" t="s">
        <v>169</v>
      </c>
      <c r="AC135" s="51" t="s">
        <v>170</v>
      </c>
      <c r="AD135" s="51" t="s">
        <v>171</v>
      </c>
      <c r="AE135" s="51" t="s">
        <v>172</v>
      </c>
    </row>
    <row r="136" spans="3:34" ht="20.100000000000001" customHeight="1" x14ac:dyDescent="0.25">
      <c r="D136" s="13" t="s">
        <v>27</v>
      </c>
      <c r="E136" s="13" t="str" cm="1">
        <f t="array" aca="1" ref="E136" ca="1">Common_InputFunctions.Utility_DisplayFunctionName($E$169)</f>
        <v>=MMS_PastureBeef_Soil_N2ODirect_Equations.VEERG_4_2_1_3__3_NitrogenExcreted</v>
      </c>
      <c r="U136" s="52" t="str">
        <f>TEXT('Input - Site'!$E$12, "mmmm yyyy")</f>
        <v>January 2024</v>
      </c>
      <c r="V136" s="52" cm="1">
        <f t="array" aca="1" ref="V136" ca="1">MMS_PastureBeef_Soil_N2ODirect_Equations.VEERG_4_2_1_3__4_NitrogenRetainedByBody(X100,V72,V36,V120)</f>
        <v>8.1246865273940476E-3</v>
      </c>
      <c r="W136" s="52" cm="1">
        <f t="array" aca="1" ref="W136" ca="1">MMS_PastureBeef_Soil_N2ODirect_Equations.VEERG_4_2_1_3__4_NitrogenRetainedByBody(Y100,W72,W36,W120)</f>
        <v>-2.4500809510830074E-3</v>
      </c>
      <c r="X136" s="52" cm="1">
        <f t="array" aca="1" ref="X136" ca="1">MMS_PastureBeef_Soil_N2ODirect_Equations.VEERG_4_2_1_3__4_NitrogenRetainedByBody(Z100,X72,X36,X120)</f>
        <v>7.4692204769955996E-3</v>
      </c>
      <c r="Y136" s="52" cm="1">
        <f t="array" aca="1" ref="Y136" ca="1">MMS_PastureBeef_Soil_N2ODirect_Equations.VEERG_4_2_1_3__4_NitrogenRetainedByBody(AA100,Y72,Y36,Y120)</f>
        <v>1.9080635764024231E-2</v>
      </c>
      <c r="Z136" s="52" cm="1">
        <f t="array" aca="1" ref="Z136" ca="1">MMS_PastureBeef_Soil_N2ODirect_Equations.VEERG_4_2_1_3__4_NitrogenRetainedByBody(AB100,Z72,Z36,Z120)</f>
        <v>1.2558041048697144E-2</v>
      </c>
      <c r="AA136" s="52" cm="1">
        <f t="array" aca="1" ref="AA136" ca="1">MMS_PastureBeef_Soil_N2ODirect_Equations.VEERG_4_2_1_3__4_NitrogenRetainedByBody(AC100,AA72,AA36,AA120)</f>
        <v>1.2558041048697144E-2</v>
      </c>
      <c r="AB136" s="52" cm="1">
        <f t="array" aca="1" ref="AB136" ca="1">MMS_PastureBeef_Soil_N2ODirect_Equations.VEERG_4_2_1_3__4_NitrogenRetainedByBody(AD100,AB72,AB36,AB120)</f>
        <v>7.842975342880058E-3</v>
      </c>
      <c r="AC136" s="52" cm="1">
        <f t="array" aca="1" ref="AC136" ca="1">MMS_PastureBeef_Soil_N2ODirect_Equations.VEERG_4_2_1_3__4_NitrogenRetainedByBody(AE100,AC72,AC36,AC120)</f>
        <v>-1.4855230625479237E-3</v>
      </c>
      <c r="AD136" s="52" cm="1">
        <f t="array" aca="1" ref="AD136" ca="1">MMS_PastureBeef_Soil_N2ODirect_Equations.VEERG_4_2_1_3__4_NitrogenRetainedByBody(AF100,AD72,AD36,AD120)</f>
        <v>-1.4855230625479237E-3</v>
      </c>
      <c r="AE136" s="52" cm="1">
        <f t="array" aca="1" ref="AE136" ca="1">MMS_PastureBeef_Soil_N2ODirect_Equations.VEERG_4_2_1_3__4_NitrogenRetainedByBody(AG100,AE72,AE36,AE120)</f>
        <v>-1.4855230625479237E-3</v>
      </c>
      <c r="AF136" s="2" t="str">
        <f t="shared" ref="AF136:AF147" si="7">$E$109</f>
        <v>kg N/head/day</v>
      </c>
      <c r="AG136" s="2"/>
      <c r="AH136" s="2"/>
    </row>
    <row r="137" spans="3:34" ht="20.100000000000001" customHeight="1" x14ac:dyDescent="0.25">
      <c r="U137" s="52" t="str">
        <f>TEXT(EDATE('Input - Site'!$E$12,1), "mmmm yyyy")</f>
        <v>February 2024</v>
      </c>
      <c r="V137" s="52" cm="1">
        <f t="array" aca="1" ref="V137" ca="1">MMS_PastureBeef_Soil_N2ODirect_Equations.VEERG_4_2_1_3__4_NitrogenRetainedByBody(X101,V73,V37,V121)</f>
        <v>8.1246865273940476E-3</v>
      </c>
      <c r="W137" s="52" cm="1">
        <f t="array" aca="1" ref="W137" ca="1">MMS_PastureBeef_Soil_N2ODirect_Equations.VEERG_4_2_1_3__4_NitrogenRetainedByBody(Y101,W73,W37,W121)</f>
        <v>-2.4500809510830074E-3</v>
      </c>
      <c r="X137" s="52" cm="1">
        <f t="array" aca="1" ref="X137" ca="1">MMS_PastureBeef_Soil_N2ODirect_Equations.VEERG_4_2_1_3__4_NitrogenRetainedByBody(Z101,X73,X37,X121)</f>
        <v>7.4692204769955996E-3</v>
      </c>
      <c r="Y137" s="52" cm="1">
        <f t="array" aca="1" ref="Y137" ca="1">MMS_PastureBeef_Soil_N2ODirect_Equations.VEERG_4_2_1_3__4_NitrogenRetainedByBody(AA101,Y73,Y37,Y121)</f>
        <v>4.0359782188292637E-3</v>
      </c>
      <c r="Z137" s="52" cm="1">
        <f t="array" aca="1" ref="Z137" ca="1">MMS_PastureBeef_Soil_N2ODirect_Equations.VEERG_4_2_1_3__4_NitrogenRetainedByBody(AB101,Z73,Z37,Z121)</f>
        <v>-2.4895889780627905E-3</v>
      </c>
      <c r="AA137" s="52" cm="1">
        <f t="array" aca="1" ref="AA137" ca="1">MMS_PastureBeef_Soil_N2ODirect_Equations.VEERG_4_2_1_3__4_NitrogenRetainedByBody(AC101,AA73,AA37,AA121)</f>
        <v>-2.4895889780627905E-3</v>
      </c>
      <c r="AB137" s="52" cm="1">
        <f t="array" aca="1" ref="AB137" ca="1">MMS_PastureBeef_Soil_N2ODirect_Equations.VEERG_4_2_1_3__4_NitrogenRetainedByBody(AD101,AB73,AB37,AB121)</f>
        <v>7.842975342880058E-3</v>
      </c>
      <c r="AC137" s="52" cm="1">
        <f t="array" aca="1" ref="AC137" ca="1">MMS_PastureBeef_Soil_N2ODirect_Equations.VEERG_4_2_1_3__4_NitrogenRetainedByBody(AE101,AC73,AC37,AC121)</f>
        <v>-1.4855230625479237E-3</v>
      </c>
      <c r="AD137" s="52" cm="1">
        <f t="array" aca="1" ref="AD137" ca="1">MMS_PastureBeef_Soil_N2ODirect_Equations.VEERG_4_2_1_3__4_NitrogenRetainedByBody(AF101,AD73,AD37,AD121)</f>
        <v>-1.4855230625479237E-3</v>
      </c>
      <c r="AE137" s="52" cm="1">
        <f t="array" aca="1" ref="AE137" ca="1">MMS_PastureBeef_Soil_N2ODirect_Equations.VEERG_4_2_1_3__4_NitrogenRetainedByBody(AG101,AE73,AE37,AE121)</f>
        <v>-1.4855230625479237E-3</v>
      </c>
      <c r="AF137" s="2" t="str">
        <f t="shared" si="7"/>
        <v>kg N/head/day</v>
      </c>
      <c r="AG137" s="2"/>
      <c r="AH137" s="2"/>
    </row>
    <row r="138" spans="3:34" ht="20.100000000000001" customHeight="1" x14ac:dyDescent="0.25">
      <c r="U138" s="52" t="str">
        <f>TEXT(EDATE('Input - Site'!$E$12,2), "mmmm yyyy")</f>
        <v>March 2024</v>
      </c>
      <c r="V138" s="52" cm="1">
        <f t="array" aca="1" ref="V138" ca="1">MMS_PastureBeef_Soil_N2ODirect_Equations.VEERG_4_2_1_3__4_NitrogenRetainedByBody(X102,V74,V38,V122)</f>
        <v>1.7126010126251881E-2</v>
      </c>
      <c r="W138" s="52" cm="1">
        <f t="array" aca="1" ref="W138" ca="1">MMS_PastureBeef_Soil_N2ODirect_Equations.VEERG_4_2_1_3__4_NitrogenRetainedByBody(Y102,W74,W38,W122)</f>
        <v>0</v>
      </c>
      <c r="X138" s="52" cm="1">
        <f t="array" aca="1" ref="X138" ca="1">MMS_PastureBeef_Soil_N2ODirect_Equations.VEERG_4_2_1_3__4_NitrogenRetainedByBody(Z102,X74,X38,X122)</f>
        <v>1.6946444473002843E-2</v>
      </c>
      <c r="Y138" s="52" cm="1">
        <f t="array" aca="1" ref="Y138" ca="1">MMS_PastureBeef_Soil_N2ODirect_Equations.VEERG_4_2_1_3__4_NitrogenRetainedByBody(AA102,Y74,Y38,Y122)</f>
        <v>3.5329291057988096E-3</v>
      </c>
      <c r="Z138" s="52" cm="1">
        <f t="array" aca="1" ref="Z138" ca="1">MMS_PastureBeef_Soil_N2ODirect_Equations.VEERG_4_2_1_3__4_NitrogenRetainedByBody(AB102,Z74,Z38,Z122)</f>
        <v>-6.4971680016475087E-3</v>
      </c>
      <c r="AA138" s="52" cm="1">
        <f t="array" aca="1" ref="AA138" ca="1">MMS_PastureBeef_Soil_N2ODirect_Equations.VEERG_4_2_1_3__4_NitrogenRetainedByBody(AC102,AA74,AA38,AA122)</f>
        <v>-6.4971680016475087E-3</v>
      </c>
      <c r="AB138" s="52" cm="1">
        <f t="array" aca="1" ref="AB138" ca="1">MMS_PastureBeef_Soil_N2ODirect_Equations.VEERG_4_2_1_3__4_NitrogenRetainedByBody(AD102,AB74,AB38,AB122)</f>
        <v>1.6885009696797144E-2</v>
      </c>
      <c r="AC138" s="52" cm="1">
        <f t="array" aca="1" ref="AC138" ca="1">MMS_PastureBeef_Soil_N2ODirect_Equations.VEERG_4_2_1_3__4_NitrogenRetainedByBody(AE102,AC74,AC38,AC122)</f>
        <v>0</v>
      </c>
      <c r="AD138" s="52" cm="1">
        <f t="array" aca="1" ref="AD138" ca="1">MMS_PastureBeef_Soil_N2ODirect_Equations.VEERG_4_2_1_3__4_NitrogenRetainedByBody(AF102,AD74,AD38,AD122)</f>
        <v>0</v>
      </c>
      <c r="AE138" s="52" cm="1">
        <f t="array" aca="1" ref="AE138" ca="1">MMS_PastureBeef_Soil_N2ODirect_Equations.VEERG_4_2_1_3__4_NitrogenRetainedByBody(AG102,AE74,AE38,AE122)</f>
        <v>0</v>
      </c>
      <c r="AF138" s="2" t="str">
        <f t="shared" si="7"/>
        <v>kg N/head/day</v>
      </c>
      <c r="AG138" s="2"/>
      <c r="AH138" s="2"/>
    </row>
    <row r="139" spans="3:34" ht="20.100000000000001" customHeight="1" x14ac:dyDescent="0.25">
      <c r="D139" s="53" t="s">
        <v>30</v>
      </c>
      <c r="E139" s="1" t="str" cm="1">
        <f t="array" ref="E139">MMS_PastureBeef_Soil_N2ODirect_Equations.VEERG_4_2_1_3__3_NitrogenExcreted_Variable()</f>
        <v>NE_jkl</v>
      </c>
      <c r="U139" s="52" t="str">
        <f>TEXT(EDATE('Input - Site'!$E$12,3), "mmmm yyyy")</f>
        <v>April 2024</v>
      </c>
      <c r="V139" s="52" cm="1">
        <f t="array" aca="1" ref="V139" ca="1">MMS_PastureBeef_Soil_N2ODirect_Equations.VEERG_4_2_1_3__4_NitrogenRetainedByBody(X103,V75,V39,V123)</f>
        <v>1.7126010126251881E-2</v>
      </c>
      <c r="W139" s="52" cm="1">
        <f t="array" aca="1" ref="W139" ca="1">MMS_PastureBeef_Soil_N2ODirect_Equations.VEERG_4_2_1_3__4_NitrogenRetainedByBody(Y103,W75,W39,W123)</f>
        <v>0</v>
      </c>
      <c r="X139" s="52" cm="1">
        <f t="array" aca="1" ref="X139" ca="1">MMS_PastureBeef_Soil_N2ODirect_Equations.VEERG_4_2_1_3__4_NitrogenRetainedByBody(Z103,X75,X39,X123)</f>
        <v>1.6946444473002843E-2</v>
      </c>
      <c r="Y139" s="52" cm="1">
        <f t="array" aca="1" ref="Y139" ca="1">MMS_PastureBeef_Soil_N2ODirect_Equations.VEERG_4_2_1_3__4_NitrogenRetainedByBody(AA103,Y75,Y39,Y123)</f>
        <v>3.5329291057988096E-3</v>
      </c>
      <c r="Z139" s="52" cm="1">
        <f t="array" aca="1" ref="Z139" ca="1">MMS_PastureBeef_Soil_N2ODirect_Equations.VEERG_4_2_1_3__4_NitrogenRetainedByBody(AB103,Z75,Z39,Z123)</f>
        <v>-6.4971680016475087E-3</v>
      </c>
      <c r="AA139" s="52" cm="1">
        <f t="array" aca="1" ref="AA139" ca="1">MMS_PastureBeef_Soil_N2ODirect_Equations.VEERG_4_2_1_3__4_NitrogenRetainedByBody(AC103,AA75,AA39,AA123)</f>
        <v>-6.4971680016475087E-3</v>
      </c>
      <c r="AB139" s="52" cm="1">
        <f t="array" aca="1" ref="AB139" ca="1">MMS_PastureBeef_Soil_N2ODirect_Equations.VEERG_4_2_1_3__4_NitrogenRetainedByBody(AD103,AB75,AB39,AB123)</f>
        <v>1.6885009696797144E-2</v>
      </c>
      <c r="AC139" s="52" cm="1">
        <f t="array" aca="1" ref="AC139" ca="1">MMS_PastureBeef_Soil_N2ODirect_Equations.VEERG_4_2_1_3__4_NitrogenRetainedByBody(AE103,AC75,AC39,AC123)</f>
        <v>0</v>
      </c>
      <c r="AD139" s="52" cm="1">
        <f t="array" aca="1" ref="AD139" ca="1">MMS_PastureBeef_Soil_N2ODirect_Equations.VEERG_4_2_1_3__4_NitrogenRetainedByBody(AF103,AD75,AD39,AD123)</f>
        <v>0</v>
      </c>
      <c r="AE139" s="52" cm="1">
        <f t="array" aca="1" ref="AE139" ca="1">MMS_PastureBeef_Soil_N2ODirect_Equations.VEERG_4_2_1_3__4_NitrogenRetainedByBody(AG103,AE75,AE39,AE123)</f>
        <v>0</v>
      </c>
      <c r="AF139" s="2" t="str">
        <f t="shared" si="7"/>
        <v>kg N/head/day</v>
      </c>
      <c r="AG139" s="2"/>
      <c r="AH139" s="2"/>
    </row>
    <row r="140" spans="3:34" ht="20.100000000000001" customHeight="1" x14ac:dyDescent="0.25">
      <c r="D140" s="53" t="s">
        <v>20</v>
      </c>
      <c r="E140" s="54" t="str" cm="1">
        <f t="array" ref="E140">MMS_PastureBeef_Soil_N2ODirect_Equations.VEERG_4_2_1_3__3_NitrogenExcreted_Unit()</f>
        <v>kg N/head/day</v>
      </c>
      <c r="U140" s="52" t="str">
        <f>TEXT(EDATE('Input - Site'!$E$12,4), "mmmm yyyy")</f>
        <v>May 2024</v>
      </c>
      <c r="V140" s="52" cm="1">
        <f t="array" aca="1" ref="V140" ca="1">MMS_PastureBeef_Soil_N2ODirect_Equations.VEERG_4_2_1_3__4_NitrogenRetainedByBody(X104,V76,V40,V124)</f>
        <v>1.7126010126251881E-2</v>
      </c>
      <c r="W140" s="52" cm="1">
        <f t="array" aca="1" ref="W140" ca="1">MMS_PastureBeef_Soil_N2ODirect_Equations.VEERG_4_2_1_3__4_NitrogenRetainedByBody(Y104,W76,W40,W124)</f>
        <v>0</v>
      </c>
      <c r="X140" s="52" cm="1">
        <f t="array" aca="1" ref="X140" ca="1">MMS_PastureBeef_Soil_N2ODirect_Equations.VEERG_4_2_1_3__4_NitrogenRetainedByBody(Z104,X76,X40,X124)</f>
        <v>1.6946444473002843E-2</v>
      </c>
      <c r="Y140" s="52" cm="1">
        <f t="array" aca="1" ref="Y140" ca="1">MMS_PastureBeef_Soil_N2ODirect_Equations.VEERG_4_2_1_3__4_NitrogenRetainedByBody(AA104,Y76,Y40,Y124)</f>
        <v>3.5329291057988096E-3</v>
      </c>
      <c r="Z140" s="52" cm="1">
        <f t="array" aca="1" ref="Z140" ca="1">MMS_PastureBeef_Soil_N2ODirect_Equations.VEERG_4_2_1_3__4_NitrogenRetainedByBody(AB104,Z76,Z40,Z124)</f>
        <v>-6.4971680016475087E-3</v>
      </c>
      <c r="AA140" s="52" cm="1">
        <f t="array" aca="1" ref="AA140" ca="1">MMS_PastureBeef_Soil_N2ODirect_Equations.VEERG_4_2_1_3__4_NitrogenRetainedByBody(AC104,AA76,AA40,AA124)</f>
        <v>-6.4971680016475087E-3</v>
      </c>
      <c r="AB140" s="52" cm="1">
        <f t="array" aca="1" ref="AB140" ca="1">MMS_PastureBeef_Soil_N2ODirect_Equations.VEERG_4_2_1_3__4_NitrogenRetainedByBody(AD104,AB76,AB40,AB124)</f>
        <v>1.6885009696797144E-2</v>
      </c>
      <c r="AC140" s="52" cm="1">
        <f t="array" aca="1" ref="AC140" ca="1">MMS_PastureBeef_Soil_N2ODirect_Equations.VEERG_4_2_1_3__4_NitrogenRetainedByBody(AE104,AC76,AC40,AC124)</f>
        <v>0</v>
      </c>
      <c r="AD140" s="52" cm="1">
        <f t="array" aca="1" ref="AD140" ca="1">MMS_PastureBeef_Soil_N2ODirect_Equations.VEERG_4_2_1_3__4_NitrogenRetainedByBody(AF104,AD76,AD40,AD124)</f>
        <v>0</v>
      </c>
      <c r="AE140" s="52" cm="1">
        <f t="array" aca="1" ref="AE140" ca="1">MMS_PastureBeef_Soil_N2ODirect_Equations.VEERG_4_2_1_3__4_NitrogenRetainedByBody(AG104,AE76,AE40,AE124)</f>
        <v>0</v>
      </c>
      <c r="AF140" s="2" t="str">
        <f t="shared" si="7"/>
        <v>kg N/head/day</v>
      </c>
      <c r="AG140" s="2"/>
      <c r="AH140" s="2"/>
    </row>
    <row r="141" spans="3:34" ht="20.100000000000001" customHeight="1" x14ac:dyDescent="0.25">
      <c r="U141" s="52" t="str">
        <f>TEXT(EDATE('Input - Site'!$E$12,5), "mmmm yyyy")</f>
        <v>June 2024</v>
      </c>
      <c r="V141" s="52" cm="1">
        <f t="array" aca="1" ref="V141" ca="1">MMS_PastureBeef_Soil_N2ODirect_Equations.VEERG_4_2_1_3__4_NitrogenRetainedByBody(X105,V77,V41,V125)</f>
        <v>2.5624664446187655E-2</v>
      </c>
      <c r="W141" s="52" cm="1">
        <f t="array" aca="1" ref="W141" ca="1">MMS_PastureBeef_Soil_N2ODirect_Equations.VEERG_4_2_1_3__4_NitrogenRetainedByBody(Y105,W77,W41,W125)</f>
        <v>2.5468999349659745E-3</v>
      </c>
      <c r="X141" s="52" cm="1">
        <f t="array" aca="1" ref="X141" ca="1">MMS_PastureBeef_Soil_N2ODirect_Equations.VEERG_4_2_1_3__4_NitrogenRetainedByBody(Z105,X77,X41,X125)</f>
        <v>1.942651050577586E-2</v>
      </c>
      <c r="Y141" s="52" cm="1">
        <f t="array" aca="1" ref="Y141" ca="1">MMS_PastureBeef_Soil_N2ODirect_Equations.VEERG_4_2_1_3__4_NitrogenRetainedByBody(AA105,Y77,Y41,Y125)</f>
        <v>1.7196628856093364E-3</v>
      </c>
      <c r="Z141" s="52" cm="1">
        <f t="array" aca="1" ref="Z141" ca="1">MMS_PastureBeef_Soil_N2ODirect_Equations.VEERG_4_2_1_3__4_NitrogenRetainedByBody(AB105,Z77,Z41,Z125)</f>
        <v>1.2853672606791778E-3</v>
      </c>
      <c r="AA141" s="52" cm="1">
        <f t="array" aca="1" ref="AA141" ca="1">MMS_PastureBeef_Soil_N2ODirect_Equations.VEERG_4_2_1_3__4_NitrogenRetainedByBody(AC105,AA77,AA41,AA125)</f>
        <v>1.2853672606791778E-3</v>
      </c>
      <c r="AB141" s="52" cm="1">
        <f t="array" aca="1" ref="AB141" ca="1">MMS_PastureBeef_Soil_N2ODirect_Equations.VEERG_4_2_1_3__4_NitrogenRetainedByBody(AD105,AB77,AB41,AB125)</f>
        <v>1.9754140848253471E-2</v>
      </c>
      <c r="AC141" s="52" cm="1">
        <f t="array" aca="1" ref="AC141" ca="1">MMS_PastureBeef_Soil_N2ODirect_Equations.VEERG_4_2_1_3__4_NitrogenRetainedByBody(AE105,AC77,AC41,AC125)</f>
        <v>7.4705417776927329E-3</v>
      </c>
      <c r="AD141" s="52" cm="1">
        <f t="array" aca="1" ref="AD141" ca="1">MMS_PastureBeef_Soil_N2ODirect_Equations.VEERG_4_2_1_3__4_NitrogenRetainedByBody(AF105,AD77,AD41,AD125)</f>
        <v>7.4705417776927329E-3</v>
      </c>
      <c r="AE141" s="52" cm="1">
        <f t="array" aca="1" ref="AE141" ca="1">MMS_PastureBeef_Soil_N2ODirect_Equations.VEERG_4_2_1_3__4_NitrogenRetainedByBody(AG105,AE77,AE41,AE125)</f>
        <v>7.4705417776927329E-3</v>
      </c>
      <c r="AF141" s="2" t="str">
        <f t="shared" si="7"/>
        <v>kg N/head/day</v>
      </c>
      <c r="AG141" s="2"/>
      <c r="AH141" s="2"/>
    </row>
    <row r="142" spans="3:34" ht="20.100000000000001" customHeight="1" x14ac:dyDescent="0.25">
      <c r="D142" s="119" t="str" cm="1">
        <f t="array" ref="D142:E148">_xlfn.CHOOSECOLS(MMS_PastureBeef_Soil_N2ODirect_Equations.VEERG_4_2_1_3__3_NitrogenExcreted_Arguments(),1,2)</f>
        <v>I_jkl</v>
      </c>
      <c r="E142" s="124" t="str">
        <v>dry matter intake as calculated in Chapter 3 Section 3.2.1 (kg DM/head/day)</v>
      </c>
      <c r="F142" s="123"/>
      <c r="G142" s="119" t="str" cm="1">
        <f t="array" ref="G142:H148">_xlfn.CHOOSECOLS(MMS_PastureBeef_Soil_N2ODirect_Equations.VEERG_4_2_1_3__3_NitrogenExcreted_Arguments(),3,4)</f>
        <v>kg DM/head/day</v>
      </c>
      <c r="H142" s="120" t="str">
        <v>Calculated from 3.2.1.1 (3)</v>
      </c>
      <c r="I142" s="118" t="str" cm="1">
        <f t="array" aca="1" ref="I142" ca="1">HYPERLINK(Common_InputFunctions.Utility_SourceHyperlink($D$51),$D$51)</f>
        <v>M1_Table_I_j_k_l</v>
      </c>
      <c r="U142" s="52" t="str">
        <f>TEXT(EDATE('Input - Site'!$E$12,6), "mmmm yyyy")</f>
        <v>July 2024</v>
      </c>
      <c r="V142" s="52" cm="1">
        <f t="array" aca="1" ref="V142" ca="1">MMS_PastureBeef_Soil_N2ODirect_Equations.VEERG_4_2_1_3__4_NitrogenRetainedByBody(X106,V78,V42,V126)</f>
        <v>2.5624664446187655E-2</v>
      </c>
      <c r="W142" s="52" cm="1">
        <f t="array" aca="1" ref="W142" ca="1">MMS_PastureBeef_Soil_N2ODirect_Equations.VEERG_4_2_1_3__4_NitrogenRetainedByBody(Y106,W78,W42,W126)</f>
        <v>2.5468999349659745E-3</v>
      </c>
      <c r="X142" s="52" cm="1">
        <f t="array" aca="1" ref="X142" ca="1">MMS_PastureBeef_Soil_N2ODirect_Equations.VEERG_4_2_1_3__4_NitrogenRetainedByBody(Z106,X78,X42,X126)</f>
        <v>1.942651050577586E-2</v>
      </c>
      <c r="Y142" s="52" cm="1">
        <f t="array" aca="1" ref="Y142" ca="1">MMS_PastureBeef_Soil_N2ODirect_Equations.VEERG_4_2_1_3__4_NitrogenRetainedByBody(AA106,Y78,Y42,Y126)</f>
        <v>1.7196628856093364E-3</v>
      </c>
      <c r="Z142" s="52" cm="1">
        <f t="array" aca="1" ref="Z142" ca="1">MMS_PastureBeef_Soil_N2ODirect_Equations.VEERG_4_2_1_3__4_NitrogenRetainedByBody(AB106,Z78,Z42,Z126)</f>
        <v>1.2853672606791778E-3</v>
      </c>
      <c r="AA142" s="52" cm="1">
        <f t="array" aca="1" ref="AA142" ca="1">MMS_PastureBeef_Soil_N2ODirect_Equations.VEERG_4_2_1_3__4_NitrogenRetainedByBody(AC106,AA78,AA42,AA126)</f>
        <v>1.2853672606791778E-3</v>
      </c>
      <c r="AB142" s="52" cm="1">
        <f t="array" aca="1" ref="AB142" ca="1">MMS_PastureBeef_Soil_N2ODirect_Equations.VEERG_4_2_1_3__4_NitrogenRetainedByBody(AD106,AB78,AB42,AB126)</f>
        <v>1.9754140848253471E-2</v>
      </c>
      <c r="AC142" s="52" cm="1">
        <f t="array" aca="1" ref="AC142" ca="1">MMS_PastureBeef_Soil_N2ODirect_Equations.VEERG_4_2_1_3__4_NitrogenRetainedByBody(AE106,AC78,AC42,AC126)</f>
        <v>7.4705417776927329E-3</v>
      </c>
      <c r="AD142" s="52" cm="1">
        <f t="array" aca="1" ref="AD142" ca="1">MMS_PastureBeef_Soil_N2ODirect_Equations.VEERG_4_2_1_3__4_NitrogenRetainedByBody(AF106,AD78,AD42,AD126)</f>
        <v>7.4705417776927329E-3</v>
      </c>
      <c r="AE142" s="52" cm="1">
        <f t="array" aca="1" ref="AE142" ca="1">MMS_PastureBeef_Soil_N2ODirect_Equations.VEERG_4_2_1_3__4_NitrogenRetainedByBody(AG106,AE78,AE42,AE126)</f>
        <v>7.4705417776927329E-3</v>
      </c>
      <c r="AF142" s="2" t="str">
        <f t="shared" si="7"/>
        <v>kg N/head/day</v>
      </c>
      <c r="AG142" s="2"/>
      <c r="AH142" s="2"/>
    </row>
    <row r="143" spans="3:34" ht="20.100000000000001" customHeight="1" x14ac:dyDescent="0.25">
      <c r="D143" s="119" t="str">
        <v>CP_j</v>
      </c>
      <c r="E143" s="124" t="str">
        <v>crude protein content of dry matter intake</v>
      </c>
      <c r="F143" s="123"/>
      <c r="G143" s="119" t="str">
        <v>fraction</v>
      </c>
      <c r="H143" s="121" t="str">
        <v>Input</v>
      </c>
      <c r="I143" s="118" t="str" cm="1">
        <f t="array" aca="1" ref="I143" ca="1">HYPERLINK(Common_InputFunctions.Utility_SourceHyperlink($D$150), $D$150)</f>
        <v>M1_Table_CP_j</v>
      </c>
      <c r="U143" s="52" t="str">
        <f>TEXT(EDATE('Input - Site'!$E$12,7), "mmmm yyyy")</f>
        <v>August 2024</v>
      </c>
      <c r="V143" s="52" cm="1">
        <f t="array" aca="1" ref="V143" ca="1">MMS_PastureBeef_Soil_N2ODirect_Equations.VEERG_4_2_1_3__4_NitrogenRetainedByBody(X107,V79,V43,V127)</f>
        <v>2.5624664446187655E-2</v>
      </c>
      <c r="W143" s="52" cm="1">
        <f t="array" aca="1" ref="W143" ca="1">MMS_PastureBeef_Soil_N2ODirect_Equations.VEERG_4_2_1_3__4_NitrogenRetainedByBody(Y107,W79,W43,W127)</f>
        <v>2.5468999349659745E-3</v>
      </c>
      <c r="X143" s="52" cm="1">
        <f t="array" aca="1" ref="X143" ca="1">MMS_PastureBeef_Soil_N2ODirect_Equations.VEERG_4_2_1_3__4_NitrogenRetainedByBody(Z107,X79,X43,X127)</f>
        <v>1.942651050577586E-2</v>
      </c>
      <c r="Y143" s="52" cm="1">
        <f t="array" aca="1" ref="Y143" ca="1">MMS_PastureBeef_Soil_N2ODirect_Equations.VEERG_4_2_1_3__4_NitrogenRetainedByBody(AA107,Y79,Y43,Y127)</f>
        <v>2.4283253110865946E-2</v>
      </c>
      <c r="Z143" s="52" cm="1">
        <f t="array" aca="1" ref="Z143" ca="1">MMS_PastureBeef_Soil_N2ODirect_Equations.VEERG_4_2_1_3__4_NitrogenRetainedByBody(AB107,Z79,Z43,Z127)</f>
        <v>2.3854407853507724E-2</v>
      </c>
      <c r="AA143" s="52" cm="1">
        <f t="array" aca="1" ref="AA143" ca="1">MMS_PastureBeef_Soil_N2ODirect_Equations.VEERG_4_2_1_3__4_NitrogenRetainedByBody(AC107,AA79,AA43,AA127)</f>
        <v>2.3854407853507724E-2</v>
      </c>
      <c r="AB143" s="52" cm="1">
        <f t="array" aca="1" ref="AB143" ca="1">MMS_PastureBeef_Soil_N2ODirect_Equations.VEERG_4_2_1_3__4_NitrogenRetainedByBody(AD107,AB79,AB43,AB127)</f>
        <v>1.9754140848253471E-2</v>
      </c>
      <c r="AC143" s="52" cm="1">
        <f t="array" aca="1" ref="AC143" ca="1">MMS_PastureBeef_Soil_N2ODirect_Equations.VEERG_4_2_1_3__4_NitrogenRetainedByBody(AE107,AC79,AC43,AC127)</f>
        <v>7.4705417776927329E-3</v>
      </c>
      <c r="AD143" s="52" cm="1">
        <f t="array" aca="1" ref="AD143" ca="1">MMS_PastureBeef_Soil_N2ODirect_Equations.VEERG_4_2_1_3__4_NitrogenRetainedByBody(AF107,AD79,AD43,AD127)</f>
        <v>7.4705417776927329E-3</v>
      </c>
      <c r="AE143" s="52" cm="1">
        <f t="array" aca="1" ref="AE143" ca="1">MMS_PastureBeef_Soil_N2ODirect_Equations.VEERG_4_2_1_3__4_NitrogenRetainedByBody(AG107,AE79,AE43,AE127)</f>
        <v>7.4705417776927329E-3</v>
      </c>
      <c r="AF143" s="2" t="str">
        <f t="shared" si="7"/>
        <v>kg N/head/day</v>
      </c>
      <c r="AG143" s="2"/>
      <c r="AH143" s="2"/>
    </row>
    <row r="144" spans="3:34" ht="20.100000000000001" customHeight="1" x14ac:dyDescent="0.25">
      <c r="D144" s="119" t="str">
        <v>MC_jk136</v>
      </c>
      <c r="E144" s="124" t="str">
        <v>milk intake (kg/head/day)</v>
      </c>
      <c r="F144" s="123"/>
      <c r="G144" s="119" t="str">
        <v>kg/head/day</v>
      </c>
      <c r="H144" s="120" t="str">
        <v>Constant</v>
      </c>
      <c r="I144" s="118" t="str" cm="1">
        <f t="array" aca="1" ref="I144" ca="1">HYPERLINK(Common_InputFunctions.Utility_SourceHyperlink($D$158), $D$158)</f>
        <v>M1_Table_MC_j_k_1-3-6</v>
      </c>
      <c r="U144" s="52" t="str">
        <f>TEXT(EDATE('Input - Site'!$E$12,8), "mmmm yyyy")</f>
        <v>September 2024</v>
      </c>
      <c r="V144" s="52" cm="1">
        <f t="array" aca="1" ref="V144" ca="1">MMS_PastureBeef_Soil_N2ODirect_Equations.VEERG_4_2_1_3__4_NitrogenRetainedByBody(X108,V80,V44,V128)</f>
        <v>3.2631583658999173E-2</v>
      </c>
      <c r="W144" s="52" cm="1">
        <f t="array" aca="1" ref="W144" ca="1">MMS_PastureBeef_Soil_N2ODirect_Equations.VEERG_4_2_1_3__4_NitrogenRetainedByBody(Y108,W80,W44,W128)</f>
        <v>1.2159206080141413E-2</v>
      </c>
      <c r="X144" s="52" cm="1">
        <f t="array" aca="1" ref="X144" ca="1">MMS_PastureBeef_Soil_N2ODirect_Equations.VEERG_4_2_1_3__4_NitrogenRetainedByBody(Z108,X80,X44,X128)</f>
        <v>2.2961722562736007E-2</v>
      </c>
      <c r="Y144" s="52" cm="1">
        <f t="array" aca="1" ref="Y144" ca="1">MMS_PastureBeef_Soil_N2ODirect_Equations.VEERG_4_2_1_3__4_NitrogenRetainedByBody(AA108,Y80,Y44,Y128)</f>
        <v>3.5186886137375313E-2</v>
      </c>
      <c r="Z144" s="52" cm="1">
        <f t="array" aca="1" ref="Z144" ca="1">MMS_PastureBeef_Soil_N2ODirect_Equations.VEERG_4_2_1_3__4_NitrogenRetainedByBody(AB108,Z80,Z44,Z128)</f>
        <v>2.993948362354976E-2</v>
      </c>
      <c r="AA144" s="52" cm="1">
        <f t="array" aca="1" ref="AA144" ca="1">MMS_PastureBeef_Soil_N2ODirect_Equations.VEERG_4_2_1_3__4_NitrogenRetainedByBody(AC108,AA80,AA44,AA128)</f>
        <v>2.993948362354976E-2</v>
      </c>
      <c r="AB144" s="52" cm="1">
        <f t="array" aca="1" ref="AB144" ca="1">MMS_PastureBeef_Soil_N2ODirect_Equations.VEERG_4_2_1_3__4_NitrogenRetainedByBody(AD108,AB80,AB44,AB128)</f>
        <v>2.7711640554981157E-2</v>
      </c>
      <c r="AC144" s="52" cm="1">
        <f t="array" aca="1" ref="AC144" ca="1">MMS_PastureBeef_Soil_N2ODirect_Equations.VEERG_4_2_1_3__4_NitrogenRetainedByBody(AE108,AC80,AC44,AC128)</f>
        <v>1.4565147934229335E-2</v>
      </c>
      <c r="AD144" s="52" cm="1">
        <f t="array" aca="1" ref="AD144" ca="1">MMS_PastureBeef_Soil_N2ODirect_Equations.VEERG_4_2_1_3__4_NitrogenRetainedByBody(AF108,AD80,AD44,AD128)</f>
        <v>1.4565147934229335E-2</v>
      </c>
      <c r="AE144" s="52" cm="1">
        <f t="array" aca="1" ref="AE144" ca="1">MMS_PastureBeef_Soil_N2ODirect_Equations.VEERG_4_2_1_3__4_NitrogenRetainedByBody(AG108,AE80,AE44,AE128)</f>
        <v>1.4565147934229335E-2</v>
      </c>
      <c r="AF144" s="2" t="str">
        <f t="shared" si="7"/>
        <v>kg N/head/day</v>
      </c>
      <c r="AG144" s="2"/>
      <c r="AH144" s="2"/>
    </row>
    <row r="145" spans="4:35" ht="20.100000000000001" customHeight="1" x14ac:dyDescent="0.25">
      <c r="D145" s="119" t="str">
        <v>NR_jkl</v>
      </c>
      <c r="E145" s="124" t="str">
        <v>the amount of nitrogen retained by the body (kg N/head/day)</v>
      </c>
      <c r="F145" s="123"/>
      <c r="G145" s="119" t="str">
        <v>kg N/head/day</v>
      </c>
      <c r="H145" s="120" t="str">
        <v>Calculated from 4.2.1.3 (4)</v>
      </c>
      <c r="I145" s="118" t="str" cm="1">
        <f t="array" aca="1" ref="I145" ca="1">HYPERLINK(Common_InputFunctions.Utility_SourceHyperlink($D$124), $D$124)</f>
        <v>M1_Table_NR_j_k_l</v>
      </c>
      <c r="U145" s="52" t="str">
        <f>TEXT(EDATE('Input - Site'!$E$12,9), "mmmm yyyy")</f>
        <v>October 2024</v>
      </c>
      <c r="V145" s="52" cm="1">
        <f t="array" aca="1" ref="V145" ca="1">MMS_PastureBeef_Soil_N2ODirect_Equations.VEERG_4_2_1_3__4_NitrogenRetainedByBody(X109,V81,V45,V129)</f>
        <v>3.2631583658999173E-2</v>
      </c>
      <c r="W145" s="52" cm="1">
        <f t="array" aca="1" ref="W145" ca="1">MMS_PastureBeef_Soil_N2ODirect_Equations.VEERG_4_2_1_3__4_NitrogenRetainedByBody(Y109,W81,W45,W129)</f>
        <v>1.2159206080141413E-2</v>
      </c>
      <c r="X145" s="52" cm="1">
        <f t="array" aca="1" ref="X145" ca="1">MMS_PastureBeef_Soil_N2ODirect_Equations.VEERG_4_2_1_3__4_NitrogenRetainedByBody(Z109,X81,X45,X129)</f>
        <v>2.2961722562736007E-2</v>
      </c>
      <c r="Y145" s="52" cm="1">
        <f t="array" aca="1" ref="Y145" ca="1">MMS_PastureBeef_Soil_N2ODirect_Equations.VEERG_4_2_1_3__4_NitrogenRetainedByBody(AA109,Y81,Y45,Y129)</f>
        <v>3.5186886137375313E-2</v>
      </c>
      <c r="Z145" s="52" cm="1">
        <f t="array" aca="1" ref="Z145" ca="1">MMS_PastureBeef_Soil_N2ODirect_Equations.VEERG_4_2_1_3__4_NitrogenRetainedByBody(AB109,Z81,Z45,Z129)</f>
        <v>2.993948362354976E-2</v>
      </c>
      <c r="AA145" s="52" cm="1">
        <f t="array" aca="1" ref="AA145" ca="1">MMS_PastureBeef_Soil_N2ODirect_Equations.VEERG_4_2_1_3__4_NitrogenRetainedByBody(AC109,AA81,AA45,AA129)</f>
        <v>2.993948362354976E-2</v>
      </c>
      <c r="AB145" s="52" cm="1">
        <f t="array" aca="1" ref="AB145" ca="1">MMS_PastureBeef_Soil_N2ODirect_Equations.VEERG_4_2_1_3__4_NitrogenRetainedByBody(AD109,AB81,AB45,AB129)</f>
        <v>2.7711640554981157E-2</v>
      </c>
      <c r="AC145" s="52" cm="1">
        <f t="array" aca="1" ref="AC145" ca="1">MMS_PastureBeef_Soil_N2ODirect_Equations.VEERG_4_2_1_3__4_NitrogenRetainedByBody(AE109,AC81,AC45,AC129)</f>
        <v>1.4565147934229335E-2</v>
      </c>
      <c r="AD145" s="52" cm="1">
        <f t="array" aca="1" ref="AD145" ca="1">MMS_PastureBeef_Soil_N2ODirect_Equations.VEERG_4_2_1_3__4_NitrogenRetainedByBody(AF109,AD81,AD45,AD129)</f>
        <v>1.4565147934229335E-2</v>
      </c>
      <c r="AE145" s="52" cm="1">
        <f t="array" aca="1" ref="AE145" ca="1">MMS_PastureBeef_Soil_N2ODirect_Equations.VEERG_4_2_1_3__4_NitrogenRetainedByBody(AG109,AE81,AE45,AE129)</f>
        <v>1.4565147934229335E-2</v>
      </c>
      <c r="AF145" s="2" t="str">
        <f t="shared" si="7"/>
        <v>kg N/head/day</v>
      </c>
      <c r="AG145" s="2"/>
      <c r="AH145" s="2"/>
    </row>
    <row r="146" spans="4:35" ht="20.100000000000001" customHeight="1" x14ac:dyDescent="0.25">
      <c r="D146" s="119" t="str">
        <v>W_jkl</v>
      </c>
      <c r="E146" s="124" t="str">
        <v>liveweight (kg/head)</v>
      </c>
      <c r="F146" s="123"/>
      <c r="G146" s="119" t="str">
        <v>kg/head</v>
      </c>
      <c r="H146" s="121" t="str">
        <v>Input</v>
      </c>
      <c r="I146" s="118" t="str" cm="1">
        <f t="array" aca="1" ref="I146" ca="1">HYPERLINK(Common_InputFunctions.Utility_SourceHyperlink($D$17), $D$17)</f>
        <v>M1_Table_W_j_k_l</v>
      </c>
      <c r="U146" s="52" t="str">
        <f>TEXT(EDATE('Input - Site'!$E$12,10), "mmmm yyyy")</f>
        <v>November 2024</v>
      </c>
      <c r="V146" s="52" cm="1">
        <f t="array" aca="1" ref="V146" ca="1">MMS_PastureBeef_Soil_N2ODirect_Equations.VEERG_4_2_1_3__4_NitrogenRetainedByBody(X110,V82,V46,V130)</f>
        <v>3.2631583658999173E-2</v>
      </c>
      <c r="W146" s="52" cm="1">
        <f t="array" aca="1" ref="W146" ca="1">MMS_PastureBeef_Soil_N2ODirect_Equations.VEERG_4_2_1_3__4_NitrogenRetainedByBody(Y110,W82,W46,W130)</f>
        <v>1.2159206080141413E-2</v>
      </c>
      <c r="X146" s="52" cm="1">
        <f t="array" aca="1" ref="X146" ca="1">MMS_PastureBeef_Soil_N2ODirect_Equations.VEERG_4_2_1_3__4_NitrogenRetainedByBody(Z110,X82,X46,X130)</f>
        <v>2.2961722562736007E-2</v>
      </c>
      <c r="Y146" s="52" cm="1">
        <f t="array" aca="1" ref="Y146" ca="1">MMS_PastureBeef_Soil_N2ODirect_Equations.VEERG_4_2_1_3__4_NitrogenRetainedByBody(AA110,Y82,Y46,Y130)</f>
        <v>2.7685555110513384E-2</v>
      </c>
      <c r="Z146" s="52" cm="1">
        <f t="array" aca="1" ref="Z146" ca="1">MMS_PastureBeef_Soil_N2ODirect_Equations.VEERG_4_2_1_3__4_NitrogenRetainedByBody(AB110,Z82,Z46,Z130)</f>
        <v>2.2419534651745895E-2</v>
      </c>
      <c r="AA146" s="52" cm="1">
        <f t="array" aca="1" ref="AA146" ca="1">MMS_PastureBeef_Soil_N2ODirect_Equations.VEERG_4_2_1_3__4_NitrogenRetainedByBody(AC110,AA82,AA46,AA130)</f>
        <v>2.2419534651745895E-2</v>
      </c>
      <c r="AB146" s="52" cm="1">
        <f t="array" aca="1" ref="AB146" ca="1">MMS_PastureBeef_Soil_N2ODirect_Equations.VEERG_4_2_1_3__4_NitrogenRetainedByBody(AD110,AB82,AB46,AB130)</f>
        <v>2.7711640554981157E-2</v>
      </c>
      <c r="AC146" s="52" cm="1">
        <f t="array" aca="1" ref="AC146" ca="1">MMS_PastureBeef_Soil_N2ODirect_Equations.VEERG_4_2_1_3__4_NitrogenRetainedByBody(AE110,AC82,AC46,AC130)</f>
        <v>1.4565147934229335E-2</v>
      </c>
      <c r="AD146" s="52" cm="1">
        <f t="array" aca="1" ref="AD146" ca="1">MMS_PastureBeef_Soil_N2ODirect_Equations.VEERG_4_2_1_3__4_NitrogenRetainedByBody(AF110,AD82,AD46,AD130)</f>
        <v>1.4565147934229335E-2</v>
      </c>
      <c r="AE146" s="52" cm="1">
        <f t="array" aca="1" ref="AE146" ca="1">MMS_PastureBeef_Soil_N2ODirect_Equations.VEERG_4_2_1_3__4_NitrogenRetainedByBody(AG110,AE82,AE46,AE130)</f>
        <v>1.4565147934229335E-2</v>
      </c>
      <c r="AF146" s="2" t="str">
        <f t="shared" si="7"/>
        <v>kg N/head/day</v>
      </c>
      <c r="AG146" s="2"/>
      <c r="AH146" s="2"/>
    </row>
    <row r="147" spans="4:35" ht="20.100000000000001" customHeight="1" x14ac:dyDescent="0.25">
      <c r="D147" s="119" t="str">
        <v>b</v>
      </c>
      <c r="E147" s="124" t="str">
        <v>breed of cattle</v>
      </c>
      <c r="F147" s="123"/>
      <c r="G147" s="119" t="str">
        <v/>
      </c>
      <c r="H147" s="121" t="str">
        <v>Input</v>
      </c>
      <c r="I147" s="57" t="str">
        <f>X_Cell_PastureBeef_Breed</f>
        <v>Hereford or Shorthorn breeds</v>
      </c>
      <c r="U147" s="52" t="str">
        <f>TEXT(EDATE('Input - Site'!$E$12,11), "mmmm yyyy")</f>
        <v>December 2024</v>
      </c>
      <c r="V147" s="52" cm="1">
        <f t="array" aca="1" ref="V147" ca="1">MMS_PastureBeef_Soil_N2ODirect_Equations.VEERG_4_2_1_3__4_NitrogenRetainedByBody(X111,V83,V47,V131)</f>
        <v>8.1246865273940476E-3</v>
      </c>
      <c r="W147" s="52" cm="1">
        <f t="array" aca="1" ref="W147" ca="1">MMS_PastureBeef_Soil_N2ODirect_Equations.VEERG_4_2_1_3__4_NitrogenRetainedByBody(Y111,W83,W47,W131)</f>
        <v>-2.4500809510830074E-3</v>
      </c>
      <c r="X147" s="52" cm="1">
        <f t="array" aca="1" ref="X147" ca="1">MMS_PastureBeef_Soil_N2ODirect_Equations.VEERG_4_2_1_3__4_NitrogenRetainedByBody(Z111,X83,X47,X131)</f>
        <v>7.4692204769955996E-3</v>
      </c>
      <c r="Y147" s="52" cm="1">
        <f t="array" aca="1" ref="Y147" ca="1">MMS_PastureBeef_Soil_N2ODirect_Equations.VEERG_4_2_1_3__4_NitrogenRetainedByBody(AA111,Y83,Y47,Y131)</f>
        <v>1.9080635764024231E-2</v>
      </c>
      <c r="Z147" s="52" cm="1">
        <f t="array" aca="1" ref="Z147" ca="1">MMS_PastureBeef_Soil_N2ODirect_Equations.VEERG_4_2_1_3__4_NitrogenRetainedByBody(AB111,Z83,Z47,Z131)</f>
        <v>1.2558041048697144E-2</v>
      </c>
      <c r="AA147" s="52" cm="1">
        <f t="array" aca="1" ref="AA147" ca="1">MMS_PastureBeef_Soil_N2ODirect_Equations.VEERG_4_2_1_3__4_NitrogenRetainedByBody(AC111,AA83,AA47,AA131)</f>
        <v>1.2558041048697144E-2</v>
      </c>
      <c r="AB147" s="52" cm="1">
        <f t="array" aca="1" ref="AB147" ca="1">MMS_PastureBeef_Soil_N2ODirect_Equations.VEERG_4_2_1_3__4_NitrogenRetainedByBody(AD111,AB83,AB47,AB131)</f>
        <v>7.842975342880058E-3</v>
      </c>
      <c r="AC147" s="52" cm="1">
        <f t="array" aca="1" ref="AC147" ca="1">MMS_PastureBeef_Soil_N2ODirect_Equations.VEERG_4_2_1_3__4_NitrogenRetainedByBody(AE111,AC83,AC47,AC131)</f>
        <v>-1.4855230625479237E-3</v>
      </c>
      <c r="AD147" s="52" cm="1">
        <f t="array" aca="1" ref="AD147" ca="1">MMS_PastureBeef_Soil_N2ODirect_Equations.VEERG_4_2_1_3__4_NitrogenRetainedByBody(AF111,AD83,AD47,AD131)</f>
        <v>-1.4855230625479237E-3</v>
      </c>
      <c r="AE147" s="52" cm="1">
        <f t="array" aca="1" ref="AE147" ca="1">MMS_PastureBeef_Soil_N2ODirect_Equations.VEERG_4_2_1_3__4_NitrogenRetainedByBody(AG111,AE83,AE47,AE131)</f>
        <v>-1.4855230625479237E-3</v>
      </c>
      <c r="AF147" s="2" t="str">
        <f t="shared" si="7"/>
        <v>kg N/head/day</v>
      </c>
      <c r="AG147" s="2"/>
      <c r="AH147" s="2"/>
    </row>
    <row r="148" spans="4:35" ht="20.100000000000001" customHeight="1" x14ac:dyDescent="0.25">
      <c r="D148" s="119" t="str">
        <v>s</v>
      </c>
      <c r="E148" s="124" t="str">
        <v>Calving season</v>
      </c>
      <c r="F148" s="123"/>
      <c r="G148" s="119" t="str">
        <v/>
      </c>
      <c r="H148" s="121" t="str">
        <v>Input</v>
      </c>
      <c r="I148" s="57" t="str">
        <f>'Input - Pasture Beef'!$E$104</f>
        <v>Winter</v>
      </c>
    </row>
    <row r="149" spans="4:35" ht="20.100000000000001" customHeight="1" x14ac:dyDescent="0.25"/>
    <row r="150" spans="4:35" ht="20.100000000000001" customHeight="1" x14ac:dyDescent="0.25">
      <c r="D150" s="98" t="s">
        <v>106</v>
      </c>
      <c r="T150" s="45"/>
      <c r="U150" s="45"/>
      <c r="V150" s="45"/>
      <c r="W150" s="45"/>
      <c r="X150" s="45"/>
      <c r="Y150" s="45"/>
      <c r="Z150" s="45"/>
      <c r="AA150" s="45"/>
      <c r="AB150" s="45"/>
      <c r="AC150" s="45"/>
      <c r="AD150" s="45"/>
      <c r="AE150" s="45"/>
      <c r="AF150" s="45"/>
      <c r="AG150" s="45"/>
      <c r="AH150" s="45"/>
      <c r="AI150" s="45"/>
    </row>
    <row r="151" spans="4:35" ht="20.100000000000001" customHeight="1" x14ac:dyDescent="0.25">
      <c r="D151" s="97" t="s">
        <v>311</v>
      </c>
      <c r="U151" s="6" t="str" cm="1">
        <f t="array" ref="U151">MMS_PastureBeef_Soil_N2ODirect_Equations.VEERG_4_2_1_3__3_NitrogenExcreted_Title()</f>
        <v>Nitrogen excreted</v>
      </c>
    </row>
    <row r="152" spans="4:35" ht="20.100000000000001" customHeight="1" x14ac:dyDescent="0.25">
      <c r="D152" s="51" t="s">
        <v>184</v>
      </c>
      <c r="E152" s="122" t="s">
        <v>131</v>
      </c>
      <c r="F152" s="122" t="s">
        <v>130</v>
      </c>
      <c r="G152" s="122" t="s">
        <v>165</v>
      </c>
      <c r="H152" s="122" t="s">
        <v>166</v>
      </c>
      <c r="I152" s="122" t="s">
        <v>167</v>
      </c>
      <c r="J152" s="122" t="s">
        <v>168</v>
      </c>
      <c r="K152" s="122" t="s">
        <v>169</v>
      </c>
      <c r="L152" s="122" t="s">
        <v>170</v>
      </c>
      <c r="M152" s="122" t="s">
        <v>171</v>
      </c>
      <c r="N152" s="122" t="s">
        <v>172</v>
      </c>
    </row>
    <row r="153" spans="4:35" ht="20.100000000000001" customHeight="1" x14ac:dyDescent="0.25">
      <c r="D153" s="52" t="s">
        <v>173</v>
      </c>
      <c r="E153" s="52" cm="1">
        <f t="array" aca="1" ref="E153:N156" ca="1">OFFSET(X_Table_PastureBeef_CrudeProtein_Method1, 1,1, 4,10)</f>
        <v>0.2</v>
      </c>
      <c r="F153" s="52">
        <f ca="1"/>
        <v>0.2</v>
      </c>
      <c r="G153" s="52">
        <f ca="1"/>
        <v>0.2</v>
      </c>
      <c r="H153" s="52">
        <f ca="1"/>
        <v>0.2</v>
      </c>
      <c r="I153" s="52">
        <f ca="1"/>
        <v>0.2</v>
      </c>
      <c r="J153" s="52">
        <f ca="1"/>
        <v>0.2</v>
      </c>
      <c r="K153" s="52">
        <f ca="1"/>
        <v>0.2</v>
      </c>
      <c r="L153" s="52">
        <f ca="1"/>
        <v>0.2</v>
      </c>
      <c r="M153" s="52">
        <f ca="1"/>
        <v>0.2</v>
      </c>
      <c r="N153" s="52">
        <f ca="1"/>
        <v>0.2</v>
      </c>
      <c r="O153" s="2" t="s">
        <v>141</v>
      </c>
    </row>
    <row r="154" spans="4:35" ht="20.100000000000001" customHeight="1" x14ac:dyDescent="0.25">
      <c r="D154" s="52" t="s">
        <v>174</v>
      </c>
      <c r="E154" s="52">
        <f ca="1"/>
        <v>0.09</v>
      </c>
      <c r="F154" s="52">
        <f ca="1"/>
        <v>0.09</v>
      </c>
      <c r="G154" s="52">
        <f ca="1"/>
        <v>0.09</v>
      </c>
      <c r="H154" s="52">
        <f ca="1"/>
        <v>0.09</v>
      </c>
      <c r="I154" s="52">
        <f ca="1"/>
        <v>0.09</v>
      </c>
      <c r="J154" s="52">
        <f ca="1"/>
        <v>0.09</v>
      </c>
      <c r="K154" s="52">
        <f ca="1"/>
        <v>0.09</v>
      </c>
      <c r="L154" s="52">
        <f ca="1"/>
        <v>0.09</v>
      </c>
      <c r="M154" s="52">
        <f ca="1"/>
        <v>0.09</v>
      </c>
      <c r="N154" s="52">
        <f ca="1"/>
        <v>0.09</v>
      </c>
      <c r="O154" s="2" t="s">
        <v>141</v>
      </c>
    </row>
    <row r="155" spans="4:35" ht="20.100000000000001" customHeight="1" x14ac:dyDescent="0.25">
      <c r="D155" s="52" t="s">
        <v>175</v>
      </c>
      <c r="E155" s="52">
        <f ca="1"/>
        <v>0.06</v>
      </c>
      <c r="F155" s="52">
        <f ca="1"/>
        <v>0.06</v>
      </c>
      <c r="G155" s="52">
        <f ca="1"/>
        <v>0.06</v>
      </c>
      <c r="H155" s="52">
        <f ca="1"/>
        <v>0.06</v>
      </c>
      <c r="I155" s="52">
        <f ca="1"/>
        <v>0.06</v>
      </c>
      <c r="J155" s="52">
        <f ca="1"/>
        <v>0.06</v>
      </c>
      <c r="K155" s="52">
        <f ca="1"/>
        <v>0.06</v>
      </c>
      <c r="L155" s="52">
        <f ca="1"/>
        <v>0.06</v>
      </c>
      <c r="M155" s="52">
        <f ca="1"/>
        <v>0.06</v>
      </c>
      <c r="N155" s="52">
        <f ca="1"/>
        <v>0.06</v>
      </c>
      <c r="O155" s="2" t="s">
        <v>141</v>
      </c>
    </row>
    <row r="156" spans="4:35" ht="20.100000000000001" customHeight="1" x14ac:dyDescent="0.25">
      <c r="D156" s="52" t="s">
        <v>176</v>
      </c>
      <c r="E156" s="52">
        <f ca="1"/>
        <v>0.2</v>
      </c>
      <c r="F156" s="52">
        <f ca="1"/>
        <v>0.2</v>
      </c>
      <c r="G156" s="52">
        <f ca="1"/>
        <v>0.2</v>
      </c>
      <c r="H156" s="52">
        <f ca="1"/>
        <v>0.2</v>
      </c>
      <c r="I156" s="52">
        <f ca="1"/>
        <v>0.2</v>
      </c>
      <c r="J156" s="52">
        <f ca="1"/>
        <v>0.2</v>
      </c>
      <c r="K156" s="52">
        <f ca="1"/>
        <v>0.2</v>
      </c>
      <c r="L156" s="52">
        <f ca="1"/>
        <v>0.2</v>
      </c>
      <c r="M156" s="52">
        <f ca="1"/>
        <v>0.2</v>
      </c>
      <c r="N156" s="52">
        <f ca="1"/>
        <v>0.2</v>
      </c>
      <c r="O156" s="2" t="s">
        <v>141</v>
      </c>
    </row>
    <row r="157" spans="4:35" ht="20.100000000000001" customHeight="1" x14ac:dyDescent="0.25"/>
    <row r="158" spans="4:35" ht="20.100000000000001" customHeight="1" x14ac:dyDescent="0.25">
      <c r="D158" s="98" t="s">
        <v>296</v>
      </c>
    </row>
    <row r="159" spans="4:35" ht="20.100000000000001" customHeight="1" x14ac:dyDescent="0.25">
      <c r="D159" s="97" t="s">
        <v>313</v>
      </c>
    </row>
    <row r="160" spans="4:35" ht="20.100000000000001" customHeight="1" x14ac:dyDescent="0.25">
      <c r="D160" s="51" t="s">
        <v>184</v>
      </c>
      <c r="E160" s="51" t="s">
        <v>246</v>
      </c>
      <c r="F160" s="51" t="s">
        <v>131</v>
      </c>
      <c r="G160" s="51" t="s">
        <v>130</v>
      </c>
      <c r="H160" s="51" t="s">
        <v>165</v>
      </c>
      <c r="I160" s="51" t="s">
        <v>166</v>
      </c>
      <c r="J160" s="51" t="s">
        <v>167</v>
      </c>
      <c r="K160" s="51" t="s">
        <v>168</v>
      </c>
      <c r="L160" s="51" t="s">
        <v>169</v>
      </c>
      <c r="M160" s="51" t="s">
        <v>170</v>
      </c>
      <c r="N160" s="51" t="s">
        <v>171</v>
      </c>
      <c r="O160" s="51" t="s">
        <v>172</v>
      </c>
    </row>
    <row r="161" spans="3:34" ht="20.100000000000001" customHeight="1" x14ac:dyDescent="0.25">
      <c r="D161" s="52" t="s">
        <v>173</v>
      </c>
      <c r="E161" s="52" t="str" cm="1">
        <f t="array" ref="E161">_xlfn.IFS($D$161=$I$148,"Calving season",$D$164=$I$148,"Season after calving",TRUE, "")</f>
        <v>Season after calving</v>
      </c>
      <c r="F161" s="52" cm="1">
        <f t="array" ref="F161">_xlfn.XLOOKUP(1, (Table_SourceData_PastureBeef_FeedIntakeAdjustment_Variation[Breed]=$I$147)*(Table_SourceData_PastureBeef_FeedIntakeAdjustment_Variation[Season]=$E161), Table_SourceData_PastureBeef_FeedIntakeAdjustment_Variation[Milk intake/production], 0)</f>
        <v>4</v>
      </c>
      <c r="G161" s="52">
        <v>0</v>
      </c>
      <c r="H161" s="52" cm="1">
        <f t="array" ref="H161">_xlfn.XLOOKUP(1, (Table_SourceData_PastureBeef_FeedIntakeAdjustment_Variation[Breed]=$I$147)*(Table_SourceData_PastureBeef_FeedIntakeAdjustment_Variation[Season]=$E161), Table_SourceData_PastureBeef_FeedIntakeAdjustment_Variation[Milk intake/production], 0)</f>
        <v>4</v>
      </c>
      <c r="I161" s="52">
        <v>0</v>
      </c>
      <c r="J161" s="52">
        <v>0</v>
      </c>
      <c r="K161" s="52">
        <v>0</v>
      </c>
      <c r="L161" s="52" cm="1">
        <f t="array" ref="L161">_xlfn.XLOOKUP(1, (Table_SourceData_PastureBeef_FeedIntakeAdjustment_Variation[Breed]=$I$147)*(Table_SourceData_PastureBeef_FeedIntakeAdjustment_Variation[Season]=$E161), Table_SourceData_PastureBeef_FeedIntakeAdjustment_Variation[Milk intake/production], 0)</f>
        <v>4</v>
      </c>
      <c r="M161" s="52">
        <v>0</v>
      </c>
      <c r="N161" s="52">
        <v>0</v>
      </c>
      <c r="O161" s="52">
        <v>0</v>
      </c>
      <c r="P161" s="2" t="s">
        <v>134</v>
      </c>
      <c r="Q161" s="2"/>
      <c r="U161" s="98" t="s">
        <v>107</v>
      </c>
    </row>
    <row r="162" spans="3:34" ht="20.100000000000001" customHeight="1" x14ac:dyDescent="0.25">
      <c r="D162" s="52" t="s">
        <v>174</v>
      </c>
      <c r="E162" s="52" t="str" cm="1">
        <f t="array" ref="E162">_xlfn.IFS($D$162=$I$148,"Calving season",$D$161=$I$148,"Season after calving",TRUE, "")</f>
        <v/>
      </c>
      <c r="F162" s="52" cm="1">
        <f t="array" ref="F162">_xlfn.XLOOKUP(1, (Table_SourceData_PastureBeef_FeedIntakeAdjustment_Variation[Breed]=$I$147)*(Table_SourceData_PastureBeef_FeedIntakeAdjustment_Variation[Season]=$E162), Table_SourceData_PastureBeef_FeedIntakeAdjustment_Variation[Milk intake/production], 0)</f>
        <v>0</v>
      </c>
      <c r="G162" s="52">
        <v>0</v>
      </c>
      <c r="H162" s="52" cm="1">
        <f t="array" ref="H162">_xlfn.XLOOKUP(1, (Table_SourceData_PastureBeef_FeedIntakeAdjustment_Variation[Breed]=$I$147)*(Table_SourceData_PastureBeef_FeedIntakeAdjustment_Variation[Season]=$E162), Table_SourceData_PastureBeef_FeedIntakeAdjustment_Variation[Milk intake/production], 0)</f>
        <v>0</v>
      </c>
      <c r="I162" s="52">
        <v>0</v>
      </c>
      <c r="J162" s="52">
        <v>0</v>
      </c>
      <c r="K162" s="52">
        <v>0</v>
      </c>
      <c r="L162" s="52" cm="1">
        <f t="array" ref="L162">_xlfn.XLOOKUP(1, (Table_SourceData_PastureBeef_FeedIntakeAdjustment_Variation[Breed]=$I$147)*(Table_SourceData_PastureBeef_FeedIntakeAdjustment_Variation[Season]=$E162), Table_SourceData_PastureBeef_FeedIntakeAdjustment_Variation[Milk intake/production], 0)</f>
        <v>0</v>
      </c>
      <c r="M162" s="52">
        <v>0</v>
      </c>
      <c r="N162" s="52">
        <v>0</v>
      </c>
      <c r="O162" s="52">
        <v>0</v>
      </c>
      <c r="P162" s="2" t="s">
        <v>134</v>
      </c>
      <c r="Q162" s="2"/>
      <c r="U162" s="97" t="s">
        <v>310</v>
      </c>
    </row>
    <row r="163" spans="3:34" ht="20.100000000000001" customHeight="1" x14ac:dyDescent="0.25">
      <c r="D163" s="52" t="s">
        <v>175</v>
      </c>
      <c r="E163" s="52" t="str" cm="1">
        <f t="array" ref="E163">_xlfn.IFS($D$163=$I$148,"Calving season",$D$162=$I$148,"Season after calving",TRUE, "")</f>
        <v/>
      </c>
      <c r="F163" s="52" cm="1">
        <f t="array" ref="F163">_xlfn.XLOOKUP(1, (Table_SourceData_PastureBeef_FeedIntakeAdjustment_Variation[Breed]=$I$147)*(Table_SourceData_PastureBeef_FeedIntakeAdjustment_Variation[Season]=$E163), Table_SourceData_PastureBeef_FeedIntakeAdjustment_Variation[Milk intake/production], 0)</f>
        <v>0</v>
      </c>
      <c r="G163" s="52">
        <v>0</v>
      </c>
      <c r="H163" s="52" cm="1">
        <f t="array" ref="H163">_xlfn.XLOOKUP(1, (Table_SourceData_PastureBeef_FeedIntakeAdjustment_Variation[Breed]=$I$147)*(Table_SourceData_PastureBeef_FeedIntakeAdjustment_Variation[Season]=$E163), Table_SourceData_PastureBeef_FeedIntakeAdjustment_Variation[Milk intake/production], 0)</f>
        <v>0</v>
      </c>
      <c r="I163" s="52">
        <v>0</v>
      </c>
      <c r="J163" s="52">
        <v>0</v>
      </c>
      <c r="K163" s="52">
        <v>0</v>
      </c>
      <c r="L163" s="52" cm="1">
        <f t="array" ref="L163">_xlfn.XLOOKUP(1, (Table_SourceData_PastureBeef_FeedIntakeAdjustment_Variation[Breed]=$I$147)*(Table_SourceData_PastureBeef_FeedIntakeAdjustment_Variation[Season]=$E163), Table_SourceData_PastureBeef_FeedIntakeAdjustment_Variation[Milk intake/production], 0)</f>
        <v>0</v>
      </c>
      <c r="M163" s="52">
        <v>0</v>
      </c>
      <c r="N163" s="52">
        <v>0</v>
      </c>
      <c r="O163" s="52">
        <v>0</v>
      </c>
      <c r="P163" s="2" t="s">
        <v>134</v>
      </c>
      <c r="Q163" s="2"/>
      <c r="U163" s="51" t="s">
        <v>132</v>
      </c>
      <c r="V163" s="122" t="s">
        <v>131</v>
      </c>
      <c r="W163" s="122" t="s">
        <v>130</v>
      </c>
      <c r="X163" s="122" t="s">
        <v>165</v>
      </c>
      <c r="Y163" s="122" t="s">
        <v>166</v>
      </c>
      <c r="Z163" s="122" t="s">
        <v>167</v>
      </c>
      <c r="AA163" s="122" t="s">
        <v>168</v>
      </c>
      <c r="AB163" s="122" t="s">
        <v>169</v>
      </c>
      <c r="AC163" s="122" t="s">
        <v>170</v>
      </c>
      <c r="AD163" s="122" t="s">
        <v>171</v>
      </c>
      <c r="AE163" s="122" t="s">
        <v>172</v>
      </c>
    </row>
    <row r="164" spans="3:34" ht="20.100000000000001" customHeight="1" x14ac:dyDescent="0.25">
      <c r="D164" s="52" t="s">
        <v>176</v>
      </c>
      <c r="E164" s="52" t="str" cm="1">
        <f t="array" ref="E164">_xlfn.IFS($D$164=$I$148,"Calving season",$D$163=$I$148,"Season after calving",TRUE, "")</f>
        <v>Calving season</v>
      </c>
      <c r="F164" s="52" cm="1">
        <f t="array" ref="F164">_xlfn.XLOOKUP(1, (Table_SourceData_PastureBeef_FeedIntakeAdjustment_Variation[Breed]=$I$147)*(Table_SourceData_PastureBeef_FeedIntakeAdjustment_Variation[Season]=$E164), Table_SourceData_PastureBeef_FeedIntakeAdjustment_Variation[Milk intake/production], 0)</f>
        <v>6</v>
      </c>
      <c r="G164" s="52">
        <v>0</v>
      </c>
      <c r="H164" s="52" cm="1">
        <f t="array" ref="H164">_xlfn.XLOOKUP(1, (Table_SourceData_PastureBeef_FeedIntakeAdjustment_Variation[Breed]=$I$147)*(Table_SourceData_PastureBeef_FeedIntakeAdjustment_Variation[Season]=$E164), Table_SourceData_PastureBeef_FeedIntakeAdjustment_Variation[Milk intake/production], 0)</f>
        <v>6</v>
      </c>
      <c r="I164" s="52">
        <v>0</v>
      </c>
      <c r="J164" s="52">
        <v>0</v>
      </c>
      <c r="K164" s="52">
        <v>0</v>
      </c>
      <c r="L164" s="52" cm="1">
        <f t="array" ref="L164">_xlfn.XLOOKUP(1, (Table_SourceData_PastureBeef_FeedIntakeAdjustment_Variation[Breed]=$I$147)*(Table_SourceData_PastureBeef_FeedIntakeAdjustment_Variation[Season]=$E164), Table_SourceData_PastureBeef_FeedIntakeAdjustment_Variation[Milk intake/production], 0)</f>
        <v>6</v>
      </c>
      <c r="M164" s="52">
        <v>0</v>
      </c>
      <c r="N164" s="52">
        <v>0</v>
      </c>
      <c r="O164" s="52">
        <v>0</v>
      </c>
      <c r="P164" s="2" t="s">
        <v>134</v>
      </c>
      <c r="Q164" s="2"/>
      <c r="U164" s="52" t="str">
        <f>TEXT('Input - Site'!$E$12, "mmmm yyyy")</f>
        <v>January 2024</v>
      </c>
      <c r="V164" s="52" cm="1">
        <f t="array" aca="1" ref="V164:AE175" ca="1">OFFSET(X_Table_PastureBeef_CrudeProtein_Method2, 1,1, 12,10)</f>
        <v>0.09</v>
      </c>
      <c r="W164" s="52">
        <f ca="1"/>
        <v>0.09</v>
      </c>
      <c r="X164" s="52">
        <f ca="1"/>
        <v>0.09</v>
      </c>
      <c r="Y164" s="52">
        <f ca="1"/>
        <v>0.09</v>
      </c>
      <c r="Z164" s="52">
        <f ca="1"/>
        <v>0.09</v>
      </c>
      <c r="AA164" s="52">
        <f ca="1"/>
        <v>0.09</v>
      </c>
      <c r="AB164" s="52">
        <f ca="1"/>
        <v>0.09</v>
      </c>
      <c r="AC164" s="52">
        <f ca="1"/>
        <v>0.09</v>
      </c>
      <c r="AD164" s="52">
        <f ca="1"/>
        <v>0.09</v>
      </c>
      <c r="AE164" s="52">
        <f ca="1"/>
        <v>0.09</v>
      </c>
      <c r="AF164" s="2" t="s">
        <v>141</v>
      </c>
    </row>
    <row r="165" spans="3:34" ht="20.100000000000001" customHeight="1" x14ac:dyDescent="0.25">
      <c r="U165" s="52" t="str">
        <f>TEXT(EDATE('Input - Site'!$E$12,1), "mmmm yyyy")</f>
        <v>February 2024</v>
      </c>
      <c r="V165" s="52">
        <f ca="1"/>
        <v>0.09</v>
      </c>
      <c r="W165" s="52">
        <f ca="1"/>
        <v>0.09</v>
      </c>
      <c r="X165" s="52">
        <f ca="1"/>
        <v>0.09</v>
      </c>
      <c r="Y165" s="52">
        <f ca="1"/>
        <v>0.09</v>
      </c>
      <c r="Z165" s="52">
        <f ca="1"/>
        <v>0.09</v>
      </c>
      <c r="AA165" s="52">
        <f ca="1"/>
        <v>0.09</v>
      </c>
      <c r="AB165" s="52">
        <f ca="1"/>
        <v>0.09</v>
      </c>
      <c r="AC165" s="52">
        <f ca="1"/>
        <v>0.09</v>
      </c>
      <c r="AD165" s="52">
        <f ca="1"/>
        <v>0.09</v>
      </c>
      <c r="AE165" s="52">
        <f ca="1"/>
        <v>0.09</v>
      </c>
      <c r="AF165" s="2" t="s">
        <v>141</v>
      </c>
    </row>
    <row r="166" spans="3:34" ht="20.100000000000001" customHeight="1" x14ac:dyDescent="0.25">
      <c r="D166" s="98" t="s">
        <v>297</v>
      </c>
      <c r="U166" s="52" t="str">
        <f>TEXT(EDATE('Input - Site'!$E$12,2), "mmmm yyyy")</f>
        <v>March 2024</v>
      </c>
      <c r="V166" s="52">
        <f ca="1"/>
        <v>0.06</v>
      </c>
      <c r="W166" s="52">
        <f ca="1"/>
        <v>0.06</v>
      </c>
      <c r="X166" s="52">
        <f ca="1"/>
        <v>0.06</v>
      </c>
      <c r="Y166" s="52">
        <f ca="1"/>
        <v>0.06</v>
      </c>
      <c r="Z166" s="52">
        <f ca="1"/>
        <v>0.06</v>
      </c>
      <c r="AA166" s="52">
        <f ca="1"/>
        <v>0.06</v>
      </c>
      <c r="AB166" s="52">
        <f ca="1"/>
        <v>0.06</v>
      </c>
      <c r="AC166" s="52">
        <f ca="1"/>
        <v>0.06</v>
      </c>
      <c r="AD166" s="52">
        <f ca="1"/>
        <v>0.06</v>
      </c>
      <c r="AE166" s="52">
        <f ca="1"/>
        <v>0.06</v>
      </c>
      <c r="AF166" s="2" t="s">
        <v>141</v>
      </c>
    </row>
    <row r="167" spans="3:34" ht="20.100000000000001" customHeight="1" x14ac:dyDescent="0.25">
      <c r="D167" s="97" t="s">
        <v>314</v>
      </c>
      <c r="U167" s="52" t="str">
        <f>TEXT(EDATE('Input - Site'!$E$12,3), "mmmm yyyy")</f>
        <v>April 2024</v>
      </c>
      <c r="V167" s="52">
        <f ca="1"/>
        <v>0.06</v>
      </c>
      <c r="W167" s="52">
        <f ca="1"/>
        <v>0.06</v>
      </c>
      <c r="X167" s="52">
        <f ca="1"/>
        <v>0.06</v>
      </c>
      <c r="Y167" s="52">
        <f ca="1"/>
        <v>0.06</v>
      </c>
      <c r="Z167" s="52">
        <f ca="1"/>
        <v>0.06</v>
      </c>
      <c r="AA167" s="52">
        <f ca="1"/>
        <v>0.06</v>
      </c>
      <c r="AB167" s="52">
        <f ca="1"/>
        <v>0.06</v>
      </c>
      <c r="AC167" s="52">
        <f ca="1"/>
        <v>0.06</v>
      </c>
      <c r="AD167" s="52">
        <f ca="1"/>
        <v>0.06</v>
      </c>
      <c r="AE167" s="52">
        <f ca="1"/>
        <v>0.06</v>
      </c>
      <c r="AF167" s="2" t="s">
        <v>141</v>
      </c>
    </row>
    <row r="168" spans="3:34" ht="20.100000000000001" customHeight="1" x14ac:dyDescent="0.25">
      <c r="D168" s="51" t="s">
        <v>184</v>
      </c>
      <c r="E168" s="51" t="s">
        <v>131</v>
      </c>
      <c r="F168" s="51" t="s">
        <v>130</v>
      </c>
      <c r="G168" s="51" t="s">
        <v>165</v>
      </c>
      <c r="H168" s="51" t="s">
        <v>166</v>
      </c>
      <c r="I168" s="51" t="s">
        <v>167</v>
      </c>
      <c r="J168" s="51" t="s">
        <v>168</v>
      </c>
      <c r="K168" s="51" t="s">
        <v>169</v>
      </c>
      <c r="L168" s="51" t="s">
        <v>170</v>
      </c>
      <c r="M168" s="51" t="s">
        <v>171</v>
      </c>
      <c r="N168" s="51" t="s">
        <v>172</v>
      </c>
      <c r="U168" s="52" t="str">
        <f>TEXT(EDATE('Input - Site'!$E$12,4), "mmmm yyyy")</f>
        <v>May 2024</v>
      </c>
      <c r="V168" s="52">
        <f ca="1"/>
        <v>0.06</v>
      </c>
      <c r="W168" s="52">
        <f ca="1"/>
        <v>0.06</v>
      </c>
      <c r="X168" s="52">
        <f ca="1"/>
        <v>0.06</v>
      </c>
      <c r="Y168" s="52">
        <f ca="1"/>
        <v>0.06</v>
      </c>
      <c r="Z168" s="52">
        <f ca="1"/>
        <v>0.06</v>
      </c>
      <c r="AA168" s="52">
        <f ca="1"/>
        <v>0.06</v>
      </c>
      <c r="AB168" s="52">
        <f ca="1"/>
        <v>0.06</v>
      </c>
      <c r="AC168" s="52">
        <f ca="1"/>
        <v>0.06</v>
      </c>
      <c r="AD168" s="52">
        <f ca="1"/>
        <v>0.06</v>
      </c>
      <c r="AE168" s="52">
        <f ca="1"/>
        <v>0.06</v>
      </c>
      <c r="AF168" s="2" t="s">
        <v>141</v>
      </c>
      <c r="AG168" s="2"/>
      <c r="AH168" s="2"/>
    </row>
    <row r="169" spans="3:34" ht="20.100000000000001" customHeight="1" x14ac:dyDescent="0.25">
      <c r="D169" s="52" t="s">
        <v>173</v>
      </c>
      <c r="E169" s="52" cm="1">
        <f t="array" aca="1" ref="E169" ca="1">MMS_PastureBeef_Soil_N2ODirect_Equations.VEERG_4_2_1_3__3_NitrogenExcreted(E54,E153,F161,E127,E20)</f>
        <v>0.26350651585923002</v>
      </c>
      <c r="F169" s="52" cm="1">
        <f t="array" aca="1" ref="F169" ca="1">MMS_PastureBeef_Soil_N2ODirect_Equations.VEERG_4_2_1_3__3_NitrogenExcreted(F54,F153,G161,F127,F20)</f>
        <v>0.37708133734232585</v>
      </c>
      <c r="G169" s="52" cm="1">
        <f t="array" aca="1" ref="G169" ca="1">MMS_PastureBeef_Soil_N2ODirect_Equations.VEERG_4_2_1_3__3_NitrogenExcreted(G54,G153,H161,G127,G20)</f>
        <v>0.20744815814809262</v>
      </c>
      <c r="H169" s="52" cm="1">
        <f t="array" aca="1" ref="H169" ca="1">MMS_PastureBeef_Soil_N2ODirect_Equations.VEERG_4_2_1_3__3_NitrogenExcreted(H54,H153,I161,H127,H20)</f>
        <v>0.27698096705009545</v>
      </c>
      <c r="I169" s="52" cm="1">
        <f t="array" aca="1" ref="I169" ca="1">MMS_PastureBeef_Soil_N2ODirect_Equations.VEERG_4_2_1_3__3_NitrogenExcreted(I54,I153,J161,I127,I20)</f>
        <v>0.34118759264783</v>
      </c>
      <c r="J169" s="52" cm="1">
        <f t="array" aca="1" ref="J169" ca="1">MMS_PastureBeef_Soil_N2ODirect_Equations.VEERG_4_2_1_3__3_NitrogenExcreted(J54,J153,K161,J127,J20)</f>
        <v>0.34118759264783</v>
      </c>
      <c r="K169" s="52" cm="1">
        <f t="array" aca="1" ref="K169" ca="1">MMS_PastureBeef_Soil_N2ODirect_Equations.VEERG_4_2_1_3__3_NitrogenExcreted(K54,K153,L161,K127,K20)</f>
        <v>0.23489856582312055</v>
      </c>
      <c r="L169" s="52" cm="1">
        <f t="array" aca="1" ref="L169" ca="1">MMS_PastureBeef_Soil_N2ODirect_Equations.VEERG_4_2_1_3__3_NitrogenExcreted(L54,L153,M161,L127,L20)</f>
        <v>0.2934676863299529</v>
      </c>
      <c r="M169" s="52" cm="1">
        <f t="array" aca="1" ref="M169" ca="1">MMS_PastureBeef_Soil_N2ODirect_Equations.VEERG_4_2_1_3__3_NitrogenExcreted(M54,M153,N161,M127,M20)</f>
        <v>0.2934676863299529</v>
      </c>
      <c r="N169" s="52" cm="1">
        <f t="array" aca="1" ref="N169" ca="1">MMS_PastureBeef_Soil_N2ODirect_Equations.VEERG_4_2_1_3__3_NitrogenExcreted(N54,N153,O161,N127,N20)</f>
        <v>0.2934676863299529</v>
      </c>
      <c r="O169" s="2" t="str">
        <f>$E$140</f>
        <v>kg N/head/day</v>
      </c>
      <c r="U169" s="52" t="str">
        <f>TEXT(EDATE('Input - Site'!$E$12,5), "mmmm yyyy")</f>
        <v>June 2024</v>
      </c>
      <c r="V169" s="52">
        <f ca="1"/>
        <v>0.2</v>
      </c>
      <c r="W169" s="52">
        <f ca="1"/>
        <v>0.2</v>
      </c>
      <c r="X169" s="52">
        <f ca="1"/>
        <v>0.2</v>
      </c>
      <c r="Y169" s="52">
        <f ca="1"/>
        <v>0.2</v>
      </c>
      <c r="Z169" s="52">
        <f ca="1"/>
        <v>0.2</v>
      </c>
      <c r="AA169" s="52">
        <f ca="1"/>
        <v>0.2</v>
      </c>
      <c r="AB169" s="52">
        <f ca="1"/>
        <v>0.2</v>
      </c>
      <c r="AC169" s="52">
        <f ca="1"/>
        <v>0.2</v>
      </c>
      <c r="AD169" s="52">
        <f ca="1"/>
        <v>0.2</v>
      </c>
      <c r="AE169" s="52">
        <f ca="1"/>
        <v>0.2</v>
      </c>
      <c r="AF169" s="2" t="s">
        <v>141</v>
      </c>
      <c r="AG169" s="2"/>
      <c r="AH169" s="2"/>
    </row>
    <row r="170" spans="3:34" ht="20.100000000000001" customHeight="1" x14ac:dyDescent="0.25">
      <c r="D170" s="52" t="s">
        <v>174</v>
      </c>
      <c r="E170" s="52" cm="1">
        <f t="array" aca="1" ref="E170" ca="1">MMS_PastureBeef_Soil_N2ODirect_Equations.VEERG_4_2_1_3__3_NitrogenExcreted(E55,E154,F162,E128,E21)</f>
        <v>9.3275223802458812E-2</v>
      </c>
      <c r="F170" s="52" cm="1">
        <f t="array" aca="1" ref="F170" ca="1">MMS_PastureBeef_Soil_N2ODirect_Equations.VEERG_4_2_1_3__3_NitrogenExcreted(F55,F154,G162,F128,F21)</f>
        <v>0.13601872675007995</v>
      </c>
      <c r="G170" s="52" cm="1">
        <f t="array" aca="1" ref="G170" ca="1">MMS_PastureBeef_Soil_N2ODirect_Equations.VEERG_4_2_1_3__3_NitrogenExcreted(G55,G154,H162,G128,G21)</f>
        <v>7.7811027960341214E-2</v>
      </c>
      <c r="H170" s="52" cm="1">
        <f t="array" aca="1" ref="H170" ca="1">MMS_PastureBeef_Soil_N2ODirect_Equations.VEERG_4_2_1_3__3_NitrogenExcreted(H55,H154,I162,H128,H21)</f>
        <v>0.11211505645345723</v>
      </c>
      <c r="I170" s="52" cm="1">
        <f t="array" aca="1" ref="I170" ca="1">MMS_PastureBeef_Soil_N2ODirect_Equations.VEERG_4_2_1_3__3_NitrogenExcreted(I55,I154,J162,I128,I21)</f>
        <v>0.11725024145638518</v>
      </c>
      <c r="J170" s="52" cm="1">
        <f t="array" aca="1" ref="J170" ca="1">MMS_PastureBeef_Soil_N2ODirect_Equations.VEERG_4_2_1_3__3_NitrogenExcreted(J55,J154,K162,J128,J21)</f>
        <v>0.11725024145638518</v>
      </c>
      <c r="K170" s="52" cm="1">
        <f t="array" aca="1" ref="K170" ca="1">MMS_PastureBeef_Soil_N2ODirect_Equations.VEERG_4_2_1_3__3_NitrogenExcreted(K55,K154,L162,K128,K21)</f>
        <v>8.562550571362422E-2</v>
      </c>
      <c r="L170" s="52" cm="1">
        <f t="array" aca="1" ref="L170" ca="1">MMS_PastureBeef_Soil_N2ODirect_Equations.VEERG_4_2_1_3__3_NitrogenExcreted(L55,L154,M162,L128,L21)</f>
        <v>0.1054491491748196</v>
      </c>
      <c r="M170" s="52" cm="1">
        <f t="array" aca="1" ref="M170" ca="1">MMS_PastureBeef_Soil_N2ODirect_Equations.VEERG_4_2_1_3__3_NitrogenExcreted(M55,M154,N162,M128,M21)</f>
        <v>0.1054491491748196</v>
      </c>
      <c r="N170" s="52" cm="1">
        <f t="array" aca="1" ref="N170" ca="1">MMS_PastureBeef_Soil_N2ODirect_Equations.VEERG_4_2_1_3__3_NitrogenExcreted(N55,N154,O162,N128,N21)</f>
        <v>0.1054491491748196</v>
      </c>
      <c r="O170" s="2" t="str">
        <f t="shared" ref="O170:O172" si="8">$E$140</f>
        <v>kg N/head/day</v>
      </c>
      <c r="U170" s="52" t="str">
        <f>TEXT(EDATE('Input - Site'!$E$12,6), "mmmm yyyy")</f>
        <v>July 2024</v>
      </c>
      <c r="V170" s="52">
        <f ca="1"/>
        <v>0.2</v>
      </c>
      <c r="W170" s="52">
        <f ca="1"/>
        <v>0.2</v>
      </c>
      <c r="X170" s="52">
        <f ca="1"/>
        <v>0.2</v>
      </c>
      <c r="Y170" s="52">
        <f ca="1"/>
        <v>0.2</v>
      </c>
      <c r="Z170" s="52">
        <f ca="1"/>
        <v>0.2</v>
      </c>
      <c r="AA170" s="52">
        <f ca="1"/>
        <v>0.2</v>
      </c>
      <c r="AB170" s="52">
        <f ca="1"/>
        <v>0.2</v>
      </c>
      <c r="AC170" s="52">
        <f ca="1"/>
        <v>0.2</v>
      </c>
      <c r="AD170" s="52">
        <f ca="1"/>
        <v>0.2</v>
      </c>
      <c r="AE170" s="52">
        <f ca="1"/>
        <v>0.2</v>
      </c>
      <c r="AF170" s="2" t="s">
        <v>141</v>
      </c>
      <c r="AG170" s="2"/>
      <c r="AH170" s="2"/>
    </row>
    <row r="171" spans="3:34" ht="20.100000000000001" customHeight="1" x14ac:dyDescent="0.25">
      <c r="D171" s="52" t="s">
        <v>175</v>
      </c>
      <c r="E171" s="52" cm="1">
        <f t="array" aca="1" ref="E171" ca="1">MMS_PastureBeef_Soil_N2ODirect_Equations.VEERG_4_2_1_3__3_NitrogenExcreted(E56,E155,F163,E129,E22)</f>
        <v>1.3490587405558481E-2</v>
      </c>
      <c r="F171" s="52" cm="1">
        <f t="array" aca="1" ref="F171" ca="1">MMS_PastureBeef_Soil_N2ODirect_Equations.VEERG_4_2_1_3__3_NitrogenExcreted(F56,F155,G163,F129,F22)</f>
        <v>8.8133023634157495E-2</v>
      </c>
      <c r="G171" s="52" cm="1">
        <f t="array" aca="1" ref="G171" ca="1">MMS_PastureBeef_Soil_N2ODirect_Equations.VEERG_4_2_1_3__3_NitrogenExcreted(G56,G155,H163,G129,G22)</f>
        <v>1.1001898802853755E-2</v>
      </c>
      <c r="H171" s="52" cm="1">
        <f t="array" aca="1" ref="H171" ca="1">MMS_PastureBeef_Soil_N2ODirect_Equations.VEERG_4_2_1_3__3_NitrogenExcreted(H56,H155,I163,H129,H22)</f>
        <v>5.2902961709211542E-2</v>
      </c>
      <c r="I171" s="52" cm="1">
        <f t="array" aca="1" ref="I171" ca="1">MMS_PastureBeef_Soil_N2ODirect_Equations.VEERG_4_2_1_3__3_NitrogenExcreted(I56,I155,J163,I129,I22)</f>
        <v>6.9185083188389812E-2</v>
      </c>
      <c r="J171" s="52" cm="1">
        <f t="array" aca="1" ref="J171" ca="1">MMS_PastureBeef_Soil_N2ODirect_Equations.VEERG_4_2_1_3__3_NitrogenExcreted(J56,J155,K163,J129,J22)</f>
        <v>6.9185083188389812E-2</v>
      </c>
      <c r="K171" s="52" cm="1">
        <f t="array" aca="1" ref="K171" ca="1">MMS_PastureBeef_Soil_N2ODirect_Equations.VEERG_4_2_1_3__3_NitrogenExcreted(K56,K155,L163,K129,K22)</f>
        <v>1.3731587835013218E-2</v>
      </c>
      <c r="L171" s="52" cm="1">
        <f t="array" aca="1" ref="L171" ca="1">MMS_PastureBeef_Soil_N2ODirect_Equations.VEERG_4_2_1_3__3_NitrogenExcreted(L56,L155,M163,L129,L22)</f>
        <v>5.520208336562428E-2</v>
      </c>
      <c r="M171" s="52" cm="1">
        <f t="array" aca="1" ref="M171" ca="1">MMS_PastureBeef_Soil_N2ODirect_Equations.VEERG_4_2_1_3__3_NitrogenExcreted(M56,M155,N163,M129,M22)</f>
        <v>5.520208336562428E-2</v>
      </c>
      <c r="N171" s="52" cm="1">
        <f t="array" aca="1" ref="N171" ca="1">MMS_PastureBeef_Soil_N2ODirect_Equations.VEERG_4_2_1_3__3_NitrogenExcreted(N56,N155,O163,N129,N22)</f>
        <v>5.520208336562428E-2</v>
      </c>
      <c r="O171" s="2" t="str">
        <f t="shared" si="8"/>
        <v>kg N/head/day</v>
      </c>
      <c r="U171" s="52" t="str">
        <f>TEXT(EDATE('Input - Site'!$E$12,7), "mmmm yyyy")</f>
        <v>August 2024</v>
      </c>
      <c r="V171" s="52">
        <f ca="1"/>
        <v>0.2</v>
      </c>
      <c r="W171" s="52">
        <f ca="1"/>
        <v>0.2</v>
      </c>
      <c r="X171" s="52">
        <f ca="1"/>
        <v>0.2</v>
      </c>
      <c r="Y171" s="52">
        <f ca="1"/>
        <v>0.2</v>
      </c>
      <c r="Z171" s="52">
        <f ca="1"/>
        <v>0.2</v>
      </c>
      <c r="AA171" s="52">
        <f ca="1"/>
        <v>0.2</v>
      </c>
      <c r="AB171" s="52">
        <f ca="1"/>
        <v>0.2</v>
      </c>
      <c r="AC171" s="52">
        <f ca="1"/>
        <v>0.2</v>
      </c>
      <c r="AD171" s="52">
        <f ca="1"/>
        <v>0.2</v>
      </c>
      <c r="AE171" s="52">
        <f ca="1"/>
        <v>0.2</v>
      </c>
      <c r="AF171" s="2" t="s">
        <v>141</v>
      </c>
      <c r="AG171" s="2"/>
      <c r="AH171" s="2"/>
    </row>
    <row r="172" spans="3:34" ht="20.100000000000001" customHeight="1" x14ac:dyDescent="0.25">
      <c r="D172" s="52" t="s">
        <v>176</v>
      </c>
      <c r="E172" s="52" cm="1">
        <f t="array" aca="1" ref="E172" ca="1">MMS_PastureBeef_Soil_N2ODirect_Equations.VEERG_4_2_1_3__3_NitrogenExcreted(E57,E156,F164,E130,E23)</f>
        <v>0.16782142173820769</v>
      </c>
      <c r="F172" s="52" cm="1">
        <f t="array" aca="1" ref="F172" ca="1">MMS_PastureBeef_Soil_N2ODirect_Equations.VEERG_4_2_1_3__3_NitrogenExcreted(F57,F156,G164,F130,F23)</f>
        <v>0.31425341534791917</v>
      </c>
      <c r="G172" s="52" cm="1">
        <f t="array" aca="1" ref="G172" ca="1">MMS_PastureBeef_Soil_N2ODirect_Equations.VEERG_4_2_1_3__3_NitrogenExcreted(G57,G156,H164,G130,G23)</f>
        <v>0.14439972918793106</v>
      </c>
      <c r="H172" s="52" cm="1">
        <f t="array" aca="1" ref="H172" ca="1">MMS_PastureBeef_Soil_N2ODirect_Equations.VEERG_4_2_1_3__3_NitrogenExcreted(H57,H156,I164,H130,H23)</f>
        <v>0.20538320393122031</v>
      </c>
      <c r="I172" s="52" cm="1">
        <f t="array" aca="1" ref="I172" ca="1">MMS_PastureBeef_Soil_N2ODirect_Equations.VEERG_4_2_1_3__3_NitrogenExcreted(I57,I156,J164,I130,I23)</f>
        <v>0.27448186171350092</v>
      </c>
      <c r="J172" s="52" cm="1">
        <f t="array" aca="1" ref="J172" ca="1">MMS_PastureBeef_Soil_N2ODirect_Equations.VEERG_4_2_1_3__3_NitrogenExcreted(J57,J156,K164,J130,J23)</f>
        <v>0.27448186171350092</v>
      </c>
      <c r="K172" s="52" cm="1">
        <f t="array" aca="1" ref="K172" ca="1">MMS_PastureBeef_Soil_N2ODirect_Equations.VEERG_4_2_1_3__3_NitrogenExcreted(K57,K156,L164,K130,K23)</f>
        <v>0.15390387455817453</v>
      </c>
      <c r="L172" s="52" cm="1">
        <f t="array" aca="1" ref="L172" ca="1">MMS_PastureBeef_Soil_N2ODirect_Equations.VEERG_4_2_1_3__3_NitrogenExcreted(L57,L156,M164,L130,L23)</f>
        <v>0.21091009356426255</v>
      </c>
      <c r="M172" s="52" cm="1">
        <f t="array" aca="1" ref="M172" ca="1">MMS_PastureBeef_Soil_N2ODirect_Equations.VEERG_4_2_1_3__3_NitrogenExcreted(M57,M156,N164,M130,M23)</f>
        <v>0.21091009356426255</v>
      </c>
      <c r="N172" s="52" cm="1">
        <f t="array" aca="1" ref="N172" ca="1">MMS_PastureBeef_Soil_N2ODirect_Equations.VEERG_4_2_1_3__3_NitrogenExcreted(N57,N156,O164,N130,N23)</f>
        <v>0.21091009356426255</v>
      </c>
      <c r="O172" s="2" t="str">
        <f t="shared" si="8"/>
        <v>kg N/head/day</v>
      </c>
      <c r="U172" s="52" t="str">
        <f>TEXT(EDATE('Input - Site'!$E$12,8), "mmmm yyyy")</f>
        <v>September 2024</v>
      </c>
      <c r="V172" s="52">
        <f ca="1"/>
        <v>0.2</v>
      </c>
      <c r="W172" s="52">
        <f ca="1"/>
        <v>0.2</v>
      </c>
      <c r="X172" s="52">
        <f ca="1"/>
        <v>0.2</v>
      </c>
      <c r="Y172" s="52">
        <f ca="1"/>
        <v>0.2</v>
      </c>
      <c r="Z172" s="52">
        <f ca="1"/>
        <v>0.2</v>
      </c>
      <c r="AA172" s="52">
        <f ca="1"/>
        <v>0.2</v>
      </c>
      <c r="AB172" s="52">
        <f ca="1"/>
        <v>0.2</v>
      </c>
      <c r="AC172" s="52">
        <f ca="1"/>
        <v>0.2</v>
      </c>
      <c r="AD172" s="52">
        <f ca="1"/>
        <v>0.2</v>
      </c>
      <c r="AE172" s="52">
        <f ca="1"/>
        <v>0.2</v>
      </c>
      <c r="AF172" s="2" t="s">
        <v>141</v>
      </c>
      <c r="AG172" s="2"/>
      <c r="AH172" s="2"/>
    </row>
    <row r="173" spans="3:34" ht="20.100000000000001" customHeight="1" x14ac:dyDescent="0.25">
      <c r="U173" s="52" t="str">
        <f>TEXT(EDATE('Input - Site'!$E$12,9), "mmmm yyyy")</f>
        <v>October 2024</v>
      </c>
      <c r="V173" s="52">
        <f ca="1"/>
        <v>0.2</v>
      </c>
      <c r="W173" s="52">
        <f ca="1"/>
        <v>0.2</v>
      </c>
      <c r="X173" s="52">
        <f ca="1"/>
        <v>0.2</v>
      </c>
      <c r="Y173" s="52">
        <f ca="1"/>
        <v>0.2</v>
      </c>
      <c r="Z173" s="52">
        <f ca="1"/>
        <v>0.2</v>
      </c>
      <c r="AA173" s="52">
        <f ca="1"/>
        <v>0.2</v>
      </c>
      <c r="AB173" s="52">
        <f ca="1"/>
        <v>0.2</v>
      </c>
      <c r="AC173" s="52">
        <f ca="1"/>
        <v>0.2</v>
      </c>
      <c r="AD173" s="52">
        <f ca="1"/>
        <v>0.2</v>
      </c>
      <c r="AE173" s="52">
        <f ca="1"/>
        <v>0.2</v>
      </c>
      <c r="AF173" s="2" t="s">
        <v>141</v>
      </c>
      <c r="AG173" s="2"/>
      <c r="AH173" s="2"/>
    </row>
    <row r="174" spans="3:34" ht="20.100000000000001" customHeight="1" x14ac:dyDescent="0.25">
      <c r="U174" s="52" t="str">
        <f>TEXT(EDATE('Input - Site'!$E$12,10), "mmmm yyyy")</f>
        <v>November 2024</v>
      </c>
      <c r="V174" s="52">
        <f ca="1"/>
        <v>0.2</v>
      </c>
      <c r="W174" s="52">
        <f ca="1"/>
        <v>0.2</v>
      </c>
      <c r="X174" s="52">
        <f ca="1"/>
        <v>0.2</v>
      </c>
      <c r="Y174" s="52">
        <f ca="1"/>
        <v>0.2</v>
      </c>
      <c r="Z174" s="52">
        <f ca="1"/>
        <v>0.2</v>
      </c>
      <c r="AA174" s="52">
        <f ca="1"/>
        <v>0.2</v>
      </c>
      <c r="AB174" s="52">
        <f ca="1"/>
        <v>0.2</v>
      </c>
      <c r="AC174" s="52">
        <f ca="1"/>
        <v>0.2</v>
      </c>
      <c r="AD174" s="52">
        <f ca="1"/>
        <v>0.2</v>
      </c>
      <c r="AE174" s="52">
        <f ca="1"/>
        <v>0.2</v>
      </c>
      <c r="AF174" s="2" t="s">
        <v>141</v>
      </c>
      <c r="AG174" s="2"/>
      <c r="AH174" s="2"/>
    </row>
    <row r="175" spans="3:34" ht="20.100000000000001" customHeight="1" x14ac:dyDescent="0.25">
      <c r="C175" s="45"/>
      <c r="D175" s="45"/>
      <c r="E175" s="45"/>
      <c r="F175" s="45"/>
      <c r="G175" s="45"/>
      <c r="H175" s="45"/>
      <c r="I175" s="45"/>
      <c r="J175" s="45"/>
      <c r="K175" s="45"/>
      <c r="L175" s="45"/>
      <c r="M175" s="45"/>
      <c r="N175" s="45"/>
      <c r="O175" s="45"/>
      <c r="P175" s="45"/>
      <c r="Q175" s="45"/>
      <c r="R175" s="45"/>
      <c r="U175" s="52" t="str">
        <f>TEXT(EDATE('Input - Site'!$E$12,11), "mmmm yyyy")</f>
        <v>December 2024</v>
      </c>
      <c r="V175" s="52">
        <f ca="1"/>
        <v>0.09</v>
      </c>
      <c r="W175" s="52">
        <f ca="1"/>
        <v>0.09</v>
      </c>
      <c r="X175" s="52">
        <f ca="1"/>
        <v>0.09</v>
      </c>
      <c r="Y175" s="52">
        <f ca="1"/>
        <v>0.09</v>
      </c>
      <c r="Z175" s="52">
        <f ca="1"/>
        <v>0.09</v>
      </c>
      <c r="AA175" s="52">
        <f ca="1"/>
        <v>0.09</v>
      </c>
      <c r="AB175" s="52">
        <f ca="1"/>
        <v>0.09</v>
      </c>
      <c r="AC175" s="52">
        <f ca="1"/>
        <v>0.09</v>
      </c>
      <c r="AD175" s="52">
        <f ca="1"/>
        <v>0.09</v>
      </c>
      <c r="AE175" s="52">
        <f ca="1"/>
        <v>0.09</v>
      </c>
      <c r="AF175" s="2" t="s">
        <v>141</v>
      </c>
      <c r="AG175" s="2"/>
      <c r="AH175" s="2"/>
    </row>
    <row r="176" spans="3:34" ht="20.100000000000001" customHeight="1" x14ac:dyDescent="0.25">
      <c r="D176" s="6" t="str" cm="1">
        <f t="array" ref="D176">MMS_PastureBeef_Soil_N2ODirect_Equations.VEERG_4_2_1_3__2_TotalNitrogenExcretedToPastureRangeAndPaddock_Title()</f>
        <v>Total nitrogen excreted to pasture, range and paddock</v>
      </c>
      <c r="AG176" s="2"/>
      <c r="AH176" s="2"/>
    </row>
    <row r="177" spans="4:34" ht="20.100000000000001" customHeight="1" x14ac:dyDescent="0.25">
      <c r="D177" s="5" t="str" cm="1">
        <f t="array" ref="D177">MMS_PastureBeef_Soil_N2ODirect_Equations.VEERG_4_2_1_3__2_TotalNitrogenExcretedToPastureRangeAndPaddock_Source()</f>
        <v>VEERG 2026: 4.2.1.3, Equation (2)</v>
      </c>
      <c r="U177" s="98" t="s">
        <v>367</v>
      </c>
      <c r="AH177" s="2"/>
    </row>
    <row r="178" spans="4:34" ht="20.100000000000001" customHeight="1" x14ac:dyDescent="0.25">
      <c r="D178" s="13" t="s">
        <v>27</v>
      </c>
      <c r="E178" s="13" t="str" cm="1">
        <f t="array" aca="1" ref="E178" ca="1">Common_InputFunctions.Utility_DisplayFunctionName($E$207)</f>
        <v>=MMS_PastureBeef_Soil_N2ODirect_Equations.VEERG_4_2_1_3__2_TotalNitrogenExcretedToPastureRangeAndPaddock</v>
      </c>
      <c r="U178" s="97" t="s">
        <v>312</v>
      </c>
      <c r="AH178" s="2"/>
    </row>
    <row r="179" spans="4:34" ht="20.100000000000001" customHeight="1" x14ac:dyDescent="0.25">
      <c r="U179" s="51" t="s">
        <v>132</v>
      </c>
      <c r="V179" s="51" t="s">
        <v>246</v>
      </c>
      <c r="W179" s="51" t="s">
        <v>131</v>
      </c>
      <c r="X179" s="51" t="s">
        <v>130</v>
      </c>
      <c r="Y179" s="51" t="s">
        <v>165</v>
      </c>
      <c r="Z179" s="51" t="s">
        <v>166</v>
      </c>
      <c r="AA179" s="51" t="s">
        <v>167</v>
      </c>
      <c r="AB179" s="51" t="s">
        <v>168</v>
      </c>
      <c r="AC179" s="51" t="s">
        <v>169</v>
      </c>
      <c r="AD179" s="51" t="s">
        <v>170</v>
      </c>
      <c r="AE179" s="51" t="s">
        <v>171</v>
      </c>
      <c r="AF179" s="51" t="s">
        <v>172</v>
      </c>
      <c r="AH179" s="2"/>
    </row>
    <row r="180" spans="4:34" ht="20.100000000000001" customHeight="1" x14ac:dyDescent="0.25">
      <c r="U180" s="52" t="str">
        <f>TEXT('Input - Site'!$E$12,"mmmm")</f>
        <v>January</v>
      </c>
      <c r="V180" s="52" t="str" cm="1">
        <f t="array" ref="V180">IFERROR(_xlfn.IFS(SUMPRODUCT(ISNUMBER(SEARCH(TRIM(_xlfn.TEXTSPLIT($U$92,",")),U180))*1)&gt;0,"Calving season",SUMPRODUCT(ISNUMBER(SEARCH(TRIM(_xlfn.TEXTSPLIT($U$93,",")),U180))*1)&gt;0,"Season after calving"), "")</f>
        <v>Season after calving</v>
      </c>
      <c r="W180" s="52" cm="1">
        <f t="array" ref="W180">_xlfn.XLOOKUP(1, (Table_SourceData_PastureBeef_FeedIntakeAdjustment_Variation[Breed]=$Z$158)*(Table_SourceData_PastureBeef_FeedIntakeAdjustment_Variation[Season]=$V180), Table_SourceData_PastureBeef_FeedIntakeAdjustment_Variation[Milk intake/production], 0)</f>
        <v>0</v>
      </c>
      <c r="X180" s="52">
        <v>0</v>
      </c>
      <c r="Y180" s="52" cm="1">
        <f t="array" ref="Y180">_xlfn.XLOOKUP(1, (Table_SourceData_PastureBeef_FeedIntakeAdjustment_Variation[Breed]=$Z$158)*(Table_SourceData_PastureBeef_FeedIntakeAdjustment_Variation[Season]=$V180), Table_SourceData_PastureBeef_FeedIntakeAdjustment_Variation[Milk intake/production], 0)</f>
        <v>0</v>
      </c>
      <c r="Z180" s="52">
        <v>0</v>
      </c>
      <c r="AA180" s="52">
        <v>0</v>
      </c>
      <c r="AB180" s="52">
        <v>0</v>
      </c>
      <c r="AC180" s="52" cm="1">
        <f t="array" ref="AC180">_xlfn.XLOOKUP(1, (Table_SourceData_PastureBeef_FeedIntakeAdjustment_Variation[Breed]=$Z$158)*(Table_SourceData_PastureBeef_FeedIntakeAdjustment_Variation[Season]=$V180), Table_SourceData_PastureBeef_FeedIntakeAdjustment_Variation[Milk intake/production], 0)</f>
        <v>0</v>
      </c>
      <c r="AD180" s="52">
        <v>0</v>
      </c>
      <c r="AE180" s="52">
        <v>0</v>
      </c>
      <c r="AF180" s="52">
        <v>0</v>
      </c>
      <c r="AG180" s="2" t="s">
        <v>134</v>
      </c>
    </row>
    <row r="181" spans="4:34" ht="20.100000000000001" customHeight="1" x14ac:dyDescent="0.25">
      <c r="D181" s="53" t="s">
        <v>30</v>
      </c>
      <c r="E181" s="1" t="str" cm="1">
        <f t="array" ref="E181">MMS_PastureBeef_Soil_N2ODirect_Equations.VEERG_4_2_1_3__2_TotalNitrogenExcretedToPastureRangeAndPaddock_Variable()</f>
        <v>AE</v>
      </c>
      <c r="U181" s="52" t="str">
        <f>TEXT(EDATE('Input - Site'!$E$12,1), "mmmm")</f>
        <v>February</v>
      </c>
      <c r="V181" s="52" t="str" cm="1">
        <f t="array" ref="V181">IFERROR(_xlfn.IFS(SUMPRODUCT(ISNUMBER(SEARCH(TRIM(_xlfn.TEXTSPLIT($U$92,",")),U181))*1)&gt;0,"Calving season",SUMPRODUCT(ISNUMBER(SEARCH(TRIM(_xlfn.TEXTSPLIT($U$93,",")),U181))*1)&gt;0,"Season after calving"), "")</f>
        <v/>
      </c>
      <c r="W181" s="52" cm="1">
        <f t="array" ref="W181">_xlfn.XLOOKUP(1, (Table_SourceData_PastureBeef_FeedIntakeAdjustment_Variation[Breed]=$Z$158)*(Table_SourceData_PastureBeef_FeedIntakeAdjustment_Variation[Season]=$V181), Table_SourceData_PastureBeef_FeedIntakeAdjustment_Variation[Milk intake/production], 0)</f>
        <v>0</v>
      </c>
      <c r="X181" s="52">
        <v>0</v>
      </c>
      <c r="Y181" s="52" cm="1">
        <f t="array" ref="Y181">_xlfn.XLOOKUP(1, (Table_SourceData_PastureBeef_FeedIntakeAdjustment_Variation[Breed]=$Z$158)*(Table_SourceData_PastureBeef_FeedIntakeAdjustment_Variation[Season]=$V181), Table_SourceData_PastureBeef_FeedIntakeAdjustment_Variation[Milk intake/production], 0)</f>
        <v>0</v>
      </c>
      <c r="Z181" s="52">
        <v>0</v>
      </c>
      <c r="AA181" s="52">
        <v>0</v>
      </c>
      <c r="AB181" s="52">
        <v>0</v>
      </c>
      <c r="AC181" s="52" cm="1">
        <f t="array" ref="AC181">_xlfn.XLOOKUP(1, (Table_SourceData_PastureBeef_FeedIntakeAdjustment_Variation[Breed]=$Z$158)*(Table_SourceData_PastureBeef_FeedIntakeAdjustment_Variation[Season]=$V181), Table_SourceData_PastureBeef_FeedIntakeAdjustment_Variation[Milk intake/production], 0)</f>
        <v>0</v>
      </c>
      <c r="AD181" s="52">
        <v>0</v>
      </c>
      <c r="AE181" s="52">
        <v>0</v>
      </c>
      <c r="AF181" s="52">
        <v>0</v>
      </c>
      <c r="AG181" s="2" t="s">
        <v>134</v>
      </c>
    </row>
    <row r="182" spans="4:34" ht="20.100000000000001" customHeight="1" x14ac:dyDescent="0.25">
      <c r="D182" s="53" t="s">
        <v>20</v>
      </c>
      <c r="E182" s="54" t="str" cm="1">
        <f t="array" ref="E182">MMS_PastureBeef_Soil_N2ODirect_Equations.VEERG_4_2_1_3__2_TotalNitrogenExcretedToPastureRangeAndPaddock_Unit()</f>
        <v>kg N</v>
      </c>
      <c r="U182" s="52" t="str">
        <f>TEXT(EDATE('Input - Site'!$E$12,2), "mmmm")</f>
        <v>March</v>
      </c>
      <c r="V182" s="52" t="str" cm="1">
        <f t="array" ref="V182">IFERROR(_xlfn.IFS(SUMPRODUCT(ISNUMBER(SEARCH(TRIM(_xlfn.TEXTSPLIT($U$92,",")),U182))*1)&gt;0,"Calving season",SUMPRODUCT(ISNUMBER(SEARCH(TRIM(_xlfn.TEXTSPLIT($U$93,",")),U182))*1)&gt;0,"Season after calving"), "")</f>
        <v/>
      </c>
      <c r="W182" s="52" cm="1">
        <f t="array" ref="W182">_xlfn.XLOOKUP(1, (Table_SourceData_PastureBeef_FeedIntakeAdjustment_Variation[Breed]=$Z$158)*(Table_SourceData_PastureBeef_FeedIntakeAdjustment_Variation[Season]=$V182), Table_SourceData_PastureBeef_FeedIntakeAdjustment_Variation[Milk intake/production], 0)</f>
        <v>0</v>
      </c>
      <c r="X182" s="52">
        <v>0</v>
      </c>
      <c r="Y182" s="52" cm="1">
        <f t="array" ref="Y182">_xlfn.XLOOKUP(1, (Table_SourceData_PastureBeef_FeedIntakeAdjustment_Variation[Breed]=$Z$158)*(Table_SourceData_PastureBeef_FeedIntakeAdjustment_Variation[Season]=$V182), Table_SourceData_PastureBeef_FeedIntakeAdjustment_Variation[Milk intake/production], 0)</f>
        <v>0</v>
      </c>
      <c r="Z182" s="52">
        <v>0</v>
      </c>
      <c r="AA182" s="52">
        <v>0</v>
      </c>
      <c r="AB182" s="52">
        <v>0</v>
      </c>
      <c r="AC182" s="52" cm="1">
        <f t="array" ref="AC182">_xlfn.XLOOKUP(1, (Table_SourceData_PastureBeef_FeedIntakeAdjustment_Variation[Breed]=$Z$158)*(Table_SourceData_PastureBeef_FeedIntakeAdjustment_Variation[Season]=$V182), Table_SourceData_PastureBeef_FeedIntakeAdjustment_Variation[Milk intake/production], 0)</f>
        <v>0</v>
      </c>
      <c r="AD182" s="52">
        <v>0</v>
      </c>
      <c r="AE182" s="52">
        <v>0</v>
      </c>
      <c r="AF182" s="52">
        <v>0</v>
      </c>
      <c r="AG182" s="2" t="s">
        <v>134</v>
      </c>
    </row>
    <row r="183" spans="4:34" ht="20.100000000000001" customHeight="1" x14ac:dyDescent="0.25">
      <c r="U183" s="52" t="str">
        <f>TEXT(EDATE('Input - Site'!$E$12,3), "mmmm")</f>
        <v>April</v>
      </c>
      <c r="V183" s="52" t="str" cm="1">
        <f t="array" ref="V183">IFERROR(_xlfn.IFS(SUMPRODUCT(ISNUMBER(SEARCH(TRIM(_xlfn.TEXTSPLIT($U$92,",")),U183))*1)&gt;0,"Calving season",SUMPRODUCT(ISNUMBER(SEARCH(TRIM(_xlfn.TEXTSPLIT($U$93,",")),U183))*1)&gt;0,"Season after calving"), "")</f>
        <v/>
      </c>
      <c r="W183" s="52" cm="1">
        <f t="array" ref="W183">_xlfn.XLOOKUP(1, (Table_SourceData_PastureBeef_FeedIntakeAdjustment_Variation[Breed]=$Z$158)*(Table_SourceData_PastureBeef_FeedIntakeAdjustment_Variation[Season]=$V183), Table_SourceData_PastureBeef_FeedIntakeAdjustment_Variation[Milk intake/production], 0)</f>
        <v>0</v>
      </c>
      <c r="X183" s="52">
        <v>0</v>
      </c>
      <c r="Y183" s="52" cm="1">
        <f t="array" ref="Y183">_xlfn.XLOOKUP(1, (Table_SourceData_PastureBeef_FeedIntakeAdjustment_Variation[Breed]=$Z$158)*(Table_SourceData_PastureBeef_FeedIntakeAdjustment_Variation[Season]=$V183), Table_SourceData_PastureBeef_FeedIntakeAdjustment_Variation[Milk intake/production], 0)</f>
        <v>0</v>
      </c>
      <c r="Z183" s="52">
        <v>0</v>
      </c>
      <c r="AA183" s="52">
        <v>0</v>
      </c>
      <c r="AB183" s="52">
        <v>0</v>
      </c>
      <c r="AC183" s="52" cm="1">
        <f t="array" ref="AC183">_xlfn.XLOOKUP(1, (Table_SourceData_PastureBeef_FeedIntakeAdjustment_Variation[Breed]=$Z$158)*(Table_SourceData_PastureBeef_FeedIntakeAdjustment_Variation[Season]=$V183), Table_SourceData_PastureBeef_FeedIntakeAdjustment_Variation[Milk intake/production], 0)</f>
        <v>0</v>
      </c>
      <c r="AD183" s="52">
        <v>0</v>
      </c>
      <c r="AE183" s="52">
        <v>0</v>
      </c>
      <c r="AF183" s="52">
        <v>0</v>
      </c>
      <c r="AG183" s="2" t="s">
        <v>134</v>
      </c>
    </row>
    <row r="184" spans="4:34" ht="20.100000000000001" customHeight="1" x14ac:dyDescent="0.25">
      <c r="D184" s="119" t="str" cm="1">
        <f t="array" ref="D184:E186">_xlfn.CHOOSECOLS(MMS_PastureBeef_Soil_N2ODirect_Equations.VEERG_4_2_1_3__2_TotalNitrogenExcretedToPastureRangeAndPaddock_Arguments(),1,2)</f>
        <v>N_jkl</v>
      </c>
      <c r="E184" s="124" t="str">
        <v>number of beef cattle by time-period, class and subclass</v>
      </c>
      <c r="F184" s="123"/>
      <c r="G184" s="119" t="str" cm="1">
        <f t="array" ref="G184:H186">_xlfn.CHOOSECOLS(MMS_PastureBeef_Soil_N2ODirect_Equations.VEERG_4_2_1_3__2_TotalNitrogenExcretedToPastureRangeAndPaddock_Arguments(),3,4)</f>
        <v>head</v>
      </c>
      <c r="H184" s="121" t="str">
        <v>Input</v>
      </c>
      <c r="I184" s="118" t="str" cm="1">
        <f t="array" aca="1" ref="I184" ca="1">HYPERLINK(Common_InputFunctions.Utility_SourceHyperlink($D$188), $D$188)</f>
        <v>M1_Table_N_j_k_l</v>
      </c>
      <c r="U184" s="52" t="str">
        <f>TEXT(EDATE('Input - Site'!$E$12,4), "mmmm")</f>
        <v>May</v>
      </c>
      <c r="V184" s="52" t="str" cm="1">
        <f t="array" ref="V184">IFERROR(_xlfn.IFS(SUMPRODUCT(ISNUMBER(SEARCH(TRIM(_xlfn.TEXTSPLIT($U$92,",")),U184))*1)&gt;0,"Calving season",SUMPRODUCT(ISNUMBER(SEARCH(TRIM(_xlfn.TEXTSPLIT($U$93,",")),U184))*1)&gt;0,"Season after calving"), "")</f>
        <v/>
      </c>
      <c r="W184" s="52" cm="1">
        <f t="array" ref="W184">_xlfn.XLOOKUP(1, (Table_SourceData_PastureBeef_FeedIntakeAdjustment_Variation[Breed]=$Z$158)*(Table_SourceData_PastureBeef_FeedIntakeAdjustment_Variation[Season]=$V184), Table_SourceData_PastureBeef_FeedIntakeAdjustment_Variation[Milk intake/production], 0)</f>
        <v>0</v>
      </c>
      <c r="X184" s="52">
        <v>0</v>
      </c>
      <c r="Y184" s="52" cm="1">
        <f t="array" ref="Y184">_xlfn.XLOOKUP(1, (Table_SourceData_PastureBeef_FeedIntakeAdjustment_Variation[Breed]=$Z$158)*(Table_SourceData_PastureBeef_FeedIntakeAdjustment_Variation[Season]=$V184), Table_SourceData_PastureBeef_FeedIntakeAdjustment_Variation[Milk intake/production], 0)</f>
        <v>0</v>
      </c>
      <c r="Z184" s="52">
        <v>0</v>
      </c>
      <c r="AA184" s="52">
        <v>0</v>
      </c>
      <c r="AB184" s="52">
        <v>0</v>
      </c>
      <c r="AC184" s="52" cm="1">
        <f t="array" ref="AC184">_xlfn.XLOOKUP(1, (Table_SourceData_PastureBeef_FeedIntakeAdjustment_Variation[Breed]=$Z$158)*(Table_SourceData_PastureBeef_FeedIntakeAdjustment_Variation[Season]=$V184), Table_SourceData_PastureBeef_FeedIntakeAdjustment_Variation[Milk intake/production], 0)</f>
        <v>0</v>
      </c>
      <c r="AD184" s="52">
        <v>0</v>
      </c>
      <c r="AE184" s="52">
        <v>0</v>
      </c>
      <c r="AF184" s="52">
        <v>0</v>
      </c>
      <c r="AG184" s="2" t="s">
        <v>134</v>
      </c>
      <c r="AH184" s="2"/>
    </row>
    <row r="185" spans="4:34" ht="20.100000000000001" customHeight="1" x14ac:dyDescent="0.25">
      <c r="D185" s="119" t="str">
        <v>NE_jkl</v>
      </c>
      <c r="E185" s="124" t="str">
        <v>nitrogen excreted in each time-period, by each class and subclass</v>
      </c>
      <c r="F185" s="123"/>
      <c r="G185" s="119" t="str">
        <v>kg N/head/day</v>
      </c>
      <c r="H185" s="120" t="str">
        <v>Calculated from 4.2.1.3 (3)</v>
      </c>
      <c r="I185" s="118" t="str" cm="1">
        <f t="array" aca="1" ref="I185" ca="1">HYPERLINK(Common_InputFunctions.Utility_SourceHyperlink($D$166), $D$166)</f>
        <v>M1_Table_NE_j_k_l</v>
      </c>
      <c r="U185" s="52" t="str">
        <f>TEXT(EDATE('Input - Site'!$E$12,5), "mmmm")</f>
        <v>June</v>
      </c>
      <c r="V185" s="52" t="str" cm="1">
        <f t="array" ref="V185">IFERROR(_xlfn.IFS(SUMPRODUCT(ISNUMBER(SEARCH(TRIM(_xlfn.TEXTSPLIT($U$92,",")),U185))*1)&gt;0,"Calving season",SUMPRODUCT(ISNUMBER(SEARCH(TRIM(_xlfn.TEXTSPLIT($U$93,",")),U185))*1)&gt;0,"Season after calving"), "")</f>
        <v/>
      </c>
      <c r="W185" s="52" cm="1">
        <f t="array" ref="W185">_xlfn.XLOOKUP(1, (Table_SourceData_PastureBeef_FeedIntakeAdjustment_Variation[Breed]=$Z$158)*(Table_SourceData_PastureBeef_FeedIntakeAdjustment_Variation[Season]=$V185), Table_SourceData_PastureBeef_FeedIntakeAdjustment_Variation[Milk intake/production], 0)</f>
        <v>0</v>
      </c>
      <c r="X185" s="52">
        <v>0</v>
      </c>
      <c r="Y185" s="52" cm="1">
        <f t="array" ref="Y185">_xlfn.XLOOKUP(1, (Table_SourceData_PastureBeef_FeedIntakeAdjustment_Variation[Breed]=$Z$158)*(Table_SourceData_PastureBeef_FeedIntakeAdjustment_Variation[Season]=$V185), Table_SourceData_PastureBeef_FeedIntakeAdjustment_Variation[Milk intake/production], 0)</f>
        <v>0</v>
      </c>
      <c r="Z185" s="52">
        <v>0</v>
      </c>
      <c r="AA185" s="52">
        <v>0</v>
      </c>
      <c r="AB185" s="52">
        <v>0</v>
      </c>
      <c r="AC185" s="52" cm="1">
        <f t="array" ref="AC185">_xlfn.XLOOKUP(1, (Table_SourceData_PastureBeef_FeedIntakeAdjustment_Variation[Breed]=$Z$158)*(Table_SourceData_PastureBeef_FeedIntakeAdjustment_Variation[Season]=$V185), Table_SourceData_PastureBeef_FeedIntakeAdjustment_Variation[Milk intake/production], 0)</f>
        <v>0</v>
      </c>
      <c r="AD185" s="52">
        <v>0</v>
      </c>
      <c r="AE185" s="52">
        <v>0</v>
      </c>
      <c r="AF185" s="52">
        <v>0</v>
      </c>
      <c r="AG185" s="2" t="s">
        <v>134</v>
      </c>
      <c r="AH185" s="2"/>
    </row>
    <row r="186" spans="4:34" ht="20.100000000000001" customHeight="1" x14ac:dyDescent="0.25">
      <c r="D186" s="119" t="str">
        <v>D_j</v>
      </c>
      <c r="E186" s="124" t="str">
        <v>number of days in each time-period (days)</v>
      </c>
      <c r="F186" s="123"/>
      <c r="G186" s="119" t="str">
        <v>days</v>
      </c>
      <c r="H186" s="121" t="str">
        <v>Input</v>
      </c>
      <c r="I186" s="118" t="str" cm="1">
        <f t="array" aca="1" ref="I186" ca="1">HYPERLINK(Common_InputFunctions.Utility_SourceHyperlink($D$196), $D$196)</f>
        <v>M1_Table_D_j</v>
      </c>
      <c r="U186" s="52" t="str">
        <f>TEXT(EDATE('Input - Site'!$E$12,6), "mmmm")</f>
        <v>July</v>
      </c>
      <c r="V186" s="52" t="str" cm="1">
        <f t="array" ref="V186">IFERROR(_xlfn.IFS(SUMPRODUCT(ISNUMBER(SEARCH(TRIM(_xlfn.TEXTSPLIT($U$92,",")),U186))*1)&gt;0,"Calving season",SUMPRODUCT(ISNUMBER(SEARCH(TRIM(_xlfn.TEXTSPLIT($U$93,",")),U186))*1)&gt;0,"Season after calving"), "")</f>
        <v/>
      </c>
      <c r="W186" s="52" cm="1">
        <f t="array" ref="W186">_xlfn.XLOOKUP(1, (Table_SourceData_PastureBeef_FeedIntakeAdjustment_Variation[Breed]=$Z$158)*(Table_SourceData_PastureBeef_FeedIntakeAdjustment_Variation[Season]=$V186), Table_SourceData_PastureBeef_FeedIntakeAdjustment_Variation[Milk intake/production], 0)</f>
        <v>0</v>
      </c>
      <c r="X186" s="52">
        <v>0</v>
      </c>
      <c r="Y186" s="52" cm="1">
        <f t="array" ref="Y186">_xlfn.XLOOKUP(1, (Table_SourceData_PastureBeef_FeedIntakeAdjustment_Variation[Breed]=$Z$158)*(Table_SourceData_PastureBeef_FeedIntakeAdjustment_Variation[Season]=$V186), Table_SourceData_PastureBeef_FeedIntakeAdjustment_Variation[Milk intake/production], 0)</f>
        <v>0</v>
      </c>
      <c r="Z186" s="52">
        <v>0</v>
      </c>
      <c r="AA186" s="52">
        <v>0</v>
      </c>
      <c r="AB186" s="52">
        <v>0</v>
      </c>
      <c r="AC186" s="52" cm="1">
        <f t="array" ref="AC186">_xlfn.XLOOKUP(1, (Table_SourceData_PastureBeef_FeedIntakeAdjustment_Variation[Breed]=$Z$158)*(Table_SourceData_PastureBeef_FeedIntakeAdjustment_Variation[Season]=$V186), Table_SourceData_PastureBeef_FeedIntakeAdjustment_Variation[Milk intake/production], 0)</f>
        <v>0</v>
      </c>
      <c r="AD186" s="52">
        <v>0</v>
      </c>
      <c r="AE186" s="52">
        <v>0</v>
      </c>
      <c r="AF186" s="52">
        <v>0</v>
      </c>
      <c r="AG186" s="2" t="s">
        <v>134</v>
      </c>
      <c r="AH186" s="2"/>
    </row>
    <row r="187" spans="4:34" ht="20.100000000000001" customHeight="1" x14ac:dyDescent="0.25">
      <c r="U187" s="52" t="str">
        <f>TEXT(EDATE('Input - Site'!$E$12,7), "mmmm")</f>
        <v>August</v>
      </c>
      <c r="V187" s="52" t="str" cm="1">
        <f t="array" ref="V187">IFERROR(_xlfn.IFS(SUMPRODUCT(ISNUMBER(SEARCH(TRIM(_xlfn.TEXTSPLIT($U$92,",")),U187))*1)&gt;0,"Calving season",SUMPRODUCT(ISNUMBER(SEARCH(TRIM(_xlfn.TEXTSPLIT($U$93,",")),U187))*1)&gt;0,"Season after calving"), "")</f>
        <v>Calving season</v>
      </c>
      <c r="W187" s="52" cm="1">
        <f t="array" ref="W187">_xlfn.XLOOKUP(1, (Table_SourceData_PastureBeef_FeedIntakeAdjustment_Variation[Breed]=$Z$158)*(Table_SourceData_PastureBeef_FeedIntakeAdjustment_Variation[Season]=$V187), Table_SourceData_PastureBeef_FeedIntakeAdjustment_Variation[Milk intake/production], 0)</f>
        <v>0</v>
      </c>
      <c r="X187" s="52">
        <v>0</v>
      </c>
      <c r="Y187" s="52" cm="1">
        <f t="array" ref="Y187">_xlfn.XLOOKUP(1, (Table_SourceData_PastureBeef_FeedIntakeAdjustment_Variation[Breed]=$Z$158)*(Table_SourceData_PastureBeef_FeedIntakeAdjustment_Variation[Season]=$V187), Table_SourceData_PastureBeef_FeedIntakeAdjustment_Variation[Milk intake/production], 0)</f>
        <v>0</v>
      </c>
      <c r="Z187" s="52">
        <v>0</v>
      </c>
      <c r="AA187" s="52">
        <v>0</v>
      </c>
      <c r="AB187" s="52">
        <v>0</v>
      </c>
      <c r="AC187" s="52" cm="1">
        <f t="array" ref="AC187">_xlfn.XLOOKUP(1, (Table_SourceData_PastureBeef_FeedIntakeAdjustment_Variation[Breed]=$Z$158)*(Table_SourceData_PastureBeef_FeedIntakeAdjustment_Variation[Season]=$V187), Table_SourceData_PastureBeef_FeedIntakeAdjustment_Variation[Milk intake/production], 0)</f>
        <v>0</v>
      </c>
      <c r="AD187" s="52">
        <v>0</v>
      </c>
      <c r="AE187" s="52">
        <v>0</v>
      </c>
      <c r="AF187" s="52">
        <v>0</v>
      </c>
      <c r="AG187" s="2" t="s">
        <v>134</v>
      </c>
      <c r="AH187" s="2"/>
    </row>
    <row r="188" spans="4:34" ht="20.100000000000001" customHeight="1" x14ac:dyDescent="0.25">
      <c r="D188" s="98" t="s">
        <v>274</v>
      </c>
      <c r="U188" s="52" t="str">
        <f>TEXT(EDATE('Input - Site'!$E$12,8), "mmmm")</f>
        <v>September</v>
      </c>
      <c r="V188" s="52" t="str" cm="1">
        <f t="array" ref="V188">IFERROR(_xlfn.IFS(SUMPRODUCT(ISNUMBER(SEARCH(TRIM(_xlfn.TEXTSPLIT($U$92,",")),U188))*1)&gt;0,"Calving season",SUMPRODUCT(ISNUMBER(SEARCH(TRIM(_xlfn.TEXTSPLIT($U$93,",")),U188))*1)&gt;0,"Season after calving"), "")</f>
        <v>Calving season</v>
      </c>
      <c r="W188" s="52" cm="1">
        <f t="array" ref="W188">_xlfn.XLOOKUP(1, (Table_SourceData_PastureBeef_FeedIntakeAdjustment_Variation[Breed]=$Z$158)*(Table_SourceData_PastureBeef_FeedIntakeAdjustment_Variation[Season]=$V188), Table_SourceData_PastureBeef_FeedIntakeAdjustment_Variation[Milk intake/production], 0)</f>
        <v>0</v>
      </c>
      <c r="X188" s="52">
        <v>0</v>
      </c>
      <c r="Y188" s="52" cm="1">
        <f t="array" ref="Y188">_xlfn.XLOOKUP(1, (Table_SourceData_PastureBeef_FeedIntakeAdjustment_Variation[Breed]=$Z$158)*(Table_SourceData_PastureBeef_FeedIntakeAdjustment_Variation[Season]=$V188), Table_SourceData_PastureBeef_FeedIntakeAdjustment_Variation[Milk intake/production], 0)</f>
        <v>0</v>
      </c>
      <c r="Z188" s="52">
        <v>0</v>
      </c>
      <c r="AA188" s="52">
        <v>0</v>
      </c>
      <c r="AB188" s="52">
        <v>0</v>
      </c>
      <c r="AC188" s="52" cm="1">
        <f t="array" ref="AC188">_xlfn.XLOOKUP(1, (Table_SourceData_PastureBeef_FeedIntakeAdjustment_Variation[Breed]=$Z$158)*(Table_SourceData_PastureBeef_FeedIntakeAdjustment_Variation[Season]=$V188), Table_SourceData_PastureBeef_FeedIntakeAdjustment_Variation[Milk intake/production], 0)</f>
        <v>0</v>
      </c>
      <c r="AD188" s="52">
        <v>0</v>
      </c>
      <c r="AE188" s="52">
        <v>0</v>
      </c>
      <c r="AF188" s="52">
        <v>0</v>
      </c>
      <c r="AG188" s="2" t="s">
        <v>134</v>
      </c>
    </row>
    <row r="189" spans="4:34" ht="20.100000000000001" customHeight="1" x14ac:dyDescent="0.25">
      <c r="D189" s="97" t="s">
        <v>275</v>
      </c>
      <c r="U189" s="52" t="str">
        <f>TEXT(EDATE('Input - Site'!$E$12,9), "mmmm")</f>
        <v>October</v>
      </c>
      <c r="V189" s="52" t="str" cm="1">
        <f t="array" ref="V189">IFERROR(_xlfn.IFS(SUMPRODUCT(ISNUMBER(SEARCH(TRIM(_xlfn.TEXTSPLIT($U$92,",")),U189))*1)&gt;0,"Calving season",SUMPRODUCT(ISNUMBER(SEARCH(TRIM(_xlfn.TEXTSPLIT($U$93,",")),U189))*1)&gt;0,"Season after calving"), "")</f>
        <v>Calving season</v>
      </c>
      <c r="W189" s="52" cm="1">
        <f t="array" ref="W189">_xlfn.XLOOKUP(1, (Table_SourceData_PastureBeef_FeedIntakeAdjustment_Variation[Breed]=$Z$158)*(Table_SourceData_PastureBeef_FeedIntakeAdjustment_Variation[Season]=$V189), Table_SourceData_PastureBeef_FeedIntakeAdjustment_Variation[Milk intake/production], 0)</f>
        <v>0</v>
      </c>
      <c r="X189" s="52">
        <v>0</v>
      </c>
      <c r="Y189" s="52" cm="1">
        <f t="array" ref="Y189">_xlfn.XLOOKUP(1, (Table_SourceData_PastureBeef_FeedIntakeAdjustment_Variation[Breed]=$Z$158)*(Table_SourceData_PastureBeef_FeedIntakeAdjustment_Variation[Season]=$V189), Table_SourceData_PastureBeef_FeedIntakeAdjustment_Variation[Milk intake/production], 0)</f>
        <v>0</v>
      </c>
      <c r="Z189" s="52">
        <v>0</v>
      </c>
      <c r="AA189" s="52">
        <v>0</v>
      </c>
      <c r="AB189" s="52">
        <v>0</v>
      </c>
      <c r="AC189" s="52" cm="1">
        <f t="array" ref="AC189">_xlfn.XLOOKUP(1, (Table_SourceData_PastureBeef_FeedIntakeAdjustment_Variation[Breed]=$Z$158)*(Table_SourceData_PastureBeef_FeedIntakeAdjustment_Variation[Season]=$V189), Table_SourceData_PastureBeef_FeedIntakeAdjustment_Variation[Milk intake/production], 0)</f>
        <v>0</v>
      </c>
      <c r="AD189" s="52">
        <v>0</v>
      </c>
      <c r="AE189" s="52">
        <v>0</v>
      </c>
      <c r="AF189" s="52">
        <v>0</v>
      </c>
      <c r="AG189" s="2" t="s">
        <v>134</v>
      </c>
    </row>
    <row r="190" spans="4:34" ht="20.100000000000001" customHeight="1" x14ac:dyDescent="0.25">
      <c r="D190" s="51" t="s">
        <v>184</v>
      </c>
      <c r="E190" s="122" t="s">
        <v>131</v>
      </c>
      <c r="F190" s="122" t="s">
        <v>130</v>
      </c>
      <c r="G190" s="122" t="s">
        <v>165</v>
      </c>
      <c r="H190" s="122" t="s">
        <v>166</v>
      </c>
      <c r="I190" s="122" t="s">
        <v>167</v>
      </c>
      <c r="J190" s="122" t="s">
        <v>168</v>
      </c>
      <c r="K190" s="122" t="s">
        <v>169</v>
      </c>
      <c r="L190" s="122" t="s">
        <v>170</v>
      </c>
      <c r="M190" s="122" t="s">
        <v>171</v>
      </c>
      <c r="N190" s="122" t="s">
        <v>172</v>
      </c>
      <c r="U190" s="52" t="str">
        <f>TEXT(EDATE('Input - Site'!$E$12,10), "mmmm")</f>
        <v>November</v>
      </c>
      <c r="V190" s="52" t="str" cm="1">
        <f t="array" ref="V190">IFERROR(_xlfn.IFS(SUMPRODUCT(ISNUMBER(SEARCH(TRIM(_xlfn.TEXTSPLIT($U$92,",")),U190))*1)&gt;0,"Calving season",SUMPRODUCT(ISNUMBER(SEARCH(TRIM(_xlfn.TEXTSPLIT($U$93,",")),U190))*1)&gt;0,"Season after calving"), "")</f>
        <v>Season after calving</v>
      </c>
      <c r="W190" s="52" cm="1">
        <f t="array" ref="W190">_xlfn.XLOOKUP(1, (Table_SourceData_PastureBeef_FeedIntakeAdjustment_Variation[Breed]=$Z$158)*(Table_SourceData_PastureBeef_FeedIntakeAdjustment_Variation[Season]=$V190), Table_SourceData_PastureBeef_FeedIntakeAdjustment_Variation[Milk intake/production], 0)</f>
        <v>0</v>
      </c>
      <c r="X190" s="52">
        <v>0</v>
      </c>
      <c r="Y190" s="52" cm="1">
        <f t="array" ref="Y190">_xlfn.XLOOKUP(1, (Table_SourceData_PastureBeef_FeedIntakeAdjustment_Variation[Breed]=$Z$158)*(Table_SourceData_PastureBeef_FeedIntakeAdjustment_Variation[Season]=$V190), Table_SourceData_PastureBeef_FeedIntakeAdjustment_Variation[Milk intake/production], 0)</f>
        <v>0</v>
      </c>
      <c r="Z190" s="52">
        <v>0</v>
      </c>
      <c r="AA190" s="52">
        <v>0</v>
      </c>
      <c r="AB190" s="52">
        <v>0</v>
      </c>
      <c r="AC190" s="52" cm="1">
        <f t="array" ref="AC190">_xlfn.XLOOKUP(1, (Table_SourceData_PastureBeef_FeedIntakeAdjustment_Variation[Breed]=$Z$158)*(Table_SourceData_PastureBeef_FeedIntakeAdjustment_Variation[Season]=$V190), Table_SourceData_PastureBeef_FeedIntakeAdjustment_Variation[Milk intake/production], 0)</f>
        <v>0</v>
      </c>
      <c r="AD190" s="52">
        <v>0</v>
      </c>
      <c r="AE190" s="52">
        <v>0</v>
      </c>
      <c r="AF190" s="52">
        <v>0</v>
      </c>
      <c r="AG190" s="2" t="s">
        <v>134</v>
      </c>
    </row>
    <row r="191" spans="4:34" ht="20.100000000000001" customHeight="1" x14ac:dyDescent="0.25">
      <c r="D191" s="52" t="s">
        <v>173</v>
      </c>
      <c r="E191" s="52" cm="1">
        <f t="array" aca="1" ref="E191:N194" ca="1">OFFSET(X_Table_PastureBeef_Head_Method1, 1,1, 4,10)</f>
        <v>100</v>
      </c>
      <c r="F191" s="52">
        <f ca="1"/>
        <v>100</v>
      </c>
      <c r="G191" s="52">
        <f ca="1"/>
        <v>100</v>
      </c>
      <c r="H191" s="52">
        <f ca="1"/>
        <v>100</v>
      </c>
      <c r="I191" s="52">
        <f ca="1"/>
        <v>100</v>
      </c>
      <c r="J191" s="52">
        <f ca="1"/>
        <v>100</v>
      </c>
      <c r="K191" s="52">
        <f ca="1"/>
        <v>100</v>
      </c>
      <c r="L191" s="52">
        <f ca="1"/>
        <v>100</v>
      </c>
      <c r="M191" s="52">
        <f ca="1"/>
        <v>100</v>
      </c>
      <c r="N191" s="52">
        <f ca="1"/>
        <v>100</v>
      </c>
      <c r="O191" s="2" t="s">
        <v>102</v>
      </c>
      <c r="U191" s="52" t="str">
        <f>TEXT(EDATE('Input - Site'!$E$12,11), "mmmm")</f>
        <v>December</v>
      </c>
      <c r="V191" s="52" t="str" cm="1">
        <f t="array" ref="V191">IFERROR(_xlfn.IFS(SUMPRODUCT(ISNUMBER(SEARCH(TRIM(_xlfn.TEXTSPLIT($U$92,",")),U191))*1)&gt;0,"Calving season",SUMPRODUCT(ISNUMBER(SEARCH(TRIM(_xlfn.TEXTSPLIT($U$93,",")),U191))*1)&gt;0,"Season after calving"), "")</f>
        <v>Season after calving</v>
      </c>
      <c r="W191" s="52" cm="1">
        <f t="array" ref="W191">_xlfn.XLOOKUP(1, (Table_SourceData_PastureBeef_FeedIntakeAdjustment_Variation[Breed]=$Z$158)*(Table_SourceData_PastureBeef_FeedIntakeAdjustment_Variation[Season]=$V191), Table_SourceData_PastureBeef_FeedIntakeAdjustment_Variation[Milk intake/production], 0)</f>
        <v>0</v>
      </c>
      <c r="X191" s="52">
        <v>0</v>
      </c>
      <c r="Y191" s="52" cm="1">
        <f t="array" ref="Y191">_xlfn.XLOOKUP(1, (Table_SourceData_PastureBeef_FeedIntakeAdjustment_Variation[Breed]=$Z$158)*(Table_SourceData_PastureBeef_FeedIntakeAdjustment_Variation[Season]=$V191), Table_SourceData_PastureBeef_FeedIntakeAdjustment_Variation[Milk intake/production], 0)</f>
        <v>0</v>
      </c>
      <c r="Z191" s="52">
        <v>0</v>
      </c>
      <c r="AA191" s="52">
        <v>0</v>
      </c>
      <c r="AB191" s="52">
        <v>0</v>
      </c>
      <c r="AC191" s="52" cm="1">
        <f t="array" ref="AC191">_xlfn.XLOOKUP(1, (Table_SourceData_PastureBeef_FeedIntakeAdjustment_Variation[Breed]=$Z$158)*(Table_SourceData_PastureBeef_FeedIntakeAdjustment_Variation[Season]=$V191), Table_SourceData_PastureBeef_FeedIntakeAdjustment_Variation[Milk intake/production], 0)</f>
        <v>0</v>
      </c>
      <c r="AD191" s="52">
        <v>0</v>
      </c>
      <c r="AE191" s="52">
        <v>0</v>
      </c>
      <c r="AF191" s="52">
        <v>0</v>
      </c>
      <c r="AG191" s="2" t="s">
        <v>134</v>
      </c>
    </row>
    <row r="192" spans="4:34" ht="20.100000000000001" customHeight="1" x14ac:dyDescent="0.25">
      <c r="D192" s="52" t="s">
        <v>174</v>
      </c>
      <c r="E192" s="52">
        <f ca="1"/>
        <v>100</v>
      </c>
      <c r="F192" s="52">
        <f ca="1"/>
        <v>100</v>
      </c>
      <c r="G192" s="52">
        <f ca="1"/>
        <v>100</v>
      </c>
      <c r="H192" s="52">
        <f ca="1"/>
        <v>100</v>
      </c>
      <c r="I192" s="52">
        <f ca="1"/>
        <v>100</v>
      </c>
      <c r="J192" s="52">
        <f ca="1"/>
        <v>100</v>
      </c>
      <c r="K192" s="52">
        <f ca="1"/>
        <v>100</v>
      </c>
      <c r="L192" s="52">
        <f ca="1"/>
        <v>100</v>
      </c>
      <c r="M192" s="52">
        <f ca="1"/>
        <v>100</v>
      </c>
      <c r="N192" s="52">
        <f ca="1"/>
        <v>100</v>
      </c>
      <c r="O192" s="2" t="s">
        <v>102</v>
      </c>
    </row>
    <row r="193" spans="4:34" ht="20.100000000000001" customHeight="1" x14ac:dyDescent="0.25">
      <c r="D193" s="52" t="s">
        <v>175</v>
      </c>
      <c r="E193" s="52">
        <f ca="1"/>
        <v>100</v>
      </c>
      <c r="F193" s="52">
        <f ca="1"/>
        <v>100</v>
      </c>
      <c r="G193" s="52">
        <f ca="1"/>
        <v>100</v>
      </c>
      <c r="H193" s="52">
        <f ca="1"/>
        <v>100</v>
      </c>
      <c r="I193" s="52">
        <f ca="1"/>
        <v>100</v>
      </c>
      <c r="J193" s="52">
        <f ca="1"/>
        <v>100</v>
      </c>
      <c r="K193" s="52">
        <f ca="1"/>
        <v>100</v>
      </c>
      <c r="L193" s="52">
        <f ca="1"/>
        <v>100</v>
      </c>
      <c r="M193" s="52">
        <f ca="1"/>
        <v>100</v>
      </c>
      <c r="N193" s="52">
        <f ca="1"/>
        <v>100</v>
      </c>
      <c r="O193" s="2" t="s">
        <v>102</v>
      </c>
      <c r="U193" s="98" t="s">
        <v>315</v>
      </c>
    </row>
    <row r="194" spans="4:34" ht="20.100000000000001" customHeight="1" x14ac:dyDescent="0.25">
      <c r="D194" s="52" t="s">
        <v>176</v>
      </c>
      <c r="E194" s="52">
        <f ca="1"/>
        <v>100</v>
      </c>
      <c r="F194" s="52">
        <f ca="1"/>
        <v>100</v>
      </c>
      <c r="G194" s="52">
        <f ca="1"/>
        <v>100</v>
      </c>
      <c r="H194" s="52">
        <f ca="1"/>
        <v>100</v>
      </c>
      <c r="I194" s="52">
        <f ca="1"/>
        <v>100</v>
      </c>
      <c r="J194" s="52">
        <f ca="1"/>
        <v>100</v>
      </c>
      <c r="K194" s="52">
        <f ca="1"/>
        <v>100</v>
      </c>
      <c r="L194" s="52">
        <f ca="1"/>
        <v>100</v>
      </c>
      <c r="M194" s="52">
        <f ca="1"/>
        <v>100</v>
      </c>
      <c r="N194" s="52">
        <f ca="1"/>
        <v>100</v>
      </c>
      <c r="O194" s="2" t="s">
        <v>102</v>
      </c>
      <c r="U194" s="97" t="s">
        <v>316</v>
      </c>
    </row>
    <row r="195" spans="4:34" ht="20.100000000000001" customHeight="1" x14ac:dyDescent="0.25">
      <c r="U195" s="51" t="s">
        <v>132</v>
      </c>
      <c r="V195" s="51" t="s">
        <v>131</v>
      </c>
      <c r="W195" s="51" t="s">
        <v>130</v>
      </c>
      <c r="X195" s="51" t="s">
        <v>165</v>
      </c>
      <c r="Y195" s="51" t="s">
        <v>166</v>
      </c>
      <c r="Z195" s="51" t="s">
        <v>167</v>
      </c>
      <c r="AA195" s="51" t="s">
        <v>168</v>
      </c>
      <c r="AB195" s="51" t="s">
        <v>169</v>
      </c>
      <c r="AC195" s="51" t="s">
        <v>170</v>
      </c>
      <c r="AD195" s="51" t="s">
        <v>171</v>
      </c>
      <c r="AE195" s="51" t="s">
        <v>172</v>
      </c>
    </row>
    <row r="196" spans="4:34" ht="20.100000000000001" customHeight="1" x14ac:dyDescent="0.25">
      <c r="D196" s="98" t="s">
        <v>146</v>
      </c>
      <c r="U196" s="52" t="str">
        <f>TEXT('Input - Site'!$E$12, "mmmm yyyy")</f>
        <v>January 2024</v>
      </c>
      <c r="V196" s="52" cm="1">
        <f t="array" aca="1" ref="V196" ca="1">MMS_PastureBeef_Soil_N2ODirect_Equations.VEERG_4_2_1_3__3_NitrogenExcreted(V56,V164,W180,V136,V20)</f>
        <v>9.3275223802458812E-2</v>
      </c>
      <c r="W196" s="52" cm="1">
        <f t="array" aca="1" ref="W196" ca="1">MMS_PastureBeef_Soil_N2ODirect_Equations.VEERG_4_2_1_3__3_NitrogenExcreted(W56,W164,X180,W136,W20)</f>
        <v>0.13601872675007995</v>
      </c>
      <c r="X196" s="52" cm="1">
        <f t="array" aca="1" ref="X196" ca="1">MMS_PastureBeef_Soil_N2ODirect_Equations.VEERG_4_2_1_3__3_NitrogenExcreted(X56,X164,Y180,X136,X20)</f>
        <v>7.7811027960341214E-2</v>
      </c>
      <c r="Y196" s="52" cm="1">
        <f t="array" aca="1" ref="Y196" ca="1">MMS_PastureBeef_Soil_N2ODirect_Equations.VEERG_4_2_1_3__3_NitrogenExcreted(Y56,Y164,Z180,Y136,Y20)</f>
        <v>0.10103589494585365</v>
      </c>
      <c r="Z196" s="52" cm="1">
        <f t="array" aca="1" ref="Z196" ca="1">MMS_PastureBeef_Soil_N2ODirect_Equations.VEERG_4_2_1_3__3_NitrogenExcreted(Z56,Z164,AA180,Z136,Z20)</f>
        <v>0.10613051058639233</v>
      </c>
      <c r="AA196" s="52" cm="1">
        <f t="array" aca="1" ref="AA196" ca="1">MMS_PastureBeef_Soil_N2ODirect_Equations.VEERG_4_2_1_3__3_NitrogenExcreted(AA56,AA164,AB180,AA136,AA20)</f>
        <v>0.10613051058639233</v>
      </c>
      <c r="AB196" s="52" cm="1">
        <f t="array" aca="1" ref="AB196" ca="1">MMS_PastureBeef_Soil_N2ODirect_Equations.VEERG_4_2_1_3__3_NitrogenExcreted(AB56,AB164,AC180,AB136,AB20)</f>
        <v>8.562550571362422E-2</v>
      </c>
      <c r="AC196" s="52" cm="1">
        <f t="array" aca="1" ref="AC196" ca="1">MMS_PastureBeef_Soil_N2ODirect_Equations.VEERG_4_2_1_3__3_NitrogenExcreted(AC56,AC164,AD180,AC136,AC20)</f>
        <v>0.1054491491748196</v>
      </c>
      <c r="AD196" s="52" cm="1">
        <f t="array" aca="1" ref="AD196" ca="1">MMS_PastureBeef_Soil_N2ODirect_Equations.VEERG_4_2_1_3__3_NitrogenExcreted(AD56,AD164,AE180,AD136,AD20)</f>
        <v>0.1054491491748196</v>
      </c>
      <c r="AE196" s="52" cm="1">
        <f t="array" aca="1" ref="AE196" ca="1">MMS_PastureBeef_Soil_N2ODirect_Equations.VEERG_4_2_1_3__3_NitrogenExcreted(AE56,AE164,AF180,AE136,AE20)</f>
        <v>0.1054491491748196</v>
      </c>
      <c r="AF196" s="2" t="str">
        <f t="shared" ref="AF196:AF207" si="9">$E$140</f>
        <v>kg N/head/day</v>
      </c>
      <c r="AG196" s="2"/>
      <c r="AH196" s="2"/>
    </row>
    <row r="197" spans="4:34" ht="20.100000000000001" customHeight="1" x14ac:dyDescent="0.25">
      <c r="D197" s="97" t="s">
        <v>276</v>
      </c>
      <c r="U197" s="52" t="str">
        <f>TEXT(EDATE('Input - Site'!$E$12,1), "mmmm yyyy")</f>
        <v>February 2024</v>
      </c>
      <c r="V197" s="52" cm="1">
        <f t="array" aca="1" ref="V197" ca="1">MMS_PastureBeef_Soil_N2ODirect_Equations.VEERG_4_2_1_3__3_NitrogenExcreted(V57,V165,W181,V137,V21)</f>
        <v>9.3275223802458812E-2</v>
      </c>
      <c r="W197" s="52" cm="1">
        <f t="array" aca="1" ref="W197" ca="1">MMS_PastureBeef_Soil_N2ODirect_Equations.VEERG_4_2_1_3__3_NitrogenExcreted(W57,W165,X181,W137,W21)</f>
        <v>0.13601872675007995</v>
      </c>
      <c r="X197" s="52" cm="1">
        <f t="array" aca="1" ref="X197" ca="1">MMS_PastureBeef_Soil_N2ODirect_Equations.VEERG_4_2_1_3__3_NitrogenExcreted(X57,X165,Y181,X137,X21)</f>
        <v>7.7811027960341214E-2</v>
      </c>
      <c r="Y197" s="52" cm="1">
        <f t="array" aca="1" ref="Y197" ca="1">MMS_PastureBeef_Soil_N2ODirect_Equations.VEERG_4_2_1_3__3_NitrogenExcreted(Y57,Y165,Z181,Y137,Y21)</f>
        <v>0.10758035881234858</v>
      </c>
      <c r="Z197" s="52" cm="1">
        <f t="array" aca="1" ref="Z197" ca="1">MMS_PastureBeef_Soil_N2ODirect_Equations.VEERG_4_2_1_3__3_NitrogenExcreted(Z57,Z165,AA181,Z137,Z21)</f>
        <v>0.11276190880086426</v>
      </c>
      <c r="AA197" s="52" cm="1">
        <f t="array" aca="1" ref="AA197" ca="1">MMS_PastureBeef_Soil_N2ODirect_Equations.VEERG_4_2_1_3__3_NitrogenExcreted(AA57,AA165,AB181,AA137,AA21)</f>
        <v>0.11276190880086426</v>
      </c>
      <c r="AB197" s="52" cm="1">
        <f t="array" aca="1" ref="AB197" ca="1">MMS_PastureBeef_Soil_N2ODirect_Equations.VEERG_4_2_1_3__3_NitrogenExcreted(AB57,AB165,AC181,AB137,AB21)</f>
        <v>8.562550571362422E-2</v>
      </c>
      <c r="AC197" s="52" cm="1">
        <f t="array" aca="1" ref="AC197" ca="1">MMS_PastureBeef_Soil_N2ODirect_Equations.VEERG_4_2_1_3__3_NitrogenExcreted(AC57,AC165,AD181,AC137,AC21)</f>
        <v>0.1054491491748196</v>
      </c>
      <c r="AD197" s="52" cm="1">
        <f t="array" aca="1" ref="AD197" ca="1">MMS_PastureBeef_Soil_N2ODirect_Equations.VEERG_4_2_1_3__3_NitrogenExcreted(AD57,AD165,AE181,AD137,AD21)</f>
        <v>0.1054491491748196</v>
      </c>
      <c r="AE197" s="52" cm="1">
        <f t="array" aca="1" ref="AE197" ca="1">MMS_PastureBeef_Soil_N2ODirect_Equations.VEERG_4_2_1_3__3_NitrogenExcreted(AE57,AE165,AF181,AE137,AE21)</f>
        <v>0.1054491491748196</v>
      </c>
      <c r="AF197" s="2" t="str">
        <f t="shared" si="9"/>
        <v>kg N/head/day</v>
      </c>
      <c r="AG197" s="2"/>
      <c r="AH197" s="2"/>
    </row>
    <row r="198" spans="4:34" ht="20.100000000000001" customHeight="1" x14ac:dyDescent="0.25">
      <c r="D198" s="51" t="s">
        <v>184</v>
      </c>
      <c r="E198" s="122" t="s">
        <v>131</v>
      </c>
      <c r="F198" s="122" t="s">
        <v>130</v>
      </c>
      <c r="G198" s="122" t="s">
        <v>165</v>
      </c>
      <c r="H198" s="122" t="s">
        <v>166</v>
      </c>
      <c r="I198" s="122" t="s">
        <v>167</v>
      </c>
      <c r="J198" s="122" t="s">
        <v>168</v>
      </c>
      <c r="K198" s="122" t="s">
        <v>169</v>
      </c>
      <c r="L198" s="122" t="s">
        <v>170</v>
      </c>
      <c r="M198" s="122" t="s">
        <v>171</v>
      </c>
      <c r="N198" s="122" t="s">
        <v>172</v>
      </c>
      <c r="U198" s="52" t="str">
        <f>TEXT(EDATE('Input - Site'!$E$12,2), "mmmm yyyy")</f>
        <v>March 2024</v>
      </c>
      <c r="V198" s="52" cm="1">
        <f t="array" aca="1" ref="V198" ca="1">MMS_PastureBeef_Soil_N2ODirect_Equations.VEERG_4_2_1_3__3_NitrogenExcreted(V58,V166,W182,V138,V22)</f>
        <v>1.3490587405558481E-2</v>
      </c>
      <c r="W198" s="52" cm="1">
        <f t="array" aca="1" ref="W198" ca="1">MMS_PastureBeef_Soil_N2ODirect_Equations.VEERG_4_2_1_3__3_NitrogenExcreted(W58,W166,X182,W138,W22)</f>
        <v>8.8133023634157495E-2</v>
      </c>
      <c r="X198" s="52" cm="1">
        <f t="array" aca="1" ref="X198" ca="1">MMS_PastureBeef_Soil_N2ODirect_Equations.VEERG_4_2_1_3__3_NitrogenExcreted(X58,X166,Y182,X138,X22)</f>
        <v>1.1001898802853755E-2</v>
      </c>
      <c r="Y198" s="52" cm="1">
        <f t="array" aca="1" ref="Y198" ca="1">MMS_PastureBeef_Soil_N2ODirect_Equations.VEERG_4_2_1_3__3_NitrogenExcreted(Y58,Y166,Z182,Y138,Y22)</f>
        <v>5.2330323088884703E-2</v>
      </c>
      <c r="Z198" s="52" cm="1">
        <f t="array" aca="1" ref="Z198" ca="1">MMS_PastureBeef_Soil_N2ODirect_Equations.VEERG_4_2_1_3__3_NitrogenExcreted(Z58,Z166,AA182,Z138,Z22)</f>
        <v>6.9185083188389812E-2</v>
      </c>
      <c r="AA198" s="52" cm="1">
        <f t="array" aca="1" ref="AA198" ca="1">MMS_PastureBeef_Soil_N2ODirect_Equations.VEERG_4_2_1_3__3_NitrogenExcreted(AA58,AA166,AB182,AA138,AA22)</f>
        <v>6.9185083188389812E-2</v>
      </c>
      <c r="AB198" s="52" cm="1">
        <f t="array" aca="1" ref="AB198" ca="1">MMS_PastureBeef_Soil_N2ODirect_Equations.VEERG_4_2_1_3__3_NitrogenExcreted(AB58,AB166,AC182,AB138,AB22)</f>
        <v>1.3731587835013218E-2</v>
      </c>
      <c r="AC198" s="52" cm="1">
        <f t="array" aca="1" ref="AC198" ca="1">MMS_PastureBeef_Soil_N2ODirect_Equations.VEERG_4_2_1_3__3_NitrogenExcreted(AC58,AC166,AD182,AC138,AC22)</f>
        <v>5.520208336562428E-2</v>
      </c>
      <c r="AD198" s="52" cm="1">
        <f t="array" aca="1" ref="AD198" ca="1">MMS_PastureBeef_Soil_N2ODirect_Equations.VEERG_4_2_1_3__3_NitrogenExcreted(AD58,AD166,AE182,AD138,AD22)</f>
        <v>5.520208336562428E-2</v>
      </c>
      <c r="AE198" s="52" cm="1">
        <f t="array" aca="1" ref="AE198" ca="1">MMS_PastureBeef_Soil_N2ODirect_Equations.VEERG_4_2_1_3__3_NitrogenExcreted(AE58,AE166,AF182,AE138,AE22)</f>
        <v>5.520208336562428E-2</v>
      </c>
      <c r="AF198" s="2" t="str">
        <f t="shared" si="9"/>
        <v>kg N/head/day</v>
      </c>
      <c r="AG198" s="2"/>
      <c r="AH198" s="2"/>
    </row>
    <row r="199" spans="4:34" ht="20.100000000000001" customHeight="1" x14ac:dyDescent="0.25">
      <c r="D199" s="52" t="s">
        <v>173</v>
      </c>
      <c r="E199" s="52" cm="1">
        <f t="array" aca="1" ref="E199:N202" ca="1">OFFSET(X_Table_PastureBeef_Duration_Method1, 1,1, 4,10)</f>
        <v>91.25</v>
      </c>
      <c r="F199" s="52">
        <f ca="1"/>
        <v>91.25</v>
      </c>
      <c r="G199" s="52">
        <f ca="1"/>
        <v>91.25</v>
      </c>
      <c r="H199" s="52">
        <f ca="1"/>
        <v>91.25</v>
      </c>
      <c r="I199" s="52">
        <f ca="1"/>
        <v>91.25</v>
      </c>
      <c r="J199" s="52">
        <f ca="1"/>
        <v>91.25</v>
      </c>
      <c r="K199" s="52">
        <f ca="1"/>
        <v>91.25</v>
      </c>
      <c r="L199" s="52">
        <f ca="1"/>
        <v>91.25</v>
      </c>
      <c r="M199" s="52">
        <f ca="1"/>
        <v>91.25</v>
      </c>
      <c r="N199" s="52">
        <f ca="1"/>
        <v>91.25</v>
      </c>
      <c r="O199" s="2" t="s">
        <v>277</v>
      </c>
      <c r="U199" s="52" t="str">
        <f>TEXT(EDATE('Input - Site'!$E$12,3), "mmmm yyyy")</f>
        <v>April 2024</v>
      </c>
      <c r="V199" s="52" cm="1">
        <f t="array" aca="1" ref="V199" ca="1">MMS_PastureBeef_Soil_N2ODirect_Equations.VEERG_4_2_1_3__3_NitrogenExcreted(V59,V167,W183,V139,V23)</f>
        <v>1.3490587405558481E-2</v>
      </c>
      <c r="W199" s="52" cm="1">
        <f t="array" aca="1" ref="W199" ca="1">MMS_PastureBeef_Soil_N2ODirect_Equations.VEERG_4_2_1_3__3_NitrogenExcreted(W59,W167,X183,W139,W23)</f>
        <v>8.8133023634157495E-2</v>
      </c>
      <c r="X199" s="52" cm="1">
        <f t="array" aca="1" ref="X199" ca="1">MMS_PastureBeef_Soil_N2ODirect_Equations.VEERG_4_2_1_3__3_NitrogenExcreted(X59,X167,Y183,X139,X23)</f>
        <v>1.1001898802853755E-2</v>
      </c>
      <c r="Y199" s="52" cm="1">
        <f t="array" aca="1" ref="Y199" ca="1">MMS_PastureBeef_Soil_N2ODirect_Equations.VEERG_4_2_1_3__3_NitrogenExcreted(Y59,Y167,Z183,Y139,Y23)</f>
        <v>5.2330323088884703E-2</v>
      </c>
      <c r="Z199" s="52" cm="1">
        <f t="array" aca="1" ref="Z199" ca="1">MMS_PastureBeef_Soil_N2ODirect_Equations.VEERG_4_2_1_3__3_NitrogenExcreted(Z59,Z167,AA183,Z139,Z23)</f>
        <v>6.9185083188389812E-2</v>
      </c>
      <c r="AA199" s="52" cm="1">
        <f t="array" aca="1" ref="AA199" ca="1">MMS_PastureBeef_Soil_N2ODirect_Equations.VEERG_4_2_1_3__3_NitrogenExcreted(AA59,AA167,AB183,AA139,AA23)</f>
        <v>6.9185083188389812E-2</v>
      </c>
      <c r="AB199" s="52" cm="1">
        <f t="array" aca="1" ref="AB199" ca="1">MMS_PastureBeef_Soil_N2ODirect_Equations.VEERG_4_2_1_3__3_NitrogenExcreted(AB59,AB167,AC183,AB139,AB23)</f>
        <v>1.3731587835013218E-2</v>
      </c>
      <c r="AC199" s="52" cm="1">
        <f t="array" aca="1" ref="AC199" ca="1">MMS_PastureBeef_Soil_N2ODirect_Equations.VEERG_4_2_1_3__3_NitrogenExcreted(AC59,AC167,AD183,AC139,AC23)</f>
        <v>5.520208336562428E-2</v>
      </c>
      <c r="AD199" s="52" cm="1">
        <f t="array" aca="1" ref="AD199" ca="1">MMS_PastureBeef_Soil_N2ODirect_Equations.VEERG_4_2_1_3__3_NitrogenExcreted(AD59,AD167,AE183,AD139,AD23)</f>
        <v>5.520208336562428E-2</v>
      </c>
      <c r="AE199" s="52" cm="1">
        <f t="array" aca="1" ref="AE199" ca="1">MMS_PastureBeef_Soil_N2ODirect_Equations.VEERG_4_2_1_3__3_NitrogenExcreted(AE59,AE167,AF183,AE139,AE23)</f>
        <v>5.520208336562428E-2</v>
      </c>
      <c r="AF199" s="2" t="str">
        <f t="shared" si="9"/>
        <v>kg N/head/day</v>
      </c>
      <c r="AG199" s="2"/>
      <c r="AH199" s="2"/>
    </row>
    <row r="200" spans="4:34" ht="20.100000000000001" customHeight="1" x14ac:dyDescent="0.25">
      <c r="D200" s="52" t="s">
        <v>174</v>
      </c>
      <c r="E200" s="52">
        <f ca="1"/>
        <v>91.25</v>
      </c>
      <c r="F200" s="52">
        <f ca="1"/>
        <v>91.25</v>
      </c>
      <c r="G200" s="52">
        <f ca="1"/>
        <v>91.25</v>
      </c>
      <c r="H200" s="52">
        <f ca="1"/>
        <v>91.25</v>
      </c>
      <c r="I200" s="52">
        <f ca="1"/>
        <v>91.25</v>
      </c>
      <c r="J200" s="52">
        <f ca="1"/>
        <v>91.25</v>
      </c>
      <c r="K200" s="52">
        <f ca="1"/>
        <v>91.25</v>
      </c>
      <c r="L200" s="52">
        <f ca="1"/>
        <v>91.25</v>
      </c>
      <c r="M200" s="52">
        <f ca="1"/>
        <v>91.25</v>
      </c>
      <c r="N200" s="52">
        <f ca="1"/>
        <v>91.25</v>
      </c>
      <c r="O200" s="2" t="s">
        <v>277</v>
      </c>
      <c r="U200" s="52" t="str">
        <f>TEXT(EDATE('Input - Site'!$E$12,4), "mmmm yyyy")</f>
        <v>May 2024</v>
      </c>
      <c r="V200" s="52" cm="1">
        <f t="array" aca="1" ref="V200" ca="1">MMS_PastureBeef_Soil_N2ODirect_Equations.VEERG_4_2_1_3__3_NitrogenExcreted(V60,V168,W184,V140,V24)</f>
        <v>1.3490587405558481E-2</v>
      </c>
      <c r="W200" s="52" cm="1">
        <f t="array" aca="1" ref="W200" ca="1">MMS_PastureBeef_Soil_N2ODirect_Equations.VEERG_4_2_1_3__3_NitrogenExcreted(W60,W168,X184,W140,W24)</f>
        <v>8.8133023634157495E-2</v>
      </c>
      <c r="X200" s="52" cm="1">
        <f t="array" aca="1" ref="X200" ca="1">MMS_PastureBeef_Soil_N2ODirect_Equations.VEERG_4_2_1_3__3_NitrogenExcreted(X60,X168,Y184,X140,X24)</f>
        <v>1.1001898802853755E-2</v>
      </c>
      <c r="Y200" s="52" cm="1">
        <f t="array" aca="1" ref="Y200" ca="1">MMS_PastureBeef_Soil_N2ODirect_Equations.VEERG_4_2_1_3__3_NitrogenExcreted(Y60,Y168,Z184,Y140,Y24)</f>
        <v>5.2330323088884703E-2</v>
      </c>
      <c r="Z200" s="52" cm="1">
        <f t="array" aca="1" ref="Z200" ca="1">MMS_PastureBeef_Soil_N2ODirect_Equations.VEERG_4_2_1_3__3_NitrogenExcreted(Z60,Z168,AA184,Z140,Z24)</f>
        <v>6.9185083188389812E-2</v>
      </c>
      <c r="AA200" s="52" cm="1">
        <f t="array" aca="1" ref="AA200" ca="1">MMS_PastureBeef_Soil_N2ODirect_Equations.VEERG_4_2_1_3__3_NitrogenExcreted(AA60,AA168,AB184,AA140,AA24)</f>
        <v>6.9185083188389812E-2</v>
      </c>
      <c r="AB200" s="52" cm="1">
        <f t="array" aca="1" ref="AB200" ca="1">MMS_PastureBeef_Soil_N2ODirect_Equations.VEERG_4_2_1_3__3_NitrogenExcreted(AB60,AB168,AC184,AB140,AB24)</f>
        <v>1.3731587835013218E-2</v>
      </c>
      <c r="AC200" s="52" cm="1">
        <f t="array" aca="1" ref="AC200" ca="1">MMS_PastureBeef_Soil_N2ODirect_Equations.VEERG_4_2_1_3__3_NitrogenExcreted(AC60,AC168,AD184,AC140,AC24)</f>
        <v>5.520208336562428E-2</v>
      </c>
      <c r="AD200" s="52" cm="1">
        <f t="array" aca="1" ref="AD200" ca="1">MMS_PastureBeef_Soil_N2ODirect_Equations.VEERG_4_2_1_3__3_NitrogenExcreted(AD60,AD168,AE184,AD140,AD24)</f>
        <v>5.520208336562428E-2</v>
      </c>
      <c r="AE200" s="52" cm="1">
        <f t="array" aca="1" ref="AE200" ca="1">MMS_PastureBeef_Soil_N2ODirect_Equations.VEERG_4_2_1_3__3_NitrogenExcreted(AE60,AE168,AF184,AE140,AE24)</f>
        <v>5.520208336562428E-2</v>
      </c>
      <c r="AF200" s="2" t="str">
        <f t="shared" si="9"/>
        <v>kg N/head/day</v>
      </c>
      <c r="AG200" s="2"/>
      <c r="AH200" s="2"/>
    </row>
    <row r="201" spans="4:34" ht="20.100000000000001" customHeight="1" x14ac:dyDescent="0.25">
      <c r="D201" s="52" t="s">
        <v>175</v>
      </c>
      <c r="E201" s="52">
        <f ca="1"/>
        <v>91.25</v>
      </c>
      <c r="F201" s="52">
        <f ca="1"/>
        <v>91.25</v>
      </c>
      <c r="G201" s="52">
        <f ca="1"/>
        <v>91.25</v>
      </c>
      <c r="H201" s="52">
        <f ca="1"/>
        <v>91.25</v>
      </c>
      <c r="I201" s="52">
        <f ca="1"/>
        <v>91.25</v>
      </c>
      <c r="J201" s="52">
        <f ca="1"/>
        <v>91.25</v>
      </c>
      <c r="K201" s="52">
        <f ca="1"/>
        <v>91.25</v>
      </c>
      <c r="L201" s="52">
        <f ca="1"/>
        <v>91.25</v>
      </c>
      <c r="M201" s="52">
        <f ca="1"/>
        <v>91.25</v>
      </c>
      <c r="N201" s="52">
        <f ca="1"/>
        <v>91.25</v>
      </c>
      <c r="O201" s="2" t="s">
        <v>277</v>
      </c>
      <c r="U201" s="52" t="str">
        <f>TEXT(EDATE('Input - Site'!$E$12,5), "mmmm yyyy")</f>
        <v>June 2024</v>
      </c>
      <c r="V201" s="52" cm="1">
        <f t="array" aca="1" ref="V201" ca="1">MMS_PastureBeef_Soil_N2ODirect_Equations.VEERG_4_2_1_3__3_NitrogenExcreted(V61,V169,W185,V141,V25)</f>
        <v>0.13772737785106035</v>
      </c>
      <c r="W201" s="52" cm="1">
        <f t="array" aca="1" ref="W201" ca="1">MMS_PastureBeef_Soil_N2ODirect_Equations.VEERG_4_2_1_3__3_NitrogenExcreted(W61,W169,X185,W141,W25)</f>
        <v>0.31425341534791917</v>
      </c>
      <c r="X201" s="52" cm="1">
        <f t="array" aca="1" ref="X201" ca="1">MMS_PastureBeef_Soil_N2ODirect_Equations.VEERG_4_2_1_3__3_NitrogenExcreted(X61,X169,Y185,X141,X25)</f>
        <v>0.11430568530078369</v>
      </c>
      <c r="Y201" s="52" cm="1">
        <f t="array" aca="1" ref="Y201" ca="1">MMS_PastureBeef_Soil_N2ODirect_Equations.VEERG_4_2_1_3__3_NitrogenExcreted(Y61,Y169,Z185,Y141,Y25)</f>
        <v>0.18660765289897449</v>
      </c>
      <c r="Z201" s="52" cm="1">
        <f t="array" aca="1" ref="Z201" ca="1">MMS_PastureBeef_Soil_N2ODirect_Equations.VEERG_4_2_1_3__3_NitrogenExcreted(Z61,Z169,AA185,Z141,Z25)</f>
        <v>0.25135663949490661</v>
      </c>
      <c r="AA201" s="52" cm="1">
        <f t="array" aca="1" ref="AA201" ca="1">MMS_PastureBeef_Soil_N2ODirect_Equations.VEERG_4_2_1_3__3_NitrogenExcreted(AA61,AA169,AB185,AA141,AA25)</f>
        <v>0.25135663949490661</v>
      </c>
      <c r="AB201" s="52" cm="1">
        <f t="array" aca="1" ref="AB201" ca="1">MMS_PastureBeef_Soil_N2ODirect_Equations.VEERG_4_2_1_3__3_NitrogenExcreted(AB61,AB169,AC185,AB141,AB25)</f>
        <v>0.12380983067102717</v>
      </c>
      <c r="AC201" s="52" cm="1">
        <f t="array" aca="1" ref="AC201" ca="1">MMS_PastureBeef_Soil_N2ODirect_Equations.VEERG_4_2_1_3__3_NitrogenExcreted(AC61,AC169,AD185,AC141,AC25)</f>
        <v>0.21091009356426255</v>
      </c>
      <c r="AD201" s="52" cm="1">
        <f t="array" aca="1" ref="AD201" ca="1">MMS_PastureBeef_Soil_N2ODirect_Equations.VEERG_4_2_1_3__3_NitrogenExcreted(AD61,AD169,AE185,AD141,AD25)</f>
        <v>0.21091009356426255</v>
      </c>
      <c r="AE201" s="52" cm="1">
        <f t="array" aca="1" ref="AE201" ca="1">MMS_PastureBeef_Soil_N2ODirect_Equations.VEERG_4_2_1_3__3_NitrogenExcreted(AE61,AE169,AF185,AE141,AE25)</f>
        <v>0.21091009356426255</v>
      </c>
      <c r="AF201" s="2" t="str">
        <f t="shared" si="9"/>
        <v>kg N/head/day</v>
      </c>
      <c r="AG201" s="2"/>
      <c r="AH201" s="2"/>
    </row>
    <row r="202" spans="4:34" ht="20.100000000000001" customHeight="1" x14ac:dyDescent="0.25">
      <c r="D202" s="52" t="s">
        <v>176</v>
      </c>
      <c r="E202" s="52">
        <f ca="1"/>
        <v>91.25</v>
      </c>
      <c r="F202" s="52">
        <f ca="1"/>
        <v>91.25</v>
      </c>
      <c r="G202" s="52">
        <f ca="1"/>
        <v>91.25</v>
      </c>
      <c r="H202" s="52">
        <f ca="1"/>
        <v>91.25</v>
      </c>
      <c r="I202" s="52">
        <f ca="1"/>
        <v>91.25</v>
      </c>
      <c r="J202" s="52">
        <f ca="1"/>
        <v>91.25</v>
      </c>
      <c r="K202" s="52">
        <f ca="1"/>
        <v>91.25</v>
      </c>
      <c r="L202" s="52">
        <f ca="1"/>
        <v>91.25</v>
      </c>
      <c r="M202" s="52">
        <f ca="1"/>
        <v>91.25</v>
      </c>
      <c r="N202" s="52">
        <f ca="1"/>
        <v>91.25</v>
      </c>
      <c r="O202" s="2" t="s">
        <v>277</v>
      </c>
      <c r="U202" s="52" t="str">
        <f>TEXT(EDATE('Input - Site'!$E$12,6), "mmmm yyyy")</f>
        <v>July 2024</v>
      </c>
      <c r="V202" s="52" cm="1">
        <f t="array" aca="1" ref="V202" ca="1">MMS_PastureBeef_Soil_N2ODirect_Equations.VEERG_4_2_1_3__3_NitrogenExcreted(V62,V170,W186,V142,V26)</f>
        <v>0.13772737785106035</v>
      </c>
      <c r="W202" s="52" cm="1">
        <f t="array" aca="1" ref="W202" ca="1">MMS_PastureBeef_Soil_N2ODirect_Equations.VEERG_4_2_1_3__3_NitrogenExcreted(W62,W170,X186,W142,W26)</f>
        <v>0.31425341534791917</v>
      </c>
      <c r="X202" s="52" cm="1">
        <f t="array" aca="1" ref="X202" ca="1">MMS_PastureBeef_Soil_N2ODirect_Equations.VEERG_4_2_1_3__3_NitrogenExcreted(X62,X170,Y186,X142,X26)</f>
        <v>0.11430568530078369</v>
      </c>
      <c r="Y202" s="52" cm="1">
        <f t="array" aca="1" ref="Y202" ca="1">MMS_PastureBeef_Soil_N2ODirect_Equations.VEERG_4_2_1_3__3_NitrogenExcreted(Y62,Y170,Z186,Y142,Y26)</f>
        <v>0.18660765289897449</v>
      </c>
      <c r="Z202" s="52" cm="1">
        <f t="array" aca="1" ref="Z202" ca="1">MMS_PastureBeef_Soil_N2ODirect_Equations.VEERG_4_2_1_3__3_NitrogenExcreted(Z62,Z170,AA186,Z142,Z26)</f>
        <v>0.25135663949490661</v>
      </c>
      <c r="AA202" s="52" cm="1">
        <f t="array" aca="1" ref="AA202" ca="1">MMS_PastureBeef_Soil_N2ODirect_Equations.VEERG_4_2_1_3__3_NitrogenExcreted(AA62,AA170,AB186,AA142,AA26)</f>
        <v>0.25135663949490661</v>
      </c>
      <c r="AB202" s="52" cm="1">
        <f t="array" aca="1" ref="AB202" ca="1">MMS_PastureBeef_Soil_N2ODirect_Equations.VEERG_4_2_1_3__3_NitrogenExcreted(AB62,AB170,AC186,AB142,AB26)</f>
        <v>0.12380983067102717</v>
      </c>
      <c r="AC202" s="52" cm="1">
        <f t="array" aca="1" ref="AC202" ca="1">MMS_PastureBeef_Soil_N2ODirect_Equations.VEERG_4_2_1_3__3_NitrogenExcreted(AC62,AC170,AD186,AC142,AC26)</f>
        <v>0.21091009356426255</v>
      </c>
      <c r="AD202" s="52" cm="1">
        <f t="array" aca="1" ref="AD202" ca="1">MMS_PastureBeef_Soil_N2ODirect_Equations.VEERG_4_2_1_3__3_NitrogenExcreted(AD62,AD170,AE186,AD142,AD26)</f>
        <v>0.21091009356426255</v>
      </c>
      <c r="AE202" s="52" cm="1">
        <f t="array" aca="1" ref="AE202" ca="1">MMS_PastureBeef_Soil_N2ODirect_Equations.VEERG_4_2_1_3__3_NitrogenExcreted(AE62,AE170,AF186,AE142,AE26)</f>
        <v>0.21091009356426255</v>
      </c>
      <c r="AF202" s="2" t="str">
        <f t="shared" si="9"/>
        <v>kg N/head/day</v>
      </c>
      <c r="AG202" s="2"/>
      <c r="AH202" s="2"/>
    </row>
    <row r="203" spans="4:34" ht="20.100000000000001" customHeight="1" x14ac:dyDescent="0.25">
      <c r="U203" s="52" t="str">
        <f>TEXT(EDATE('Input - Site'!$E$12,7), "mmmm yyyy")</f>
        <v>August 2024</v>
      </c>
      <c r="V203" s="52" cm="1">
        <f t="array" aca="1" ref="V203" ca="1">MMS_PastureBeef_Soil_N2ODirect_Equations.VEERG_4_2_1_3__3_NitrogenExcreted(V63,V171,W187,V143,V27)</f>
        <v>0.13772737785106035</v>
      </c>
      <c r="W203" s="52" cm="1">
        <f t="array" aca="1" ref="W203" ca="1">MMS_PastureBeef_Soil_N2ODirect_Equations.VEERG_4_2_1_3__3_NitrogenExcreted(W63,W171,X187,W143,W27)</f>
        <v>0.31425341534791917</v>
      </c>
      <c r="X203" s="52" cm="1">
        <f t="array" aca="1" ref="X203" ca="1">MMS_PastureBeef_Soil_N2ODirect_Equations.VEERG_4_2_1_3__3_NitrogenExcreted(X63,X171,Y187,X143,X27)</f>
        <v>0.11430568530078369</v>
      </c>
      <c r="Y203" s="52" cm="1">
        <f t="array" aca="1" ref="Y203" ca="1">MMS_PastureBeef_Soil_N2ODirect_Equations.VEERG_4_2_1_3__3_NitrogenExcreted(Y63,Y171,Z187,Y143,Y27)</f>
        <v>0.20672431471923791</v>
      </c>
      <c r="Z203" s="52" cm="1">
        <f t="array" aca="1" ref="Z203" ca="1">MMS_PastureBeef_Soil_N2ODirect_Equations.VEERG_4_2_1_3__3_NitrogenExcreted(Z63,Z171,AA187,Z143,Z27)</f>
        <v>0.28604447282279805</v>
      </c>
      <c r="AA203" s="52" cm="1">
        <f t="array" aca="1" ref="AA203" ca="1">MMS_PastureBeef_Soil_N2ODirect_Equations.VEERG_4_2_1_3__3_NitrogenExcreted(AA63,AA171,AB187,AA143,AA27)</f>
        <v>0.28604447282279805</v>
      </c>
      <c r="AB203" s="52" cm="1">
        <f t="array" aca="1" ref="AB203" ca="1">MMS_PastureBeef_Soil_N2ODirect_Equations.VEERG_4_2_1_3__3_NitrogenExcreted(AB63,AB171,AC187,AB143,AB27)</f>
        <v>0.12380983067102717</v>
      </c>
      <c r="AC203" s="52" cm="1">
        <f t="array" aca="1" ref="AC203" ca="1">MMS_PastureBeef_Soil_N2ODirect_Equations.VEERG_4_2_1_3__3_NitrogenExcreted(AC63,AC171,AD187,AC143,AC27)</f>
        <v>0.21091009356426255</v>
      </c>
      <c r="AD203" s="52" cm="1">
        <f t="array" aca="1" ref="AD203" ca="1">MMS_PastureBeef_Soil_N2ODirect_Equations.VEERG_4_2_1_3__3_NitrogenExcreted(AD63,AD171,AE187,AD143,AD27)</f>
        <v>0.21091009356426255</v>
      </c>
      <c r="AE203" s="52" cm="1">
        <f t="array" aca="1" ref="AE203" ca="1">MMS_PastureBeef_Soil_N2ODirect_Equations.VEERG_4_2_1_3__3_NitrogenExcreted(AE63,AE171,AF187,AE143,AE27)</f>
        <v>0.21091009356426255</v>
      </c>
      <c r="AF203" s="2" t="str">
        <f t="shared" si="9"/>
        <v>kg N/head/day</v>
      </c>
      <c r="AG203" s="2"/>
      <c r="AH203" s="2"/>
    </row>
    <row r="204" spans="4:34" ht="20.100000000000001" customHeight="1" x14ac:dyDescent="0.25">
      <c r="D204" s="98" t="s">
        <v>298</v>
      </c>
      <c r="U204" s="52" t="str">
        <f>TEXT(EDATE('Input - Site'!$E$12,8), "mmmm yyyy")</f>
        <v>September 2024</v>
      </c>
      <c r="V204" s="52" cm="1">
        <f t="array" aca="1" ref="V204" ca="1">MMS_PastureBeef_Soil_N2ODirect_Equations.VEERG_4_2_1_3__3_NitrogenExcreted(V64,V172,W188,V144,V28)</f>
        <v>0.24344381993446509</v>
      </c>
      <c r="W204" s="52" cm="1">
        <f t="array" aca="1" ref="W204" ca="1">MMS_PastureBeef_Soil_N2ODirect_Equations.VEERG_4_2_1_3__3_NitrogenExcreted(W64,W172,X188,W144,W28)</f>
        <v>0.37708133734232585</v>
      </c>
      <c r="X204" s="52" cm="1">
        <f t="array" aca="1" ref="X204" ca="1">MMS_PastureBeef_Soil_N2ODirect_Equations.VEERG_4_2_1_3__3_NitrogenExcreted(X64,X172,Y188,X144,X28)</f>
        <v>0.18738546222332772</v>
      </c>
      <c r="Y204" s="52" cm="1">
        <f t="array" aca="1" ref="Y204" ca="1">MMS_PastureBeef_Soil_N2ODirect_Equations.VEERG_4_2_1_3__3_NitrogenExcreted(Y64,Y172,Z188,Y144,Y28)</f>
        <v>0.30316514016990781</v>
      </c>
      <c r="Z204" s="52" cm="1">
        <f t="array" aca="1" ref="Z204" ca="1">MMS_PastureBeef_Soil_N2ODirect_Equations.VEERG_4_2_1_3__3_NitrogenExcreted(Z64,Z172,AA188,Z144,Z28)</f>
        <v>0.3456004349071124</v>
      </c>
      <c r="AA204" s="52" cm="1">
        <f t="array" aca="1" ref="AA204" ca="1">MMS_PastureBeef_Soil_N2ODirect_Equations.VEERG_4_2_1_3__3_NitrogenExcreted(AA64,AA172,AB188,AA144,AA28)</f>
        <v>0.3456004349071124</v>
      </c>
      <c r="AB204" s="52" cm="1">
        <f t="array" aca="1" ref="AB204" ca="1">MMS_PastureBeef_Soil_N2ODirect_Equations.VEERG_4_2_1_3__3_NitrogenExcreted(AB64,AB172,AC188,AB144,AB28)</f>
        <v>0.21483586989835565</v>
      </c>
      <c r="AC204" s="52" cm="1">
        <f t="array" aca="1" ref="AC204" ca="1">MMS_PastureBeef_Soil_N2ODirect_Equations.VEERG_4_2_1_3__3_NitrogenExcreted(AC64,AC172,AD188,AC144,AC28)</f>
        <v>0.2934676863299529</v>
      </c>
      <c r="AD204" s="52" cm="1">
        <f t="array" aca="1" ref="AD204" ca="1">MMS_PastureBeef_Soil_N2ODirect_Equations.VEERG_4_2_1_3__3_NitrogenExcreted(AD64,AD172,AE188,AD144,AD28)</f>
        <v>0.2934676863299529</v>
      </c>
      <c r="AE204" s="52" cm="1">
        <f t="array" aca="1" ref="AE204" ca="1">MMS_PastureBeef_Soil_N2ODirect_Equations.VEERG_4_2_1_3__3_NitrogenExcreted(AE64,AE172,AF188,AE144,AE28)</f>
        <v>0.2934676863299529</v>
      </c>
      <c r="AF204" s="2" t="str">
        <f t="shared" si="9"/>
        <v>kg N/head/day</v>
      </c>
      <c r="AG204" s="2"/>
      <c r="AH204" s="2"/>
    </row>
    <row r="205" spans="4:34" ht="20.100000000000001" customHeight="1" x14ac:dyDescent="0.25">
      <c r="D205" s="97" t="s">
        <v>299</v>
      </c>
      <c r="U205" s="52" t="str">
        <f>TEXT(EDATE('Input - Site'!$E$12,9), "mmmm yyyy")</f>
        <v>October 2024</v>
      </c>
      <c r="V205" s="52" cm="1">
        <f t="array" aca="1" ref="V205" ca="1">MMS_PastureBeef_Soil_N2ODirect_Equations.VEERG_4_2_1_3__3_NitrogenExcreted(V65,V173,W189,V145,V29)</f>
        <v>0.24344381993446509</v>
      </c>
      <c r="W205" s="52" cm="1">
        <f t="array" aca="1" ref="W205" ca="1">MMS_PastureBeef_Soil_N2ODirect_Equations.VEERG_4_2_1_3__3_NitrogenExcreted(W65,W173,X189,W145,W29)</f>
        <v>0.37708133734232585</v>
      </c>
      <c r="X205" s="52" cm="1">
        <f t="array" aca="1" ref="X205" ca="1">MMS_PastureBeef_Soil_N2ODirect_Equations.VEERG_4_2_1_3__3_NitrogenExcreted(X65,X173,Y189,X145,X29)</f>
        <v>0.18738546222332772</v>
      </c>
      <c r="Y205" s="52" cm="1">
        <f t="array" aca="1" ref="Y205" ca="1">MMS_PastureBeef_Soil_N2ODirect_Equations.VEERG_4_2_1_3__3_NitrogenExcreted(Y65,Y173,Z189,Y145,Y29)</f>
        <v>0.30316514016990781</v>
      </c>
      <c r="Z205" s="52" cm="1">
        <f t="array" aca="1" ref="Z205" ca="1">MMS_PastureBeef_Soil_N2ODirect_Equations.VEERG_4_2_1_3__3_NitrogenExcreted(Z65,Z173,AA189,Z145,Z29)</f>
        <v>0.3456004349071124</v>
      </c>
      <c r="AA205" s="52" cm="1">
        <f t="array" aca="1" ref="AA205" ca="1">MMS_PastureBeef_Soil_N2ODirect_Equations.VEERG_4_2_1_3__3_NitrogenExcreted(AA65,AA173,AB189,AA145,AA29)</f>
        <v>0.3456004349071124</v>
      </c>
      <c r="AB205" s="52" cm="1">
        <f t="array" aca="1" ref="AB205" ca="1">MMS_PastureBeef_Soil_N2ODirect_Equations.VEERG_4_2_1_3__3_NitrogenExcreted(AB65,AB173,AC189,AB145,AB29)</f>
        <v>0.21483586989835565</v>
      </c>
      <c r="AC205" s="52" cm="1">
        <f t="array" aca="1" ref="AC205" ca="1">MMS_PastureBeef_Soil_N2ODirect_Equations.VEERG_4_2_1_3__3_NitrogenExcreted(AC65,AC173,AD189,AC145,AC29)</f>
        <v>0.2934676863299529</v>
      </c>
      <c r="AD205" s="52" cm="1">
        <f t="array" aca="1" ref="AD205" ca="1">MMS_PastureBeef_Soil_N2ODirect_Equations.VEERG_4_2_1_3__3_NitrogenExcreted(AD65,AD173,AE189,AD145,AD29)</f>
        <v>0.2934676863299529</v>
      </c>
      <c r="AE205" s="52" cm="1">
        <f t="array" aca="1" ref="AE205" ca="1">MMS_PastureBeef_Soil_N2ODirect_Equations.VEERG_4_2_1_3__3_NitrogenExcreted(AE65,AE173,AF189,AE145,AE29)</f>
        <v>0.2934676863299529</v>
      </c>
      <c r="AF205" s="2" t="str">
        <f t="shared" si="9"/>
        <v>kg N/head/day</v>
      </c>
      <c r="AG205" s="2"/>
      <c r="AH205" s="2"/>
    </row>
    <row r="206" spans="4:34" ht="20.100000000000001" customHeight="1" x14ac:dyDescent="0.25">
      <c r="D206" s="51" t="s">
        <v>184</v>
      </c>
      <c r="E206" s="51" t="s">
        <v>131</v>
      </c>
      <c r="F206" s="51" t="s">
        <v>130</v>
      </c>
      <c r="G206" s="51" t="s">
        <v>165</v>
      </c>
      <c r="H206" s="51" t="s">
        <v>166</v>
      </c>
      <c r="I206" s="51" t="s">
        <v>167</v>
      </c>
      <c r="J206" s="51" t="s">
        <v>168</v>
      </c>
      <c r="K206" s="51" t="s">
        <v>169</v>
      </c>
      <c r="L206" s="51" t="s">
        <v>170</v>
      </c>
      <c r="M206" s="51" t="s">
        <v>171</v>
      </c>
      <c r="N206" s="51" t="s">
        <v>172</v>
      </c>
      <c r="U206" s="52" t="str">
        <f>TEXT(EDATE('Input - Site'!$E$12,10), "mmmm yyyy")</f>
        <v>November 2024</v>
      </c>
      <c r="V206" s="52" cm="1">
        <f t="array" aca="1" ref="V206" ca="1">MMS_PastureBeef_Soil_N2ODirect_Equations.VEERG_4_2_1_3__3_NitrogenExcreted(V66,V174,W190,V146,V30)</f>
        <v>0.24344381993446509</v>
      </c>
      <c r="W206" s="52" cm="1">
        <f t="array" aca="1" ref="W206" ca="1">MMS_PastureBeef_Soil_N2ODirect_Equations.VEERG_4_2_1_3__3_NitrogenExcreted(W66,W174,X190,W146,W30)</f>
        <v>0.37708133734232585</v>
      </c>
      <c r="X206" s="52" cm="1">
        <f t="array" aca="1" ref="X206" ca="1">MMS_PastureBeef_Soil_N2ODirect_Equations.VEERG_4_2_1_3__3_NitrogenExcreted(X66,X174,Y190,X146,X30)</f>
        <v>0.18738546222332772</v>
      </c>
      <c r="Y206" s="52" cm="1">
        <f t="array" aca="1" ref="Y206" ca="1">MMS_PastureBeef_Soil_N2ODirect_Equations.VEERG_4_2_1_3__3_NitrogenExcreted(Y66,Y174,Z190,Y146,Y30)</f>
        <v>0.26903566847628974</v>
      </c>
      <c r="Z206" s="52" cm="1">
        <f t="array" aca="1" ref="Z206" ca="1">MMS_PastureBeef_Soil_N2ODirect_Equations.VEERG_4_2_1_3__3_NitrogenExcreted(Z66,Z174,AA190,Z146,Z30)</f>
        <v>0.30689114439091625</v>
      </c>
      <c r="AA206" s="52" cm="1">
        <f t="array" aca="1" ref="AA206" ca="1">MMS_PastureBeef_Soil_N2ODirect_Equations.VEERG_4_2_1_3__3_NitrogenExcreted(AA66,AA174,AB190,AA146,AA30)</f>
        <v>0.30689114439091625</v>
      </c>
      <c r="AB206" s="52" cm="1">
        <f t="array" aca="1" ref="AB206" ca="1">MMS_PastureBeef_Soil_N2ODirect_Equations.VEERG_4_2_1_3__3_NitrogenExcreted(AB66,AB174,AC190,AB146,AB30)</f>
        <v>0.21483586989835565</v>
      </c>
      <c r="AC206" s="52" cm="1">
        <f t="array" aca="1" ref="AC206" ca="1">MMS_PastureBeef_Soil_N2ODirect_Equations.VEERG_4_2_1_3__3_NitrogenExcreted(AC66,AC174,AD190,AC146,AC30)</f>
        <v>0.2934676863299529</v>
      </c>
      <c r="AD206" s="52" cm="1">
        <f t="array" aca="1" ref="AD206" ca="1">MMS_PastureBeef_Soil_N2ODirect_Equations.VEERG_4_2_1_3__3_NitrogenExcreted(AD66,AD174,AE190,AD146,AD30)</f>
        <v>0.2934676863299529</v>
      </c>
      <c r="AE206" s="52" cm="1">
        <f t="array" aca="1" ref="AE206" ca="1">MMS_PastureBeef_Soil_N2ODirect_Equations.VEERG_4_2_1_3__3_NitrogenExcreted(AE66,AE174,AF190,AE146,AE30)</f>
        <v>0.2934676863299529</v>
      </c>
      <c r="AF206" s="2" t="str">
        <f t="shared" si="9"/>
        <v>kg N/head/day</v>
      </c>
      <c r="AG206" s="2"/>
      <c r="AH206" s="2"/>
    </row>
    <row r="207" spans="4:34" ht="20.100000000000001" customHeight="1" x14ac:dyDescent="0.25">
      <c r="D207" s="52" t="s">
        <v>173</v>
      </c>
      <c r="E207" s="52" cm="1">
        <f t="array" aca="1" ref="E207" ca="1">MMS_PastureBeef_Soil_N2ODirect_Equations.VEERG_4_2_1_3__2_TotalNitrogenExcretedToPastureRangeAndPaddock(E191,E169,E199)</f>
        <v>2404.4969572154741</v>
      </c>
      <c r="F207" s="52" cm="1">
        <f t="array" aca="1" ref="F207" ca="1">MMS_PastureBeef_Soil_N2ODirect_Equations.VEERG_4_2_1_3__2_TotalNitrogenExcretedToPastureRangeAndPaddock(F191,F169,F199)</f>
        <v>3440.8672032487229</v>
      </c>
      <c r="G207" s="52" cm="1">
        <f t="array" aca="1" ref="G207" ca="1">MMS_PastureBeef_Soil_N2ODirect_Equations.VEERG_4_2_1_3__2_TotalNitrogenExcretedToPastureRangeAndPaddock(G191,G169,G199)</f>
        <v>1892.9644431013451</v>
      </c>
      <c r="H207" s="52" cm="1">
        <f t="array" aca="1" ref="H207" ca="1">MMS_PastureBeef_Soil_N2ODirect_Equations.VEERG_4_2_1_3__2_TotalNitrogenExcretedToPastureRangeAndPaddock(H191,H169,H199)</f>
        <v>2527.4513243321207</v>
      </c>
      <c r="I207" s="52" cm="1">
        <f t="array" aca="1" ref="I207" ca="1">MMS_PastureBeef_Soil_N2ODirect_Equations.VEERG_4_2_1_3__2_TotalNitrogenExcretedToPastureRangeAndPaddock(I191,I169,I199)</f>
        <v>3113.3367829114491</v>
      </c>
      <c r="J207" s="52" cm="1">
        <f t="array" aca="1" ref="J207" ca="1">MMS_PastureBeef_Soil_N2ODirect_Equations.VEERG_4_2_1_3__2_TotalNitrogenExcretedToPastureRangeAndPaddock(J191,J169,J199)</f>
        <v>3113.3367829114491</v>
      </c>
      <c r="K207" s="52" cm="1">
        <f t="array" aca="1" ref="K207" ca="1">MMS_PastureBeef_Soil_N2ODirect_Equations.VEERG_4_2_1_3__2_TotalNitrogenExcretedToPastureRangeAndPaddock(K191,K169,K199)</f>
        <v>2143.4494131359747</v>
      </c>
      <c r="L207" s="52" cm="1">
        <f t="array" aca="1" ref="L207" ca="1">MMS_PastureBeef_Soil_N2ODirect_Equations.VEERG_4_2_1_3__2_TotalNitrogenExcretedToPastureRangeAndPaddock(L191,L169,L199)</f>
        <v>2677.89263776082</v>
      </c>
      <c r="M207" s="52" cm="1">
        <f t="array" aca="1" ref="M207" ca="1">MMS_PastureBeef_Soil_N2ODirect_Equations.VEERG_4_2_1_3__2_TotalNitrogenExcretedToPastureRangeAndPaddock(M191,M169,M199)</f>
        <v>2677.89263776082</v>
      </c>
      <c r="N207" s="52" cm="1">
        <f t="array" aca="1" ref="N207" ca="1">MMS_PastureBeef_Soil_N2ODirect_Equations.VEERG_4_2_1_3__2_TotalNitrogenExcretedToPastureRangeAndPaddock(N191,N169,N199)</f>
        <v>2677.89263776082</v>
      </c>
      <c r="O207" s="2" t="str">
        <f>$E$182</f>
        <v>kg N</v>
      </c>
      <c r="U207" s="52" t="str">
        <f>TEXT(EDATE('Input - Site'!$E$12,11), "mmmm yyyy")</f>
        <v>December 2024</v>
      </c>
      <c r="V207" s="52" cm="1">
        <f t="array" aca="1" ref="V207" ca="1">MMS_PastureBeef_Soil_N2ODirect_Equations.VEERG_4_2_1_3__3_NitrogenExcreted(V67,V175,W191,V147,V31)</f>
        <v>9.3275223802458812E-2</v>
      </c>
      <c r="W207" s="52" cm="1">
        <f t="array" aca="1" ref="W207" ca="1">MMS_PastureBeef_Soil_N2ODirect_Equations.VEERG_4_2_1_3__3_NitrogenExcreted(W67,W175,X191,W147,W31)</f>
        <v>0.13601872675007995</v>
      </c>
      <c r="X207" s="52" cm="1">
        <f t="array" aca="1" ref="X207" ca="1">MMS_PastureBeef_Soil_N2ODirect_Equations.VEERG_4_2_1_3__3_NitrogenExcreted(X67,X175,Y191,X147,X31)</f>
        <v>7.7811027960341214E-2</v>
      </c>
      <c r="Y207" s="52" cm="1">
        <f t="array" aca="1" ref="Y207" ca="1">MMS_PastureBeef_Soil_N2ODirect_Equations.VEERG_4_2_1_3__3_NitrogenExcreted(Y67,Y175,Z191,Y147,Y31)</f>
        <v>0.10103589494585365</v>
      </c>
      <c r="Z207" s="52" cm="1">
        <f t="array" aca="1" ref="Z207" ca="1">MMS_PastureBeef_Soil_N2ODirect_Equations.VEERG_4_2_1_3__3_NitrogenExcreted(Z67,Z175,AA191,Z147,Z31)</f>
        <v>0.10613051058639233</v>
      </c>
      <c r="AA207" s="52" cm="1">
        <f t="array" aca="1" ref="AA207" ca="1">MMS_PastureBeef_Soil_N2ODirect_Equations.VEERG_4_2_1_3__3_NitrogenExcreted(AA67,AA175,AB191,AA147,AA31)</f>
        <v>0.10613051058639233</v>
      </c>
      <c r="AB207" s="52" cm="1">
        <f t="array" aca="1" ref="AB207" ca="1">MMS_PastureBeef_Soil_N2ODirect_Equations.VEERG_4_2_1_3__3_NitrogenExcreted(AB67,AB175,AC191,AB147,AB31)</f>
        <v>8.562550571362422E-2</v>
      </c>
      <c r="AC207" s="52" cm="1">
        <f t="array" aca="1" ref="AC207" ca="1">MMS_PastureBeef_Soil_N2ODirect_Equations.VEERG_4_2_1_3__3_NitrogenExcreted(AC67,AC175,AD191,AC147,AC31)</f>
        <v>0.1054491491748196</v>
      </c>
      <c r="AD207" s="52" cm="1">
        <f t="array" aca="1" ref="AD207" ca="1">MMS_PastureBeef_Soil_N2ODirect_Equations.VEERG_4_2_1_3__3_NitrogenExcreted(AD67,AD175,AE191,AD147,AD31)</f>
        <v>0.1054491491748196</v>
      </c>
      <c r="AE207" s="52" cm="1">
        <f t="array" aca="1" ref="AE207" ca="1">MMS_PastureBeef_Soil_N2ODirect_Equations.VEERG_4_2_1_3__3_NitrogenExcreted(AE67,AE175,AF191,AE147,AE31)</f>
        <v>0.1054491491748196</v>
      </c>
      <c r="AF207" s="2" t="str">
        <f t="shared" si="9"/>
        <v>kg N/head/day</v>
      </c>
      <c r="AG207" s="2"/>
      <c r="AH207" s="2"/>
    </row>
    <row r="208" spans="4:34" ht="20.100000000000001" customHeight="1" x14ac:dyDescent="0.25">
      <c r="D208" s="52" t="s">
        <v>174</v>
      </c>
      <c r="E208" s="52" cm="1">
        <f t="array" aca="1" ref="E208" ca="1">MMS_PastureBeef_Soil_N2ODirect_Equations.VEERG_4_2_1_3__2_TotalNitrogenExcretedToPastureRangeAndPaddock(E192,E170,E200)</f>
        <v>851.13641719743669</v>
      </c>
      <c r="F208" s="52" cm="1">
        <f t="array" aca="1" ref="F208" ca="1">MMS_PastureBeef_Soil_N2ODirect_Equations.VEERG_4_2_1_3__2_TotalNitrogenExcretedToPastureRangeAndPaddock(F192,F170,F200)</f>
        <v>1241.1708815944794</v>
      </c>
      <c r="G208" s="52" cm="1">
        <f t="array" aca="1" ref="G208" ca="1">MMS_PastureBeef_Soil_N2ODirect_Equations.VEERG_4_2_1_3__2_TotalNitrogenExcretedToPastureRangeAndPaddock(G192,G170,G200)</f>
        <v>710.02563013811357</v>
      </c>
      <c r="H208" s="52" cm="1">
        <f t="array" aca="1" ref="H208" ca="1">MMS_PastureBeef_Soil_N2ODirect_Equations.VEERG_4_2_1_3__2_TotalNitrogenExcretedToPastureRangeAndPaddock(H192,H170,H200)</f>
        <v>1023.0498901377973</v>
      </c>
      <c r="I208" s="52" cm="1">
        <f t="array" aca="1" ref="I208" ca="1">MMS_PastureBeef_Soil_N2ODirect_Equations.VEERG_4_2_1_3__2_TotalNitrogenExcretedToPastureRangeAndPaddock(I192,I170,I200)</f>
        <v>1069.9084532895147</v>
      </c>
      <c r="J208" s="52" cm="1">
        <f t="array" aca="1" ref="J208" ca="1">MMS_PastureBeef_Soil_N2ODirect_Equations.VEERG_4_2_1_3__2_TotalNitrogenExcretedToPastureRangeAndPaddock(J192,J170,J200)</f>
        <v>1069.9084532895147</v>
      </c>
      <c r="K208" s="52" cm="1">
        <f t="array" aca="1" ref="K208" ca="1">MMS_PastureBeef_Soil_N2ODirect_Equations.VEERG_4_2_1_3__2_TotalNitrogenExcretedToPastureRangeAndPaddock(K192,K170,K200)</f>
        <v>781.33273963682097</v>
      </c>
      <c r="L208" s="52" cm="1">
        <f t="array" aca="1" ref="L208" ca="1">MMS_PastureBeef_Soil_N2ODirect_Equations.VEERG_4_2_1_3__2_TotalNitrogenExcretedToPastureRangeAndPaddock(L192,L170,L200)</f>
        <v>962.22348622022878</v>
      </c>
      <c r="M208" s="52" cm="1">
        <f t="array" aca="1" ref="M208" ca="1">MMS_PastureBeef_Soil_N2ODirect_Equations.VEERG_4_2_1_3__2_TotalNitrogenExcretedToPastureRangeAndPaddock(M192,M170,M200)</f>
        <v>962.22348622022878</v>
      </c>
      <c r="N208" s="52" cm="1">
        <f t="array" aca="1" ref="N208" ca="1">MMS_PastureBeef_Soil_N2ODirect_Equations.VEERG_4_2_1_3__2_TotalNitrogenExcretedToPastureRangeAndPaddock(N192,N170,N200)</f>
        <v>962.22348622022878</v>
      </c>
      <c r="O208" s="2" t="str">
        <f>$E$182</f>
        <v>kg N</v>
      </c>
    </row>
    <row r="209" spans="3:35" ht="20.100000000000001" customHeight="1" x14ac:dyDescent="0.25">
      <c r="D209" s="52" t="s">
        <v>175</v>
      </c>
      <c r="E209" s="52" cm="1">
        <f t="array" aca="1" ref="E209" ca="1">MMS_PastureBeef_Soil_N2ODirect_Equations.VEERG_4_2_1_3__2_TotalNitrogenExcretedToPastureRangeAndPaddock(E193,E171,E201)</f>
        <v>123.10161007572114</v>
      </c>
      <c r="F209" s="52" cm="1">
        <f t="array" aca="1" ref="F209" ca="1">MMS_PastureBeef_Soil_N2ODirect_Equations.VEERG_4_2_1_3__2_TotalNitrogenExcretedToPastureRangeAndPaddock(F193,F171,F201)</f>
        <v>804.21384066168707</v>
      </c>
      <c r="G209" s="52" cm="1">
        <f t="array" aca="1" ref="G209" ca="1">MMS_PastureBeef_Soil_N2ODirect_Equations.VEERG_4_2_1_3__2_TotalNitrogenExcretedToPastureRangeAndPaddock(G193,G171,G201)</f>
        <v>100.39232657604052</v>
      </c>
      <c r="H209" s="52" cm="1">
        <f t="array" aca="1" ref="H209" ca="1">MMS_PastureBeef_Soil_N2ODirect_Equations.VEERG_4_2_1_3__2_TotalNitrogenExcretedToPastureRangeAndPaddock(H193,H171,H201)</f>
        <v>482.73952559655532</v>
      </c>
      <c r="I209" s="52" cm="1">
        <f t="array" aca="1" ref="I209" ca="1">MMS_PastureBeef_Soil_N2ODirect_Equations.VEERG_4_2_1_3__2_TotalNitrogenExcretedToPastureRangeAndPaddock(I193,I171,I201)</f>
        <v>631.31388409405702</v>
      </c>
      <c r="J209" s="52" cm="1">
        <f t="array" aca="1" ref="J209" ca="1">MMS_PastureBeef_Soil_N2ODirect_Equations.VEERG_4_2_1_3__2_TotalNitrogenExcretedToPastureRangeAndPaddock(J193,J171,J201)</f>
        <v>631.31388409405702</v>
      </c>
      <c r="K209" s="52" cm="1">
        <f t="array" aca="1" ref="K209" ca="1">MMS_PastureBeef_Soil_N2ODirect_Equations.VEERG_4_2_1_3__2_TotalNitrogenExcretedToPastureRangeAndPaddock(K193,K171,K201)</f>
        <v>125.30073899449563</v>
      </c>
      <c r="L209" s="52" cm="1">
        <f t="array" aca="1" ref="L209" ca="1">MMS_PastureBeef_Soil_N2ODirect_Equations.VEERG_4_2_1_3__2_TotalNitrogenExcretedToPastureRangeAndPaddock(L193,L171,L201)</f>
        <v>503.71901071132157</v>
      </c>
      <c r="M209" s="52" cm="1">
        <f t="array" aca="1" ref="M209" ca="1">MMS_PastureBeef_Soil_N2ODirect_Equations.VEERG_4_2_1_3__2_TotalNitrogenExcretedToPastureRangeAndPaddock(M193,M171,M201)</f>
        <v>503.71901071132157</v>
      </c>
      <c r="N209" s="52" cm="1">
        <f t="array" aca="1" ref="N209" ca="1">MMS_PastureBeef_Soil_N2ODirect_Equations.VEERG_4_2_1_3__2_TotalNitrogenExcretedToPastureRangeAndPaddock(N193,N171,N201)</f>
        <v>503.71901071132157</v>
      </c>
      <c r="O209" s="2" t="str">
        <f>$E$182</f>
        <v>kg N</v>
      </c>
    </row>
    <row r="210" spans="3:35" ht="20.100000000000001" customHeight="1" x14ac:dyDescent="0.25">
      <c r="D210" s="52" t="s">
        <v>176</v>
      </c>
      <c r="E210" s="52" cm="1">
        <f t="array" aca="1" ref="E210" ca="1">MMS_PastureBeef_Soil_N2ODirect_Equations.VEERG_4_2_1_3__2_TotalNitrogenExcretedToPastureRangeAndPaddock(E194,E172,E202)</f>
        <v>1531.3704733611453</v>
      </c>
      <c r="F210" s="52" cm="1">
        <f t="array" aca="1" ref="F210" ca="1">MMS_PastureBeef_Soil_N2ODirect_Equations.VEERG_4_2_1_3__2_TotalNitrogenExcretedToPastureRangeAndPaddock(F194,F172,F202)</f>
        <v>2867.5624150497624</v>
      </c>
      <c r="G210" s="52" cm="1">
        <f t="array" aca="1" ref="G210" ca="1">MMS_PastureBeef_Soil_N2ODirect_Equations.VEERG_4_2_1_3__2_TotalNitrogenExcretedToPastureRangeAndPaddock(G194,G172,G202)</f>
        <v>1317.647528839871</v>
      </c>
      <c r="H210" s="52" cm="1">
        <f t="array" aca="1" ref="H210" ca="1">MMS_PastureBeef_Soil_N2ODirect_Equations.VEERG_4_2_1_3__2_TotalNitrogenExcretedToPastureRangeAndPaddock(H194,H172,H202)</f>
        <v>1874.1217358723854</v>
      </c>
      <c r="I210" s="52" cm="1">
        <f t="array" aca="1" ref="I210" ca="1">MMS_PastureBeef_Soil_N2ODirect_Equations.VEERG_4_2_1_3__2_TotalNitrogenExcretedToPastureRangeAndPaddock(I194,I172,I202)</f>
        <v>2504.6469881356957</v>
      </c>
      <c r="J210" s="52" cm="1">
        <f t="array" aca="1" ref="J210" ca="1">MMS_PastureBeef_Soil_N2ODirect_Equations.VEERG_4_2_1_3__2_TotalNitrogenExcretedToPastureRangeAndPaddock(J194,J172,J202)</f>
        <v>2504.6469881356957</v>
      </c>
      <c r="K210" s="52" cm="1">
        <f t="array" aca="1" ref="K210" ca="1">MMS_PastureBeef_Soil_N2ODirect_Equations.VEERG_4_2_1_3__2_TotalNitrogenExcretedToPastureRangeAndPaddock(K194,K172,K202)</f>
        <v>1404.3728553433427</v>
      </c>
      <c r="L210" s="52" cm="1">
        <f t="array" aca="1" ref="L210" ca="1">MMS_PastureBeef_Soil_N2ODirect_Equations.VEERG_4_2_1_3__2_TotalNitrogenExcretedToPastureRangeAndPaddock(L194,L172,L202)</f>
        <v>1924.5546037738959</v>
      </c>
      <c r="M210" s="52" cm="1">
        <f t="array" aca="1" ref="M210" ca="1">MMS_PastureBeef_Soil_N2ODirect_Equations.VEERG_4_2_1_3__2_TotalNitrogenExcretedToPastureRangeAndPaddock(M194,M172,M202)</f>
        <v>1924.5546037738959</v>
      </c>
      <c r="N210" s="52" cm="1">
        <f t="array" aca="1" ref="N210" ca="1">MMS_PastureBeef_Soil_N2ODirect_Equations.VEERG_4_2_1_3__2_TotalNitrogenExcretedToPastureRangeAndPaddock(N194,N172,N202)</f>
        <v>1924.5546037738959</v>
      </c>
      <c r="O210" s="2" t="str">
        <f>$E$182</f>
        <v>kg N</v>
      </c>
      <c r="T210" s="45"/>
      <c r="U210" s="45"/>
      <c r="V210" s="45"/>
      <c r="W210" s="45"/>
      <c r="X210" s="45"/>
      <c r="Y210" s="45"/>
      <c r="Z210" s="45"/>
      <c r="AA210" s="45"/>
      <c r="AB210" s="45"/>
      <c r="AC210" s="45"/>
      <c r="AD210" s="45"/>
      <c r="AE210" s="45"/>
      <c r="AF210" s="45"/>
      <c r="AG210" s="45"/>
      <c r="AH210" s="45"/>
      <c r="AI210" s="45"/>
    </row>
    <row r="211" spans="3:35" ht="20.100000000000001" customHeight="1" x14ac:dyDescent="0.25">
      <c r="U211" s="6" t="str" cm="1">
        <f t="array" ref="U211">MMS_PastureBeef_Soil_N2ODirect_Equations.VEERG_4_2_1_3__2_TotalNitrogenExcretedToPastureRangeAndPaddock_Title()</f>
        <v>Total nitrogen excreted to pasture, range and paddock</v>
      </c>
    </row>
    <row r="212" spans="3:35" ht="20.100000000000001" customHeight="1" x14ac:dyDescent="0.25">
      <c r="D212" s="111" t="s">
        <v>300</v>
      </c>
      <c r="E212" s="45">
        <f ca="1">SUM(E207:N210)</f>
        <v>60490.349382369524</v>
      </c>
      <c r="F212" s="103" t="str">
        <f>E182</f>
        <v>kg N</v>
      </c>
    </row>
    <row r="213" spans="3:35" ht="20.100000000000001" customHeight="1" x14ac:dyDescent="0.25">
      <c r="U213" s="98" t="s">
        <v>279</v>
      </c>
    </row>
    <row r="214" spans="3:35" ht="20.100000000000001" customHeight="1" x14ac:dyDescent="0.25">
      <c r="U214" s="97" t="s">
        <v>280</v>
      </c>
    </row>
    <row r="215" spans="3:35" ht="20.100000000000001" customHeight="1" x14ac:dyDescent="0.25">
      <c r="C215" s="45"/>
      <c r="D215" s="45"/>
      <c r="E215" s="45"/>
      <c r="F215" s="45"/>
      <c r="G215" s="45"/>
      <c r="H215" s="45"/>
      <c r="I215" s="45"/>
      <c r="J215" s="45"/>
      <c r="K215" s="45"/>
      <c r="L215" s="45"/>
      <c r="M215" s="45"/>
      <c r="N215" s="45"/>
      <c r="O215" s="45"/>
      <c r="P215" s="45"/>
      <c r="Q215" s="45"/>
      <c r="R215" s="45"/>
      <c r="U215" s="51" t="s">
        <v>132</v>
      </c>
      <c r="V215" s="122" t="s">
        <v>131</v>
      </c>
      <c r="W215" s="122" t="s">
        <v>130</v>
      </c>
      <c r="X215" s="122" t="s">
        <v>165</v>
      </c>
      <c r="Y215" s="122" t="s">
        <v>166</v>
      </c>
      <c r="Z215" s="122" t="s">
        <v>167</v>
      </c>
      <c r="AA215" s="122" t="s">
        <v>168</v>
      </c>
      <c r="AB215" s="122" t="s">
        <v>169</v>
      </c>
      <c r="AC215" s="122" t="s">
        <v>170</v>
      </c>
      <c r="AD215" s="122" t="s">
        <v>171</v>
      </c>
      <c r="AE215" s="122" t="s">
        <v>172</v>
      </c>
    </row>
    <row r="216" spans="3:35" ht="20.100000000000001" customHeight="1" x14ac:dyDescent="0.25">
      <c r="D216" s="6" t="str" cm="1">
        <f t="array" ref="D216">MMS_PastureBeef_Soil_N2ODirect_Equations.VEERG_4_2_1_3__1_DirectNitrousOxideEmissionsOnPasture_Title()</f>
        <v>Total annual direct nitrous oxide emissions from agricultural soils from deposition of urine and dung</v>
      </c>
      <c r="U216" s="52" t="str">
        <f>TEXT('Input - Site'!$E$12, "mmmm yyyy")</f>
        <v>January 2024</v>
      </c>
      <c r="V216" s="52" cm="1">
        <f t="array" aca="1" ref="V216:AE227" ca="1">OFFSET(X_Table_PastureBeef_Head_Method2, 1,1, 12,10)</f>
        <v>100</v>
      </c>
      <c r="W216" s="52">
        <f ca="1"/>
        <v>100</v>
      </c>
      <c r="X216" s="52">
        <f ca="1"/>
        <v>100</v>
      </c>
      <c r="Y216" s="52">
        <f ca="1"/>
        <v>100</v>
      </c>
      <c r="Z216" s="52">
        <f ca="1"/>
        <v>100</v>
      </c>
      <c r="AA216" s="52">
        <f ca="1"/>
        <v>100</v>
      </c>
      <c r="AB216" s="52">
        <f ca="1"/>
        <v>100</v>
      </c>
      <c r="AC216" s="52">
        <f ca="1"/>
        <v>100</v>
      </c>
      <c r="AD216" s="52">
        <f ca="1"/>
        <v>100</v>
      </c>
      <c r="AE216" s="52">
        <f ca="1"/>
        <v>100</v>
      </c>
      <c r="AF216" s="2" t="s">
        <v>102</v>
      </c>
      <c r="AG216" s="2"/>
      <c r="AH216" s="2"/>
    </row>
    <row r="217" spans="3:35" ht="20.100000000000001" customHeight="1" x14ac:dyDescent="0.25">
      <c r="D217" s="5" t="str" cm="1">
        <f t="array" ref="D217">MMS_PastureBeef_Soil_N2ODirect_Equations.VEERG_4_2_1_3__1_DirectNitrousOxideEmissionsOnPasture_Source()</f>
        <v>VEERG 2026: 4.2.1.3, Equation (1)</v>
      </c>
      <c r="U217" s="52" t="str">
        <f>TEXT(EDATE('Input - Site'!$E$12,1), "mmmm yyyy")</f>
        <v>February 2024</v>
      </c>
      <c r="V217" s="52">
        <f ca="1"/>
        <v>100</v>
      </c>
      <c r="W217" s="52">
        <f ca="1"/>
        <v>100</v>
      </c>
      <c r="X217" s="52">
        <f ca="1"/>
        <v>100</v>
      </c>
      <c r="Y217" s="52">
        <f ca="1"/>
        <v>100</v>
      </c>
      <c r="Z217" s="52">
        <f ca="1"/>
        <v>100</v>
      </c>
      <c r="AA217" s="52">
        <f ca="1"/>
        <v>100</v>
      </c>
      <c r="AB217" s="52">
        <f ca="1"/>
        <v>100</v>
      </c>
      <c r="AC217" s="52">
        <f ca="1"/>
        <v>100</v>
      </c>
      <c r="AD217" s="52">
        <f ca="1"/>
        <v>100</v>
      </c>
      <c r="AE217" s="52">
        <f ca="1"/>
        <v>100</v>
      </c>
      <c r="AF217" s="2" t="s">
        <v>102</v>
      </c>
      <c r="AG217" s="2"/>
      <c r="AH217" s="2"/>
    </row>
    <row r="218" spans="3:35" ht="20.100000000000001" customHeight="1" x14ac:dyDescent="0.25">
      <c r="D218" s="13" t="s">
        <v>27</v>
      </c>
      <c r="E218" s="13" t="str" cm="1">
        <f t="array" aca="1" ref="E218" ca="1">Common_InputFunctions.Utility_DisplayFunctionName(E229)</f>
        <v>=MMS_PastureBeef_Soil_N2ODirect_Equations.VEERG_4_2_1_3__1_DirectNitrousOxideEmissionsOnPasture</v>
      </c>
      <c r="U218" s="52" t="str">
        <f>TEXT(EDATE('Input - Site'!$E$12,2), "mmmm yyyy")</f>
        <v>March 2024</v>
      </c>
      <c r="V218" s="52">
        <f ca="1"/>
        <v>100</v>
      </c>
      <c r="W218" s="52">
        <f ca="1"/>
        <v>100</v>
      </c>
      <c r="X218" s="52">
        <f ca="1"/>
        <v>100</v>
      </c>
      <c r="Y218" s="52">
        <f ca="1"/>
        <v>100</v>
      </c>
      <c r="Z218" s="52">
        <f ca="1"/>
        <v>100</v>
      </c>
      <c r="AA218" s="52">
        <f ca="1"/>
        <v>100</v>
      </c>
      <c r="AB218" s="52">
        <f ca="1"/>
        <v>100</v>
      </c>
      <c r="AC218" s="52">
        <f ca="1"/>
        <v>100</v>
      </c>
      <c r="AD218" s="52">
        <f ca="1"/>
        <v>100</v>
      </c>
      <c r="AE218" s="52">
        <f ca="1"/>
        <v>100</v>
      </c>
      <c r="AF218" s="2" t="s">
        <v>102</v>
      </c>
      <c r="AG218" s="2"/>
      <c r="AH218" s="2"/>
    </row>
    <row r="219" spans="3:35" ht="20.100000000000001" customHeight="1" x14ac:dyDescent="0.25">
      <c r="U219" s="52" t="str">
        <f>TEXT(EDATE('Input - Site'!$E$12,3), "mmmm yyyy")</f>
        <v>April 2024</v>
      </c>
      <c r="V219" s="52">
        <f ca="1"/>
        <v>100</v>
      </c>
      <c r="W219" s="52">
        <f ca="1"/>
        <v>100</v>
      </c>
      <c r="X219" s="52">
        <f ca="1"/>
        <v>100</v>
      </c>
      <c r="Y219" s="52">
        <f ca="1"/>
        <v>100</v>
      </c>
      <c r="Z219" s="52">
        <f ca="1"/>
        <v>100</v>
      </c>
      <c r="AA219" s="52">
        <f ca="1"/>
        <v>100</v>
      </c>
      <c r="AB219" s="52">
        <f ca="1"/>
        <v>100</v>
      </c>
      <c r="AC219" s="52">
        <f ca="1"/>
        <v>100</v>
      </c>
      <c r="AD219" s="52">
        <f ca="1"/>
        <v>100</v>
      </c>
      <c r="AE219" s="52">
        <f ca="1"/>
        <v>100</v>
      </c>
      <c r="AF219" s="2" t="s">
        <v>102</v>
      </c>
      <c r="AG219" s="2"/>
      <c r="AH219" s="2"/>
    </row>
    <row r="220" spans="3:35" ht="20.100000000000001" customHeight="1" x14ac:dyDescent="0.25">
      <c r="U220" s="52" t="str">
        <f>TEXT(EDATE('Input - Site'!$E$12,4), "mmmm yyyy")</f>
        <v>May 2024</v>
      </c>
      <c r="V220" s="52">
        <f ca="1"/>
        <v>100</v>
      </c>
      <c r="W220" s="52">
        <f ca="1"/>
        <v>100</v>
      </c>
      <c r="X220" s="52">
        <f ca="1"/>
        <v>100</v>
      </c>
      <c r="Y220" s="52">
        <f ca="1"/>
        <v>100</v>
      </c>
      <c r="Z220" s="52">
        <f ca="1"/>
        <v>100</v>
      </c>
      <c r="AA220" s="52">
        <f ca="1"/>
        <v>100</v>
      </c>
      <c r="AB220" s="52">
        <f ca="1"/>
        <v>100</v>
      </c>
      <c r="AC220" s="52">
        <f ca="1"/>
        <v>100</v>
      </c>
      <c r="AD220" s="52">
        <f ca="1"/>
        <v>100</v>
      </c>
      <c r="AE220" s="52">
        <f ca="1"/>
        <v>100</v>
      </c>
      <c r="AF220" s="2" t="s">
        <v>102</v>
      </c>
      <c r="AG220" s="2"/>
      <c r="AH220" s="2"/>
    </row>
    <row r="221" spans="3:35" ht="20.100000000000001" customHeight="1" x14ac:dyDescent="0.25">
      <c r="D221" s="53" t="s">
        <v>30</v>
      </c>
      <c r="E221" s="1" t="str" cm="1">
        <f t="array" ref="E221">MMS_PastureBeef_Soil_N2ODirect_Equations.VEERG_4_2_1_3__1_DirectNitrousOxideEmissionsOnPasture_Variable()</f>
        <v>E_N2Odir</v>
      </c>
      <c r="U221" s="52" t="str">
        <f>TEXT(EDATE('Input - Site'!$E$12,5), "mmmm yyyy")</f>
        <v>June 2024</v>
      </c>
      <c r="V221" s="52">
        <f ca="1"/>
        <v>100</v>
      </c>
      <c r="W221" s="52">
        <f ca="1"/>
        <v>100</v>
      </c>
      <c r="X221" s="52">
        <f ca="1"/>
        <v>100</v>
      </c>
      <c r="Y221" s="52">
        <f ca="1"/>
        <v>100</v>
      </c>
      <c r="Z221" s="52">
        <f ca="1"/>
        <v>100</v>
      </c>
      <c r="AA221" s="52">
        <f ca="1"/>
        <v>100</v>
      </c>
      <c r="AB221" s="52">
        <f ca="1"/>
        <v>100</v>
      </c>
      <c r="AC221" s="52">
        <f ca="1"/>
        <v>100</v>
      </c>
      <c r="AD221" s="52">
        <f ca="1"/>
        <v>100</v>
      </c>
      <c r="AE221" s="52">
        <f ca="1"/>
        <v>100</v>
      </c>
      <c r="AF221" s="2" t="s">
        <v>102</v>
      </c>
      <c r="AG221" s="2"/>
      <c r="AH221" s="2"/>
    </row>
    <row r="222" spans="3:35" ht="20.100000000000001" customHeight="1" x14ac:dyDescent="0.25">
      <c r="D222" s="53" t="s">
        <v>20</v>
      </c>
      <c r="E222" s="54" t="str" cm="1">
        <f t="array" ref="E222">MMS_PastureBeef_Soil_N2ODirect_Equations.VEERG_4_2_1_3__1_DirectNitrousOxideEmissionsOnPasture_Unit()</f>
        <v>t N2O</v>
      </c>
      <c r="U222" s="52" t="str">
        <f>TEXT(EDATE('Input - Site'!$E$12,6), "mmmm yyyy")</f>
        <v>July 2024</v>
      </c>
      <c r="V222" s="52">
        <f ca="1"/>
        <v>100</v>
      </c>
      <c r="W222" s="52">
        <f ca="1"/>
        <v>100</v>
      </c>
      <c r="X222" s="52">
        <f ca="1"/>
        <v>100</v>
      </c>
      <c r="Y222" s="52">
        <f ca="1"/>
        <v>100</v>
      </c>
      <c r="Z222" s="52">
        <f ca="1"/>
        <v>100</v>
      </c>
      <c r="AA222" s="52">
        <f ca="1"/>
        <v>100</v>
      </c>
      <c r="AB222" s="52">
        <f ca="1"/>
        <v>100</v>
      </c>
      <c r="AC222" s="52">
        <f ca="1"/>
        <v>100</v>
      </c>
      <c r="AD222" s="52">
        <f ca="1"/>
        <v>100</v>
      </c>
      <c r="AE222" s="52">
        <f ca="1"/>
        <v>100</v>
      </c>
      <c r="AF222" s="2" t="s">
        <v>102</v>
      </c>
      <c r="AG222" s="2"/>
      <c r="AH222" s="2"/>
    </row>
    <row r="223" spans="3:35" ht="20.100000000000001" customHeight="1" x14ac:dyDescent="0.25">
      <c r="U223" s="52" t="str">
        <f>TEXT(EDATE('Input - Site'!$E$12,7), "mmmm yyyy")</f>
        <v>August 2024</v>
      </c>
      <c r="V223" s="52">
        <f ca="1"/>
        <v>100</v>
      </c>
      <c r="W223" s="52">
        <f ca="1"/>
        <v>100</v>
      </c>
      <c r="X223" s="52">
        <f ca="1"/>
        <v>100</v>
      </c>
      <c r="Y223" s="52">
        <f ca="1"/>
        <v>100</v>
      </c>
      <c r="Z223" s="52">
        <f ca="1"/>
        <v>100</v>
      </c>
      <c r="AA223" s="52">
        <f ca="1"/>
        <v>100</v>
      </c>
      <c r="AB223" s="52">
        <f ca="1"/>
        <v>100</v>
      </c>
      <c r="AC223" s="52">
        <f ca="1"/>
        <v>100</v>
      </c>
      <c r="AD223" s="52">
        <f ca="1"/>
        <v>100</v>
      </c>
      <c r="AE223" s="52">
        <f ca="1"/>
        <v>100</v>
      </c>
      <c r="AF223" s="2" t="s">
        <v>102</v>
      </c>
      <c r="AG223" s="2"/>
      <c r="AH223" s="2"/>
    </row>
    <row r="224" spans="3:35" ht="20.100000000000001" customHeight="1" x14ac:dyDescent="0.25">
      <c r="D224" s="106" t="str" cm="1">
        <f t="array" ref="D224:G227">MMS_PastureBeef_Soil_N2ODirect_Equations.VEERG_4_2_1_3__1_DirectNitrousOxideEmissionsOnPasture_Arguments()</f>
        <v>AE</v>
      </c>
      <c r="E224" s="108" t="str">
        <v>total mass of nitrogen excreted on PRP for beef cattle</v>
      </c>
      <c r="F224" s="115" t="str">
        <v>kg N</v>
      </c>
      <c r="G224" s="107" t="str">
        <v>Calculated from 4.2.1.3 (2)</v>
      </c>
      <c r="H224" s="106" t="str">
        <f>"See " &amp; D204</f>
        <v>See M1_Table_AE</v>
      </c>
      <c r="U224" s="52" t="str">
        <f>TEXT(EDATE('Input - Site'!$E$12,8), "mmmm yyyy")</f>
        <v>September 2024</v>
      </c>
      <c r="V224" s="52">
        <f ca="1"/>
        <v>100</v>
      </c>
      <c r="W224" s="52">
        <f ca="1"/>
        <v>100</v>
      </c>
      <c r="X224" s="52">
        <f ca="1"/>
        <v>100</v>
      </c>
      <c r="Y224" s="52">
        <f ca="1"/>
        <v>100</v>
      </c>
      <c r="Z224" s="52">
        <f ca="1"/>
        <v>100</v>
      </c>
      <c r="AA224" s="52">
        <f ca="1"/>
        <v>100</v>
      </c>
      <c r="AB224" s="52">
        <f ca="1"/>
        <v>100</v>
      </c>
      <c r="AC224" s="52">
        <f ca="1"/>
        <v>100</v>
      </c>
      <c r="AD224" s="52">
        <f ca="1"/>
        <v>100</v>
      </c>
      <c r="AE224" s="52">
        <f ca="1"/>
        <v>100</v>
      </c>
      <c r="AF224" s="2" t="s">
        <v>102</v>
      </c>
      <c r="AG224" s="2"/>
      <c r="AH224" s="2"/>
    </row>
    <row r="225" spans="4:34" ht="20.100000000000001" customHeight="1" x14ac:dyDescent="0.25">
      <c r="D225" s="106" t="str">
        <v>EF_PRP</v>
      </c>
      <c r="E225" s="108" t="str">
        <v>emission factor for nitrous oxide from urine and dung deposited to soil</v>
      </c>
      <c r="F225" s="115" t="str">
        <v>kg N2O-N/kg N deposited</v>
      </c>
      <c r="G225" s="107" t="str">
        <v>Constant</v>
      </c>
      <c r="H225" s="57">
        <f>_xlfn.XLOOKUP(H227,Table_SourceData_EFPastureRangeAndPaddock[Climate zone],Table_SourceData_EFPastureRangeAndPaddock[EFPRP])</f>
        <v>2E-3</v>
      </c>
      <c r="U225" s="52" t="str">
        <f>TEXT(EDATE('Input - Site'!$E$12,9), "mmmm yyyy")</f>
        <v>October 2024</v>
      </c>
      <c r="V225" s="52">
        <f ca="1"/>
        <v>100</v>
      </c>
      <c r="W225" s="52">
        <f ca="1"/>
        <v>100</v>
      </c>
      <c r="X225" s="52">
        <f ca="1"/>
        <v>100</v>
      </c>
      <c r="Y225" s="52">
        <f ca="1"/>
        <v>100</v>
      </c>
      <c r="Z225" s="52">
        <f ca="1"/>
        <v>100</v>
      </c>
      <c r="AA225" s="52">
        <f ca="1"/>
        <v>100</v>
      </c>
      <c r="AB225" s="52">
        <f ca="1"/>
        <v>100</v>
      </c>
      <c r="AC225" s="52">
        <f ca="1"/>
        <v>100</v>
      </c>
      <c r="AD225" s="52">
        <f ca="1"/>
        <v>100</v>
      </c>
      <c r="AE225" s="52">
        <f ca="1"/>
        <v>100</v>
      </c>
      <c r="AF225" s="2" t="s">
        <v>102</v>
      </c>
      <c r="AG225" s="2"/>
      <c r="AH225" s="2"/>
    </row>
    <row r="226" spans="4:34" ht="20.100000000000001" customHeight="1" x14ac:dyDescent="0.25">
      <c r="D226" s="106" t="str">
        <v>C_N2O</v>
      </c>
      <c r="E226" s="108" t="str">
        <v>factor to convert elemental mass of nitrous oxide to molecular mass</v>
      </c>
      <c r="F226" s="115" t="str">
        <v/>
      </c>
      <c r="G226" s="107" t="str">
        <v>Constant</v>
      </c>
      <c r="H226" s="57">
        <f>Common_InputFunctions.Utility_LookupValueInTableNumber("N2O",Table_GasToMolecularConversionFactor[Gas],Table_GasToMolecularConversionFactor[Conversion factor combined])</f>
        <v>1.5714285714285714</v>
      </c>
      <c r="U226" s="52" t="str">
        <f>TEXT(EDATE('Input - Site'!$E$12,10), "mmmm yyyy")</f>
        <v>November 2024</v>
      </c>
      <c r="V226" s="52">
        <f ca="1"/>
        <v>100</v>
      </c>
      <c r="W226" s="52">
        <f ca="1"/>
        <v>100</v>
      </c>
      <c r="X226" s="52">
        <f ca="1"/>
        <v>100</v>
      </c>
      <c r="Y226" s="52">
        <f ca="1"/>
        <v>100</v>
      </c>
      <c r="Z226" s="52">
        <f ca="1"/>
        <v>100</v>
      </c>
      <c r="AA226" s="52">
        <f ca="1"/>
        <v>100</v>
      </c>
      <c r="AB226" s="52">
        <f ca="1"/>
        <v>100</v>
      </c>
      <c r="AC226" s="52">
        <f ca="1"/>
        <v>100</v>
      </c>
      <c r="AD226" s="52">
        <f ca="1"/>
        <v>100</v>
      </c>
      <c r="AE226" s="52">
        <f ca="1"/>
        <v>100</v>
      </c>
      <c r="AF226" s="2" t="s">
        <v>102</v>
      </c>
      <c r="AG226" s="2"/>
      <c r="AH226" s="2"/>
    </row>
    <row r="227" spans="4:34" ht="20.100000000000001" customHeight="1" x14ac:dyDescent="0.25">
      <c r="D227" s="106" t="str">
        <v>z</v>
      </c>
      <c r="E227" s="108" t="str">
        <v>wet or dry climate zone</v>
      </c>
      <c r="F227" s="115" t="str">
        <v/>
      </c>
      <c r="G227" s="107" t="str">
        <v>Input</v>
      </c>
      <c r="H227" s="106" t="str">
        <f>'Input - Site'!$E$32</f>
        <v>Dry climate zone</v>
      </c>
      <c r="U227" s="52" t="str">
        <f>TEXT(EDATE('Input - Site'!$E$12,11), "mmmm yyyy")</f>
        <v>December 2024</v>
      </c>
      <c r="V227" s="52">
        <f ca="1"/>
        <v>100</v>
      </c>
      <c r="W227" s="52">
        <f ca="1"/>
        <v>100</v>
      </c>
      <c r="X227" s="52">
        <f ca="1"/>
        <v>100</v>
      </c>
      <c r="Y227" s="52">
        <f ca="1"/>
        <v>100</v>
      </c>
      <c r="Z227" s="52">
        <f ca="1"/>
        <v>100</v>
      </c>
      <c r="AA227" s="52">
        <f ca="1"/>
        <v>100</v>
      </c>
      <c r="AB227" s="52">
        <f ca="1"/>
        <v>100</v>
      </c>
      <c r="AC227" s="52">
        <f ca="1"/>
        <v>100</v>
      </c>
      <c r="AD227" s="52">
        <f ca="1"/>
        <v>100</v>
      </c>
      <c r="AE227" s="52">
        <f ca="1"/>
        <v>100</v>
      </c>
      <c r="AF227" s="2" t="s">
        <v>102</v>
      </c>
      <c r="AG227" s="2"/>
      <c r="AH227" s="2"/>
    </row>
    <row r="228" spans="4:34" ht="20.100000000000001" customHeight="1" x14ac:dyDescent="0.25"/>
    <row r="229" spans="4:34" ht="20.100000000000001" customHeight="1" x14ac:dyDescent="0.25">
      <c r="D229" s="99" t="s">
        <v>110</v>
      </c>
      <c r="E229" s="100" cm="1">
        <f t="array" aca="1" ref="E229" ca="1">MMS_PastureBeef_Soil_N2ODirect_Equations.VEERG_4_2_1_3__1_DirectNitrousOxideEmissionsOnPasture($E$212,$H$225,$H$226)</f>
        <v>0.19011252663030423</v>
      </c>
      <c r="F229" s="101" t="str">
        <f>$E$222</f>
        <v>t N2O</v>
      </c>
      <c r="U229" s="98" t="s">
        <v>149</v>
      </c>
    </row>
    <row r="230" spans="4:34" ht="20.100000000000001" customHeight="1" x14ac:dyDescent="0.25">
      <c r="U230" s="97" t="s">
        <v>281</v>
      </c>
    </row>
    <row r="231" spans="4:34" ht="20.100000000000001" customHeight="1" x14ac:dyDescent="0.25">
      <c r="D231" s="57" t="str" cm="1">
        <f t="array" ref="D231:E232">Common_Equations.Common_ConvertN2OToCO2e_Arguments()</f>
        <v>EN2O</v>
      </c>
      <c r="E231" s="58" t="str">
        <v>Nitrous oxide emissions (t N2O)</v>
      </c>
      <c r="F231" s="102"/>
      <c r="G231" s="52">
        <f ca="1">E229</f>
        <v>0.19011252663030423</v>
      </c>
      <c r="U231" s="51" t="s">
        <v>132</v>
      </c>
      <c r="V231" s="122" t="s">
        <v>131</v>
      </c>
      <c r="W231" s="122" t="s">
        <v>130</v>
      </c>
      <c r="X231" s="122" t="s">
        <v>165</v>
      </c>
      <c r="Y231" s="122" t="s">
        <v>166</v>
      </c>
      <c r="Z231" s="122" t="s">
        <v>167</v>
      </c>
      <c r="AA231" s="122" t="s">
        <v>168</v>
      </c>
      <c r="AB231" s="122" t="s">
        <v>169</v>
      </c>
      <c r="AC231" s="122" t="s">
        <v>170</v>
      </c>
      <c r="AD231" s="122" t="s">
        <v>171</v>
      </c>
      <c r="AE231" s="122" t="s">
        <v>172</v>
      </c>
    </row>
    <row r="232" spans="4:34" ht="20.100000000000001" customHeight="1" x14ac:dyDescent="0.25">
      <c r="D232" s="57" t="str">
        <v>GWPN2O</v>
      </c>
      <c r="E232" s="58" t="str">
        <v>Global warming potential for nitrous oxide (t CO2-e / t N2O)</v>
      </c>
      <c r="F232" s="102"/>
      <c r="G232" s="52">
        <f>Common_InputFunctions.Utility_LookupValueInTableNumber("N2O",Table_GWPData[Gas],Table_GWPData[CO2-e factor])</f>
        <v>265</v>
      </c>
      <c r="U232" s="52" t="str">
        <f>TEXT('Input - Site'!$E$12, "mmmm yyyy")</f>
        <v>January 2024</v>
      </c>
      <c r="V232" s="52" cm="1">
        <f t="array" aca="1" ref="V232:AE243" ca="1">OFFSET(X_Table_PastureBeef_Duration_Method2, 1,1, 12,10)</f>
        <v>31</v>
      </c>
      <c r="W232" s="52">
        <f ca="1"/>
        <v>31</v>
      </c>
      <c r="X232" s="52">
        <f ca="1"/>
        <v>31</v>
      </c>
      <c r="Y232" s="52">
        <f ca="1"/>
        <v>31</v>
      </c>
      <c r="Z232" s="52">
        <f ca="1"/>
        <v>31</v>
      </c>
      <c r="AA232" s="52">
        <f ca="1"/>
        <v>31</v>
      </c>
      <c r="AB232" s="52">
        <f ca="1"/>
        <v>31</v>
      </c>
      <c r="AC232" s="52">
        <f ca="1"/>
        <v>31</v>
      </c>
      <c r="AD232" s="52">
        <f ca="1"/>
        <v>31</v>
      </c>
      <c r="AE232" s="52">
        <f ca="1"/>
        <v>31</v>
      </c>
      <c r="AF232" s="2" t="s">
        <v>277</v>
      </c>
      <c r="AG232" s="2"/>
      <c r="AH232" s="2"/>
    </row>
    <row r="233" spans="4:34" ht="20.100000000000001" customHeight="1" x14ac:dyDescent="0.25">
      <c r="U233" s="52" t="str">
        <f>TEXT(EDATE('Input - Site'!$E$12,1), "mmmm yyyy")</f>
        <v>February 2024</v>
      </c>
      <c r="V233" s="52">
        <f ca="1"/>
        <v>29</v>
      </c>
      <c r="W233" s="52">
        <f ca="1"/>
        <v>29</v>
      </c>
      <c r="X233" s="52">
        <f ca="1"/>
        <v>29</v>
      </c>
      <c r="Y233" s="52">
        <f ca="1"/>
        <v>29</v>
      </c>
      <c r="Z233" s="52">
        <f ca="1"/>
        <v>29</v>
      </c>
      <c r="AA233" s="52">
        <f ca="1"/>
        <v>29</v>
      </c>
      <c r="AB233" s="52">
        <f ca="1"/>
        <v>29</v>
      </c>
      <c r="AC233" s="52">
        <f ca="1"/>
        <v>29</v>
      </c>
      <c r="AD233" s="52">
        <f ca="1"/>
        <v>29</v>
      </c>
      <c r="AE233" s="52">
        <f ca="1"/>
        <v>29</v>
      </c>
      <c r="AF233" s="2" t="s">
        <v>277</v>
      </c>
      <c r="AG233" s="2"/>
      <c r="AH233" s="2"/>
    </row>
    <row r="234" spans="4:34" ht="20.100000000000001" customHeight="1" x14ac:dyDescent="0.25">
      <c r="D234" s="45" t="s">
        <v>104</v>
      </c>
      <c r="E234" s="45" cm="1">
        <f t="array" aca="1" ref="E234" ca="1">Common_Equations.Common_ConvertN2OToCO2e(G231,G232)</f>
        <v>50.379819557030622</v>
      </c>
      <c r="F234" s="103" t="str" cm="1">
        <f t="array" ref="F234">Common_Equations.Common_ConvertN2OToCO2e_Unit()</f>
        <v>t CO2e</v>
      </c>
      <c r="U234" s="52" t="str">
        <f>TEXT(EDATE('Input - Site'!$E$12,2), "mmmm yyyy")</f>
        <v>March 2024</v>
      </c>
      <c r="V234" s="52">
        <f ca="1"/>
        <v>31</v>
      </c>
      <c r="W234" s="52">
        <f ca="1"/>
        <v>31</v>
      </c>
      <c r="X234" s="52">
        <f ca="1"/>
        <v>31</v>
      </c>
      <c r="Y234" s="52">
        <f ca="1"/>
        <v>31</v>
      </c>
      <c r="Z234" s="52">
        <f ca="1"/>
        <v>31</v>
      </c>
      <c r="AA234" s="52">
        <f ca="1"/>
        <v>31</v>
      </c>
      <c r="AB234" s="52">
        <f ca="1"/>
        <v>31</v>
      </c>
      <c r="AC234" s="52">
        <f ca="1"/>
        <v>31</v>
      </c>
      <c r="AD234" s="52">
        <f ca="1"/>
        <v>31</v>
      </c>
      <c r="AE234" s="52">
        <f ca="1"/>
        <v>31</v>
      </c>
      <c r="AF234" s="2" t="s">
        <v>277</v>
      </c>
      <c r="AG234" s="2"/>
      <c r="AH234" s="2"/>
    </row>
    <row r="235" spans="4:34" ht="20.100000000000001" customHeight="1" x14ac:dyDescent="0.25">
      <c r="U235" s="52" t="str">
        <f>TEXT(EDATE('Input - Site'!$E$12,3), "mmmm yyyy")</f>
        <v>April 2024</v>
      </c>
      <c r="V235" s="52">
        <f ca="1"/>
        <v>30</v>
      </c>
      <c r="W235" s="52">
        <f ca="1"/>
        <v>30</v>
      </c>
      <c r="X235" s="52">
        <f ca="1"/>
        <v>30</v>
      </c>
      <c r="Y235" s="52">
        <f ca="1"/>
        <v>30</v>
      </c>
      <c r="Z235" s="52">
        <f ca="1"/>
        <v>30</v>
      </c>
      <c r="AA235" s="52">
        <f ca="1"/>
        <v>30</v>
      </c>
      <c r="AB235" s="52">
        <f ca="1"/>
        <v>30</v>
      </c>
      <c r="AC235" s="52">
        <f ca="1"/>
        <v>30</v>
      </c>
      <c r="AD235" s="52">
        <f ca="1"/>
        <v>30</v>
      </c>
      <c r="AE235" s="52">
        <f ca="1"/>
        <v>30</v>
      </c>
      <c r="AF235" s="2" t="s">
        <v>277</v>
      </c>
      <c r="AG235" s="2"/>
      <c r="AH235" s="2"/>
    </row>
    <row r="236" spans="4:34" ht="20.100000000000001" customHeight="1" x14ac:dyDescent="0.25">
      <c r="U236" s="52" t="str">
        <f>TEXT(EDATE('Input - Site'!$E$12,4), "mmmm yyyy")</f>
        <v>May 2024</v>
      </c>
      <c r="V236" s="52">
        <f ca="1"/>
        <v>31</v>
      </c>
      <c r="W236" s="52">
        <f ca="1"/>
        <v>31</v>
      </c>
      <c r="X236" s="52">
        <f ca="1"/>
        <v>31</v>
      </c>
      <c r="Y236" s="52">
        <f ca="1"/>
        <v>31</v>
      </c>
      <c r="Z236" s="52">
        <f ca="1"/>
        <v>31</v>
      </c>
      <c r="AA236" s="52">
        <f ca="1"/>
        <v>31</v>
      </c>
      <c r="AB236" s="52">
        <f ca="1"/>
        <v>31</v>
      </c>
      <c r="AC236" s="52">
        <f ca="1"/>
        <v>31</v>
      </c>
      <c r="AD236" s="52">
        <f ca="1"/>
        <v>31</v>
      </c>
      <c r="AE236" s="52">
        <f ca="1"/>
        <v>31</v>
      </c>
      <c r="AF236" s="2" t="s">
        <v>277</v>
      </c>
      <c r="AG236" s="2"/>
      <c r="AH236" s="2"/>
    </row>
    <row r="237" spans="4:34" ht="20.100000000000001" customHeight="1" x14ac:dyDescent="0.25">
      <c r="U237" s="52" t="str">
        <f>TEXT(EDATE('Input - Site'!$E$12,5), "mmmm yyyy")</f>
        <v>June 2024</v>
      </c>
      <c r="V237" s="52">
        <f ca="1"/>
        <v>30</v>
      </c>
      <c r="W237" s="52">
        <f ca="1"/>
        <v>30</v>
      </c>
      <c r="X237" s="52">
        <f ca="1"/>
        <v>30</v>
      </c>
      <c r="Y237" s="52">
        <f ca="1"/>
        <v>30</v>
      </c>
      <c r="Z237" s="52">
        <f ca="1"/>
        <v>30</v>
      </c>
      <c r="AA237" s="52">
        <f ca="1"/>
        <v>30</v>
      </c>
      <c r="AB237" s="52">
        <f ca="1"/>
        <v>30</v>
      </c>
      <c r="AC237" s="52">
        <f ca="1"/>
        <v>30</v>
      </c>
      <c r="AD237" s="52">
        <f ca="1"/>
        <v>30</v>
      </c>
      <c r="AE237" s="52">
        <f ca="1"/>
        <v>30</v>
      </c>
      <c r="AF237" s="2" t="s">
        <v>277</v>
      </c>
      <c r="AG237" s="2"/>
      <c r="AH237" s="2"/>
    </row>
    <row r="238" spans="4:34" ht="20.100000000000001" customHeight="1" x14ac:dyDescent="0.25">
      <c r="U238" s="52" t="str">
        <f>TEXT(EDATE('Input - Site'!$E$12,6), "mmmm yyyy")</f>
        <v>July 2024</v>
      </c>
      <c r="V238" s="52">
        <f ca="1"/>
        <v>31</v>
      </c>
      <c r="W238" s="52">
        <f ca="1"/>
        <v>31</v>
      </c>
      <c r="X238" s="52">
        <f ca="1"/>
        <v>31</v>
      </c>
      <c r="Y238" s="52">
        <f ca="1"/>
        <v>31</v>
      </c>
      <c r="Z238" s="52">
        <f ca="1"/>
        <v>31</v>
      </c>
      <c r="AA238" s="52">
        <f ca="1"/>
        <v>31</v>
      </c>
      <c r="AB238" s="52">
        <f ca="1"/>
        <v>31</v>
      </c>
      <c r="AC238" s="52">
        <f ca="1"/>
        <v>31</v>
      </c>
      <c r="AD238" s="52">
        <f ca="1"/>
        <v>31</v>
      </c>
      <c r="AE238" s="52">
        <f ca="1"/>
        <v>31</v>
      </c>
      <c r="AF238" s="2" t="s">
        <v>277</v>
      </c>
      <c r="AG238" s="2"/>
      <c r="AH238" s="2"/>
    </row>
    <row r="239" spans="4:34" ht="20.100000000000001" customHeight="1" x14ac:dyDescent="0.25">
      <c r="U239" s="52" t="str">
        <f>TEXT(EDATE('Input - Site'!$E$12,7), "mmmm yyyy")</f>
        <v>August 2024</v>
      </c>
      <c r="V239" s="52">
        <f ca="1"/>
        <v>31</v>
      </c>
      <c r="W239" s="52">
        <f ca="1"/>
        <v>31</v>
      </c>
      <c r="X239" s="52">
        <f ca="1"/>
        <v>31</v>
      </c>
      <c r="Y239" s="52">
        <f ca="1"/>
        <v>31</v>
      </c>
      <c r="Z239" s="52">
        <f ca="1"/>
        <v>31</v>
      </c>
      <c r="AA239" s="52">
        <f ca="1"/>
        <v>31</v>
      </c>
      <c r="AB239" s="52">
        <f ca="1"/>
        <v>31</v>
      </c>
      <c r="AC239" s="52">
        <f ca="1"/>
        <v>31</v>
      </c>
      <c r="AD239" s="52">
        <f ca="1"/>
        <v>31</v>
      </c>
      <c r="AE239" s="52">
        <f ca="1"/>
        <v>31</v>
      </c>
      <c r="AF239" s="2" t="s">
        <v>277</v>
      </c>
      <c r="AG239" s="2"/>
      <c r="AH239" s="2"/>
    </row>
    <row r="240" spans="4:34" ht="20.100000000000001" customHeight="1" x14ac:dyDescent="0.25">
      <c r="U240" s="52" t="str">
        <f>TEXT(EDATE('Input - Site'!$E$12,8), "mmmm yyyy")</f>
        <v>September 2024</v>
      </c>
      <c r="V240" s="52">
        <f ca="1"/>
        <v>30</v>
      </c>
      <c r="W240" s="52">
        <f ca="1"/>
        <v>30</v>
      </c>
      <c r="X240" s="52">
        <f ca="1"/>
        <v>30</v>
      </c>
      <c r="Y240" s="52">
        <f ca="1"/>
        <v>30</v>
      </c>
      <c r="Z240" s="52">
        <f ca="1"/>
        <v>30</v>
      </c>
      <c r="AA240" s="52">
        <f ca="1"/>
        <v>30</v>
      </c>
      <c r="AB240" s="52">
        <f ca="1"/>
        <v>30</v>
      </c>
      <c r="AC240" s="52">
        <f ca="1"/>
        <v>30</v>
      </c>
      <c r="AD240" s="52">
        <f ca="1"/>
        <v>30</v>
      </c>
      <c r="AE240" s="52">
        <f ca="1"/>
        <v>30</v>
      </c>
      <c r="AF240" s="2" t="s">
        <v>277</v>
      </c>
      <c r="AG240" s="2"/>
      <c r="AH240" s="2"/>
    </row>
    <row r="241" spans="21:34" ht="20.100000000000001" customHeight="1" x14ac:dyDescent="0.25">
      <c r="U241" s="52" t="str">
        <f>TEXT(EDATE('Input - Site'!$E$12,9), "mmmm yyyy")</f>
        <v>October 2024</v>
      </c>
      <c r="V241" s="52">
        <f ca="1"/>
        <v>31</v>
      </c>
      <c r="W241" s="52">
        <f ca="1"/>
        <v>31</v>
      </c>
      <c r="X241" s="52">
        <f ca="1"/>
        <v>31</v>
      </c>
      <c r="Y241" s="52">
        <f ca="1"/>
        <v>31</v>
      </c>
      <c r="Z241" s="52">
        <f ca="1"/>
        <v>31</v>
      </c>
      <c r="AA241" s="52">
        <f ca="1"/>
        <v>31</v>
      </c>
      <c r="AB241" s="52">
        <f ca="1"/>
        <v>31</v>
      </c>
      <c r="AC241" s="52">
        <f ca="1"/>
        <v>31</v>
      </c>
      <c r="AD241" s="52">
        <f ca="1"/>
        <v>31</v>
      </c>
      <c r="AE241" s="52">
        <f ca="1"/>
        <v>31</v>
      </c>
      <c r="AF241" s="2" t="s">
        <v>277</v>
      </c>
      <c r="AG241" s="2"/>
      <c r="AH241" s="2"/>
    </row>
    <row r="242" spans="21:34" ht="20.100000000000001" customHeight="1" x14ac:dyDescent="0.25">
      <c r="U242" s="52" t="str">
        <f>TEXT(EDATE('Input - Site'!$E$12,10), "mmmm yyyy")</f>
        <v>November 2024</v>
      </c>
      <c r="V242" s="52">
        <f ca="1"/>
        <v>30</v>
      </c>
      <c r="W242" s="52">
        <f ca="1"/>
        <v>30</v>
      </c>
      <c r="X242" s="52">
        <f ca="1"/>
        <v>30</v>
      </c>
      <c r="Y242" s="52">
        <f ca="1"/>
        <v>30</v>
      </c>
      <c r="Z242" s="52">
        <f ca="1"/>
        <v>30</v>
      </c>
      <c r="AA242" s="52">
        <f ca="1"/>
        <v>30</v>
      </c>
      <c r="AB242" s="52">
        <f ca="1"/>
        <v>30</v>
      </c>
      <c r="AC242" s="52">
        <f ca="1"/>
        <v>30</v>
      </c>
      <c r="AD242" s="52">
        <f ca="1"/>
        <v>30</v>
      </c>
      <c r="AE242" s="52">
        <f ca="1"/>
        <v>30</v>
      </c>
      <c r="AF242" s="2" t="s">
        <v>277</v>
      </c>
      <c r="AG242" s="2"/>
      <c r="AH242" s="2"/>
    </row>
    <row r="243" spans="21:34" ht="20.100000000000001" customHeight="1" x14ac:dyDescent="0.25">
      <c r="U243" s="52" t="str">
        <f>TEXT(EDATE('Input - Site'!$E$12,11), "mmmm yyyy")</f>
        <v>December 2024</v>
      </c>
      <c r="V243" s="52">
        <f ca="1"/>
        <v>31</v>
      </c>
      <c r="W243" s="52">
        <f ca="1"/>
        <v>31</v>
      </c>
      <c r="X243" s="52">
        <f ca="1"/>
        <v>31</v>
      </c>
      <c r="Y243" s="52">
        <f ca="1"/>
        <v>31</v>
      </c>
      <c r="Z243" s="52">
        <f ca="1"/>
        <v>31</v>
      </c>
      <c r="AA243" s="52">
        <f ca="1"/>
        <v>31</v>
      </c>
      <c r="AB243" s="52">
        <f ca="1"/>
        <v>31</v>
      </c>
      <c r="AC243" s="52">
        <f ca="1"/>
        <v>31</v>
      </c>
      <c r="AD243" s="52">
        <f ca="1"/>
        <v>31</v>
      </c>
      <c r="AE243" s="52">
        <f ca="1"/>
        <v>31</v>
      </c>
      <c r="AF243" s="2" t="s">
        <v>277</v>
      </c>
      <c r="AG243" s="2"/>
      <c r="AH243" s="2"/>
    </row>
    <row r="244" spans="21:34" ht="20.100000000000001" customHeight="1" x14ac:dyDescent="0.25"/>
    <row r="245" spans="21:34" ht="20.100000000000001" customHeight="1" x14ac:dyDescent="0.25">
      <c r="U245" s="98" t="s">
        <v>317</v>
      </c>
    </row>
    <row r="246" spans="21:34" ht="20.100000000000001" customHeight="1" x14ac:dyDescent="0.25">
      <c r="U246" s="97" t="s">
        <v>318</v>
      </c>
    </row>
    <row r="247" spans="21:34" ht="20.100000000000001" customHeight="1" x14ac:dyDescent="0.25">
      <c r="U247" s="51" t="s">
        <v>132</v>
      </c>
      <c r="V247" s="51" t="s">
        <v>131</v>
      </c>
      <c r="W247" s="51" t="s">
        <v>130</v>
      </c>
      <c r="X247" s="51" t="s">
        <v>165</v>
      </c>
      <c r="Y247" s="51" t="s">
        <v>166</v>
      </c>
      <c r="Z247" s="51" t="s">
        <v>167</v>
      </c>
      <c r="AA247" s="51" t="s">
        <v>168</v>
      </c>
      <c r="AB247" s="51" t="s">
        <v>169</v>
      </c>
      <c r="AC247" s="51" t="s">
        <v>170</v>
      </c>
      <c r="AD247" s="51" t="s">
        <v>171</v>
      </c>
      <c r="AE247" s="51" t="s">
        <v>172</v>
      </c>
    </row>
    <row r="248" spans="21:34" ht="20.100000000000001" customHeight="1" x14ac:dyDescent="0.25">
      <c r="U248" s="52" t="str">
        <f>TEXT('Input - Site'!$E$12, "mmmm yyyy")</f>
        <v>January 2024</v>
      </c>
      <c r="V248" s="52" cm="1">
        <f t="array" aca="1" ref="V248" ca="1">MMS_PastureBeef_Soil_N2ODirect_Equations.VEERG_4_2_1_3__2_TotalNitrogenExcretedToPastureRangeAndPaddock(V216,V196,V232)</f>
        <v>289.15319378762229</v>
      </c>
      <c r="W248" s="52" cm="1">
        <f t="array" aca="1" ref="W248" ca="1">MMS_PastureBeef_Soil_N2ODirect_Equations.VEERG_4_2_1_3__2_TotalNitrogenExcretedToPastureRangeAndPaddock(W216,W196,W232)</f>
        <v>421.65805292524783</v>
      </c>
      <c r="X248" s="52" cm="1">
        <f t="array" aca="1" ref="X248" ca="1">MMS_PastureBeef_Soil_N2ODirect_Equations.VEERG_4_2_1_3__2_TotalNitrogenExcretedToPastureRangeAndPaddock(X216,X196,X232)</f>
        <v>241.21418667705774</v>
      </c>
      <c r="Y248" s="52" cm="1">
        <f t="array" aca="1" ref="Y248" ca="1">MMS_PastureBeef_Soil_N2ODirect_Equations.VEERG_4_2_1_3__2_TotalNitrogenExcretedToPastureRangeAndPaddock(Y216,Y196,Y232)</f>
        <v>313.21127433214627</v>
      </c>
      <c r="Z248" s="52" cm="1">
        <f t="array" aca="1" ref="Z248" ca="1">MMS_PastureBeef_Soil_N2ODirect_Equations.VEERG_4_2_1_3__2_TotalNitrogenExcretedToPastureRangeAndPaddock(Z216,Z196,Z232)</f>
        <v>329.00458281781619</v>
      </c>
      <c r="AA248" s="52" cm="1">
        <f t="array" aca="1" ref="AA248" ca="1">MMS_PastureBeef_Soil_N2ODirect_Equations.VEERG_4_2_1_3__2_TotalNitrogenExcretedToPastureRangeAndPaddock(AA216,AA196,AA232)</f>
        <v>329.00458281781619</v>
      </c>
      <c r="AB248" s="52" cm="1">
        <f t="array" aca="1" ref="AB248" ca="1">MMS_PastureBeef_Soil_N2ODirect_Equations.VEERG_4_2_1_3__2_TotalNitrogenExcretedToPastureRangeAndPaddock(AB216,AB196,AB232)</f>
        <v>265.4390677122351</v>
      </c>
      <c r="AC248" s="52" cm="1">
        <f t="array" aca="1" ref="AC248" ca="1">MMS_PastureBeef_Soil_N2ODirect_Equations.VEERG_4_2_1_3__2_TotalNitrogenExcretedToPastureRangeAndPaddock(AC216,AC196,AC232)</f>
        <v>326.89236244194075</v>
      </c>
      <c r="AD248" s="52" cm="1">
        <f t="array" aca="1" ref="AD248" ca="1">MMS_PastureBeef_Soil_N2ODirect_Equations.VEERG_4_2_1_3__2_TotalNitrogenExcretedToPastureRangeAndPaddock(AD216,AD196,AD232)</f>
        <v>326.89236244194075</v>
      </c>
      <c r="AE248" s="52" cm="1">
        <f t="array" aca="1" ref="AE248" ca="1">MMS_PastureBeef_Soil_N2ODirect_Equations.VEERG_4_2_1_3__2_TotalNitrogenExcretedToPastureRangeAndPaddock(AE216,AE196,AE232)</f>
        <v>326.89236244194075</v>
      </c>
      <c r="AF248" s="2" t="str">
        <f t="shared" ref="AF248:AF259" si="10">$E$182</f>
        <v>kg N</v>
      </c>
      <c r="AG248" s="2"/>
      <c r="AH248" s="2"/>
    </row>
    <row r="249" spans="21:34" ht="20.100000000000001" customHeight="1" x14ac:dyDescent="0.25">
      <c r="U249" s="52" t="str">
        <f>TEXT(EDATE('Input - Site'!$E$12,1), "mmmm yyyy")</f>
        <v>February 2024</v>
      </c>
      <c r="V249" s="52" cm="1">
        <f t="array" aca="1" ref="V249" ca="1">MMS_PastureBeef_Soil_N2ODirect_Equations.VEERG_4_2_1_3__2_TotalNitrogenExcretedToPastureRangeAndPaddock(V217,V197,V233)</f>
        <v>270.49814902713058</v>
      </c>
      <c r="W249" s="52" cm="1">
        <f t="array" aca="1" ref="W249" ca="1">MMS_PastureBeef_Soil_N2ODirect_Equations.VEERG_4_2_1_3__2_TotalNitrogenExcretedToPastureRangeAndPaddock(W217,W197,W233)</f>
        <v>394.45430757523184</v>
      </c>
      <c r="X249" s="52" cm="1">
        <f t="array" aca="1" ref="X249" ca="1">MMS_PastureBeef_Soil_N2ODirect_Equations.VEERG_4_2_1_3__2_TotalNitrogenExcretedToPastureRangeAndPaddock(X217,X197,X233)</f>
        <v>225.6519810849895</v>
      </c>
      <c r="Y249" s="52" cm="1">
        <f t="array" aca="1" ref="Y249" ca="1">MMS_PastureBeef_Soil_N2ODirect_Equations.VEERG_4_2_1_3__2_TotalNitrogenExcretedToPastureRangeAndPaddock(Y217,Y197,Y233)</f>
        <v>311.98304055581087</v>
      </c>
      <c r="Z249" s="52" cm="1">
        <f t="array" aca="1" ref="Z249" ca="1">MMS_PastureBeef_Soil_N2ODirect_Equations.VEERG_4_2_1_3__2_TotalNitrogenExcretedToPastureRangeAndPaddock(Z217,Z197,Z233)</f>
        <v>327.00953552250638</v>
      </c>
      <c r="AA249" s="52" cm="1">
        <f t="array" aca="1" ref="AA249" ca="1">MMS_PastureBeef_Soil_N2ODirect_Equations.VEERG_4_2_1_3__2_TotalNitrogenExcretedToPastureRangeAndPaddock(AA217,AA197,AA233)</f>
        <v>327.00953552250638</v>
      </c>
      <c r="AB249" s="52" cm="1">
        <f t="array" aca="1" ref="AB249" ca="1">MMS_PastureBeef_Soil_N2ODirect_Equations.VEERG_4_2_1_3__2_TotalNitrogenExcretedToPastureRangeAndPaddock(AB217,AB197,AB233)</f>
        <v>248.31396656951023</v>
      </c>
      <c r="AC249" s="52" cm="1">
        <f t="array" aca="1" ref="AC249" ca="1">MMS_PastureBeef_Soil_N2ODirect_Equations.VEERG_4_2_1_3__2_TotalNitrogenExcretedToPastureRangeAndPaddock(AC217,AC197,AC233)</f>
        <v>305.8025326069768</v>
      </c>
      <c r="AD249" s="52" cm="1">
        <f t="array" aca="1" ref="AD249" ca="1">MMS_PastureBeef_Soil_N2ODirect_Equations.VEERG_4_2_1_3__2_TotalNitrogenExcretedToPastureRangeAndPaddock(AD217,AD197,AD233)</f>
        <v>305.8025326069768</v>
      </c>
      <c r="AE249" s="52" cm="1">
        <f t="array" aca="1" ref="AE249" ca="1">MMS_PastureBeef_Soil_N2ODirect_Equations.VEERG_4_2_1_3__2_TotalNitrogenExcretedToPastureRangeAndPaddock(AE217,AE197,AE233)</f>
        <v>305.8025326069768</v>
      </c>
      <c r="AF249" s="2" t="str">
        <f t="shared" si="10"/>
        <v>kg N</v>
      </c>
      <c r="AG249" s="2"/>
      <c r="AH249" s="2"/>
    </row>
    <row r="250" spans="21:34" ht="20.100000000000001" customHeight="1" x14ac:dyDescent="0.25">
      <c r="U250" s="52" t="str">
        <f>TEXT(EDATE('Input - Site'!$E$12,2), "mmmm yyyy")</f>
        <v>March 2024</v>
      </c>
      <c r="V250" s="52" cm="1">
        <f t="array" aca="1" ref="V250" ca="1">MMS_PastureBeef_Soil_N2ODirect_Equations.VEERG_4_2_1_3__2_TotalNitrogenExcretedToPastureRangeAndPaddock(V218,V198,V234)</f>
        <v>41.820820957231291</v>
      </c>
      <c r="W250" s="52" cm="1">
        <f t="array" aca="1" ref="W250" ca="1">MMS_PastureBeef_Soil_N2ODirect_Equations.VEERG_4_2_1_3__2_TotalNitrogenExcretedToPastureRangeAndPaddock(W218,W198,W234)</f>
        <v>273.21237326588823</v>
      </c>
      <c r="X250" s="52" cm="1">
        <f t="array" aca="1" ref="X250" ca="1">MMS_PastureBeef_Soil_N2ODirect_Equations.VEERG_4_2_1_3__2_TotalNitrogenExcretedToPastureRangeAndPaddock(X218,X198,X234)</f>
        <v>34.105886288846641</v>
      </c>
      <c r="Y250" s="52" cm="1">
        <f t="array" aca="1" ref="Y250" ca="1">MMS_PastureBeef_Soil_N2ODirect_Equations.VEERG_4_2_1_3__2_TotalNitrogenExcretedToPastureRangeAndPaddock(Y218,Y198,Y234)</f>
        <v>162.22400157554256</v>
      </c>
      <c r="Z250" s="52" cm="1">
        <f t="array" aca="1" ref="Z250" ca="1">MMS_PastureBeef_Soil_N2ODirect_Equations.VEERG_4_2_1_3__2_TotalNitrogenExcretedToPastureRangeAndPaddock(Z218,Z198,Z234)</f>
        <v>214.47375788400842</v>
      </c>
      <c r="AA250" s="52" cm="1">
        <f t="array" aca="1" ref="AA250" ca="1">MMS_PastureBeef_Soil_N2ODirect_Equations.VEERG_4_2_1_3__2_TotalNitrogenExcretedToPastureRangeAndPaddock(AA218,AA198,AA234)</f>
        <v>214.47375788400842</v>
      </c>
      <c r="AB250" s="52" cm="1">
        <f t="array" aca="1" ref="AB250" ca="1">MMS_PastureBeef_Soil_N2ODirect_Equations.VEERG_4_2_1_3__2_TotalNitrogenExcretedToPastureRangeAndPaddock(AB218,AB198,AB234)</f>
        <v>42.567922288540977</v>
      </c>
      <c r="AC250" s="52" cm="1">
        <f t="array" aca="1" ref="AC250" ca="1">MMS_PastureBeef_Soil_N2ODirect_Equations.VEERG_4_2_1_3__2_TotalNitrogenExcretedToPastureRangeAndPaddock(AC218,AC198,AC234)</f>
        <v>171.12645843343526</v>
      </c>
      <c r="AD250" s="52" cm="1">
        <f t="array" aca="1" ref="AD250" ca="1">MMS_PastureBeef_Soil_N2ODirect_Equations.VEERG_4_2_1_3__2_TotalNitrogenExcretedToPastureRangeAndPaddock(AD218,AD198,AD234)</f>
        <v>171.12645843343526</v>
      </c>
      <c r="AE250" s="52" cm="1">
        <f t="array" aca="1" ref="AE250" ca="1">MMS_PastureBeef_Soil_N2ODirect_Equations.VEERG_4_2_1_3__2_TotalNitrogenExcretedToPastureRangeAndPaddock(AE218,AE198,AE234)</f>
        <v>171.12645843343526</v>
      </c>
      <c r="AF250" s="2" t="str">
        <f t="shared" si="10"/>
        <v>kg N</v>
      </c>
      <c r="AG250" s="2"/>
      <c r="AH250" s="2"/>
    </row>
    <row r="251" spans="21:34" ht="20.100000000000001" customHeight="1" x14ac:dyDescent="0.25">
      <c r="U251" s="52" t="str">
        <f>TEXT(EDATE('Input - Site'!$E$12,3), "mmmm yyyy")</f>
        <v>April 2024</v>
      </c>
      <c r="V251" s="52" cm="1">
        <f t="array" aca="1" ref="V251" ca="1">MMS_PastureBeef_Soil_N2ODirect_Equations.VEERG_4_2_1_3__2_TotalNitrogenExcretedToPastureRangeAndPaddock(V219,V199,V235)</f>
        <v>40.471762216675444</v>
      </c>
      <c r="W251" s="52" cm="1">
        <f t="array" aca="1" ref="W251" ca="1">MMS_PastureBeef_Soil_N2ODirect_Equations.VEERG_4_2_1_3__2_TotalNitrogenExcretedToPastureRangeAndPaddock(W219,W199,W235)</f>
        <v>264.39907090247249</v>
      </c>
      <c r="X251" s="52" cm="1">
        <f t="array" aca="1" ref="X251" ca="1">MMS_PastureBeef_Soil_N2ODirect_Equations.VEERG_4_2_1_3__2_TotalNitrogenExcretedToPastureRangeAndPaddock(X219,X199,X235)</f>
        <v>33.005696408561263</v>
      </c>
      <c r="Y251" s="52" cm="1">
        <f t="array" aca="1" ref="Y251" ca="1">MMS_PastureBeef_Soil_N2ODirect_Equations.VEERG_4_2_1_3__2_TotalNitrogenExcretedToPastureRangeAndPaddock(Y219,Y199,Y235)</f>
        <v>156.9909692666541</v>
      </c>
      <c r="Z251" s="52" cm="1">
        <f t="array" aca="1" ref="Z251" ca="1">MMS_PastureBeef_Soil_N2ODirect_Equations.VEERG_4_2_1_3__2_TotalNitrogenExcretedToPastureRangeAndPaddock(Z219,Z199,Z235)</f>
        <v>207.55524956516945</v>
      </c>
      <c r="AA251" s="52" cm="1">
        <f t="array" aca="1" ref="AA251" ca="1">MMS_PastureBeef_Soil_N2ODirect_Equations.VEERG_4_2_1_3__2_TotalNitrogenExcretedToPastureRangeAndPaddock(AA219,AA199,AA235)</f>
        <v>207.55524956516945</v>
      </c>
      <c r="AB251" s="52" cm="1">
        <f t="array" aca="1" ref="AB251" ca="1">MMS_PastureBeef_Soil_N2ODirect_Equations.VEERG_4_2_1_3__2_TotalNitrogenExcretedToPastureRangeAndPaddock(AB219,AB199,AB235)</f>
        <v>41.19476350503966</v>
      </c>
      <c r="AC251" s="52" cm="1">
        <f t="array" aca="1" ref="AC251" ca="1">MMS_PastureBeef_Soil_N2ODirect_Equations.VEERG_4_2_1_3__2_TotalNitrogenExcretedToPastureRangeAndPaddock(AC219,AC199,AC235)</f>
        <v>165.60625009687283</v>
      </c>
      <c r="AD251" s="52" cm="1">
        <f t="array" aca="1" ref="AD251" ca="1">MMS_PastureBeef_Soil_N2ODirect_Equations.VEERG_4_2_1_3__2_TotalNitrogenExcretedToPastureRangeAndPaddock(AD219,AD199,AD235)</f>
        <v>165.60625009687283</v>
      </c>
      <c r="AE251" s="52" cm="1">
        <f t="array" aca="1" ref="AE251" ca="1">MMS_PastureBeef_Soil_N2ODirect_Equations.VEERG_4_2_1_3__2_TotalNitrogenExcretedToPastureRangeAndPaddock(AE219,AE199,AE235)</f>
        <v>165.60625009687283</v>
      </c>
      <c r="AF251" s="2" t="str">
        <f t="shared" si="10"/>
        <v>kg N</v>
      </c>
      <c r="AG251" s="2"/>
      <c r="AH251" s="2"/>
    </row>
    <row r="252" spans="21:34" ht="20.100000000000001" customHeight="1" x14ac:dyDescent="0.25">
      <c r="U252" s="52" t="str">
        <f>TEXT(EDATE('Input - Site'!$E$12,4), "mmmm yyyy")</f>
        <v>May 2024</v>
      </c>
      <c r="V252" s="52" cm="1">
        <f t="array" aca="1" ref="V252" ca="1">MMS_PastureBeef_Soil_N2ODirect_Equations.VEERG_4_2_1_3__2_TotalNitrogenExcretedToPastureRangeAndPaddock(V220,V200,V236)</f>
        <v>41.820820957231291</v>
      </c>
      <c r="W252" s="52" cm="1">
        <f t="array" aca="1" ref="W252" ca="1">MMS_PastureBeef_Soil_N2ODirect_Equations.VEERG_4_2_1_3__2_TotalNitrogenExcretedToPastureRangeAndPaddock(W220,W200,W236)</f>
        <v>273.21237326588823</v>
      </c>
      <c r="X252" s="52" cm="1">
        <f t="array" aca="1" ref="X252" ca="1">MMS_PastureBeef_Soil_N2ODirect_Equations.VEERG_4_2_1_3__2_TotalNitrogenExcretedToPastureRangeAndPaddock(X220,X200,X236)</f>
        <v>34.105886288846641</v>
      </c>
      <c r="Y252" s="52" cm="1">
        <f t="array" aca="1" ref="Y252" ca="1">MMS_PastureBeef_Soil_N2ODirect_Equations.VEERG_4_2_1_3__2_TotalNitrogenExcretedToPastureRangeAndPaddock(Y220,Y200,Y236)</f>
        <v>162.22400157554256</v>
      </c>
      <c r="Z252" s="52" cm="1">
        <f t="array" aca="1" ref="Z252" ca="1">MMS_PastureBeef_Soil_N2ODirect_Equations.VEERG_4_2_1_3__2_TotalNitrogenExcretedToPastureRangeAndPaddock(Z220,Z200,Z236)</f>
        <v>214.47375788400842</v>
      </c>
      <c r="AA252" s="52" cm="1">
        <f t="array" aca="1" ref="AA252" ca="1">MMS_PastureBeef_Soil_N2ODirect_Equations.VEERG_4_2_1_3__2_TotalNitrogenExcretedToPastureRangeAndPaddock(AA220,AA200,AA236)</f>
        <v>214.47375788400842</v>
      </c>
      <c r="AB252" s="52" cm="1">
        <f t="array" aca="1" ref="AB252" ca="1">MMS_PastureBeef_Soil_N2ODirect_Equations.VEERG_4_2_1_3__2_TotalNitrogenExcretedToPastureRangeAndPaddock(AB220,AB200,AB236)</f>
        <v>42.567922288540977</v>
      </c>
      <c r="AC252" s="52" cm="1">
        <f t="array" aca="1" ref="AC252" ca="1">MMS_PastureBeef_Soil_N2ODirect_Equations.VEERG_4_2_1_3__2_TotalNitrogenExcretedToPastureRangeAndPaddock(AC220,AC200,AC236)</f>
        <v>171.12645843343526</v>
      </c>
      <c r="AD252" s="52" cm="1">
        <f t="array" aca="1" ref="AD252" ca="1">MMS_PastureBeef_Soil_N2ODirect_Equations.VEERG_4_2_1_3__2_TotalNitrogenExcretedToPastureRangeAndPaddock(AD220,AD200,AD236)</f>
        <v>171.12645843343526</v>
      </c>
      <c r="AE252" s="52" cm="1">
        <f t="array" aca="1" ref="AE252" ca="1">MMS_PastureBeef_Soil_N2ODirect_Equations.VEERG_4_2_1_3__2_TotalNitrogenExcretedToPastureRangeAndPaddock(AE220,AE200,AE236)</f>
        <v>171.12645843343526</v>
      </c>
      <c r="AF252" s="2" t="str">
        <f t="shared" si="10"/>
        <v>kg N</v>
      </c>
      <c r="AG252" s="2"/>
      <c r="AH252" s="2"/>
    </row>
    <row r="253" spans="21:34" ht="20.100000000000001" customHeight="1" x14ac:dyDescent="0.25">
      <c r="U253" s="52" t="str">
        <f>TEXT(EDATE('Input - Site'!$E$12,5), "mmmm yyyy")</f>
        <v>June 2024</v>
      </c>
      <c r="V253" s="52" cm="1">
        <f t="array" aca="1" ref="V253" ca="1">MMS_PastureBeef_Soil_N2ODirect_Equations.VEERG_4_2_1_3__2_TotalNitrogenExcretedToPastureRangeAndPaddock(V221,V201,V237)</f>
        <v>413.18213355318102</v>
      </c>
      <c r="W253" s="52" cm="1">
        <f t="array" aca="1" ref="W253" ca="1">MMS_PastureBeef_Soil_N2ODirect_Equations.VEERG_4_2_1_3__2_TotalNitrogenExcretedToPastureRangeAndPaddock(W221,W201,W237)</f>
        <v>942.76024604375755</v>
      </c>
      <c r="X253" s="52" cm="1">
        <f t="array" aca="1" ref="X253" ca="1">MMS_PastureBeef_Soil_N2ODirect_Equations.VEERG_4_2_1_3__2_TotalNitrogenExcretedToPastureRangeAndPaddock(X221,X201,X237)</f>
        <v>342.91705590235108</v>
      </c>
      <c r="Y253" s="52" cm="1">
        <f t="array" aca="1" ref="Y253" ca="1">MMS_PastureBeef_Soil_N2ODirect_Equations.VEERG_4_2_1_3__2_TotalNitrogenExcretedToPastureRangeAndPaddock(Y221,Y201,Y237)</f>
        <v>559.82295869692348</v>
      </c>
      <c r="Z253" s="52" cm="1">
        <f t="array" aca="1" ref="Z253" ca="1">MMS_PastureBeef_Soil_N2ODirect_Equations.VEERG_4_2_1_3__2_TotalNitrogenExcretedToPastureRangeAndPaddock(Z221,Z201,Z237)</f>
        <v>754.06991848471978</v>
      </c>
      <c r="AA253" s="52" cm="1">
        <f t="array" aca="1" ref="AA253" ca="1">MMS_PastureBeef_Soil_N2ODirect_Equations.VEERG_4_2_1_3__2_TotalNitrogenExcretedToPastureRangeAndPaddock(AA221,AA201,AA237)</f>
        <v>754.06991848471978</v>
      </c>
      <c r="AB253" s="52" cm="1">
        <f t="array" aca="1" ref="AB253" ca="1">MMS_PastureBeef_Soil_N2ODirect_Equations.VEERG_4_2_1_3__2_TotalNitrogenExcretedToPastureRangeAndPaddock(AB221,AB201,AB237)</f>
        <v>371.42949201308153</v>
      </c>
      <c r="AC253" s="52" cm="1">
        <f t="array" aca="1" ref="AC253" ca="1">MMS_PastureBeef_Soil_N2ODirect_Equations.VEERG_4_2_1_3__2_TotalNitrogenExcretedToPastureRangeAndPaddock(AC221,AC201,AC237)</f>
        <v>632.73028069278769</v>
      </c>
      <c r="AD253" s="52" cm="1">
        <f t="array" aca="1" ref="AD253" ca="1">MMS_PastureBeef_Soil_N2ODirect_Equations.VEERG_4_2_1_3__2_TotalNitrogenExcretedToPastureRangeAndPaddock(AD221,AD201,AD237)</f>
        <v>632.73028069278769</v>
      </c>
      <c r="AE253" s="52" cm="1">
        <f t="array" aca="1" ref="AE253" ca="1">MMS_PastureBeef_Soil_N2ODirect_Equations.VEERG_4_2_1_3__2_TotalNitrogenExcretedToPastureRangeAndPaddock(AE221,AE201,AE237)</f>
        <v>632.73028069278769</v>
      </c>
      <c r="AF253" s="2" t="str">
        <f t="shared" si="10"/>
        <v>kg N</v>
      </c>
      <c r="AG253" s="2"/>
      <c r="AH253" s="2"/>
    </row>
    <row r="254" spans="21:34" ht="20.100000000000001" customHeight="1" x14ac:dyDescent="0.25">
      <c r="U254" s="52" t="str">
        <f>TEXT(EDATE('Input - Site'!$E$12,6), "mmmm yyyy")</f>
        <v>July 2024</v>
      </c>
      <c r="V254" s="52" cm="1">
        <f t="array" aca="1" ref="V254" ca="1">MMS_PastureBeef_Soil_N2ODirect_Equations.VEERG_4_2_1_3__2_TotalNitrogenExcretedToPastureRangeAndPaddock(V222,V202,V238)</f>
        <v>426.95487133828709</v>
      </c>
      <c r="W254" s="52" cm="1">
        <f t="array" aca="1" ref="W254" ca="1">MMS_PastureBeef_Soil_N2ODirect_Equations.VEERG_4_2_1_3__2_TotalNitrogenExcretedToPastureRangeAndPaddock(W222,W202,W238)</f>
        <v>974.18558757854953</v>
      </c>
      <c r="X254" s="52" cm="1">
        <f t="array" aca="1" ref="X254" ca="1">MMS_PastureBeef_Soil_N2ODirect_Equations.VEERG_4_2_1_3__2_TotalNitrogenExcretedToPastureRangeAndPaddock(X222,X202,X238)</f>
        <v>354.34762443242948</v>
      </c>
      <c r="Y254" s="52" cm="1">
        <f t="array" aca="1" ref="Y254" ca="1">MMS_PastureBeef_Soil_N2ODirect_Equations.VEERG_4_2_1_3__2_TotalNitrogenExcretedToPastureRangeAndPaddock(Y222,Y202,Y238)</f>
        <v>578.48372398682091</v>
      </c>
      <c r="Z254" s="52" cm="1">
        <f t="array" aca="1" ref="Z254" ca="1">MMS_PastureBeef_Soil_N2ODirect_Equations.VEERG_4_2_1_3__2_TotalNitrogenExcretedToPastureRangeAndPaddock(Z222,Z202,Z238)</f>
        <v>779.20558243421044</v>
      </c>
      <c r="AA254" s="52" cm="1">
        <f t="array" aca="1" ref="AA254" ca="1">MMS_PastureBeef_Soil_N2ODirect_Equations.VEERG_4_2_1_3__2_TotalNitrogenExcretedToPastureRangeAndPaddock(AA222,AA202,AA238)</f>
        <v>779.20558243421044</v>
      </c>
      <c r="AB254" s="52" cm="1">
        <f t="array" aca="1" ref="AB254" ca="1">MMS_PastureBeef_Soil_N2ODirect_Equations.VEERG_4_2_1_3__2_TotalNitrogenExcretedToPastureRangeAndPaddock(AB222,AB202,AB238)</f>
        <v>383.81047508018423</v>
      </c>
      <c r="AC254" s="52" cm="1">
        <f t="array" aca="1" ref="AC254" ca="1">MMS_PastureBeef_Soil_N2ODirect_Equations.VEERG_4_2_1_3__2_TotalNitrogenExcretedToPastureRangeAndPaddock(AC222,AC202,AC238)</f>
        <v>653.82129004921387</v>
      </c>
      <c r="AD254" s="52" cm="1">
        <f t="array" aca="1" ref="AD254" ca="1">MMS_PastureBeef_Soil_N2ODirect_Equations.VEERG_4_2_1_3__2_TotalNitrogenExcretedToPastureRangeAndPaddock(AD222,AD202,AD238)</f>
        <v>653.82129004921387</v>
      </c>
      <c r="AE254" s="52" cm="1">
        <f t="array" aca="1" ref="AE254" ca="1">MMS_PastureBeef_Soil_N2ODirect_Equations.VEERG_4_2_1_3__2_TotalNitrogenExcretedToPastureRangeAndPaddock(AE222,AE202,AE238)</f>
        <v>653.82129004921387</v>
      </c>
      <c r="AF254" s="2" t="str">
        <f t="shared" si="10"/>
        <v>kg N</v>
      </c>
      <c r="AG254" s="2"/>
      <c r="AH254" s="2"/>
    </row>
    <row r="255" spans="21:34" ht="20.100000000000001" customHeight="1" x14ac:dyDescent="0.25">
      <c r="U255" s="52" t="str">
        <f>TEXT(EDATE('Input - Site'!$E$12,7), "mmmm yyyy")</f>
        <v>August 2024</v>
      </c>
      <c r="V255" s="52" cm="1">
        <f t="array" aca="1" ref="V255" ca="1">MMS_PastureBeef_Soil_N2ODirect_Equations.VEERG_4_2_1_3__2_TotalNitrogenExcretedToPastureRangeAndPaddock(V223,V203,V239)</f>
        <v>426.95487133828709</v>
      </c>
      <c r="W255" s="52" cm="1">
        <f t="array" aca="1" ref="W255" ca="1">MMS_PastureBeef_Soil_N2ODirect_Equations.VEERG_4_2_1_3__2_TotalNitrogenExcretedToPastureRangeAndPaddock(W223,W203,W239)</f>
        <v>974.18558757854953</v>
      </c>
      <c r="X255" s="52" cm="1">
        <f t="array" aca="1" ref="X255" ca="1">MMS_PastureBeef_Soil_N2ODirect_Equations.VEERG_4_2_1_3__2_TotalNitrogenExcretedToPastureRangeAndPaddock(X223,X203,X239)</f>
        <v>354.34762443242948</v>
      </c>
      <c r="Y255" s="52" cm="1">
        <f t="array" aca="1" ref="Y255" ca="1">MMS_PastureBeef_Soil_N2ODirect_Equations.VEERG_4_2_1_3__2_TotalNitrogenExcretedToPastureRangeAndPaddock(Y223,Y203,Y239)</f>
        <v>640.84537562963749</v>
      </c>
      <c r="Z255" s="52" cm="1">
        <f t="array" aca="1" ref="Z255" ca="1">MMS_PastureBeef_Soil_N2ODirect_Equations.VEERG_4_2_1_3__2_TotalNitrogenExcretedToPastureRangeAndPaddock(Z223,Z203,Z239)</f>
        <v>886.7378657506739</v>
      </c>
      <c r="AA255" s="52" cm="1">
        <f t="array" aca="1" ref="AA255" ca="1">MMS_PastureBeef_Soil_N2ODirect_Equations.VEERG_4_2_1_3__2_TotalNitrogenExcretedToPastureRangeAndPaddock(AA223,AA203,AA239)</f>
        <v>886.7378657506739</v>
      </c>
      <c r="AB255" s="52" cm="1">
        <f t="array" aca="1" ref="AB255" ca="1">MMS_PastureBeef_Soil_N2ODirect_Equations.VEERG_4_2_1_3__2_TotalNitrogenExcretedToPastureRangeAndPaddock(AB223,AB203,AB239)</f>
        <v>383.81047508018423</v>
      </c>
      <c r="AC255" s="52" cm="1">
        <f t="array" aca="1" ref="AC255" ca="1">MMS_PastureBeef_Soil_N2ODirect_Equations.VEERG_4_2_1_3__2_TotalNitrogenExcretedToPastureRangeAndPaddock(AC223,AC203,AC239)</f>
        <v>653.82129004921387</v>
      </c>
      <c r="AD255" s="52" cm="1">
        <f t="array" aca="1" ref="AD255" ca="1">MMS_PastureBeef_Soil_N2ODirect_Equations.VEERG_4_2_1_3__2_TotalNitrogenExcretedToPastureRangeAndPaddock(AD223,AD203,AD239)</f>
        <v>653.82129004921387</v>
      </c>
      <c r="AE255" s="52" cm="1">
        <f t="array" aca="1" ref="AE255" ca="1">MMS_PastureBeef_Soil_N2ODirect_Equations.VEERG_4_2_1_3__2_TotalNitrogenExcretedToPastureRangeAndPaddock(AE223,AE203,AE239)</f>
        <v>653.82129004921387</v>
      </c>
      <c r="AF255" s="2" t="str">
        <f t="shared" si="10"/>
        <v>kg N</v>
      </c>
      <c r="AG255" s="2"/>
      <c r="AH255" s="2"/>
    </row>
    <row r="256" spans="21:34" ht="20.100000000000001" customHeight="1" x14ac:dyDescent="0.25">
      <c r="U256" s="52" t="str">
        <f>TEXT(EDATE('Input - Site'!$E$12,8), "mmmm yyyy")</f>
        <v>September 2024</v>
      </c>
      <c r="V256" s="52" cm="1">
        <f t="array" aca="1" ref="V256" ca="1">MMS_PastureBeef_Soil_N2ODirect_Equations.VEERG_4_2_1_3__2_TotalNitrogenExcretedToPastureRangeAndPaddock(V224,V204,V240)</f>
        <v>730.33145980339532</v>
      </c>
      <c r="W256" s="52" cm="1">
        <f t="array" aca="1" ref="W256" ca="1">MMS_PastureBeef_Soil_N2ODirect_Equations.VEERG_4_2_1_3__2_TotalNitrogenExcretedToPastureRangeAndPaddock(W224,W204,W240)</f>
        <v>1131.2440120269775</v>
      </c>
      <c r="X256" s="52" cm="1">
        <f t="array" aca="1" ref="X256" ca="1">MMS_PastureBeef_Soil_N2ODirect_Equations.VEERG_4_2_1_3__2_TotalNitrogenExcretedToPastureRangeAndPaddock(X224,X204,X240)</f>
        <v>562.15638666998314</v>
      </c>
      <c r="Y256" s="52" cm="1">
        <f t="array" aca="1" ref="Y256" ca="1">MMS_PastureBeef_Soil_N2ODirect_Equations.VEERG_4_2_1_3__2_TotalNitrogenExcretedToPastureRangeAndPaddock(Y224,Y204,Y240)</f>
        <v>909.49542050972343</v>
      </c>
      <c r="Z256" s="52" cm="1">
        <f t="array" aca="1" ref="Z256" ca="1">MMS_PastureBeef_Soil_N2ODirect_Equations.VEERG_4_2_1_3__2_TotalNitrogenExcretedToPastureRangeAndPaddock(Z224,Z204,Z240)</f>
        <v>1036.8013047213371</v>
      </c>
      <c r="AA256" s="52" cm="1">
        <f t="array" aca="1" ref="AA256" ca="1">MMS_PastureBeef_Soil_N2ODirect_Equations.VEERG_4_2_1_3__2_TotalNitrogenExcretedToPastureRangeAndPaddock(AA224,AA204,AA240)</f>
        <v>1036.8013047213371</v>
      </c>
      <c r="AB256" s="52" cm="1">
        <f t="array" aca="1" ref="AB256" ca="1">MMS_PastureBeef_Soil_N2ODirect_Equations.VEERG_4_2_1_3__2_TotalNitrogenExcretedToPastureRangeAndPaddock(AB224,AB204,AB240)</f>
        <v>644.507609695067</v>
      </c>
      <c r="AC256" s="52" cm="1">
        <f t="array" aca="1" ref="AC256" ca="1">MMS_PastureBeef_Soil_N2ODirect_Equations.VEERG_4_2_1_3__2_TotalNitrogenExcretedToPastureRangeAndPaddock(AC224,AC204,AC240)</f>
        <v>880.40305898985866</v>
      </c>
      <c r="AD256" s="52" cm="1">
        <f t="array" aca="1" ref="AD256" ca="1">MMS_PastureBeef_Soil_N2ODirect_Equations.VEERG_4_2_1_3__2_TotalNitrogenExcretedToPastureRangeAndPaddock(AD224,AD204,AD240)</f>
        <v>880.40305898985866</v>
      </c>
      <c r="AE256" s="52" cm="1">
        <f t="array" aca="1" ref="AE256" ca="1">MMS_PastureBeef_Soil_N2ODirect_Equations.VEERG_4_2_1_3__2_TotalNitrogenExcretedToPastureRangeAndPaddock(AE224,AE204,AE240)</f>
        <v>880.40305898985866</v>
      </c>
      <c r="AF256" s="2" t="str">
        <f t="shared" si="10"/>
        <v>kg N</v>
      </c>
      <c r="AG256" s="2"/>
      <c r="AH256" s="2"/>
    </row>
    <row r="257" spans="20:35" ht="20.100000000000001" customHeight="1" x14ac:dyDescent="0.25">
      <c r="U257" s="52" t="str">
        <f>TEXT(EDATE('Input - Site'!$E$12,9), "mmmm yyyy")</f>
        <v>October 2024</v>
      </c>
      <c r="V257" s="52" cm="1">
        <f t="array" aca="1" ref="V257" ca="1">MMS_PastureBeef_Soil_N2ODirect_Equations.VEERG_4_2_1_3__2_TotalNitrogenExcretedToPastureRangeAndPaddock(V225,V205,V241)</f>
        <v>754.67584179684184</v>
      </c>
      <c r="W257" s="52" cm="1">
        <f t="array" aca="1" ref="W257" ca="1">MMS_PastureBeef_Soil_N2ODirect_Equations.VEERG_4_2_1_3__2_TotalNitrogenExcretedToPastureRangeAndPaddock(W225,W205,W241)</f>
        <v>1168.95214576121</v>
      </c>
      <c r="X257" s="52" cm="1">
        <f t="array" aca="1" ref="X257" ca="1">MMS_PastureBeef_Soil_N2ODirect_Equations.VEERG_4_2_1_3__2_TotalNitrogenExcretedToPastureRangeAndPaddock(X225,X205,X241)</f>
        <v>580.89493289231598</v>
      </c>
      <c r="Y257" s="52" cm="1">
        <f t="array" aca="1" ref="Y257" ca="1">MMS_PastureBeef_Soil_N2ODirect_Equations.VEERG_4_2_1_3__2_TotalNitrogenExcretedToPastureRangeAndPaddock(Y225,Y205,Y241)</f>
        <v>939.81193452671414</v>
      </c>
      <c r="Z257" s="52" cm="1">
        <f t="array" aca="1" ref="Z257" ca="1">MMS_PastureBeef_Soil_N2ODirect_Equations.VEERG_4_2_1_3__2_TotalNitrogenExcretedToPastureRangeAndPaddock(Z225,Z205,Z241)</f>
        <v>1071.3613482120484</v>
      </c>
      <c r="AA257" s="52" cm="1">
        <f t="array" aca="1" ref="AA257" ca="1">MMS_PastureBeef_Soil_N2ODirect_Equations.VEERG_4_2_1_3__2_TotalNitrogenExcretedToPastureRangeAndPaddock(AA225,AA205,AA241)</f>
        <v>1071.3613482120484</v>
      </c>
      <c r="AB257" s="52" cm="1">
        <f t="array" aca="1" ref="AB257" ca="1">MMS_PastureBeef_Soil_N2ODirect_Equations.VEERG_4_2_1_3__2_TotalNitrogenExcretedToPastureRangeAndPaddock(AB225,AB205,AB241)</f>
        <v>665.99119668490255</v>
      </c>
      <c r="AC257" s="52" cm="1">
        <f t="array" aca="1" ref="AC257" ca="1">MMS_PastureBeef_Soil_N2ODirect_Equations.VEERG_4_2_1_3__2_TotalNitrogenExcretedToPastureRangeAndPaddock(AC225,AC205,AC241)</f>
        <v>909.74982762285401</v>
      </c>
      <c r="AD257" s="52" cm="1">
        <f t="array" aca="1" ref="AD257" ca="1">MMS_PastureBeef_Soil_N2ODirect_Equations.VEERG_4_2_1_3__2_TotalNitrogenExcretedToPastureRangeAndPaddock(AD225,AD205,AD241)</f>
        <v>909.74982762285401</v>
      </c>
      <c r="AE257" s="52" cm="1">
        <f t="array" aca="1" ref="AE257" ca="1">MMS_PastureBeef_Soil_N2ODirect_Equations.VEERG_4_2_1_3__2_TotalNitrogenExcretedToPastureRangeAndPaddock(AE225,AE205,AE241)</f>
        <v>909.74982762285401</v>
      </c>
      <c r="AF257" s="2" t="str">
        <f t="shared" si="10"/>
        <v>kg N</v>
      </c>
      <c r="AG257" s="2"/>
      <c r="AH257" s="2"/>
    </row>
    <row r="258" spans="20:35" ht="20.100000000000001" customHeight="1" x14ac:dyDescent="0.25">
      <c r="U258" s="52" t="str">
        <f>TEXT(EDATE('Input - Site'!$E$12,10), "mmmm yyyy")</f>
        <v>November 2024</v>
      </c>
      <c r="V258" s="52" cm="1">
        <f t="array" aca="1" ref="V258" ca="1">MMS_PastureBeef_Soil_N2ODirect_Equations.VEERG_4_2_1_3__2_TotalNitrogenExcretedToPastureRangeAndPaddock(V226,V206,V242)</f>
        <v>730.33145980339532</v>
      </c>
      <c r="W258" s="52" cm="1">
        <f t="array" aca="1" ref="W258" ca="1">MMS_PastureBeef_Soil_N2ODirect_Equations.VEERG_4_2_1_3__2_TotalNitrogenExcretedToPastureRangeAndPaddock(W226,W206,W242)</f>
        <v>1131.2440120269775</v>
      </c>
      <c r="X258" s="52" cm="1">
        <f t="array" aca="1" ref="X258" ca="1">MMS_PastureBeef_Soil_N2ODirect_Equations.VEERG_4_2_1_3__2_TotalNitrogenExcretedToPastureRangeAndPaddock(X226,X206,X242)</f>
        <v>562.15638666998314</v>
      </c>
      <c r="Y258" s="52" cm="1">
        <f t="array" aca="1" ref="Y258" ca="1">MMS_PastureBeef_Soil_N2ODirect_Equations.VEERG_4_2_1_3__2_TotalNitrogenExcretedToPastureRangeAndPaddock(Y226,Y206,Y242)</f>
        <v>807.10700542886923</v>
      </c>
      <c r="Z258" s="52" cm="1">
        <f t="array" aca="1" ref="Z258" ca="1">MMS_PastureBeef_Soil_N2ODirect_Equations.VEERG_4_2_1_3__2_TotalNitrogenExcretedToPastureRangeAndPaddock(Z226,Z206,Z242)</f>
        <v>920.67343317274879</v>
      </c>
      <c r="AA258" s="52" cm="1">
        <f t="array" aca="1" ref="AA258" ca="1">MMS_PastureBeef_Soil_N2ODirect_Equations.VEERG_4_2_1_3__2_TotalNitrogenExcretedToPastureRangeAndPaddock(AA226,AA206,AA242)</f>
        <v>920.67343317274879</v>
      </c>
      <c r="AB258" s="52" cm="1">
        <f t="array" aca="1" ref="AB258" ca="1">MMS_PastureBeef_Soil_N2ODirect_Equations.VEERG_4_2_1_3__2_TotalNitrogenExcretedToPastureRangeAndPaddock(AB226,AB206,AB242)</f>
        <v>644.507609695067</v>
      </c>
      <c r="AC258" s="52" cm="1">
        <f t="array" aca="1" ref="AC258" ca="1">MMS_PastureBeef_Soil_N2ODirect_Equations.VEERG_4_2_1_3__2_TotalNitrogenExcretedToPastureRangeAndPaddock(AC226,AC206,AC242)</f>
        <v>880.40305898985866</v>
      </c>
      <c r="AD258" s="52" cm="1">
        <f t="array" aca="1" ref="AD258" ca="1">MMS_PastureBeef_Soil_N2ODirect_Equations.VEERG_4_2_1_3__2_TotalNitrogenExcretedToPastureRangeAndPaddock(AD226,AD206,AD242)</f>
        <v>880.40305898985866</v>
      </c>
      <c r="AE258" s="52" cm="1">
        <f t="array" aca="1" ref="AE258" ca="1">MMS_PastureBeef_Soil_N2ODirect_Equations.VEERG_4_2_1_3__2_TotalNitrogenExcretedToPastureRangeAndPaddock(AE226,AE206,AE242)</f>
        <v>880.40305898985866</v>
      </c>
      <c r="AF258" s="2" t="str">
        <f t="shared" si="10"/>
        <v>kg N</v>
      </c>
      <c r="AG258" s="2"/>
      <c r="AH258" s="2"/>
    </row>
    <row r="259" spans="20:35" ht="20.100000000000001" customHeight="1" x14ac:dyDescent="0.25">
      <c r="U259" s="52" t="str">
        <f>TEXT(EDATE('Input - Site'!$E$12,11), "mmmm yyyy")</f>
        <v>December 2024</v>
      </c>
      <c r="V259" s="52" cm="1">
        <f t="array" aca="1" ref="V259" ca="1">MMS_PastureBeef_Soil_N2ODirect_Equations.VEERG_4_2_1_3__2_TotalNitrogenExcretedToPastureRangeAndPaddock(V227,V207,V243)</f>
        <v>289.15319378762229</v>
      </c>
      <c r="W259" s="52" cm="1">
        <f t="array" aca="1" ref="W259" ca="1">MMS_PastureBeef_Soil_N2ODirect_Equations.VEERG_4_2_1_3__2_TotalNitrogenExcretedToPastureRangeAndPaddock(W227,W207,W243)</f>
        <v>421.65805292524783</v>
      </c>
      <c r="X259" s="52" cm="1">
        <f t="array" aca="1" ref="X259" ca="1">MMS_PastureBeef_Soil_N2ODirect_Equations.VEERG_4_2_1_3__2_TotalNitrogenExcretedToPastureRangeAndPaddock(X227,X207,X243)</f>
        <v>241.21418667705774</v>
      </c>
      <c r="Y259" s="52" cm="1">
        <f t="array" aca="1" ref="Y259" ca="1">MMS_PastureBeef_Soil_N2ODirect_Equations.VEERG_4_2_1_3__2_TotalNitrogenExcretedToPastureRangeAndPaddock(Y227,Y207,Y243)</f>
        <v>313.21127433214627</v>
      </c>
      <c r="Z259" s="52" cm="1">
        <f t="array" aca="1" ref="Z259" ca="1">MMS_PastureBeef_Soil_N2ODirect_Equations.VEERG_4_2_1_3__2_TotalNitrogenExcretedToPastureRangeAndPaddock(Z227,Z207,Z243)</f>
        <v>329.00458281781619</v>
      </c>
      <c r="AA259" s="52" cm="1">
        <f t="array" aca="1" ref="AA259" ca="1">MMS_PastureBeef_Soil_N2ODirect_Equations.VEERG_4_2_1_3__2_TotalNitrogenExcretedToPastureRangeAndPaddock(AA227,AA207,AA243)</f>
        <v>329.00458281781619</v>
      </c>
      <c r="AB259" s="52" cm="1">
        <f t="array" aca="1" ref="AB259" ca="1">MMS_PastureBeef_Soil_N2ODirect_Equations.VEERG_4_2_1_3__2_TotalNitrogenExcretedToPastureRangeAndPaddock(AB227,AB207,AB243)</f>
        <v>265.4390677122351</v>
      </c>
      <c r="AC259" s="52" cm="1">
        <f t="array" aca="1" ref="AC259" ca="1">MMS_PastureBeef_Soil_N2ODirect_Equations.VEERG_4_2_1_3__2_TotalNitrogenExcretedToPastureRangeAndPaddock(AC227,AC207,AC243)</f>
        <v>326.89236244194075</v>
      </c>
      <c r="AD259" s="52" cm="1">
        <f t="array" aca="1" ref="AD259" ca="1">MMS_PastureBeef_Soil_N2ODirect_Equations.VEERG_4_2_1_3__2_TotalNitrogenExcretedToPastureRangeAndPaddock(AD227,AD207,AD243)</f>
        <v>326.89236244194075</v>
      </c>
      <c r="AE259" s="52" cm="1">
        <f t="array" aca="1" ref="AE259" ca="1">MMS_PastureBeef_Soil_N2ODirect_Equations.VEERG_4_2_1_3__2_TotalNitrogenExcretedToPastureRangeAndPaddock(AE227,AE207,AE243)</f>
        <v>326.89236244194075</v>
      </c>
      <c r="AF259" s="2" t="str">
        <f t="shared" si="10"/>
        <v>kg N</v>
      </c>
      <c r="AG259" s="2"/>
      <c r="AH259" s="2"/>
    </row>
    <row r="260" spans="20:35" ht="20.100000000000001" customHeight="1" x14ac:dyDescent="0.25"/>
    <row r="261" spans="20:35" ht="20.100000000000001" customHeight="1" x14ac:dyDescent="0.25">
      <c r="U261" s="111" t="s">
        <v>300</v>
      </c>
      <c r="V261" s="45">
        <f ca="1">SUM(V248:AE259)</f>
        <v>58623.490314488175</v>
      </c>
      <c r="W261" s="54" t="str">
        <f>$E$182</f>
        <v>kg N</v>
      </c>
    </row>
    <row r="262" spans="20:35" ht="20.100000000000001" customHeight="1" x14ac:dyDescent="0.25"/>
    <row r="263" spans="20:35" ht="20.100000000000001" customHeight="1" x14ac:dyDescent="0.25"/>
    <row r="264" spans="20:35" ht="20.100000000000001" customHeight="1" x14ac:dyDescent="0.25">
      <c r="T264" s="45"/>
      <c r="U264" s="45"/>
      <c r="V264" s="45"/>
      <c r="W264" s="45"/>
      <c r="X264" s="45"/>
      <c r="Y264" s="45"/>
      <c r="Z264" s="45"/>
      <c r="AA264" s="45"/>
      <c r="AB264" s="45"/>
      <c r="AC264" s="45"/>
      <c r="AD264" s="45"/>
      <c r="AE264" s="45"/>
      <c r="AF264" s="45"/>
      <c r="AG264" s="45"/>
      <c r="AH264" s="45"/>
      <c r="AI264" s="45"/>
    </row>
    <row r="265" spans="20:35" ht="20.100000000000001" customHeight="1" x14ac:dyDescent="0.25">
      <c r="U265" s="6" t="str" cm="1">
        <f t="array" ref="U265">MMS_PastureBeef_Soil_N2ODirect_Equations.VEERG_4_2_1_3__1_DirectNitrousOxideEmissionsOnPasture_Title()</f>
        <v>Total annual direct nitrous oxide emissions from agricultural soils from deposition of urine and dung</v>
      </c>
    </row>
    <row r="266" spans="20:35" ht="20.100000000000001" customHeight="1" x14ac:dyDescent="0.25"/>
    <row r="267" spans="20:35" ht="20.100000000000001" customHeight="1" x14ac:dyDescent="0.25">
      <c r="U267" s="99" t="s">
        <v>110</v>
      </c>
      <c r="V267" s="100" cm="1">
        <f t="array" aca="1" ref="V267" ca="1">MMS_PastureBeef_Soil_N2ODirect_Equations.VEERG_4_2_1_3__1_DirectNitrousOxideEmissionsOnPasture($V$261,$H$225,$H$226)</f>
        <v>0.18424525527410571</v>
      </c>
      <c r="W267" s="101" t="str">
        <f>$E$222</f>
        <v>t N2O</v>
      </c>
    </row>
    <row r="268" spans="20:35" ht="20.100000000000001" customHeight="1" x14ac:dyDescent="0.25"/>
    <row r="269" spans="20:35" ht="20.100000000000001" customHeight="1" x14ac:dyDescent="0.25">
      <c r="U269" s="57" t="str" cm="1">
        <f t="array" ref="U269:V270">Common_Equations.Common_ConvertN2OToCO2e_Arguments()</f>
        <v>EN2O</v>
      </c>
      <c r="V269" s="58" t="str">
        <v>Nitrous oxide emissions (t N2O)</v>
      </c>
      <c r="W269" s="102"/>
      <c r="X269" s="52">
        <f ca="1">V267</f>
        <v>0.18424525527410571</v>
      </c>
    </row>
    <row r="270" spans="20:35" ht="20.100000000000001" customHeight="1" x14ac:dyDescent="0.25">
      <c r="U270" s="57" t="str">
        <v>GWPN2O</v>
      </c>
      <c r="V270" s="58" t="str">
        <v>Global warming potential for nitrous oxide (t CO2-e / t N2O)</v>
      </c>
      <c r="W270" s="102"/>
      <c r="X270" s="52">
        <f>Common_InputFunctions.Utility_LookupValueInTableNumber("N2O",Table_GWPData[Gas],Table_GWPData[CO2-e factor])</f>
        <v>265</v>
      </c>
    </row>
    <row r="271" spans="20:35" ht="20.100000000000001" customHeight="1" x14ac:dyDescent="0.25"/>
    <row r="272" spans="20:35" ht="20.100000000000001" customHeight="1" x14ac:dyDescent="0.25">
      <c r="U272" s="45" t="s">
        <v>104</v>
      </c>
      <c r="V272" s="45" cm="1">
        <f t="array" aca="1" ref="V272" ca="1">Common_Equations.Common_ConvertN2OToCO2e(X269,X270)</f>
        <v>48.824992647638012</v>
      </c>
      <c r="W272" s="103" t="str" cm="1">
        <f t="array" ref="W272">Common_Equations.Common_ConvertN2OToCO2e_Unit()</f>
        <v>t CO2e</v>
      </c>
    </row>
    <row r="273" ht="20.100000000000001" customHeight="1" x14ac:dyDescent="0.25"/>
    <row r="274" ht="20.100000000000001" customHeight="1" x14ac:dyDescent="0.25"/>
    <row r="275" ht="20.100000000000001" customHeight="1" x14ac:dyDescent="0.25"/>
    <row r="276" ht="20.100000000000001" customHeight="1" x14ac:dyDescent="0.25"/>
    <row r="277" ht="20.100000000000001" customHeight="1" x14ac:dyDescent="0.25"/>
    <row r="278" ht="20.100000000000001" customHeight="1" x14ac:dyDescent="0.25"/>
    <row r="279" ht="20.100000000000001" customHeight="1" x14ac:dyDescent="0.25"/>
    <row r="280" ht="20.100000000000001" customHeight="1" x14ac:dyDescent="0.25"/>
    <row r="281" ht="20.100000000000001" customHeight="1" x14ac:dyDescent="0.25"/>
    <row r="282" ht="20.100000000000001" customHeight="1" x14ac:dyDescent="0.25"/>
    <row r="283" ht="20.100000000000001" customHeight="1" x14ac:dyDescent="0.25"/>
    <row r="284" ht="20.100000000000001" customHeight="1" x14ac:dyDescent="0.25"/>
    <row r="285" ht="20.100000000000001" customHeight="1" x14ac:dyDescent="0.25"/>
    <row r="286" ht="20.100000000000001" customHeight="1" x14ac:dyDescent="0.25"/>
    <row r="287" ht="20.100000000000001" customHeight="1" x14ac:dyDescent="0.25"/>
    <row r="288" ht="20.100000000000001" customHeight="1" x14ac:dyDescent="0.25"/>
    <row r="289" ht="20.100000000000001" customHeight="1" x14ac:dyDescent="0.25"/>
    <row r="290" ht="20.100000000000001" customHeight="1" x14ac:dyDescent="0.25"/>
    <row r="291" ht="20.100000000000001" customHeight="1" x14ac:dyDescent="0.25"/>
  </sheetData>
  <dataValidations disablePrompts="1" count="1">
    <dataValidation operator="equal" allowBlank="1" showInputMessage="1" showErrorMessage="1" sqref="E271 F79 D80:E80 E101:Q101 E74:F74 F106:Q106 E226 E274 V114:AI114 E241 E238 E262 V244 E265" xr:uid="{CE18DC45-74F3-46B3-972B-5F44E5579A05}"/>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V165"/>
  <sheetViews>
    <sheetView showGridLines="0" topLeftCell="A17" workbookViewId="0">
      <selection activeCell="E35" sqref="E35"/>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1" width="30.7109375" style="1" customWidth="1"/>
    <col min="22" max="22" width="4.7109375" style="1" customWidth="1"/>
  </cols>
  <sheetData>
    <row r="1" spans="1:22" s="8" customFormat="1" ht="30" customHeight="1" x14ac:dyDescent="0.35">
      <c r="A1" s="8" t="e" vm="1">
        <v>#VALUE!</v>
      </c>
      <c r="C1" s="8" t="s">
        <v>306</v>
      </c>
    </row>
    <row r="2" spans="1:22" s="9" customFormat="1" ht="20.100000000000001" customHeight="1" x14ac:dyDescent="0.25"/>
    <row r="3" spans="1:22" ht="20.100000000000001" customHeight="1" x14ac:dyDescent="0.25">
      <c r="A3" s="17" t="str">
        <f>HYPERLINK("#'Home'!A1", "Home")</f>
        <v>Home</v>
      </c>
      <c r="C3" s="4"/>
      <c r="D3" s="4" t="s">
        <v>108</v>
      </c>
      <c r="E3" s="4"/>
      <c r="F3" s="4"/>
      <c r="G3" s="4"/>
      <c r="H3" s="4"/>
      <c r="I3" s="4"/>
      <c r="J3" s="4"/>
      <c r="K3" s="4"/>
      <c r="M3" s="4"/>
      <c r="N3" s="4" t="s">
        <v>109</v>
      </c>
      <c r="O3" s="4"/>
      <c r="P3" s="4"/>
      <c r="Q3" s="4"/>
      <c r="R3" s="4"/>
      <c r="S3" s="4"/>
      <c r="T3" s="4"/>
      <c r="U3" s="4"/>
      <c r="V3" s="4"/>
    </row>
    <row r="4" spans="1:22" ht="20.100000000000001" customHeight="1" x14ac:dyDescent="0.25">
      <c r="A4" s="17" t="str">
        <f>HYPERLINK("#'Results'!A1", "Results")</f>
        <v>Results</v>
      </c>
    </row>
    <row r="5" spans="1:22" ht="20.100000000000001" customHeight="1" x14ac:dyDescent="0.25">
      <c r="A5" s="16"/>
      <c r="D5" s="6" t="str" cm="1">
        <f t="array" ref="D5">MMS_PastureBeef_Soil_AtmosphericDeposition_Equations.VEERG_4_2_1_5__2_MassOfNitrogenVolatilisedOnPasture_Title()</f>
        <v>Mass of nitrogen volatilised</v>
      </c>
    </row>
    <row r="6" spans="1:22" ht="20.100000000000001" customHeight="1" x14ac:dyDescent="0.25">
      <c r="A6" s="20" t="s">
        <v>3</v>
      </c>
      <c r="D6" s="5" t="str" cm="1">
        <f t="array" ref="D6">MMS_PastureBeef_Soil_AtmosphericDeposition_Equations.VEERG_4_2_1_5__2_MassOfNitrogenVolatilisedOnPasture_Source()</f>
        <v>VEERG 2026: 4.2.1.5, Equation (2)</v>
      </c>
    </row>
    <row r="7" spans="1:22" ht="20.100000000000001" customHeight="1" x14ac:dyDescent="0.25">
      <c r="A7" s="17" t="str">
        <f>HYPERLINK("#'Input - Site'!A1", "Site")</f>
        <v>Site</v>
      </c>
      <c r="D7" s="13" t="s">
        <v>27</v>
      </c>
      <c r="E7" s="13" t="str" cm="1">
        <f t="array" aca="1" ref="E7" ca="1">Common_InputFunctions.Utility_DisplayFunctionName(E16)</f>
        <v>=MMS_PastureBeef_Soil_AtmosphericDeposition_Equations.VEERG_4_2_1_5__2_MassOfNitrogenVolatilisedOnPasture</v>
      </c>
    </row>
    <row r="8" spans="1:22" ht="20.100000000000001" customHeight="1" x14ac:dyDescent="0.25">
      <c r="A8" s="17" t="str">
        <f>HYPERLINK("#'Input - Pasture Beef'!A1", "Pasture Beef")</f>
        <v>Pasture Beef</v>
      </c>
    </row>
    <row r="9" spans="1:22" ht="20.100000000000001" customHeight="1" x14ac:dyDescent="0.25">
      <c r="A9" s="17"/>
    </row>
    <row r="10" spans="1:22" ht="20.100000000000001" customHeight="1" x14ac:dyDescent="0.25">
      <c r="A10" s="19" t="s">
        <v>77</v>
      </c>
      <c r="D10" s="53" t="s">
        <v>30</v>
      </c>
      <c r="E10" s="1" t="str" cm="1">
        <f t="array" ref="E10">MMS_PastureBeef_Soil_AtmosphericDeposition_Equations.VEERG_4_2_1_5__2_MassOfNitrogenVolatilisedOnPasture_Variable()</f>
        <v>M_vol</v>
      </c>
    </row>
    <row r="11" spans="1:22" ht="20.100000000000001" customHeight="1" x14ac:dyDescent="0.25">
      <c r="A11" s="17" t="str">
        <f>HYPERLINK("#'4.2.1.1-2 Methane'!A1", "4.2.1.1-2 Methane")</f>
        <v>4.2.1.1-2 Methane</v>
      </c>
      <c r="D11" s="53" t="s">
        <v>20</v>
      </c>
      <c r="E11" s="54" t="str" cm="1">
        <f t="array" ref="E11">MMS_PastureBeef_Soil_AtmosphericDeposition_Equations.VEERG_4_2_1_5__2_MassOfNitrogenVolatilisedOnPasture_Unit()</f>
        <v>kg N</v>
      </c>
    </row>
    <row r="12" spans="1:22" ht="20.100000000000001" customHeight="1" x14ac:dyDescent="0.25">
      <c r="A12" s="17" t="str">
        <f>HYPERLINK("#'4.2.1.3-4 Soil direct N2O'!A1", "4.2.1.3-4 Soil direct N2O")</f>
        <v>4.2.1.3-4 Soil direct N2O</v>
      </c>
    </row>
    <row r="13" spans="1:22" ht="20.100000000000001" customHeight="1" x14ac:dyDescent="0.25">
      <c r="A13" s="17" t="str">
        <f>HYPERLINK("#'4.2.1.5-6 Soil Atmos Dep'!A1", "4.2.1.5-6 Soil atm. deposition")</f>
        <v>4.2.1.5-6 Soil atm. deposition</v>
      </c>
      <c r="D13" s="119" t="str" cm="1">
        <f t="array" ref="D13:E14">_xlfn.CHOOSECOLS(MMS_PastureBeef_Soil_AtmosphericDeposition_Equations.VEERG_4_2_1_5__2_MassOfNitrogenVolatilisedOnPasture_Arguments(),1,2)</f>
        <v>AE</v>
      </c>
      <c r="E13" s="124" t="str">
        <v>total mass of nitrogen excreted on PRP for beef cattle</v>
      </c>
      <c r="F13" s="125"/>
      <c r="G13" s="123"/>
      <c r="H13" s="119" t="str" cm="1">
        <f t="array" ref="H13:I14">_xlfn.CHOOSECOLS(MMS_PastureBeef_Soil_AtmosphericDeposition_Equations.VEERG_4_2_1_5__2_MassOfNitrogenVolatilisedOnPasture_Arguments(),3,4)</f>
        <v>kg N</v>
      </c>
      <c r="I13" s="120" t="str">
        <v>Calculated from 4.2.1.3 (2)</v>
      </c>
      <c r="J13" s="119">
        <f ca="1">'4.2.1.3-4 Soil direct N20'!$E$212</f>
        <v>60490.349382369524</v>
      </c>
      <c r="N13" s="119" t="str" cm="1">
        <f t="array" ref="N13:O14">_xlfn.CHOOSECOLS(MMS_PastureBeef_Soil_AtmosphericDeposition_Equations.VEERG_4_2_1_5__2_MassOfNitrogenVolatilisedOnPasture_Arguments(),1,2)</f>
        <v>AE</v>
      </c>
      <c r="O13" s="124" t="str">
        <v>total mass of nitrogen excreted on PRP for beef cattle</v>
      </c>
      <c r="P13" s="125"/>
      <c r="Q13" s="123"/>
      <c r="R13" s="119" t="str" cm="1">
        <f t="array" ref="R13:S14">_xlfn.CHOOSECOLS(MMS_PastureBeef_Soil_AtmosphericDeposition_Equations.VEERG_4_2_1_5__2_MassOfNitrogenVolatilisedOnPasture_Arguments(),3,4)</f>
        <v>kg N</v>
      </c>
      <c r="S13" s="120" t="str">
        <v>Calculated from 4.2.1.3 (2)</v>
      </c>
      <c r="T13" s="57">
        <f ca="1">'4.2.1.3-4 Soil direct N20'!$V$261</f>
        <v>58623.490314488175</v>
      </c>
    </row>
    <row r="14" spans="1:22" ht="20.100000000000001" customHeight="1" x14ac:dyDescent="0.25">
      <c r="A14" s="17" t="str">
        <f>HYPERLINK("#'4.2.1.7-8 Soil leach runoff'!A1", "4.2.1.7-8 Soil leach &amp; runoff")</f>
        <v>4.2.1.7-8 Soil leach &amp; runoff</v>
      </c>
      <c r="D14" s="119" t="str">
        <v>FracGASMsoil</v>
      </c>
      <c r="E14" s="124" t="str">
        <v>fraction of nitrogen volatilised from urine and faeces deposited on pasture ((kg NH3-N + NOx-N)/kg N)</v>
      </c>
      <c r="F14" s="125"/>
      <c r="G14" s="123"/>
      <c r="H14" s="119" t="str">
        <v>fraction</v>
      </c>
      <c r="I14" s="120" t="str">
        <v>Constant</v>
      </c>
      <c r="J14" s="119">
        <f>'Constants - Pature Beef'!$D$434</f>
        <v>0.21</v>
      </c>
      <c r="N14" s="119" t="str">
        <v>FracGASMsoil</v>
      </c>
      <c r="O14" s="124" t="str">
        <v>fraction of nitrogen volatilised from urine and faeces deposited on pasture ((kg NH3-N + NOx-N)/kg N)</v>
      </c>
      <c r="P14" s="125"/>
      <c r="Q14" s="123"/>
      <c r="R14" s="119" t="str">
        <v>fraction</v>
      </c>
      <c r="S14" s="120" t="str">
        <v>Constant</v>
      </c>
      <c r="T14" s="57"/>
    </row>
    <row r="15" spans="1:22" ht="20.100000000000001" customHeight="1" x14ac:dyDescent="0.25">
      <c r="A15" s="17"/>
    </row>
    <row r="16" spans="1:22" ht="20.100000000000001" customHeight="1" x14ac:dyDescent="0.25">
      <c r="A16" s="18" t="s">
        <v>4</v>
      </c>
      <c r="D16" s="111" t="s">
        <v>319</v>
      </c>
      <c r="E16" s="45" cm="1">
        <f t="array" aca="1" ref="E16" ca="1">MMS_PastureBeef_Soil_AtmosphericDeposition_Equations.VEERG_4_2_1_5__2_MassOfNitrogenVolatilisedOnPasture(J13,J14)</f>
        <v>12702.973370297599</v>
      </c>
      <c r="F16" s="103" t="str">
        <f>E11</f>
        <v>kg N</v>
      </c>
      <c r="L16" s="56"/>
      <c r="N16" s="111" t="s">
        <v>319</v>
      </c>
      <c r="O16" s="45" cm="1">
        <f t="array" aca="1" ref="O16" ca="1">MMS_PastureBeef_Soil_AtmosphericDeposition_Equations.VEERG_4_2_1_5__2_MassOfNitrogenVolatilisedOnPasture(T13,$J$14)</f>
        <v>12310.932966042516</v>
      </c>
      <c r="P16" s="103">
        <f>O11</f>
        <v>0</v>
      </c>
    </row>
    <row r="17" spans="1:22" ht="20.100000000000001" customHeight="1" x14ac:dyDescent="0.25">
      <c r="A17" s="17" t="str">
        <f>HYPERLINK("#'Constants - Pasture Beef'!A1", "Constants - Pasture Beef")</f>
        <v>Constants - Pasture Beef</v>
      </c>
      <c r="L17" s="56"/>
    </row>
    <row r="18" spans="1:22" ht="20.100000000000001" customHeight="1" x14ac:dyDescent="0.25">
      <c r="A18" s="17" t="str">
        <f>HYPERLINK("#'Constants - Livestock'!A1", "Constants - Livestock")</f>
        <v>Constants - Livestock</v>
      </c>
      <c r="L18" s="56"/>
    </row>
    <row r="19" spans="1:22" ht="20.100000000000001" customHeight="1" x14ac:dyDescent="0.25">
      <c r="A19" s="17" t="str">
        <f>HYPERLINK("#'Constants - Common'!A1", "Constants - Common")</f>
        <v>Constants - Common</v>
      </c>
      <c r="C19" s="45"/>
      <c r="D19" s="45"/>
      <c r="E19" s="45"/>
      <c r="F19" s="45"/>
      <c r="G19" s="45"/>
      <c r="H19" s="45"/>
      <c r="I19" s="45"/>
      <c r="J19" s="45"/>
      <c r="K19" s="45"/>
      <c r="L19" s="56"/>
      <c r="M19" s="45"/>
      <c r="N19" s="45"/>
      <c r="O19" s="45"/>
      <c r="P19" s="45"/>
      <c r="Q19" s="45"/>
      <c r="R19" s="45"/>
      <c r="S19" s="45"/>
      <c r="T19" s="45"/>
      <c r="U19" s="45"/>
      <c r="V19" s="45"/>
    </row>
    <row r="20" spans="1:22" ht="20.100000000000001" customHeight="1" x14ac:dyDescent="0.25">
      <c r="A20" s="17" t="str">
        <f>HYPERLINK("#'Acknowledgements'!A1", "Acknowledgements")</f>
        <v>Acknowledgements</v>
      </c>
      <c r="D20" s="6" t="str" cm="1">
        <f t="array" ref="D20">MMS_PastureBeef_Soil_AtmosphericDeposition_Equations.VEERG_4_2_1_5__1_AtmosphericDepositionEmissionsFromUrineAndDungOnPasture_Title()</f>
        <v>Atmospheric deposition emissions from urine and dung deposited on pasture</v>
      </c>
    </row>
    <row r="21" spans="1:22" ht="20.100000000000001" customHeight="1" x14ac:dyDescent="0.25">
      <c r="D21" s="5" t="str" cm="1">
        <f t="array" ref="D21">MMS_PastureBeef_Soil_AtmosphericDeposition_Equations.VEERG_4_2_1_5__1_AtmosphericDepositionEmissionsFromUrineAndDungOnPasture_Source()</f>
        <v>VEERG 2026: 4.2.1.5, Equation (1)</v>
      </c>
    </row>
    <row r="22" spans="1:22" ht="20.100000000000001" customHeight="1" x14ac:dyDescent="0.25">
      <c r="A22" s="17"/>
      <c r="D22" s="13" t="s">
        <v>27</v>
      </c>
      <c r="E22" s="13" t="str" cm="1">
        <f t="array" aca="1" ref="E22" ca="1">Common_InputFunctions.Utility_DisplayFunctionName($E$35)</f>
        <v>=MMS_PastureBeef_Soil_AtmosphericDeposition_Equations.VEERG_4_2_1_5__1_AtmosphericDepositionEmissionsFromUrineAndDungOnPasture</v>
      </c>
    </row>
    <row r="23" spans="1:22" ht="20.100000000000001" customHeight="1" x14ac:dyDescent="0.25">
      <c r="A23" s="17"/>
    </row>
    <row r="24" spans="1:22" ht="20.100000000000001" customHeight="1" x14ac:dyDescent="0.25">
      <c r="A24" s="17"/>
    </row>
    <row r="25" spans="1:22" ht="20.100000000000001" customHeight="1" x14ac:dyDescent="0.25">
      <c r="D25" s="53" t="s">
        <v>30</v>
      </c>
      <c r="E25" s="1" t="str" cm="1">
        <f t="array" ref="E25">MMS_PastureBeef_Soil_AtmosphericDeposition_Equations.VEERG_4_2_1_5__1_AtmosphericDepositionEmissionsFromUrineAndDungOnPasture_Variable()</f>
        <v>E_N2Oad</v>
      </c>
    </row>
    <row r="26" spans="1:22" ht="20.100000000000001" customHeight="1" x14ac:dyDescent="0.25">
      <c r="D26" s="53" t="s">
        <v>20</v>
      </c>
      <c r="E26" s="54" t="str" cm="1">
        <f t="array" ref="E26">MMS_PastureBeef_Soil_AtmosphericDeposition_Equations.VEERG_4_2_1_5__1_AtmosphericDepositionEmissionsFromUrineAndDungOnPasture_Unit()</f>
        <v>t N2O</v>
      </c>
    </row>
    <row r="27" spans="1:22" ht="20.100000000000001" customHeight="1" x14ac:dyDescent="0.25"/>
    <row r="28" spans="1:22" ht="20.100000000000001" customHeight="1" x14ac:dyDescent="0.25">
      <c r="D28" s="119" t="str" cm="1">
        <f t="array" ref="D28:E33">_xlfn.CHOOSECOLS(MMS_PastureBeef_Soil_AtmosphericDeposition_Equations.VEERG_4_2_1_5__1_AtmosphericDepositionEmissionsFromUrineAndDungOnPasture_Arguments(),1,2)</f>
        <v>M_vol</v>
      </c>
      <c r="E28" s="124" t="str">
        <v>mass of nitrogen volatilised from urine and faeces deposited on pasture</v>
      </c>
      <c r="F28" s="123"/>
      <c r="G28" s="119" t="str" cm="1">
        <f t="array" ref="G28:H33">_xlfn.CHOOSECOLS(MMS_PastureBeef_Soil_AtmosphericDeposition_Equations.VEERG_4_2_1_5__1_AtmosphericDepositionEmissionsFromUrineAndDungOnPasture_Arguments(),3,4)</f>
        <v>kg N</v>
      </c>
      <c r="H28" s="120" t="str">
        <v>Calculated from 4.2.1.5 (2)</v>
      </c>
      <c r="I28" s="119">
        <f ca="1">E16</f>
        <v>12702.973370297599</v>
      </c>
      <c r="N28" s="119" t="str" cm="1">
        <f t="array" ref="N28:O33">_xlfn.CHOOSECOLS(MMS_PastureBeef_Soil_AtmosphericDeposition_Equations.VEERG_4_2_1_5__1_AtmosphericDepositionEmissionsFromUrineAndDungOnPasture_Arguments(),1,2)</f>
        <v>M_vol</v>
      </c>
      <c r="O28" s="124" t="str">
        <v>mass of nitrogen volatilised from urine and faeces deposited on pasture</v>
      </c>
      <c r="P28" s="123"/>
      <c r="Q28" s="119" t="str" cm="1">
        <f t="array" ref="Q28:R33">_xlfn.CHOOSECOLS(MMS_PastureBeef_Soil_AtmosphericDeposition_Equations.VEERG_4_2_1_5__1_AtmosphericDepositionEmissionsFromUrineAndDungOnPasture_Arguments(),3,4)</f>
        <v>kg N</v>
      </c>
      <c r="R28" s="120" t="str">
        <v>Calculated from 4.2.1.5 (2)</v>
      </c>
      <c r="S28" s="57">
        <f ca="1">O16</f>
        <v>12310.932966042516</v>
      </c>
    </row>
    <row r="29" spans="1:22" ht="20.100000000000001" customHeight="1" x14ac:dyDescent="0.25">
      <c r="D29" s="119" t="str">
        <v>EF_N2O</v>
      </c>
      <c r="E29" s="124" t="str">
        <v>nitrous oxide emission factor for atmospheric deposition</v>
      </c>
      <c r="F29" s="123"/>
      <c r="G29" s="119" t="str">
        <v>kg N2O-N/kg N</v>
      </c>
      <c r="H29" s="120" t="str">
        <v>Constant</v>
      </c>
      <c r="I29" s="119">
        <f>Common_InputFunctions.Utility_LookupN2OEFFromProdIrrigationRainfall($I$31,$I$32,$I$33,Table_SourceData_Common_EFN2O[Production system only],Table_SourceData_Common_EFN2O[Irrigation method],Table_SourceData_Common_EFN2O[Rainfall zone],Table_SourceData_Common_EFN2O[EFN2O])</f>
        <v>5.8999999999999999E-3</v>
      </c>
      <c r="N29" s="119" t="str">
        <v>EF_N2O</v>
      </c>
      <c r="O29" s="124" t="str">
        <v>nitrous oxide emission factor for atmospheric deposition</v>
      </c>
      <c r="P29" s="123"/>
      <c r="Q29" s="119" t="str">
        <v>kg N2O-N/kg N</v>
      </c>
      <c r="R29" s="120" t="str">
        <v>Constant</v>
      </c>
      <c r="S29" s="57"/>
    </row>
    <row r="30" spans="1:22" ht="20.100000000000001" customHeight="1" x14ac:dyDescent="0.25">
      <c r="D30" s="119" t="str">
        <v>C_N2O</v>
      </c>
      <c r="E30" s="124" t="str">
        <v>factor to convert elemental mass of N2O to molecular mass</v>
      </c>
      <c r="F30" s="123"/>
      <c r="G30" s="119" t="str">
        <v/>
      </c>
      <c r="H30" s="120" t="str">
        <v>Constant</v>
      </c>
      <c r="I30" s="119">
        <f>Common_InputFunctions.Utility_LookupValueInTableNumber("N2O",Table_GasToMolecularConversionFactor[Gas],Table_GasToMolecularConversionFactor[Conversion factor combined])</f>
        <v>1.5714285714285714</v>
      </c>
      <c r="N30" s="119" t="str">
        <v>C_N2O</v>
      </c>
      <c r="O30" s="124" t="str">
        <v>factor to convert elemental mass of N2O to molecular mass</v>
      </c>
      <c r="P30" s="123"/>
      <c r="Q30" s="119" t="str">
        <v/>
      </c>
      <c r="R30" s="120" t="str">
        <v>Constant</v>
      </c>
      <c r="S30" s="57"/>
    </row>
    <row r="31" spans="1:22" ht="20.100000000000001" customHeight="1" x14ac:dyDescent="0.25">
      <c r="D31" s="119" t="str">
        <v>j</v>
      </c>
      <c r="E31" s="124" t="str">
        <v>production system</v>
      </c>
      <c r="F31" s="123"/>
      <c r="G31" s="119" t="str">
        <v/>
      </c>
      <c r="H31" s="121" t="str">
        <v>Input</v>
      </c>
      <c r="I31" s="119" t="str">
        <f>X_Cell_PastureBeef_GrazingProductionSystem</f>
        <v>Pasture</v>
      </c>
      <c r="N31" s="119" t="str">
        <v>j</v>
      </c>
      <c r="O31" s="124" t="str">
        <v>production system</v>
      </c>
      <c r="P31" s="123"/>
      <c r="Q31" s="119" t="str">
        <v/>
      </c>
      <c r="R31" s="121" t="str">
        <v>Input</v>
      </c>
      <c r="S31" s="57"/>
    </row>
    <row r="32" spans="1:22" ht="20.100000000000001" customHeight="1" x14ac:dyDescent="0.25">
      <c r="D32" s="119" t="str">
        <v>i</v>
      </c>
      <c r="E32" s="124" t="str">
        <v>irrigation method</v>
      </c>
      <c r="F32" s="123"/>
      <c r="G32" s="119" t="str">
        <v/>
      </c>
      <c r="H32" s="121" t="str">
        <v>Input</v>
      </c>
      <c r="I32" s="119" t="str">
        <f>X_Cell_PastureBeef_GrazingIrrigationMethod</f>
        <v>Sprinkler irrigation</v>
      </c>
      <c r="N32" s="119" t="str">
        <v>i</v>
      </c>
      <c r="O32" s="124" t="str">
        <v>irrigation method</v>
      </c>
      <c r="P32" s="123"/>
      <c r="Q32" s="119" t="str">
        <v/>
      </c>
      <c r="R32" s="121" t="str">
        <v>Input</v>
      </c>
      <c r="S32" s="57"/>
    </row>
    <row r="33" spans="4:19" ht="20.100000000000001" customHeight="1" x14ac:dyDescent="0.25">
      <c r="D33" s="119" t="str">
        <v>r</v>
      </c>
      <c r="E33" s="124" t="str">
        <v>rainfall zone</v>
      </c>
      <c r="F33" s="123"/>
      <c r="G33" s="119" t="str">
        <v/>
      </c>
      <c r="H33" s="121" t="str">
        <v>Input</v>
      </c>
      <c r="I33" s="119" t="str">
        <f>X_Cell_Site_RainfallZone</f>
        <v>High rainfall</v>
      </c>
      <c r="N33" s="119" t="str">
        <v>r</v>
      </c>
      <c r="O33" s="124" t="str">
        <v>rainfall zone</v>
      </c>
      <c r="P33" s="123"/>
      <c r="Q33" s="119" t="str">
        <v/>
      </c>
      <c r="R33" s="121" t="str">
        <v>Input</v>
      </c>
      <c r="S33" s="57"/>
    </row>
    <row r="34" spans="4:19" ht="20.100000000000001" customHeight="1" x14ac:dyDescent="0.25"/>
    <row r="35" spans="4:19" ht="20.100000000000001" customHeight="1" x14ac:dyDescent="0.25">
      <c r="D35" s="111" t="s">
        <v>322</v>
      </c>
      <c r="E35" s="45" cm="1">
        <f t="array" aca="1" ref="E35" ca="1">MMS_PastureBeef_Soil_AtmosphericDeposition_Equations.VEERG_4_2_1_5__1_AtmosphericDepositionEmissionsFromUrineAndDungOnPasture(I28,I29,I30)</f>
        <v>0.11777471024747345</v>
      </c>
      <c r="F35" s="103" t="str">
        <f>$E$26</f>
        <v>t N2O</v>
      </c>
      <c r="N35" s="111" t="s">
        <v>322</v>
      </c>
      <c r="O35" s="45" cm="1">
        <f t="array" aca="1" ref="O35" ca="1">MMS_PastureBeef_Soil_AtmosphericDeposition_Equations.VEERG_4_2_1_5__1_AtmosphericDepositionEmissionsFromUrineAndDungOnPasture(S28,I29,I30)</f>
        <v>0.11413993564230847</v>
      </c>
      <c r="P35" s="103" t="str">
        <f>$E$26</f>
        <v>t N2O</v>
      </c>
    </row>
    <row r="36" spans="4:19" ht="20.100000000000001" customHeight="1" x14ac:dyDescent="0.25"/>
    <row r="37" spans="4:19" ht="20.100000000000001" customHeight="1" x14ac:dyDescent="0.25">
      <c r="D37" s="57" t="str" cm="1">
        <f t="array" ref="D37:E38">Common_Equations.Common_ConvertN2OToCO2e_Arguments()</f>
        <v>EN2O</v>
      </c>
      <c r="E37" s="58" t="str">
        <v>Nitrous oxide emissions (t N2O)</v>
      </c>
      <c r="F37" s="102"/>
      <c r="G37" s="52">
        <f ca="1">E35</f>
        <v>0.11777471024747345</v>
      </c>
      <c r="N37" s="57" t="str" cm="1">
        <f t="array" ref="N37:O38">Common_Equations.Common_ConvertN2OToCO2e_Arguments()</f>
        <v>EN2O</v>
      </c>
      <c r="O37" s="58" t="str">
        <v>Nitrous oxide emissions (t N2O)</v>
      </c>
      <c r="P37" s="102"/>
      <c r="Q37" s="52">
        <f ca="1">O35</f>
        <v>0.11413993564230847</v>
      </c>
    </row>
    <row r="38" spans="4:19" ht="20.100000000000001" customHeight="1" x14ac:dyDescent="0.25">
      <c r="D38" s="57" t="str">
        <v>GWPN2O</v>
      </c>
      <c r="E38" s="58" t="str">
        <v>Global warming potential for nitrous oxide (t CO2-e / t N2O)</v>
      </c>
      <c r="F38" s="102"/>
      <c r="G38" s="52">
        <f>Common_InputFunctions.Utility_LookupValueInTableNumber("N2O",Table_GWPData[Gas],Table_GWPData[CO2-e factor])</f>
        <v>265</v>
      </c>
      <c r="N38" s="57" t="str">
        <v>GWPN2O</v>
      </c>
      <c r="O38" s="58" t="str">
        <v>Global warming potential for nitrous oxide (t CO2-e / t N2O)</v>
      </c>
      <c r="P38" s="102"/>
      <c r="Q38" s="52">
        <f>Common_InputFunctions.Utility_LookupValueInTableNumber("N2O",Table_GWPData[Gas],Table_GWPData[CO2-e factor])</f>
        <v>265</v>
      </c>
    </row>
    <row r="39" spans="4:19" ht="20.100000000000001" customHeight="1" x14ac:dyDescent="0.25"/>
    <row r="40" spans="4:19" ht="20.100000000000001" customHeight="1" x14ac:dyDescent="0.25">
      <c r="D40" s="45" t="s">
        <v>104</v>
      </c>
      <c r="E40" s="45" cm="1">
        <f t="array" aca="1" ref="E40" ca="1">Common_Equations.Common_ConvertN2OToCO2e(G37,G38)</f>
        <v>31.210298215580465</v>
      </c>
      <c r="F40" s="103" t="str" cm="1">
        <f t="array" ref="F40">Common_Equations.Common_ConvertN2OToCO2e_Unit()</f>
        <v>t CO2e</v>
      </c>
      <c r="N40" s="45" t="s">
        <v>104</v>
      </c>
      <c r="O40" s="45" cm="1">
        <f t="array" aca="1" ref="O40" ca="1">Common_Equations.Common_ConvertN2OToCO2e(Q37,Q38)</f>
        <v>30.247082945211744</v>
      </c>
      <c r="P40" s="103" t="str" cm="1">
        <f t="array" ref="P40">Common_Equations.Common_ConvertN2OToCO2e_Unit()</f>
        <v>t CO2e</v>
      </c>
    </row>
    <row r="41" spans="4:19" ht="20.100000000000001" customHeight="1" x14ac:dyDescent="0.25"/>
    <row r="42" spans="4:19" ht="20.100000000000001" customHeight="1" x14ac:dyDescent="0.25"/>
    <row r="43" spans="4:19" ht="20.100000000000001" customHeight="1" x14ac:dyDescent="0.25"/>
    <row r="44" spans="4:19" ht="20.100000000000001" customHeight="1" x14ac:dyDescent="0.25"/>
    <row r="45" spans="4:19" ht="20.100000000000001" customHeight="1" x14ac:dyDescent="0.25"/>
    <row r="46" spans="4:19" ht="20.100000000000001" customHeight="1" x14ac:dyDescent="0.25"/>
    <row r="47" spans="4:19" ht="20.100000000000001" customHeight="1" x14ac:dyDescent="0.25"/>
    <row r="48" spans="4:19"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19 O19 E24 O24" xr:uid="{27894986-D8F7-4ECC-BDC3-495A6C274A89}"/>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S165"/>
  <sheetViews>
    <sheetView showGridLines="0" topLeftCell="A15" workbookViewId="0">
      <selection activeCell="F44" sqref="F44"/>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8" t="e" vm="1">
        <v>#VALUE!</v>
      </c>
      <c r="C1" s="8" t="s">
        <v>155</v>
      </c>
    </row>
    <row r="2" spans="1:19" s="9" customFormat="1" ht="20.100000000000001" customHeight="1" x14ac:dyDescent="0.25"/>
    <row r="3" spans="1:19" ht="20.100000000000001" customHeight="1" x14ac:dyDescent="0.25">
      <c r="A3" s="17" t="str">
        <f>HYPERLINK("#'Home'!A1", "Home")</f>
        <v>Home</v>
      </c>
      <c r="C3" s="4"/>
      <c r="D3" s="4" t="s">
        <v>108</v>
      </c>
      <c r="E3" s="4"/>
      <c r="F3" s="4"/>
      <c r="G3" s="4"/>
      <c r="H3" s="4"/>
      <c r="I3" s="4"/>
      <c r="J3" s="4"/>
      <c r="L3" s="4"/>
      <c r="M3" s="4" t="s">
        <v>109</v>
      </c>
      <c r="N3" s="4"/>
      <c r="O3" s="4"/>
      <c r="P3" s="4"/>
      <c r="Q3" s="4"/>
      <c r="R3" s="4"/>
      <c r="S3" s="4"/>
    </row>
    <row r="4" spans="1:19" ht="20.100000000000001" customHeight="1" x14ac:dyDescent="0.25">
      <c r="A4" s="17" t="str">
        <f>HYPERLINK("#'Results'!A1", "Results")</f>
        <v>Results</v>
      </c>
    </row>
    <row r="5" spans="1:19" ht="20.100000000000001" customHeight="1" x14ac:dyDescent="0.25">
      <c r="A5" s="16"/>
      <c r="D5" s="6" t="str" cm="1">
        <f t="array" ref="D5">MMS_PastureBeef_Soil_LeachingAndRunoff.VEERG_4_2_1_7__2_MassOfNitrogenLostToLeachingAndRunoffOnPasture_Title()</f>
        <v>Mass of nitrogen lost to leaching and runoff</v>
      </c>
    </row>
    <row r="6" spans="1:19" ht="20.100000000000001" customHeight="1" x14ac:dyDescent="0.25">
      <c r="A6" s="20" t="s">
        <v>3</v>
      </c>
      <c r="D6" s="5" t="str" cm="1">
        <f t="array" ref="D6">MMS_PastureBeef_Soil_LeachingAndRunoff.VEERG_4_2_1_7__2_MassOfNitrogenLostToLeachingAndRunoffOnPasture_Source()</f>
        <v>VEERG 2026: 4.2.1.7, Equation (2)</v>
      </c>
    </row>
    <row r="7" spans="1:19" ht="20.100000000000001" customHeight="1" x14ac:dyDescent="0.25">
      <c r="A7" s="17" t="str">
        <f>HYPERLINK("#'Input - Site'!A1", "Site")</f>
        <v>Site</v>
      </c>
      <c r="D7" s="13" t="s">
        <v>27</v>
      </c>
      <c r="E7" s="13" t="str" cm="1">
        <f t="array" aca="1" ref="E7" ca="1">Common_InputFunctions.Utility_DisplayFunctionName(E20)</f>
        <v>=MMS_PastureBeef_Soil_LeachingAndRunoff.VEERG_4_2_1_7__2_MassOfNitrogenLostToLeachingAndRunoffOnPasture</v>
      </c>
    </row>
    <row r="8" spans="1:19" ht="20.100000000000001" customHeight="1" x14ac:dyDescent="0.25">
      <c r="A8" s="17" t="str">
        <f>HYPERLINK("#'Input - Pasture Beef'!A1", "Pasture Beef")</f>
        <v>Pasture Beef</v>
      </c>
    </row>
    <row r="9" spans="1:19" ht="20.100000000000001" customHeight="1" x14ac:dyDescent="0.25">
      <c r="A9" s="17"/>
    </row>
    <row r="10" spans="1:19" ht="20.100000000000001" customHeight="1" x14ac:dyDescent="0.25">
      <c r="A10" s="19" t="s">
        <v>77</v>
      </c>
      <c r="D10" s="53" t="s">
        <v>30</v>
      </c>
      <c r="E10" s="1" t="str" cm="1">
        <f t="array" ref="E10">MMS_PastureBeef_Soil_LeachingAndRunoff.VEERG_4_2_1_7__2_MassOfNitrogenLostToLeachingAndRunoffOnPasture_Variable()</f>
        <v>M_leach</v>
      </c>
    </row>
    <row r="11" spans="1:19" ht="20.100000000000001" customHeight="1" x14ac:dyDescent="0.25">
      <c r="A11" s="17" t="str">
        <f>HYPERLINK("#'4.2.1.1-2 Methane'!A1", "4.2.1.1-2 Methane")</f>
        <v>4.2.1.1-2 Methane</v>
      </c>
      <c r="D11" s="53" t="s">
        <v>20</v>
      </c>
      <c r="E11" s="54" t="str" cm="1">
        <f t="array" ref="E11">MMS_PastureBeef_Soil_LeachingAndRunoff.VEERG_4_2_1_7__2_MassOfNitrogenLostToLeachingAndRunoffOnPasture_Unit()</f>
        <v>kg N</v>
      </c>
    </row>
    <row r="12" spans="1:19" ht="20.100000000000001" customHeight="1" x14ac:dyDescent="0.25">
      <c r="A12" s="17" t="str">
        <f>HYPERLINK("#'4.2.1.3-4 Soil direct N2O'!A1", "4.2.1.3-4 Soil direct N2O")</f>
        <v>4.2.1.3-4 Soil direct N2O</v>
      </c>
    </row>
    <row r="13" spans="1:19" ht="20.100000000000001" customHeight="1" x14ac:dyDescent="0.25">
      <c r="A13" s="17" t="str">
        <f>HYPERLINK("#'4.2.1.5-6 Soil Atmos Dep'!A1", "4.2.1.5-6 Soil atm. deposition")</f>
        <v>4.2.1.5-6 Soil atm. deposition</v>
      </c>
      <c r="D13" s="119" t="str" cm="1">
        <f t="array" ref="D13:E18">_xlfn.CHOOSECOLS(MMS_PastureBeef_Soil_LeachingAndRunoff.VEERG_4_2_1_7__2_MassOfNitrogenLostToLeachingAndRunoffOnPasture_Arguments(),1,2)</f>
        <v>AE</v>
      </c>
      <c r="E13" s="124" t="str">
        <v>total mass of nitrogen excreted on PRP for beef cattle</v>
      </c>
      <c r="F13" s="123"/>
      <c r="G13" s="119" t="str" cm="1">
        <f t="array" ref="G13:H18">_xlfn.CHOOSECOLS(MMS_PastureBeef_Soil_LeachingAndRunoff.VEERG_4_2_1_7__2_MassOfNitrogenLostToLeachingAndRunoffOnPasture_Arguments(),3,4)</f>
        <v>kg N</v>
      </c>
      <c r="H13" s="120" t="str">
        <v>Calculated from 4.2.1.3 (2)</v>
      </c>
      <c r="I13" s="119">
        <f ca="1">'4.2.1.3-4 Soil direct N20'!$E$212</f>
        <v>60490.349382369524</v>
      </c>
      <c r="M13" s="119" t="str" cm="1">
        <f t="array" ref="M13:N18">_xlfn.CHOOSECOLS(MMS_PastureBeef_Soil_LeachingAndRunoff.VEERG_4_2_1_7__2_MassOfNitrogenLostToLeachingAndRunoffOnPasture_Arguments(),1,2)</f>
        <v>AE</v>
      </c>
      <c r="N13" s="124" t="str">
        <v>total mass of nitrogen excreted on PRP for beef cattle</v>
      </c>
      <c r="O13" s="123"/>
      <c r="P13" s="119" t="str" cm="1">
        <f t="array" ref="P13:Q18">_xlfn.CHOOSECOLS(MMS_PastureBeef_Soil_LeachingAndRunoff.VEERG_4_2_1_7__2_MassOfNitrogenLostToLeachingAndRunoffOnPasture_Arguments(),3,4)</f>
        <v>kg N</v>
      </c>
      <c r="Q13" s="120" t="str">
        <v>Calculated from 4.2.1.3 (2)</v>
      </c>
      <c r="R13" s="119">
        <f ca="1">'4.2.1.3-4 Soil direct N20'!$V$261</f>
        <v>58623.490314488175</v>
      </c>
    </row>
    <row r="14" spans="1:19" ht="20.100000000000001" customHeight="1" x14ac:dyDescent="0.25">
      <c r="A14" s="17" t="str">
        <f>HYPERLINK("#'4.2.1.7-8 Soil leach runoff'!A1", "4.2.1.7-8 Soil leach &amp; runoff")</f>
        <v>4.2.1.7-8 Soil leach &amp; runoff</v>
      </c>
      <c r="D14" s="119" t="str">
        <v>FracWet</v>
      </c>
      <c r="E14" s="124" t="str">
        <v>fraction of N available for leaching and runoff</v>
      </c>
      <c r="F14" s="123"/>
      <c r="G14" s="119" t="str">
        <v>fraction</v>
      </c>
      <c r="H14" s="120" t="str">
        <v>Constant</v>
      </c>
      <c r="I14" s="119">
        <f>Common_InputFunctions.CommonCropping_GetFracWET(I16,I18,#REF!,#REF!,Table_SourceData_FracWETIrrigation[Irrigation type i],Table_SourceData_FracWETIrrigation[FracWET])</f>
        <v>1</v>
      </c>
      <c r="M14" s="119" t="str">
        <v>FracWet</v>
      </c>
      <c r="N14" s="124" t="str">
        <v>fraction of N available for leaching and runoff</v>
      </c>
      <c r="O14" s="123"/>
      <c r="P14" s="119" t="str">
        <v>fraction</v>
      </c>
      <c r="Q14" s="120" t="str">
        <v>Constant</v>
      </c>
      <c r="R14" s="119"/>
    </row>
    <row r="15" spans="1:19" ht="20.100000000000001" customHeight="1" x14ac:dyDescent="0.25">
      <c r="A15" s="17"/>
      <c r="D15" s="119" t="str">
        <v>FracLEACH</v>
      </c>
      <c r="E15" s="124" t="str">
        <v>fraction of all N that is lost through leaching and runoff</v>
      </c>
      <c r="F15" s="123"/>
      <c r="G15" s="119" t="str">
        <v>fraction</v>
      </c>
      <c r="H15" s="120" t="str">
        <v>Constant</v>
      </c>
      <c r="I15" s="119">
        <f>'Constants - Pature Beef'!$D$440</f>
        <v>0.24</v>
      </c>
      <c r="M15" s="119" t="str">
        <v>FracLEACH</v>
      </c>
      <c r="N15" s="124" t="str">
        <v>fraction of all N that is lost through leaching and runoff</v>
      </c>
      <c r="O15" s="123"/>
      <c r="P15" s="119" t="str">
        <v>fraction</v>
      </c>
      <c r="Q15" s="120" t="str">
        <v>Constant</v>
      </c>
      <c r="R15" s="119"/>
    </row>
    <row r="16" spans="1:19" ht="20.100000000000001" customHeight="1" x14ac:dyDescent="0.25">
      <c r="A16" s="18" t="s">
        <v>4</v>
      </c>
      <c r="D16" s="119" t="str">
        <v>z</v>
      </c>
      <c r="E16" s="124" t="str">
        <v>location in leaching zone</v>
      </c>
      <c r="F16" s="123"/>
      <c r="G16" s="119" t="str">
        <v/>
      </c>
      <c r="H16" s="121" t="str">
        <v>Input</v>
      </c>
      <c r="I16" s="119" t="str">
        <f>X_Cell_Site_LeachingZone</f>
        <v>NO - Not in leaching zone</v>
      </c>
      <c r="M16" s="119" t="str">
        <v>z</v>
      </c>
      <c r="N16" s="124" t="str">
        <v>location in leaching zone</v>
      </c>
      <c r="O16" s="123"/>
      <c r="P16" s="119" t="str">
        <v/>
      </c>
      <c r="Q16" s="121" t="str">
        <v>Input</v>
      </c>
      <c r="R16" s="119"/>
    </row>
    <row r="17" spans="1:19" ht="20.100000000000001" customHeight="1" x14ac:dyDescent="0.25">
      <c r="A17" s="17" t="str">
        <f>HYPERLINK("#'Constants - Pasture Beef'!A1", "Constants - Pasture Beef")</f>
        <v>Constants - Pasture Beef</v>
      </c>
      <c r="D17" s="119" t="str">
        <v>j</v>
      </c>
      <c r="E17" s="124" t="str">
        <v>production system</v>
      </c>
      <c r="F17" s="123"/>
      <c r="G17" s="119" t="str">
        <v/>
      </c>
      <c r="H17" s="121" t="str">
        <v>Input</v>
      </c>
      <c r="I17" s="119" t="str">
        <f>X_Cell_PastureBeef_GrazingProductionSystem</f>
        <v>Pasture</v>
      </c>
      <c r="M17" s="119" t="str">
        <v>j</v>
      </c>
      <c r="N17" s="124" t="str">
        <v>production system</v>
      </c>
      <c r="O17" s="123"/>
      <c r="P17" s="119" t="str">
        <v/>
      </c>
      <c r="Q17" s="121" t="str">
        <v>Input</v>
      </c>
      <c r="R17" s="119"/>
    </row>
    <row r="18" spans="1:19" ht="20.100000000000001" customHeight="1" x14ac:dyDescent="0.25">
      <c r="A18" s="17" t="str">
        <f>HYPERLINK("#'Constants - Livestock'!A1", "Constants - Livestock")</f>
        <v>Constants - Livestock</v>
      </c>
      <c r="D18" s="119" t="str">
        <v>ir</v>
      </c>
      <c r="E18" s="124" t="str">
        <v>irrigation method</v>
      </c>
      <c r="F18" s="123"/>
      <c r="G18" s="119" t="str">
        <v/>
      </c>
      <c r="H18" s="121" t="str">
        <v>Input</v>
      </c>
      <c r="I18" s="119" t="str">
        <f>X_Cell_PastureBeef_GrazingIrrigationMethod</f>
        <v>Sprinkler irrigation</v>
      </c>
      <c r="M18" s="119" t="str">
        <v>ir</v>
      </c>
      <c r="N18" s="124" t="str">
        <v>irrigation method</v>
      </c>
      <c r="O18" s="123"/>
      <c r="P18" s="119" t="str">
        <v/>
      </c>
      <c r="Q18" s="121" t="str">
        <v>Input</v>
      </c>
      <c r="R18" s="119"/>
    </row>
    <row r="19" spans="1:19" ht="20.100000000000001" customHeight="1" x14ac:dyDescent="0.25">
      <c r="A19" s="17" t="str">
        <f>HYPERLINK("#'Constants - Common'!A1", "Constants - Common")</f>
        <v>Constants - Common</v>
      </c>
    </row>
    <row r="20" spans="1:19" ht="20.100000000000001" customHeight="1" x14ac:dyDescent="0.25">
      <c r="A20" s="17" t="str">
        <f>HYPERLINK("#'Acknowledgements'!A1", "Acknowledgements")</f>
        <v>Acknowledgements</v>
      </c>
      <c r="D20" s="111" t="s">
        <v>323</v>
      </c>
      <c r="E20" s="45" cm="1">
        <f t="array" aca="1" ref="E20" ca="1">MMS_PastureBeef_Soil_LeachingAndRunoff.VEERG_4_2_1_7__2_MassOfNitrogenLostToLeachingAndRunoffOnPasture($I$13,$I$14,$I$15)</f>
        <v>14517.683851768685</v>
      </c>
      <c r="F20" s="103" t="str">
        <f>$E$11</f>
        <v>kg N</v>
      </c>
      <c r="K20" s="56"/>
      <c r="M20" s="111" t="s">
        <v>323</v>
      </c>
      <c r="N20" s="45" cm="1">
        <f t="array" aca="1" ref="N20" ca="1">MMS_PastureBeef_Soil_LeachingAndRunoff.VEERG_4_2_1_7__2_MassOfNitrogenLostToLeachingAndRunoffOnPasture($R$13,$I$14,$I$15)</f>
        <v>14069.637675477161</v>
      </c>
      <c r="O20" s="103" t="str">
        <f>$E$11</f>
        <v>kg N</v>
      </c>
    </row>
    <row r="21" spans="1:19" ht="20.100000000000001" customHeight="1" x14ac:dyDescent="0.25">
      <c r="K21" s="56"/>
    </row>
    <row r="22" spans="1:19" ht="20.100000000000001" customHeight="1" x14ac:dyDescent="0.25">
      <c r="K22" s="56"/>
    </row>
    <row r="23" spans="1:19" ht="20.100000000000001" customHeight="1" x14ac:dyDescent="0.25">
      <c r="C23" s="45"/>
      <c r="D23" s="45"/>
      <c r="E23" s="45"/>
      <c r="F23" s="45"/>
      <c r="G23" s="45"/>
      <c r="H23" s="45"/>
      <c r="I23" s="45"/>
      <c r="J23" s="45"/>
      <c r="K23" s="56"/>
      <c r="L23" s="45"/>
      <c r="M23" s="45"/>
      <c r="N23" s="45"/>
      <c r="O23" s="45"/>
      <c r="P23" s="45"/>
      <c r="Q23" s="45"/>
      <c r="R23" s="45"/>
      <c r="S23" s="45"/>
    </row>
    <row r="24" spans="1:19" ht="20.100000000000001" customHeight="1" x14ac:dyDescent="0.25">
      <c r="D24" s="6" t="str" cm="1">
        <f t="array" ref="D24">MMS_PastureBeef_Soil_LeachingAndRunoff.VEERG_4_2_1_7__1_LeachingAndRunoffEmissionsFromUrineAndDungOnPasture_Title()</f>
        <v>Leaching and runoff emissions from urine and dung deposited on pasture</v>
      </c>
    </row>
    <row r="25" spans="1:19" ht="20.100000000000001" customHeight="1" x14ac:dyDescent="0.25">
      <c r="D25" s="5" t="str" cm="1">
        <f t="array" ref="D25">MMS_PastureBeef_Soil_LeachingAndRunoff.VEERG_4_2_1_7__1_LeachingAndRunoffEmissionsFromUrineAndDungOnPasture_Source()</f>
        <v>VEERG 2026: 4.2.1.7, Equation (1)</v>
      </c>
    </row>
    <row r="26" spans="1:19" ht="20.100000000000001" customHeight="1" x14ac:dyDescent="0.25">
      <c r="D26" s="13" t="s">
        <v>27</v>
      </c>
      <c r="E26" s="13" t="str" cm="1">
        <f t="array" aca="1" ref="E26" ca="1">Common_InputFunctions.Utility_DisplayFunctionName(E36)</f>
        <v>=MMS_PastureBeef_Soil_LeachingAndRunoff.VEERG_4_2_1_7__1_LeachingAndRunoffEmissionsFromUrineAndDungOnPasture</v>
      </c>
    </row>
    <row r="27" spans="1:19" ht="20.100000000000001" customHeight="1" x14ac:dyDescent="0.25"/>
    <row r="28" spans="1:19" ht="20.100000000000001" customHeight="1" x14ac:dyDescent="0.25"/>
    <row r="29" spans="1:19" ht="20.100000000000001" customHeight="1" x14ac:dyDescent="0.25">
      <c r="D29" s="53" t="s">
        <v>30</v>
      </c>
      <c r="E29" s="1" t="str" cm="1">
        <f t="array" ref="E29">MMS_PastureBeef_Soil_LeachingAndRunoff.VEERG_4_2_1_7__1_LeachingAndRunoffEmissionsFromUrineAndDungOnPasture_Variable()</f>
        <v>E_N2Oleach</v>
      </c>
    </row>
    <row r="30" spans="1:19" ht="20.100000000000001" customHeight="1" x14ac:dyDescent="0.25">
      <c r="D30" s="53" t="s">
        <v>20</v>
      </c>
      <c r="E30" s="54" t="str" cm="1">
        <f t="array" ref="E30">MMS_PastureBeef_Soil_LeachingAndRunoff.VEERG_4_2_1_7__1_LeachingAndRunoffEmissionsFromUrineAndDungOnPasture_Unit()</f>
        <v>t N2O</v>
      </c>
    </row>
    <row r="31" spans="1:19" ht="20.100000000000001" customHeight="1" x14ac:dyDescent="0.25"/>
    <row r="32" spans="1:19" ht="20.100000000000001" customHeight="1" x14ac:dyDescent="0.25">
      <c r="D32" s="119" t="str" cm="1">
        <f t="array" ref="D32:E34">_xlfn.CHOOSECOLS(MMS_PastureBeef_Soil_LeachingAndRunoff.VEERG_4_2_1_7__1_LeachingAndRunoffEmissionsFromUrineAndDungOnPasture_Arguments(),1,2)</f>
        <v>M_leach</v>
      </c>
      <c r="E32" s="124" t="str">
        <v>mass of nitrogen lost to leaching and runoff</v>
      </c>
      <c r="F32" s="123"/>
      <c r="G32" s="119" t="str" cm="1">
        <f t="array" ref="G32:H34">_xlfn.CHOOSECOLS(MMS_PastureBeef_Soil_LeachingAndRunoff.VEERG_4_2_1_7__1_LeachingAndRunoffEmissionsFromUrineAndDungOnPasture_Arguments(),3,4)</f>
        <v>kg N</v>
      </c>
      <c r="H32" s="120" t="str">
        <v>Calculated from 4.2.1.7 (2)</v>
      </c>
      <c r="I32" s="119">
        <f ca="1">$E$20</f>
        <v>14517.683851768685</v>
      </c>
      <c r="M32" s="119" t="str" cm="1">
        <f t="array" ref="M32:N34">_xlfn.CHOOSECOLS(MMS_PastureBeef_Soil_LeachingAndRunoff.VEERG_4_2_1_7__1_LeachingAndRunoffEmissionsFromUrineAndDungOnPasture_Arguments(),1,2)</f>
        <v>M_leach</v>
      </c>
      <c r="N32" s="124" t="str">
        <v>mass of nitrogen lost to leaching and runoff</v>
      </c>
      <c r="O32" s="123"/>
      <c r="P32" s="119" t="str" cm="1">
        <f t="array" ref="P32:Q34">_xlfn.CHOOSECOLS(MMS_PastureBeef_Soil_LeachingAndRunoff.VEERG_4_2_1_7__1_LeachingAndRunoffEmissionsFromUrineAndDungOnPasture_Arguments(),3,4)</f>
        <v>kg N</v>
      </c>
      <c r="Q32" s="120" t="str">
        <v>Calculated from 4.2.1.7 (2)</v>
      </c>
      <c r="R32" s="119">
        <f ca="1">$N$20</f>
        <v>14069.637675477161</v>
      </c>
    </row>
    <row r="33" spans="4:18" ht="20.100000000000001" customHeight="1" x14ac:dyDescent="0.25">
      <c r="D33" s="119" t="str">
        <v>EF_leach</v>
      </c>
      <c r="E33" s="124" t="str">
        <v>emission factor for leaching and runoff</v>
      </c>
      <c r="F33" s="123"/>
      <c r="G33" s="119" t="str">
        <v>kg N2O-N/kg N</v>
      </c>
      <c r="H33" s="120" t="str">
        <v>Constant</v>
      </c>
      <c r="I33" s="119">
        <f>'Constants - Common'!$E$170</f>
        <v>1.0999999999999999E-2</v>
      </c>
      <c r="M33" s="119" t="str">
        <v>EF_leach</v>
      </c>
      <c r="N33" s="124" t="str">
        <v>emission factor for leaching and runoff</v>
      </c>
      <c r="O33" s="123"/>
      <c r="P33" s="119" t="str">
        <v>kg N2O-N/kg N</v>
      </c>
      <c r="Q33" s="120" t="str">
        <v>Constant</v>
      </c>
      <c r="R33" s="119"/>
    </row>
    <row r="34" spans="4:18" ht="20.100000000000001" customHeight="1" x14ac:dyDescent="0.25">
      <c r="D34" s="119" t="str">
        <v>C_N2O</v>
      </c>
      <c r="E34" s="124" t="str">
        <v>factor to convert elemental mass of N2O to molecular mass</v>
      </c>
      <c r="F34" s="123"/>
      <c r="G34" s="119" t="str">
        <v/>
      </c>
      <c r="H34" s="120" t="str">
        <v>Constant</v>
      </c>
      <c r="I34" s="119">
        <f>Common_InputFunctions.Utility_LookupValueInTableNumber("N2O",Table_GasToMolecularConversionFactor[Gas],Table_GasToMolecularConversionFactor[Conversion factor combined])</f>
        <v>1.5714285714285714</v>
      </c>
      <c r="M34" s="119" t="str">
        <v>C_N2O</v>
      </c>
      <c r="N34" s="124" t="str">
        <v>factor to convert elemental mass of N2O to molecular mass</v>
      </c>
      <c r="O34" s="123"/>
      <c r="P34" s="119" t="str">
        <v/>
      </c>
      <c r="Q34" s="120" t="str">
        <v>Constant</v>
      </c>
      <c r="R34" s="119"/>
    </row>
    <row r="35" spans="4:18" ht="20.100000000000001" customHeight="1" x14ac:dyDescent="0.25"/>
    <row r="36" spans="4:18" ht="20.100000000000001" customHeight="1" x14ac:dyDescent="0.25">
      <c r="D36" s="111" t="s">
        <v>156</v>
      </c>
      <c r="E36" s="45" cm="1">
        <f t="array" aca="1" ref="E36" ca="1">MMS_PastureBeef_Soil_LeachingAndRunoff.VEERG_4_2_1_7__1_LeachingAndRunoffEmissionsFromUrineAndDungOnPasture(I32,I33,I34)</f>
        <v>0.2509485351520015</v>
      </c>
      <c r="F36" s="103" t="str">
        <f>$E$30</f>
        <v>t N2O</v>
      </c>
      <c r="M36" s="111" t="s">
        <v>156</v>
      </c>
      <c r="N36" s="45" cm="1">
        <f t="array" aca="1" ref="N36" ca="1">MMS_PastureBeef_Soil_LeachingAndRunoff.VEERG_4_2_1_7__1_LeachingAndRunoffEmissionsFromUrineAndDungOnPasture(R32,I33,I34)</f>
        <v>0.24320373696181949</v>
      </c>
      <c r="O36" s="103" t="str">
        <f>$E$30</f>
        <v>t N2O</v>
      </c>
    </row>
    <row r="37" spans="4:18" ht="20.100000000000001" customHeight="1" x14ac:dyDescent="0.25"/>
    <row r="38" spans="4:18" ht="20.100000000000001" customHeight="1" x14ac:dyDescent="0.25">
      <c r="D38" s="57" t="str" cm="1">
        <f t="array" ref="D38:E39">Common_Equations.Common_ConvertN2OToCO2e_Arguments()</f>
        <v>EN2O</v>
      </c>
      <c r="E38" s="58" t="str">
        <v>Nitrous oxide emissions (t N2O)</v>
      </c>
      <c r="F38" s="102"/>
      <c r="G38" s="52">
        <f ca="1">E36</f>
        <v>0.2509485351520015</v>
      </c>
      <c r="M38" s="57" t="str" cm="1">
        <f t="array" ref="M38:N39">Common_Equations.Common_ConvertN2OToCO2e_Arguments()</f>
        <v>EN2O</v>
      </c>
      <c r="N38" s="58" t="str">
        <v>Nitrous oxide emissions (t N2O)</v>
      </c>
      <c r="O38" s="102"/>
      <c r="P38" s="52">
        <f ca="1">N36</f>
        <v>0.24320373696181949</v>
      </c>
    </row>
    <row r="39" spans="4:18" ht="20.100000000000001" customHeight="1" x14ac:dyDescent="0.25">
      <c r="D39" s="57" t="str">
        <v>GWPN2O</v>
      </c>
      <c r="E39" s="58" t="str">
        <v>Global warming potential for nitrous oxide (t CO2-e / t N2O)</v>
      </c>
      <c r="F39" s="102"/>
      <c r="G39" s="52">
        <f>Common_InputFunctions.Utility_LookupValueInTableNumber("N2O",Table_GWPData[Gas],Table_GWPData[CO2-e factor])</f>
        <v>265</v>
      </c>
      <c r="M39" s="57" t="str">
        <v>GWPN2O</v>
      </c>
      <c r="N39" s="58" t="str">
        <v>Global warming potential for nitrous oxide (t CO2-e / t N2O)</v>
      </c>
      <c r="O39" s="102"/>
      <c r="P39" s="52">
        <f>Common_InputFunctions.Utility_LookupValueInTableNumber("N2O",Table_GWPData[Gas],Table_GWPData[CO2-e factor])</f>
        <v>265</v>
      </c>
    </row>
    <row r="40" spans="4:18" ht="20.100000000000001" customHeight="1" x14ac:dyDescent="0.25"/>
    <row r="41" spans="4:18" ht="20.100000000000001" customHeight="1" x14ac:dyDescent="0.25">
      <c r="D41" s="45" t="s">
        <v>104</v>
      </c>
      <c r="E41" s="45" cm="1">
        <f t="array" aca="1" ref="E41" ca="1">Common_Equations.Common_ConvertN2OToCO2e(G38,G39)</f>
        <v>66.50136181528039</v>
      </c>
      <c r="F41" s="103" t="str" cm="1">
        <f t="array" ref="F41">Common_Equations.Common_ConvertN2OToCO2e_Unit()</f>
        <v>t CO2e</v>
      </c>
      <c r="M41" s="45" t="s">
        <v>104</v>
      </c>
      <c r="N41" s="45" cm="1">
        <f t="array" aca="1" ref="N41" ca="1">Common_Equations.Common_ConvertN2OToCO2e(P38,P39)</f>
        <v>64.448990294882165</v>
      </c>
      <c r="O41" s="103" t="str" cm="1">
        <f t="array" ref="O41">Common_Equations.Common_ConvertN2OToCO2e_Unit()</f>
        <v>t CO2e</v>
      </c>
    </row>
    <row r="42" spans="4:18" ht="20.100000000000001" customHeight="1" x14ac:dyDescent="0.25"/>
    <row r="43" spans="4:18" ht="20.100000000000001" customHeight="1" x14ac:dyDescent="0.25"/>
    <row r="44" spans="4:18" ht="20.100000000000001" customHeight="1" x14ac:dyDescent="0.25"/>
    <row r="45" spans="4:18" ht="20.100000000000001" customHeight="1" x14ac:dyDescent="0.25"/>
    <row r="46" spans="4:18" ht="20.100000000000001" customHeight="1" x14ac:dyDescent="0.25"/>
    <row r="47" spans="4:18" ht="20.100000000000001" customHeight="1" x14ac:dyDescent="0.25"/>
    <row r="48" spans="4:1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 N23 E28 N28" xr:uid="{FFC3CBA3-2876-48FD-90FB-22BFDC268162}"/>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54"/>
  <sheetViews>
    <sheetView showGridLines="0" topLeftCell="D115" zoomScale="85" zoomScaleNormal="85" workbookViewId="0">
      <selection activeCell="F151" sqref="F151"/>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182</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321</v>
      </c>
      <c r="G5" s="6" t="s">
        <v>120</v>
      </c>
      <c r="M5" s="1" t="s">
        <v>206</v>
      </c>
      <c r="O5" s="1" t="s">
        <v>207</v>
      </c>
      <c r="Q5" s="1" t="s">
        <v>208</v>
      </c>
      <c r="S5" s="1" t="s">
        <v>219</v>
      </c>
    </row>
    <row r="6" spans="1:21" ht="20.100000000000001" customHeight="1" x14ac:dyDescent="0.25">
      <c r="A6" s="20" t="s">
        <v>3</v>
      </c>
      <c r="M6" s="1"/>
    </row>
    <row r="7" spans="1:21" ht="20.100000000000001" customHeight="1" x14ac:dyDescent="0.25">
      <c r="A7" s="17" t="str">
        <f>HYPERLINK("#'Input - Site'!A1", "Site")</f>
        <v>Site</v>
      </c>
      <c r="D7" s="37" t="s">
        <v>119</v>
      </c>
      <c r="G7" s="37" t="s">
        <v>118</v>
      </c>
      <c r="M7" t="s">
        <v>183</v>
      </c>
      <c r="O7" s="37" t="s">
        <v>183</v>
      </c>
      <c r="Q7" s="37" t="s">
        <v>183</v>
      </c>
      <c r="S7" s="37" t="s">
        <v>183</v>
      </c>
    </row>
    <row r="8" spans="1:21" ht="20.100000000000001" customHeight="1" x14ac:dyDescent="0.25">
      <c r="A8" s="17" t="str">
        <f>HYPERLINK("#'Input - Pasture Beef'!A1", "Pasture Beef")</f>
        <v>Pasture Beef</v>
      </c>
      <c r="D8" s="37" t="str">
        <f>'Constants - Common'!$F$187</f>
        <v>Pasture</v>
      </c>
      <c r="G8" s="37" t="s">
        <v>121</v>
      </c>
      <c r="M8" s="37" t="s">
        <v>209</v>
      </c>
      <c r="O8" s="37" t="s">
        <v>211</v>
      </c>
      <c r="Q8" s="37" t="s">
        <v>214</v>
      </c>
      <c r="S8" s="37" t="s">
        <v>202</v>
      </c>
    </row>
    <row r="9" spans="1:21" ht="20.100000000000001" customHeight="1" x14ac:dyDescent="0.25">
      <c r="A9" s="17"/>
      <c r="D9" s="1" t="str">
        <f>'Constants - Common'!$F$188</f>
        <v>Crop</v>
      </c>
      <c r="G9" s="37" t="s">
        <v>122</v>
      </c>
      <c r="M9" s="37" t="s">
        <v>210</v>
      </c>
      <c r="O9" s="37" t="s">
        <v>212</v>
      </c>
      <c r="Q9" s="37" t="s">
        <v>215</v>
      </c>
    </row>
    <row r="10" spans="1:21" ht="20.100000000000001" customHeight="1" x14ac:dyDescent="0.25">
      <c r="A10" s="19" t="s">
        <v>77</v>
      </c>
      <c r="G10" s="1" t="s">
        <v>123</v>
      </c>
      <c r="M10" s="37" t="s">
        <v>205</v>
      </c>
      <c r="O10" s="37" t="s">
        <v>213</v>
      </c>
      <c r="Q10" s="37" t="s">
        <v>216</v>
      </c>
      <c r="S10" s="1" t="s">
        <v>220</v>
      </c>
    </row>
    <row r="11" spans="1:21" ht="20.100000000000001" customHeight="1" x14ac:dyDescent="0.25">
      <c r="A11" s="17" t="str">
        <f>HYPERLINK("#'4.2.1.1-2 Methane'!A1", "4.2.1.1-2 Methane")</f>
        <v>4.2.1.1-2 Methane</v>
      </c>
      <c r="G11" s="1" t="s">
        <v>124</v>
      </c>
      <c r="M11" s="1"/>
      <c r="Q11" s="37" t="s">
        <v>217</v>
      </c>
    </row>
    <row r="12" spans="1:21" ht="20.100000000000001" customHeight="1" x14ac:dyDescent="0.25">
      <c r="A12" s="17" t="str">
        <f>HYPERLINK("#'4.2.1.3-4 Soil direct N2O'!A1", "4.2.1.3-4 Soil direct N2O")</f>
        <v>4.2.1.3-4 Soil direct N2O</v>
      </c>
      <c r="G12" s="1" t="s">
        <v>125</v>
      </c>
      <c r="M12" s="1"/>
      <c r="S12" s="37" t="s">
        <v>183</v>
      </c>
    </row>
    <row r="13" spans="1:21" ht="20.100000000000001" customHeight="1" x14ac:dyDescent="0.25">
      <c r="A13" s="17" t="str">
        <f>HYPERLINK("#'4.2.1.5-6 Soil Atmos Dep'!A1", "4.2.1.5-6 Soil atm. deposition")</f>
        <v>4.2.1.5-6 Soil atm. deposition</v>
      </c>
      <c r="M13" s="1"/>
      <c r="S13" s="37" t="s">
        <v>202</v>
      </c>
    </row>
    <row r="14" spans="1:21" ht="20.100000000000001" customHeight="1" x14ac:dyDescent="0.25">
      <c r="A14" s="17" t="str">
        <f>HYPERLINK("#'4.2.1.7-8 Soil leach runoff'!A1", "4.2.1.7-8 Soil leach &amp; runoff")</f>
        <v>4.2.1.7-8 Soil leach &amp; runoff</v>
      </c>
      <c r="D14" s="6" t="str" cm="1">
        <f t="array" ref="D14">SourceData_PastureBeef.SourceData_PastureBeef_Liveweight_Title()</f>
        <v>Beef pasture cattle - Liveweight (kg) (Wjkl)</v>
      </c>
      <c r="M14" s="1"/>
    </row>
    <row r="15" spans="1:21" ht="20.100000000000001" customHeight="1" x14ac:dyDescent="0.25">
      <c r="A15" s="17"/>
      <c r="D15" s="5" t="str" cm="1">
        <f t="array" ref="D15">SourceData_PastureBeef.SourceData_PastureBeef_Liveweight_Source()</f>
        <v>VEERG 2026: Table A.1.2.1</v>
      </c>
      <c r="M15" s="1"/>
      <c r="S15" s="1" t="s">
        <v>221</v>
      </c>
    </row>
    <row r="16" spans="1:21" ht="20.100000000000001" customHeight="1" x14ac:dyDescent="0.25">
      <c r="A16" s="18" t="s">
        <v>4</v>
      </c>
      <c r="D16" s="1" t="str" cm="1">
        <f t="array" ref="D16">SourceData_PastureBeef.SourceData_PastureBeef_Liveweight_Variable()</f>
        <v>Wjkl</v>
      </c>
      <c r="M16" s="1"/>
    </row>
    <row r="17" spans="1:19" ht="20.100000000000001" customHeight="1" x14ac:dyDescent="0.25">
      <c r="A17" s="17" t="str">
        <f>HYPERLINK("#'Constants - Pasture Beef'!A1", "Constants - Pasture Beef")</f>
        <v>Constants - Pasture Beef</v>
      </c>
      <c r="D17" s="54" t="str" cm="1">
        <f t="array" ref="D17">SourceData_PastureBeef.SourceData_PastureBeef_Liveweight_Unit()</f>
        <v>kg</v>
      </c>
      <c r="M17" s="1"/>
      <c r="S17" s="37" t="s">
        <v>183</v>
      </c>
    </row>
    <row r="18" spans="1:19" ht="20.100000000000001" customHeight="1" x14ac:dyDescent="0.25">
      <c r="A18" s="17" t="str">
        <f>HYPERLINK("#'Constants - Livestock'!A1", "Constants - Livestock")</f>
        <v>Constants - Livestock</v>
      </c>
      <c r="D18" s="37" t="s">
        <v>8</v>
      </c>
      <c r="E18" s="37" t="s">
        <v>183</v>
      </c>
      <c r="F18" s="37" t="s">
        <v>184</v>
      </c>
      <c r="G18" s="37" t="s">
        <v>185</v>
      </c>
      <c r="H18" s="37" t="s">
        <v>186</v>
      </c>
      <c r="I18" s="37" t="s">
        <v>187</v>
      </c>
      <c r="J18" s="37" t="s">
        <v>188</v>
      </c>
      <c r="K18" s="37" t="s">
        <v>189</v>
      </c>
      <c r="L18" s="37" t="s">
        <v>190</v>
      </c>
      <c r="M18" s="37" t="s">
        <v>191</v>
      </c>
      <c r="S18" s="37" t="s">
        <v>202</v>
      </c>
    </row>
    <row r="19" spans="1:19" ht="20.100000000000001" customHeight="1" x14ac:dyDescent="0.25">
      <c r="A19" s="17" t="str">
        <f>HYPERLINK("#'Constants - Common'!A1", "Constants - Common")</f>
        <v>Constants - Common</v>
      </c>
      <c r="D19" s="37" t="str" cm="1">
        <f t="array" ref="D19">Common_InputFunctions.Utility_DisplayArrayInTable(SourceData_PastureBeef.SourceData_PastureBeef_Liveweight_Data(), Table_SourceData_PastureBeef_Liveweight[[#Headers],[State]], 0)</f>
        <v>ACT/NSW</v>
      </c>
      <c r="E19" s="37" t="str" cm="1">
        <f t="array" ref="E19">Common_InputFunctions.Utility_DisplayArrayInTable(SourceData_PastureBeef.SourceData_PastureBeef_Liveweight_Data(), Table_SourceData_PastureBeef_Liveweight[[#Headers],[State]], 0)</f>
        <v>n/a</v>
      </c>
      <c r="F19" s="37" t="str" cm="1">
        <f t="array" ref="F19">Common_InputFunctions.Utility_DisplayArrayInTable(SourceData_PastureBeef.SourceData_PastureBeef_Liveweight_Data(), Table_SourceData_PastureBeef_Liveweight[[#Headers],[State]], 0)</f>
        <v>Spring</v>
      </c>
      <c r="G19" s="37" cm="1">
        <f t="array" ref="G19">Common_InputFunctions.Utility_DisplayArrayInTable(SourceData_PastureBeef.SourceData_PastureBeef_Liveweight_Data(), Table_SourceData_PastureBeef_Liveweight[[#Headers],[State]], 0)</f>
        <v>80</v>
      </c>
      <c r="H19" s="37" cm="1">
        <f t="array" ref="H19">Common_InputFunctions.Utility_DisplayArrayInTable(SourceData_PastureBeef.SourceData_PastureBeef_Liveweight_Data(), Table_SourceData_PastureBeef_Liveweight[[#Headers],[State]], 0)</f>
        <v>480</v>
      </c>
      <c r="I19" s="37" cm="1">
        <f t="array" ref="I19">Common_InputFunctions.Utility_DisplayArrayInTable(SourceData_PastureBeef.SourceData_PastureBeef_Liveweight_Data(), Table_SourceData_PastureBeef_Liveweight[[#Headers],[State]], 0)</f>
        <v>75</v>
      </c>
      <c r="J19" s="37" cm="1">
        <f t="array" ref="J19">Common_InputFunctions.Utility_DisplayArrayInTable(SourceData_PastureBeef.SourceData_PastureBeef_Liveweight_Data(), Table_SourceData_PastureBeef_Liveweight[[#Headers],[State]], 0)</f>
        <v>300</v>
      </c>
      <c r="K19" s="37" cm="1">
        <f t="array" ref="K19">Common_InputFunctions.Utility_DisplayArrayInTable(SourceData_PastureBeef.SourceData_PastureBeef_Liveweight_Data(), Table_SourceData_PastureBeef_Liveweight[[#Headers],[State]], 0)</f>
        <v>440</v>
      </c>
      <c r="L19" s="37" cm="1">
        <f t="array" ref="L19">Common_InputFunctions.Utility_DisplayArrayInTable(SourceData_PastureBeef.SourceData_PastureBeef_Liveweight_Data(), Table_SourceData_PastureBeef_Liveweight[[#Headers],[State]], 0)</f>
        <v>75</v>
      </c>
      <c r="M19" s="37" cm="1">
        <f t="array" ref="M19">Common_InputFunctions.Utility_DisplayArrayInTable(SourceData_PastureBeef.SourceData_PastureBeef_Liveweight_Data(), Table_SourceData_PastureBeef_Liveweight[[#Headers],[State]], 0)</f>
        <v>380</v>
      </c>
    </row>
    <row r="20" spans="1:19" ht="20.100000000000001" customHeight="1" x14ac:dyDescent="0.25">
      <c r="A20" s="17" t="str">
        <f>HYPERLINK("#'Acknowledgements'!A1", "Acknowledgements")</f>
        <v>Acknowledgements</v>
      </c>
      <c r="D20" s="1" t="str" cm="1">
        <f t="array" ref="D20">Common_InputFunctions.Utility_DisplayArrayInTable(SourceData_PastureBeef.SourceData_PastureBeef_Liveweight_Data(), Table_SourceData_PastureBeef_Liveweight[[#Headers],[State]], 0)</f>
        <v>ACT/NSW</v>
      </c>
      <c r="E20" s="37" t="str" cm="1">
        <f t="array" ref="E20">Common_InputFunctions.Utility_DisplayArrayInTable(SourceData_PastureBeef.SourceData_PastureBeef_Liveweight_Data(), Table_SourceData_PastureBeef_Liveweight[[#Headers],[State]], 0)</f>
        <v>n/a</v>
      </c>
      <c r="F20" s="37" t="str" cm="1">
        <f t="array" ref="F20">Common_InputFunctions.Utility_DisplayArrayInTable(SourceData_PastureBeef.SourceData_PastureBeef_Liveweight_Data(), Table_SourceData_PastureBeef_Liveweight[[#Headers],[State]], 0)</f>
        <v>Summer</v>
      </c>
      <c r="G20" s="37" cm="1">
        <f t="array" ref="G20">Common_InputFunctions.Utility_DisplayArrayInTable(SourceData_PastureBeef.SourceData_PastureBeef_Liveweight_Data(), Table_SourceData_PastureBeef_Liveweight[[#Headers],[State]], 0)</f>
        <v>170</v>
      </c>
      <c r="H20" s="37" cm="1">
        <f t="array" ref="H20">Common_InputFunctions.Utility_DisplayArrayInTable(SourceData_PastureBeef.SourceData_PastureBeef_Liveweight_Data(), Table_SourceData_PastureBeef_Liveweight[[#Headers],[State]], 0)</f>
        <v>520</v>
      </c>
      <c r="I20" s="37" cm="1">
        <f t="array" ref="I20">Common_InputFunctions.Utility_DisplayArrayInTable(SourceData_PastureBeef.SourceData_PastureBeef_Liveweight_Data(), Table_SourceData_PastureBeef_Liveweight[[#Headers],[State]], 0)</f>
        <v>160</v>
      </c>
      <c r="J20" s="37" cm="1">
        <f t="array" ref="J20">Common_InputFunctions.Utility_DisplayArrayInTable(SourceData_PastureBeef.SourceData_PastureBeef_Liveweight_Data(), Table_SourceData_PastureBeef_Liveweight[[#Headers],[State]], 0)</f>
        <v>360</v>
      </c>
      <c r="K20" s="37" cm="1">
        <f t="array" ref="K20">Common_InputFunctions.Utility_DisplayArrayInTable(SourceData_PastureBeef.SourceData_PastureBeef_Liveweight_Data(), Table_SourceData_PastureBeef_Liveweight[[#Headers],[State]], 0)</f>
        <v>470</v>
      </c>
      <c r="L20" s="37" cm="1">
        <f t="array" ref="L20">Common_InputFunctions.Utility_DisplayArrayInTable(SourceData_PastureBeef.SourceData_PastureBeef_Liveweight_Data(), Table_SourceData_PastureBeef_Liveweight[[#Headers],[State]], 0)</f>
        <v>160</v>
      </c>
      <c r="M20" s="37" cm="1">
        <f t="array" ref="M20">Common_InputFunctions.Utility_DisplayArrayInTable(SourceData_PastureBeef.SourceData_PastureBeef_Liveweight_Data(), Table_SourceData_PastureBeef_Liveweight[[#Headers],[State]], 0)</f>
        <v>420</v>
      </c>
      <c r="S20" s="1" t="s">
        <v>222</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7" t="str" cm="1">
        <f t="array" ref="E21">Common_InputFunctions.Utility_DisplayArrayInTable(SourceData_PastureBeef.SourceData_PastureBeef_Liveweight_Data(), Table_SourceData_PastureBeef_Liveweight[[#Headers],[State]], 0)</f>
        <v>n/a</v>
      </c>
      <c r="F21" s="37" t="str" cm="1">
        <f t="array" ref="F21">Common_InputFunctions.Utility_DisplayArrayInTable(SourceData_PastureBeef.SourceData_PastureBeef_Liveweight_Data(), Table_SourceData_PastureBeef_Liveweight[[#Headers],[State]], 0)</f>
        <v>Autumn</v>
      </c>
      <c r="G21" s="37" cm="1">
        <f t="array" ref="G21">Common_InputFunctions.Utility_DisplayArrayInTable(SourceData_PastureBeef.SourceData_PastureBeef_Liveweight_Data(), Table_SourceData_PastureBeef_Liveweight[[#Headers],[State]], 0)</f>
        <v>240</v>
      </c>
      <c r="H21" s="37" cm="1">
        <f t="array" ref="H21">Common_InputFunctions.Utility_DisplayArrayInTable(SourceData_PastureBeef.SourceData_PastureBeef_Liveweight_Data(), Table_SourceData_PastureBeef_Liveweight[[#Headers],[State]], 0)</f>
        <v>550</v>
      </c>
      <c r="I21" s="37" cm="1">
        <f t="array" ref="I21">Common_InputFunctions.Utility_DisplayArrayInTable(SourceData_PastureBeef.SourceData_PastureBeef_Liveweight_Data(), Table_SourceData_PastureBeef_Liveweight[[#Headers],[State]], 0)</f>
        <v>220</v>
      </c>
      <c r="J21" s="37" cm="1">
        <f t="array" ref="J21">Common_InputFunctions.Utility_DisplayArrayInTable(SourceData_PastureBeef.SourceData_PastureBeef_Liveweight_Data(), Table_SourceData_PastureBeef_Liveweight[[#Headers],[State]], 0)</f>
        <v>390</v>
      </c>
      <c r="K21" s="37" cm="1">
        <f t="array" ref="K21">Common_InputFunctions.Utility_DisplayArrayInTable(SourceData_PastureBeef.SourceData_PastureBeef_Liveweight_Data(), Table_SourceData_PastureBeef_Liveweight[[#Headers],[State]], 0)</f>
        <v>490</v>
      </c>
      <c r="L21" s="37" cm="1">
        <f t="array" ref="L21">Common_InputFunctions.Utility_DisplayArrayInTable(SourceData_PastureBeef.SourceData_PastureBeef_Liveweight_Data(), Table_SourceData_PastureBeef_Liveweight[[#Headers],[State]], 0)</f>
        <v>220</v>
      </c>
      <c r="M21" s="37" cm="1">
        <f t="array" ref="M21">Common_InputFunctions.Utility_DisplayArrayInTable(SourceData_PastureBeef.SourceData_PastureBeef_Liveweight_Data(), Table_SourceData_PastureBeef_Liveweight[[#Headers],[State]], 0)</f>
        <v>450</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7" t="str" cm="1">
        <f t="array" ref="E22">Common_InputFunctions.Utility_DisplayArrayInTable(SourceData_PastureBeef.SourceData_PastureBeef_Liveweight_Data(), Table_SourceData_PastureBeef_Liveweight[[#Headers],[State]], 0)</f>
        <v>n/a</v>
      </c>
      <c r="F22" s="37" t="str" cm="1">
        <f t="array" ref="F22">Common_InputFunctions.Utility_DisplayArrayInTable(SourceData_PastureBeef.SourceData_PastureBeef_Liveweight_Data(), Table_SourceData_PastureBeef_Liveweight[[#Headers],[State]], 0)</f>
        <v>Winter</v>
      </c>
      <c r="G22" s="37" cm="1">
        <f t="array" ref="G22">Common_InputFunctions.Utility_DisplayArrayInTable(SourceData_PastureBeef.SourceData_PastureBeef_Liveweight_Data(), Table_SourceData_PastureBeef_Liveweight[[#Headers],[State]], 0)</f>
        <v>280</v>
      </c>
      <c r="H22" s="37" cm="1">
        <f t="array" ref="H22">Common_InputFunctions.Utility_DisplayArrayInTable(SourceData_PastureBeef.SourceData_PastureBeef_Liveweight_Data(), Table_SourceData_PastureBeef_Liveweight[[#Headers],[State]], 0)</f>
        <v>560</v>
      </c>
      <c r="I22" s="37" cm="1">
        <f t="array" ref="I22">Common_InputFunctions.Utility_DisplayArrayInTable(SourceData_PastureBeef.SourceData_PastureBeef_Liveweight_Data(), Table_SourceData_PastureBeef_Liveweight[[#Headers],[State]], 0)</f>
        <v>260</v>
      </c>
      <c r="J22" s="37" cm="1">
        <f t="array" ref="J22">Common_InputFunctions.Utility_DisplayArrayInTable(SourceData_PastureBeef.SourceData_PastureBeef_Liveweight_Data(), Table_SourceData_PastureBeef_Liveweight[[#Headers],[State]], 0)</f>
        <v>410</v>
      </c>
      <c r="K22" s="37" cm="1">
        <f t="array" ref="K22">Common_InputFunctions.Utility_DisplayArrayInTable(SourceData_PastureBeef.SourceData_PastureBeef_Liveweight_Data(), Table_SourceData_PastureBeef_Liveweight[[#Headers],[State]], 0)</f>
        <v>500</v>
      </c>
      <c r="L22" s="37" cm="1">
        <f t="array" ref="L22">Common_InputFunctions.Utility_DisplayArrayInTable(SourceData_PastureBeef.SourceData_PastureBeef_Liveweight_Data(), Table_SourceData_PastureBeef_Liveweight[[#Headers],[State]], 0)</f>
        <v>260</v>
      </c>
      <c r="M22" s="37" cm="1">
        <f t="array" ref="M22">Common_InputFunctions.Utility_DisplayArrayInTable(SourceData_PastureBeef.SourceData_PastureBeef_Liveweight_Data(), Table_SourceData_PastureBeef_Liveweight[[#Headers],[State]], 0)</f>
        <v>460</v>
      </c>
      <c r="S22" s="37" t="s">
        <v>183</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7" t="str" cm="1">
        <f t="array" ref="E23">Common_InputFunctions.Utility_DisplayArrayInTable(SourceData_PastureBeef.SourceData_PastureBeef_Liveweight_Data(), Table_SourceData_PastureBeef_Liveweight[[#Headers],[State]], 0)</f>
        <v>n/a</v>
      </c>
      <c r="F23" s="37" t="str" cm="1">
        <f t="array" ref="F23">Common_InputFunctions.Utility_DisplayArrayInTable(SourceData_PastureBeef.SourceData_PastureBeef_Liveweight_Data(), Table_SourceData_PastureBeef_Liveweight[[#Headers],[State]], 0)</f>
        <v>Spring</v>
      </c>
      <c r="G23" s="37" cm="1">
        <f t="array" ref="G23">Common_InputFunctions.Utility_DisplayArrayInTable(SourceData_PastureBeef.SourceData_PastureBeef_Liveweight_Data(), Table_SourceData_PastureBeef_Liveweight[[#Headers],[State]], 0)</f>
        <v>250</v>
      </c>
      <c r="H23" s="37" cm="1">
        <f t="array" ref="H23">Common_InputFunctions.Utility_DisplayArrayInTable(SourceData_PastureBeef.SourceData_PastureBeef_Liveweight_Data(), Table_SourceData_PastureBeef_Liveweight[[#Headers],[State]], 0)</f>
        <v>800</v>
      </c>
      <c r="I23" s="37" cm="1">
        <f t="array" ref="I23">Common_InputFunctions.Utility_DisplayArrayInTable(SourceData_PastureBeef.SourceData_PastureBeef_Liveweight_Data(), Table_SourceData_PastureBeef_Liveweight[[#Headers],[State]], 0)</f>
        <v>220</v>
      </c>
      <c r="J23" s="37" cm="1">
        <f t="array" ref="J23">Common_InputFunctions.Utility_DisplayArrayInTable(SourceData_PastureBeef.SourceData_PastureBeef_Liveweight_Data(), Table_SourceData_PastureBeef_Liveweight[[#Headers],[State]], 0)</f>
        <v>400</v>
      </c>
      <c r="K23" s="37" cm="1">
        <f t="array" ref="K23">Common_InputFunctions.Utility_DisplayArrayInTable(SourceData_PastureBeef.SourceData_PastureBeef_Liveweight_Data(), Table_SourceData_PastureBeef_Liveweight[[#Headers],[State]], 0)</f>
        <v>500</v>
      </c>
      <c r="L23" s="37" cm="1">
        <f t="array" ref="L23">Common_InputFunctions.Utility_DisplayArrayInTable(SourceData_PastureBeef.SourceData_PastureBeef_Liveweight_Data(), Table_SourceData_PastureBeef_Liveweight[[#Headers],[State]], 0)</f>
        <v>230</v>
      </c>
      <c r="M23" s="37" cm="1">
        <f t="array" ref="M23">Common_InputFunctions.Utility_DisplayArrayInTable(SourceData_PastureBeef.SourceData_PastureBeef_Liveweight_Data(), Table_SourceData_PastureBeef_Liveweight[[#Headers],[State]], 0)</f>
        <v>420</v>
      </c>
      <c r="S23" s="37" t="s">
        <v>202</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7" t="str" cm="1">
        <f t="array" ref="E24">Common_InputFunctions.Utility_DisplayArrayInTable(SourceData_PastureBeef.SourceData_PastureBeef_Liveweight_Data(), Table_SourceData_PastureBeef_Liveweight[[#Headers],[State]], 0)</f>
        <v>n/a</v>
      </c>
      <c r="F24" s="37" t="str" cm="1">
        <f t="array" ref="F24">Common_InputFunctions.Utility_DisplayArrayInTable(SourceData_PastureBeef.SourceData_PastureBeef_Liveweight_Data(), Table_SourceData_PastureBeef_Liveweight[[#Headers],[State]], 0)</f>
        <v>Summer</v>
      </c>
      <c r="G24" s="37" cm="1">
        <f t="array" ref="G24">Common_InputFunctions.Utility_DisplayArrayInTable(SourceData_PastureBeef.SourceData_PastureBeef_Liveweight_Data(), Table_SourceData_PastureBeef_Liveweight[[#Headers],[State]], 0)</f>
        <v>320</v>
      </c>
      <c r="H24" s="37" cm="1">
        <f t="array" ref="H24">Common_InputFunctions.Utility_DisplayArrayInTable(SourceData_PastureBeef.SourceData_PastureBeef_Liveweight_Data(), Table_SourceData_PastureBeef_Liveweight[[#Headers],[State]], 0)</f>
        <v>800</v>
      </c>
      <c r="I24" s="37" cm="1">
        <f t="array" ref="I24">Common_InputFunctions.Utility_DisplayArrayInTable(SourceData_PastureBeef.SourceData_PastureBeef_Liveweight_Data(), Table_SourceData_PastureBeef_Liveweight[[#Headers],[State]], 0)</f>
        <v>280</v>
      </c>
      <c r="J24" s="37" cm="1">
        <f t="array" ref="J24">Common_InputFunctions.Utility_DisplayArrayInTable(SourceData_PastureBeef.SourceData_PastureBeef_Liveweight_Data(), Table_SourceData_PastureBeef_Liveweight[[#Headers],[State]], 0)</f>
        <v>420</v>
      </c>
      <c r="K24" s="37" cm="1">
        <f t="array" ref="K24">Common_InputFunctions.Utility_DisplayArrayInTable(SourceData_PastureBeef.SourceData_PastureBeef_Liveweight_Data(), Table_SourceData_PastureBeef_Liveweight[[#Headers],[State]], 0)</f>
        <v>500</v>
      </c>
      <c r="L24" s="37" cm="1">
        <f t="array" ref="L24">Common_InputFunctions.Utility_DisplayArrayInTable(SourceData_PastureBeef.SourceData_PastureBeef_Liveweight_Data(), Table_SourceData_PastureBeef_Liveweight[[#Headers],[State]], 0)</f>
        <v>290</v>
      </c>
      <c r="M24" s="37" cm="1">
        <f t="array" ref="M24">Common_InputFunctions.Utility_DisplayArrayInTable(SourceData_PastureBeef.SourceData_PastureBeef_Liveweight_Data(), Table_SourceData_PastureBeef_Liveweight[[#Headers],[State]], 0)</f>
        <v>420</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7" t="str" cm="1">
        <f t="array" ref="E25">Common_InputFunctions.Utility_DisplayArrayInTable(SourceData_PastureBeef.SourceData_PastureBeef_Liveweight_Data(), Table_SourceData_PastureBeef_Liveweight[[#Headers],[State]], 0)</f>
        <v>n/a</v>
      </c>
      <c r="F25" s="37" t="str" cm="1">
        <f t="array" ref="F25">Common_InputFunctions.Utility_DisplayArrayInTable(SourceData_PastureBeef.SourceData_PastureBeef_Liveweight_Data(), Table_SourceData_PastureBeef_Liveweight[[#Headers],[State]], 0)</f>
        <v>Autumn</v>
      </c>
      <c r="G25" s="37" cm="1">
        <f t="array" ref="G25">Common_InputFunctions.Utility_DisplayArrayInTable(SourceData_PastureBeef.SourceData_PastureBeef_Liveweight_Data(), Table_SourceData_PastureBeef_Liveweight[[#Headers],[State]], 0)</f>
        <v>80</v>
      </c>
      <c r="H25" s="37" cm="1">
        <f t="array" ref="H25">Common_InputFunctions.Utility_DisplayArrayInTable(SourceData_PastureBeef.SourceData_PastureBeef_Liveweight_Data(), Table_SourceData_PastureBeef_Liveweight[[#Headers],[State]], 0)</f>
        <v>700</v>
      </c>
      <c r="I25" s="37" cm="1">
        <f t="array" ref="I25">Common_InputFunctions.Utility_DisplayArrayInTable(SourceData_PastureBeef.SourceData_PastureBeef_Liveweight_Data(), Table_SourceData_PastureBeef_Liveweight[[#Headers],[State]], 0)</f>
        <v>70</v>
      </c>
      <c r="J25" s="37" cm="1">
        <f t="array" ref="J25">Common_InputFunctions.Utility_DisplayArrayInTable(SourceData_PastureBeef.SourceData_PastureBeef_Liveweight_Data(), Table_SourceData_PastureBeef_Liveweight[[#Headers],[State]], 0)</f>
        <v>300</v>
      </c>
      <c r="K25" s="37" cm="1">
        <f t="array" ref="K25">Common_InputFunctions.Utility_DisplayArrayInTable(SourceData_PastureBeef.SourceData_PastureBeef_Liveweight_Data(), Table_SourceData_PastureBeef_Liveweight[[#Headers],[State]], 0)</f>
        <v>450</v>
      </c>
      <c r="L25" s="37" cm="1">
        <f t="array" ref="L25">Common_InputFunctions.Utility_DisplayArrayInTable(SourceData_PastureBeef.SourceData_PastureBeef_Liveweight_Data(), Table_SourceData_PastureBeef_Liveweight[[#Headers],[State]], 0)</f>
        <v>75</v>
      </c>
      <c r="M25" s="37" cm="1">
        <f t="array" ref="M25">Common_InputFunctions.Utility_DisplayArrayInTable(SourceData_PastureBeef.SourceData_PastureBeef_Liveweight_Data(), Table_SourceData_PastureBeef_Liveweight[[#Headers],[State]], 0)</f>
        <v>400</v>
      </c>
      <c r="S25" s="1" t="s">
        <v>223</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7" t="str" cm="1">
        <f t="array" ref="E26">Common_InputFunctions.Utility_DisplayArrayInTable(SourceData_PastureBeef.SourceData_PastureBeef_Liveweight_Data(), Table_SourceData_PastureBeef_Liveweight[[#Headers],[State]], 0)</f>
        <v>n/a</v>
      </c>
      <c r="F26" s="37" t="str" cm="1">
        <f t="array" ref="F26">Common_InputFunctions.Utility_DisplayArrayInTable(SourceData_PastureBeef.SourceData_PastureBeef_Liveweight_Data(), Table_SourceData_PastureBeef_Liveweight[[#Headers],[State]], 0)</f>
        <v>Winter</v>
      </c>
      <c r="G26" s="37" cm="1">
        <f t="array" ref="G26">Common_InputFunctions.Utility_DisplayArrayInTable(SourceData_PastureBeef.SourceData_PastureBeef_Liveweight_Data(), Table_SourceData_PastureBeef_Liveweight[[#Headers],[State]], 0)</f>
        <v>160</v>
      </c>
      <c r="H26" s="37" cm="1">
        <f t="array" ref="H26">Common_InputFunctions.Utility_DisplayArrayInTable(SourceData_PastureBeef.SourceData_PastureBeef_Liveweight_Data(), Table_SourceData_PastureBeef_Liveweight[[#Headers],[State]], 0)</f>
        <v>700</v>
      </c>
      <c r="I26" s="37" cm="1">
        <f t="array" ref="I26">Common_InputFunctions.Utility_DisplayArrayInTable(SourceData_PastureBeef.SourceData_PastureBeef_Liveweight_Data(), Table_SourceData_PastureBeef_Liveweight[[#Headers],[State]], 0)</f>
        <v>140</v>
      </c>
      <c r="J26" s="37" cm="1">
        <f t="array" ref="J26">Common_InputFunctions.Utility_DisplayArrayInTable(SourceData_PastureBeef.SourceData_PastureBeef_Liveweight_Data(), Table_SourceData_PastureBeef_Liveweight[[#Headers],[State]], 0)</f>
        <v>350</v>
      </c>
      <c r="K26" s="37" cm="1">
        <f t="array" ref="K26">Common_InputFunctions.Utility_DisplayArrayInTable(SourceData_PastureBeef.SourceData_PastureBeef_Liveweight_Data(), Table_SourceData_PastureBeef_Liveweight[[#Headers],[State]], 0)</f>
        <v>450</v>
      </c>
      <c r="L26" s="37" cm="1">
        <f t="array" ref="L26">Common_InputFunctions.Utility_DisplayArrayInTable(SourceData_PastureBeef.SourceData_PastureBeef_Liveweight_Data(), Table_SourceData_PastureBeef_Liveweight[[#Headers],[State]], 0)</f>
        <v>150</v>
      </c>
      <c r="M26" s="37" cm="1">
        <f t="array" ref="M26">Common_InputFunctions.Utility_DisplayArrayInTable(SourceData_PastureBeef.SourceData_PastureBeef_Liveweight_Data(), Table_SourceData_PastureBeef_Liveweight[[#Headers],[State]], 0)</f>
        <v>400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7" t="str" cm="1">
        <f t="array" ref="E27">Common_InputFunctions.Utility_DisplayArrayInTable(SourceData_PastureBeef.SourceData_PastureBeef_Liveweight_Data(), Table_SourceData_PastureBeef_Liveweight[[#Headers],[State]], 0)</f>
        <v>n/a</v>
      </c>
      <c r="F27" s="37" t="str" cm="1">
        <f t="array" ref="F27">Common_InputFunctions.Utility_DisplayArrayInTable(SourceData_PastureBeef.SourceData_PastureBeef_Liveweight_Data(), Table_SourceData_PastureBeef_Liveweight[[#Headers],[State]], 0)</f>
        <v>Spring</v>
      </c>
      <c r="G27" s="37" cm="1">
        <f t="array" ref="G27">Common_InputFunctions.Utility_DisplayArrayInTable(SourceData_PastureBeef.SourceData_PastureBeef_Liveweight_Data(), Table_SourceData_PastureBeef_Liveweight[[#Headers],[State]], 0)</f>
        <v>105</v>
      </c>
      <c r="H27" s="37" cm="1">
        <f t="array" ref="H27">Common_InputFunctions.Utility_DisplayArrayInTable(SourceData_PastureBeef.SourceData_PastureBeef_Liveweight_Data(), Table_SourceData_PastureBeef_Liveweight[[#Headers],[State]], 0)</f>
        <v>700</v>
      </c>
      <c r="I27" s="37" cm="1">
        <f t="array" ref="I27">Common_InputFunctions.Utility_DisplayArrayInTable(SourceData_PastureBeef.SourceData_PastureBeef_Liveweight_Data(), Table_SourceData_PastureBeef_Liveweight[[#Headers],[State]], 0)</f>
        <v>85</v>
      </c>
      <c r="J27" s="37" cm="1">
        <f t="array" ref="J27">Common_InputFunctions.Utility_DisplayArrayInTable(SourceData_PastureBeef.SourceData_PastureBeef_Liveweight_Data(), Table_SourceData_PastureBeef_Liveweight[[#Headers],[State]], 0)</f>
        <v>300</v>
      </c>
      <c r="K27" s="37" cm="1">
        <f t="array" ref="K27">Common_InputFunctions.Utility_DisplayArrayInTable(SourceData_PastureBeef.SourceData_PastureBeef_Liveweight_Data(), Table_SourceData_PastureBeef_Liveweight[[#Headers],[State]], 0)</f>
        <v>490</v>
      </c>
      <c r="L27" s="37" cm="1">
        <f t="array" ref="L27">Common_InputFunctions.Utility_DisplayArrayInTable(SourceData_PastureBeef.SourceData_PastureBeef_Liveweight_Data(), Table_SourceData_PastureBeef_Liveweight[[#Headers],[State]], 0)</f>
        <v>90</v>
      </c>
      <c r="M27" s="37" cm="1">
        <f t="array" ref="M27">Common_InputFunctions.Utility_DisplayArrayInTable(SourceData_PastureBeef.SourceData_PastureBeef_Liveweight_Data(), Table_SourceData_PastureBeef_Liveweight[[#Headers],[State]], 0)</f>
        <v>480</v>
      </c>
      <c r="S27" s="37" t="s">
        <v>183</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7" t="str" cm="1">
        <f t="array" ref="E28">Common_InputFunctions.Utility_DisplayArrayInTable(SourceData_PastureBeef.SourceData_PastureBeef_Liveweight_Data(), Table_SourceData_PastureBeef_Liveweight[[#Headers],[State]], 0)</f>
        <v>n/a</v>
      </c>
      <c r="F28" s="37" t="str" cm="1">
        <f t="array" ref="F28">Common_InputFunctions.Utility_DisplayArrayInTable(SourceData_PastureBeef.SourceData_PastureBeef_Liveweight_Data(), Table_SourceData_PastureBeef_Liveweight[[#Headers],[State]], 0)</f>
        <v>Summer</v>
      </c>
      <c r="G28" s="37" cm="1">
        <f t="array" ref="G28">Common_InputFunctions.Utility_DisplayArrayInTable(SourceData_PastureBeef.SourceData_PastureBeef_Liveweight_Data(), Table_SourceData_PastureBeef_Liveweight[[#Headers],[State]], 0)</f>
        <v>480</v>
      </c>
      <c r="H28" s="37" cm="1">
        <f t="array" ref="H28">Common_InputFunctions.Utility_DisplayArrayInTable(SourceData_PastureBeef.SourceData_PastureBeef_Liveweight_Data(), Table_SourceData_PastureBeef_Liveweight[[#Headers],[State]], 0)</f>
        <v>750</v>
      </c>
      <c r="I28" s="37" cm="1">
        <f t="array" ref="I28">Common_InputFunctions.Utility_DisplayArrayInTable(SourceData_PastureBeef.SourceData_PastureBeef_Liveweight_Data(), Table_SourceData_PastureBeef_Liveweight[[#Headers],[State]], 0)</f>
        <v>150</v>
      </c>
      <c r="J28" s="37" cm="1">
        <f t="array" ref="J28">Common_InputFunctions.Utility_DisplayArrayInTable(SourceData_PastureBeef.SourceData_PastureBeef_Liveweight_Data(), Table_SourceData_PastureBeef_Liveweight[[#Headers],[State]], 0)</f>
        <v>350</v>
      </c>
      <c r="K28" s="37" cm="1">
        <f t="array" ref="K28">Common_InputFunctions.Utility_DisplayArrayInTable(SourceData_PastureBeef.SourceData_PastureBeef_Liveweight_Data(), Table_SourceData_PastureBeef_Liveweight[[#Headers],[State]], 0)</f>
        <v>530</v>
      </c>
      <c r="L28" s="37" cm="1">
        <f t="array" ref="L28">Common_InputFunctions.Utility_DisplayArrayInTable(SourceData_PastureBeef.SourceData_PastureBeef_Liveweight_Data(), Table_SourceData_PastureBeef_Liveweight[[#Headers],[State]], 0)</f>
        <v>160</v>
      </c>
      <c r="M28" s="37" cm="1">
        <f t="array" ref="M28">Common_InputFunctions.Utility_DisplayArrayInTable(SourceData_PastureBeef.SourceData_PastureBeef_Liveweight_Data(), Table_SourceData_PastureBeef_Liveweight[[#Headers],[State]], 0)</f>
        <v>460</v>
      </c>
      <c r="S28" s="37" t="s">
        <v>202</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7" t="str" cm="1">
        <f t="array" ref="E29">Common_InputFunctions.Utility_DisplayArrayInTable(SourceData_PastureBeef.SourceData_PastureBeef_Liveweight_Data(), Table_SourceData_PastureBeef_Liveweight[[#Headers],[State]], 0)</f>
        <v>n/a</v>
      </c>
      <c r="F29" s="37" t="str" cm="1">
        <f t="array" ref="F29">Common_InputFunctions.Utility_DisplayArrayInTable(SourceData_PastureBeef.SourceData_PastureBeef_Liveweight_Data(), Table_SourceData_PastureBeef_Liveweight[[#Headers],[State]], 0)</f>
        <v>Autumn</v>
      </c>
      <c r="G29" s="37" cm="1">
        <f t="array" ref="G29">Common_InputFunctions.Utility_DisplayArrayInTable(SourceData_PastureBeef.SourceData_PastureBeef_Liveweight_Data(), Table_SourceData_PastureBeef_Liveweight[[#Headers],[State]], 0)</f>
        <v>250</v>
      </c>
      <c r="H29" s="37" cm="1">
        <f t="array" ref="H29">Common_InputFunctions.Utility_DisplayArrayInTable(SourceData_PastureBeef.SourceData_PastureBeef_Liveweight_Data(), Table_SourceData_PastureBeef_Liveweight[[#Headers],[State]], 0)</f>
        <v>725</v>
      </c>
      <c r="I29" s="37" cm="1">
        <f t="array" ref="I29">Common_InputFunctions.Utility_DisplayArrayInTable(SourceData_PastureBeef.SourceData_PastureBeef_Liveweight_Data(), Table_SourceData_PastureBeef_Liveweight[[#Headers],[State]], 0)</f>
        <v>200</v>
      </c>
      <c r="J29" s="37" cm="1">
        <f t="array" ref="J29">Common_InputFunctions.Utility_DisplayArrayInTable(SourceData_PastureBeef.SourceData_PastureBeef_Liveweight_Data(), Table_SourceData_PastureBeef_Liveweight[[#Headers],[State]], 0)</f>
        <v>360</v>
      </c>
      <c r="K29" s="37" cm="1">
        <f t="array" ref="K29">Common_InputFunctions.Utility_DisplayArrayInTable(SourceData_PastureBeef.SourceData_PastureBeef_Liveweight_Data(), Table_SourceData_PastureBeef_Liveweight[[#Headers],[State]], 0)</f>
        <v>500</v>
      </c>
      <c r="L29" s="37" cm="1">
        <f t="array" ref="L29">Common_InputFunctions.Utility_DisplayArrayInTable(SourceData_PastureBeef.SourceData_PastureBeef_Liveweight_Data(), Table_SourceData_PastureBeef_Liveweight[[#Headers],[State]], 0)</f>
        <v>215</v>
      </c>
      <c r="M29" s="37"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7" t="str" cm="1">
        <f t="array" ref="E30">Common_InputFunctions.Utility_DisplayArrayInTable(SourceData_PastureBeef.SourceData_PastureBeef_Liveweight_Data(), Table_SourceData_PastureBeef_Liveweight[[#Headers],[State]], 0)</f>
        <v>n/a</v>
      </c>
      <c r="F30" s="37" t="str" cm="1">
        <f t="array" ref="F30">Common_InputFunctions.Utility_DisplayArrayInTable(SourceData_PastureBeef.SourceData_PastureBeef_Liveweight_Data(), Table_SourceData_PastureBeef_Liveweight[[#Headers],[State]], 0)</f>
        <v>Winter</v>
      </c>
      <c r="G30" s="37" cm="1">
        <f t="array" ref="G30">Common_InputFunctions.Utility_DisplayArrayInTable(SourceData_PastureBeef.SourceData_PastureBeef_Liveweight_Data(), Table_SourceData_PastureBeef_Liveweight[[#Headers],[State]], 0)</f>
        <v>260</v>
      </c>
      <c r="H30" s="37" cm="1">
        <f t="array" ref="H30">Common_InputFunctions.Utility_DisplayArrayInTable(SourceData_PastureBeef.SourceData_PastureBeef_Liveweight_Data(), Table_SourceData_PastureBeef_Liveweight[[#Headers],[State]], 0)</f>
        <v>700</v>
      </c>
      <c r="I30" s="37" cm="1">
        <f t="array" ref="I30">Common_InputFunctions.Utility_DisplayArrayInTable(SourceData_PastureBeef.SourceData_PastureBeef_Liveweight_Data(), Table_SourceData_PastureBeef_Liveweight[[#Headers],[State]], 0)</f>
        <v>210</v>
      </c>
      <c r="J30" s="37" cm="1">
        <f t="array" ref="J30">Common_InputFunctions.Utility_DisplayArrayInTable(SourceData_PastureBeef.SourceData_PastureBeef_Liveweight_Data(), Table_SourceData_PastureBeef_Liveweight[[#Headers],[State]], 0)</f>
        <v>380</v>
      </c>
      <c r="K30" s="37" cm="1">
        <f t="array" ref="K30">Common_InputFunctions.Utility_DisplayArrayInTable(SourceData_PastureBeef.SourceData_PastureBeef_Liveweight_Data(), Table_SourceData_PastureBeef_Liveweight[[#Headers],[State]], 0)</f>
        <v>460</v>
      </c>
      <c r="L30" s="37" cm="1">
        <f t="array" ref="L30">Common_InputFunctions.Utility_DisplayArrayInTable(SourceData_PastureBeef.SourceData_PastureBeef_Liveweight_Data(), Table_SourceData_PastureBeef_Liveweight[[#Headers],[State]], 0)</f>
        <v>230</v>
      </c>
      <c r="M30" s="37"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7" t="str" cm="1">
        <f t="array" ref="E31">Common_InputFunctions.Utility_DisplayArrayInTable(SourceData_PastureBeef.SourceData_PastureBeef_Liveweight_Data(), Table_SourceData_PastureBeef_Liveweight[[#Headers],[State]], 0)</f>
        <v>n/a</v>
      </c>
      <c r="F31" s="37" t="str" cm="1">
        <f t="array" ref="F31">Common_InputFunctions.Utility_DisplayArrayInTable(SourceData_PastureBeef.SourceData_PastureBeef_Liveweight_Data(), Table_SourceData_PastureBeef_Liveweight[[#Headers],[State]], 0)</f>
        <v>Spring</v>
      </c>
      <c r="G31" s="37" cm="1">
        <f t="array" ref="G31">Common_InputFunctions.Utility_DisplayArrayInTable(SourceData_PastureBeef.SourceData_PastureBeef_Liveweight_Data(), Table_SourceData_PastureBeef_Liveweight[[#Headers],[State]], 0)</f>
        <v>250</v>
      </c>
      <c r="H31" s="37" cm="1">
        <f t="array" ref="H31">Common_InputFunctions.Utility_DisplayArrayInTable(SourceData_PastureBeef.SourceData_PastureBeef_Liveweight_Data(), Table_SourceData_PastureBeef_Liveweight[[#Headers],[State]], 0)</f>
        <v>820</v>
      </c>
      <c r="I31" s="37" cm="1">
        <f t="array" ref="I31">Common_InputFunctions.Utility_DisplayArrayInTable(SourceData_PastureBeef.SourceData_PastureBeef_Liveweight_Data(), Table_SourceData_PastureBeef_Liveweight[[#Headers],[State]], 0)</f>
        <v>240</v>
      </c>
      <c r="J31" s="37" cm="1">
        <f t="array" ref="J31">Common_InputFunctions.Utility_DisplayArrayInTable(SourceData_PastureBeef.SourceData_PastureBeef_Liveweight_Data(), Table_SourceData_PastureBeef_Liveweight[[#Headers],[State]], 0)</f>
        <v>410</v>
      </c>
      <c r="K31" s="37" cm="1">
        <f t="array" ref="K31">Common_InputFunctions.Utility_DisplayArrayInTable(SourceData_PastureBeef.SourceData_PastureBeef_Liveweight_Data(), Table_SourceData_PastureBeef_Liveweight[[#Headers],[State]], 0)</f>
        <v>560</v>
      </c>
      <c r="L31" s="37" cm="1">
        <f t="array" ref="L31">Common_InputFunctions.Utility_DisplayArrayInTable(SourceData_PastureBeef.SourceData_PastureBeef_Liveweight_Data(), Table_SourceData_PastureBeef_Liveweight[[#Headers],[State]], 0)</f>
        <v>240</v>
      </c>
      <c r="M31" s="37" cm="1">
        <f t="array" ref="M31">Common_InputFunctions.Utility_DisplayArrayInTable(SourceData_PastureBeef.SourceData_PastureBeef_Liveweight_Data(), Table_SourceData_PastureBeef_Liveweight[[#Headers],[State]], 0)</f>
        <v>510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7" t="str" cm="1">
        <f t="array" ref="E32">Common_InputFunctions.Utility_DisplayArrayInTable(SourceData_PastureBeef.SourceData_PastureBeef_Liveweight_Data(), Table_SourceData_PastureBeef_Liveweight[[#Headers],[State]], 0)</f>
        <v>n/a</v>
      </c>
      <c r="F32" s="37" t="str" cm="1">
        <f t="array" ref="F32">Common_InputFunctions.Utility_DisplayArrayInTable(SourceData_PastureBeef.SourceData_PastureBeef_Liveweight_Data(), Table_SourceData_PastureBeef_Liveweight[[#Headers],[State]], 0)</f>
        <v>Summer</v>
      </c>
      <c r="G32" s="37" cm="1">
        <f t="array" ref="G32">Common_InputFunctions.Utility_DisplayArrayInTable(SourceData_PastureBeef.SourceData_PastureBeef_Liveweight_Data(), Table_SourceData_PastureBeef_Liveweight[[#Headers],[State]], 0)</f>
        <v>280</v>
      </c>
      <c r="H32" s="37" cm="1">
        <f t="array" ref="H32">Common_InputFunctions.Utility_DisplayArrayInTable(SourceData_PastureBeef.SourceData_PastureBeef_Liveweight_Data(), Table_SourceData_PastureBeef_Liveweight[[#Headers],[State]], 0)</f>
        <v>850</v>
      </c>
      <c r="I32" s="37" cm="1">
        <f t="array" ref="I32">Common_InputFunctions.Utility_DisplayArrayInTable(SourceData_PastureBeef.SourceData_PastureBeef_Liveweight_Data(), Table_SourceData_PastureBeef_Liveweight[[#Headers],[State]], 0)</f>
        <v>260</v>
      </c>
      <c r="J32" s="37" cm="1">
        <f t="array" ref="J32">Common_InputFunctions.Utility_DisplayArrayInTable(SourceData_PastureBeef.SourceData_PastureBeef_Liveweight_Data(), Table_SourceData_PastureBeef_Liveweight[[#Headers],[State]], 0)</f>
        <v>440</v>
      </c>
      <c r="K32" s="37" cm="1">
        <f t="array" ref="K32">Common_InputFunctions.Utility_DisplayArrayInTable(SourceData_PastureBeef.SourceData_PastureBeef_Liveweight_Data(), Table_SourceData_PastureBeef_Liveweight[[#Headers],[State]], 0)</f>
        <v>550</v>
      </c>
      <c r="L32" s="37" cm="1">
        <f t="array" ref="L32">Common_InputFunctions.Utility_DisplayArrayInTable(SourceData_PastureBeef.SourceData_PastureBeef_Liveweight_Data(), Table_SourceData_PastureBeef_Liveweight[[#Headers],[State]], 0)</f>
        <v>270</v>
      </c>
      <c r="M32" s="37" cm="1">
        <f t="array" ref="M32">Common_InputFunctions.Utility_DisplayArrayInTable(SourceData_PastureBeef.SourceData_PastureBeef_Liveweight_Data(), Table_SourceData_PastureBeef_Liveweight[[#Headers],[State]], 0)</f>
        <v>520</v>
      </c>
    </row>
    <row r="33" spans="4:13" ht="20.100000000000001" customHeight="1" x14ac:dyDescent="0.25">
      <c r="D33" s="1" t="str" cm="1">
        <f t="array" ref="D33">Common_InputFunctions.Utility_DisplayArrayInTable(SourceData_PastureBeef.SourceData_PastureBeef_Liveweight_Data(), Table_SourceData_PastureBeef_Liveweight[[#Headers],[State]], 0)</f>
        <v>Victoria</v>
      </c>
      <c r="E33" s="37" t="str" cm="1">
        <f t="array" ref="E33">Common_InputFunctions.Utility_DisplayArrayInTable(SourceData_PastureBeef.SourceData_PastureBeef_Liveweight_Data(), Table_SourceData_PastureBeef_Liveweight[[#Headers],[State]], 0)</f>
        <v>n/a</v>
      </c>
      <c r="F33" s="37" t="str" cm="1">
        <f t="array" ref="F33">Common_InputFunctions.Utility_DisplayArrayInTable(SourceData_PastureBeef.SourceData_PastureBeef_Liveweight_Data(), Table_SourceData_PastureBeef_Liveweight[[#Headers],[State]], 0)</f>
        <v>Autumn</v>
      </c>
      <c r="G33" s="37" cm="1">
        <f t="array" ref="G33">Common_InputFunctions.Utility_DisplayArrayInTable(SourceData_PastureBeef.SourceData_PastureBeef_Liveweight_Data(), Table_SourceData_PastureBeef_Liveweight[[#Headers],[State]], 0)</f>
        <v>100</v>
      </c>
      <c r="H33" s="37" cm="1">
        <f t="array" ref="H33">Common_InputFunctions.Utility_DisplayArrayInTable(SourceData_PastureBeef.SourceData_PastureBeef_Liveweight_Data(), Table_SourceData_PastureBeef_Liveweight[[#Headers],[State]], 0)</f>
        <v>700</v>
      </c>
      <c r="I33" s="37" cm="1">
        <f t="array" ref="I33">Common_InputFunctions.Utility_DisplayArrayInTable(SourceData_PastureBeef.SourceData_PastureBeef_Liveweight_Data(), Table_SourceData_PastureBeef_Liveweight[[#Headers],[State]], 0)</f>
        <v>95</v>
      </c>
      <c r="J33" s="37" cm="1">
        <f t="array" ref="J33">Common_InputFunctions.Utility_DisplayArrayInTable(SourceData_PastureBeef.SourceData_PastureBeef_Liveweight_Data(), Table_SourceData_PastureBeef_Liveweight[[#Headers],[State]], 0)</f>
        <v>300</v>
      </c>
      <c r="K33" s="37" cm="1">
        <f t="array" ref="K33">Common_InputFunctions.Utility_DisplayArrayInTable(SourceData_PastureBeef.SourceData_PastureBeef_Liveweight_Data(), Table_SourceData_PastureBeef_Liveweight[[#Headers],[State]], 0)</f>
        <v>450</v>
      </c>
      <c r="L33" s="37" cm="1">
        <f t="array" ref="L33">Common_InputFunctions.Utility_DisplayArrayInTable(SourceData_PastureBeef.SourceData_PastureBeef_Liveweight_Data(), Table_SourceData_PastureBeef_Liveweight[[#Headers],[State]], 0)</f>
        <v>95</v>
      </c>
      <c r="M33" s="37" cm="1">
        <f t="array" ref="M33">Common_InputFunctions.Utility_DisplayArrayInTable(SourceData_PastureBeef.SourceData_PastureBeef_Liveweight_Data(), Table_SourceData_PastureBeef_Liveweight[[#Headers],[State]], 0)</f>
        <v>410</v>
      </c>
    </row>
    <row r="34" spans="4:13" ht="20.100000000000001" customHeight="1" x14ac:dyDescent="0.25">
      <c r="D34" s="1" t="str" cm="1">
        <f t="array" ref="D34">Common_InputFunctions.Utility_DisplayArrayInTable(SourceData_PastureBeef.SourceData_PastureBeef_Liveweight_Data(), Table_SourceData_PastureBeef_Liveweight[[#Headers],[State]], 0)</f>
        <v>Victoria</v>
      </c>
      <c r="E34" s="37" t="str" cm="1">
        <f t="array" ref="E34">Common_InputFunctions.Utility_DisplayArrayInTable(SourceData_PastureBeef.SourceData_PastureBeef_Liveweight_Data(), Table_SourceData_PastureBeef_Liveweight[[#Headers],[State]], 0)</f>
        <v>n/a</v>
      </c>
      <c r="F34" s="37" t="str" cm="1">
        <f t="array" ref="F34">Common_InputFunctions.Utility_DisplayArrayInTable(SourceData_PastureBeef.SourceData_PastureBeef_Liveweight_Data(), Table_SourceData_PastureBeef_Liveweight[[#Headers],[State]], 0)</f>
        <v>Winter</v>
      </c>
      <c r="G34" s="37" cm="1">
        <f t="array" ref="G34">Common_InputFunctions.Utility_DisplayArrayInTable(SourceData_PastureBeef.SourceData_PastureBeef_Liveweight_Data(), Table_SourceData_PastureBeef_Liveweight[[#Headers],[State]], 0)</f>
        <v>150</v>
      </c>
      <c r="H34" s="37" cm="1">
        <f t="array" ref="H34">Common_InputFunctions.Utility_DisplayArrayInTable(SourceData_PastureBeef.SourceData_PastureBeef_Liveweight_Data(), Table_SourceData_PastureBeef_Liveweight[[#Headers],[State]], 0)</f>
        <v>720</v>
      </c>
      <c r="I34" s="37" cm="1">
        <f t="array" ref="I34">Common_InputFunctions.Utility_DisplayArrayInTable(SourceData_PastureBeef.SourceData_PastureBeef_Liveweight_Data(), Table_SourceData_PastureBeef_Liveweight[[#Headers],[State]], 0)</f>
        <v>140</v>
      </c>
      <c r="J34" s="37" cm="1">
        <f t="array" ref="J34">Common_InputFunctions.Utility_DisplayArrayInTable(SourceData_PastureBeef.SourceData_PastureBeef_Liveweight_Data(), Table_SourceData_PastureBeef_Liveweight[[#Headers],[State]], 0)</f>
        <v>320</v>
      </c>
      <c r="K34" s="37" cm="1">
        <f t="array" ref="K34">Common_InputFunctions.Utility_DisplayArrayInTable(SourceData_PastureBeef.SourceData_PastureBeef_Liveweight_Data(), Table_SourceData_PastureBeef_Liveweight[[#Headers],[State]], 0)</f>
        <v>470</v>
      </c>
      <c r="L34" s="37" cm="1">
        <f t="array" ref="L34">Common_InputFunctions.Utility_DisplayArrayInTable(SourceData_PastureBeef.SourceData_PastureBeef_Liveweight_Data(), Table_SourceData_PastureBeef_Liveweight[[#Headers],[State]], 0)</f>
        <v>140</v>
      </c>
      <c r="M34" s="37" cm="1">
        <f t="array" ref="M34">Common_InputFunctions.Utility_DisplayArrayInTable(SourceData_PastureBeef.SourceData_PastureBeef_Liveweight_Data(), Table_SourceData_PastureBeef_Liveweight[[#Headers],[State]], 0)</f>
        <v>440</v>
      </c>
    </row>
    <row r="35" spans="4:13"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7" t="str" cm="1">
        <f t="array" ref="E35">Common_InputFunctions.Utility_DisplayArrayInTable(SourceData_PastureBeef.SourceData_PastureBeef_Liveweight_Data(), Table_SourceData_PastureBeef_Liveweight[[#Headers],[State]], 0)</f>
        <v>South West</v>
      </c>
      <c r="F35" s="37" t="str" cm="1">
        <f t="array" ref="F35">Common_InputFunctions.Utility_DisplayArrayInTable(SourceData_PastureBeef.SourceData_PastureBeef_Liveweight_Data(), Table_SourceData_PastureBeef_Liveweight[[#Headers],[State]], 0)</f>
        <v>Spring</v>
      </c>
      <c r="G35" s="37" cm="1">
        <f t="array" ref="G35">Common_InputFunctions.Utility_DisplayArrayInTable(SourceData_PastureBeef.SourceData_PastureBeef_Liveweight_Data(), Table_SourceData_PastureBeef_Liveweight[[#Headers],[State]], 0)</f>
        <v>340</v>
      </c>
      <c r="H35" s="37" cm="1">
        <f t="array" ref="H35">Common_InputFunctions.Utility_DisplayArrayInTable(SourceData_PastureBeef.SourceData_PastureBeef_Liveweight_Data(), Table_SourceData_PastureBeef_Liveweight[[#Headers],[State]], 0)</f>
        <v>800</v>
      </c>
      <c r="I35" s="37" cm="1">
        <f t="array" ref="I35">Common_InputFunctions.Utility_DisplayArrayInTable(SourceData_PastureBeef.SourceData_PastureBeef_Liveweight_Data(), Table_SourceData_PastureBeef_Liveweight[[#Headers],[State]], 0)</f>
        <v>260</v>
      </c>
      <c r="J35" s="37" cm="1">
        <f t="array" ref="J35">Common_InputFunctions.Utility_DisplayArrayInTable(SourceData_PastureBeef.SourceData_PastureBeef_Liveweight_Data(), Table_SourceData_PastureBeef_Liveweight[[#Headers],[State]], 0)</f>
        <v>420</v>
      </c>
      <c r="K35" s="37" cm="1">
        <f t="array" ref="K35">Common_InputFunctions.Utility_DisplayArrayInTable(SourceData_PastureBeef.SourceData_PastureBeef_Liveweight_Data(), Table_SourceData_PastureBeef_Liveweight[[#Headers],[State]], 0)</f>
        <v>550</v>
      </c>
      <c r="L35" s="37" cm="1">
        <f t="array" ref="L35">Common_InputFunctions.Utility_DisplayArrayInTable(SourceData_PastureBeef.SourceData_PastureBeef_Liveweight_Data(), Table_SourceData_PastureBeef_Liveweight[[#Headers],[State]], 0)</f>
        <v>300</v>
      </c>
      <c r="M35" s="37" cm="1">
        <f t="array" ref="M35">Common_InputFunctions.Utility_DisplayArrayInTable(SourceData_PastureBeef.SourceData_PastureBeef_Liveweight_Data(), Table_SourceData_PastureBeef_Liveweight[[#Headers],[State]], 0)</f>
        <v>480</v>
      </c>
    </row>
    <row r="36" spans="4:13"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7" t="str" cm="1">
        <f t="array" ref="E36">Common_InputFunctions.Utility_DisplayArrayInTable(SourceData_PastureBeef.SourceData_PastureBeef_Liveweight_Data(), Table_SourceData_PastureBeef_Liveweight[[#Headers],[State]], 0)</f>
        <v>South West</v>
      </c>
      <c r="F36" s="37" t="str" cm="1">
        <f t="array" ref="F36">Common_InputFunctions.Utility_DisplayArrayInTable(SourceData_PastureBeef.SourceData_PastureBeef_Liveweight_Data(), Table_SourceData_PastureBeef_Liveweight[[#Headers],[State]], 0)</f>
        <v>Summer</v>
      </c>
      <c r="G36" s="37" cm="1">
        <f t="array" ref="G36">Common_InputFunctions.Utility_DisplayArrayInTable(SourceData_PastureBeef.SourceData_PastureBeef_Liveweight_Data(), Table_SourceData_PastureBeef_Liveweight[[#Headers],[State]], 0)</f>
        <v>380</v>
      </c>
      <c r="H36" s="37" cm="1">
        <f t="array" ref="H36">Common_InputFunctions.Utility_DisplayArrayInTable(SourceData_PastureBeef.SourceData_PastureBeef_Liveweight_Data(), Table_SourceData_PastureBeef_Liveweight[[#Headers],[State]], 0)</f>
        <v>780</v>
      </c>
      <c r="I36" s="37" cm="1">
        <f t="array" ref="I36">Common_InputFunctions.Utility_DisplayArrayInTable(SourceData_PastureBeef.SourceData_PastureBeef_Liveweight_Data(), Table_SourceData_PastureBeef_Liveweight[[#Headers],[State]], 0)</f>
        <v>300</v>
      </c>
      <c r="J36" s="37" cm="1">
        <f t="array" ref="J36">Common_InputFunctions.Utility_DisplayArrayInTable(SourceData_PastureBeef.SourceData_PastureBeef_Liveweight_Data(), Table_SourceData_PastureBeef_Liveweight[[#Headers],[State]], 0)</f>
        <v>450</v>
      </c>
      <c r="K36" s="37" cm="1">
        <f t="array" ref="K36">Common_InputFunctions.Utility_DisplayArrayInTable(SourceData_PastureBeef.SourceData_PastureBeef_Liveweight_Data(), Table_SourceData_PastureBeef_Liveweight[[#Headers],[State]], 0)</f>
        <v>530</v>
      </c>
      <c r="L36" s="37" cm="1">
        <f t="array" ref="L36">Common_InputFunctions.Utility_DisplayArrayInTable(SourceData_PastureBeef.SourceData_PastureBeef_Liveweight_Data(), Table_SourceData_PastureBeef_Liveweight[[#Headers],[State]], 0)</f>
        <v>340</v>
      </c>
      <c r="M36" s="37" cm="1">
        <f t="array" ref="M36">Common_InputFunctions.Utility_DisplayArrayInTable(SourceData_PastureBeef.SourceData_PastureBeef_Liveweight_Data(), Table_SourceData_PastureBeef_Liveweight[[#Headers],[State]], 0)</f>
        <v>470</v>
      </c>
    </row>
    <row r="37" spans="4:13"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7" t="str" cm="1">
        <f t="array" ref="E37">Common_InputFunctions.Utility_DisplayArrayInTable(SourceData_PastureBeef.SourceData_PastureBeef_Liveweight_Data(), Table_SourceData_PastureBeef_Liveweight[[#Headers],[State]], 0)</f>
        <v>South West</v>
      </c>
      <c r="F37" s="37" t="str" cm="1">
        <f t="array" ref="F37">Common_InputFunctions.Utility_DisplayArrayInTable(SourceData_PastureBeef.SourceData_PastureBeef_Liveweight_Data(), Table_SourceData_PastureBeef_Liveweight[[#Headers],[State]], 0)</f>
        <v>Autumn</v>
      </c>
      <c r="G37" s="37" cm="1">
        <f t="array" ref="G37">Common_InputFunctions.Utility_DisplayArrayInTable(SourceData_PastureBeef.SourceData_PastureBeef_Liveweight_Data(), Table_SourceData_PastureBeef_Liveweight[[#Headers],[State]], 0)</f>
        <v>100</v>
      </c>
      <c r="H37" s="37" cm="1">
        <f t="array" ref="H37">Common_InputFunctions.Utility_DisplayArrayInTable(SourceData_PastureBeef.SourceData_PastureBeef_Liveweight_Data(), Table_SourceData_PastureBeef_Liveweight[[#Headers],[State]], 0)</f>
        <v>680</v>
      </c>
      <c r="I37" s="37" cm="1">
        <f t="array" ref="I37">Common_InputFunctions.Utility_DisplayArrayInTable(SourceData_PastureBeef.SourceData_PastureBeef_Liveweight_Data(), Table_SourceData_PastureBeef_Liveweight[[#Headers],[State]], 0)</f>
        <v>80</v>
      </c>
      <c r="J37" s="37" cm="1">
        <f t="array" ref="J37">Common_InputFunctions.Utility_DisplayArrayInTable(SourceData_PastureBeef.SourceData_PastureBeef_Liveweight_Data(), Table_SourceData_PastureBeef_Liveweight[[#Headers],[State]], 0)</f>
        <v>320</v>
      </c>
      <c r="K37" s="37" cm="1">
        <f t="array" ref="K37">Common_InputFunctions.Utility_DisplayArrayInTable(SourceData_PastureBeef.SourceData_PastureBeef_Liveweight_Data(), Table_SourceData_PastureBeef_Liveweight[[#Headers],[State]], 0)</f>
        <v>480</v>
      </c>
      <c r="L37" s="37" cm="1">
        <f t="array" ref="L37">Common_InputFunctions.Utility_DisplayArrayInTable(SourceData_PastureBeef.SourceData_PastureBeef_Liveweight_Data(), Table_SourceData_PastureBeef_Liveweight[[#Headers],[State]], 0)</f>
        <v>100</v>
      </c>
      <c r="M37" s="37" cm="1">
        <f t="array" ref="M37">Common_InputFunctions.Utility_DisplayArrayInTable(SourceData_PastureBeef.SourceData_PastureBeef_Liveweight_Data(), Table_SourceData_PastureBeef_Liveweight[[#Headers],[State]], 0)</f>
        <v>340</v>
      </c>
    </row>
    <row r="38" spans="4:13"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7" t="str" cm="1">
        <f t="array" ref="E38">Common_InputFunctions.Utility_DisplayArrayInTable(SourceData_PastureBeef.SourceData_PastureBeef_Liveweight_Data(), Table_SourceData_PastureBeef_Liveweight[[#Headers],[State]], 0)</f>
        <v>South West</v>
      </c>
      <c r="F38" s="37" t="str" cm="1">
        <f t="array" ref="F38">Common_InputFunctions.Utility_DisplayArrayInTable(SourceData_PastureBeef.SourceData_PastureBeef_Liveweight_Data(), Table_SourceData_PastureBeef_Liveweight[[#Headers],[State]], 0)</f>
        <v>Winter</v>
      </c>
      <c r="G38" s="37" cm="1">
        <f t="array" ref="G38">Common_InputFunctions.Utility_DisplayArrayInTable(SourceData_PastureBeef.SourceData_PastureBeef_Liveweight_Data(), Table_SourceData_PastureBeef_Liveweight[[#Headers],[State]], 0)</f>
        <v>190</v>
      </c>
      <c r="H38" s="37" cm="1">
        <f t="array" ref="H38">Common_InputFunctions.Utility_DisplayArrayInTable(SourceData_PastureBeef.SourceData_PastureBeef_Liveweight_Data(), Table_SourceData_PastureBeef_Liveweight[[#Headers],[State]], 0)</f>
        <v>700</v>
      </c>
      <c r="I38" s="37" cm="1">
        <f t="array" ref="I38">Common_InputFunctions.Utility_DisplayArrayInTable(SourceData_PastureBeef.SourceData_PastureBeef_Liveweight_Data(), Table_SourceData_PastureBeef_Liveweight[[#Headers],[State]], 0)</f>
        <v>150</v>
      </c>
      <c r="J38" s="37" cm="1">
        <f t="array" ref="J38">Common_InputFunctions.Utility_DisplayArrayInTable(SourceData_PastureBeef.SourceData_PastureBeef_Liveweight_Data(), Table_SourceData_PastureBeef_Liveweight[[#Headers],[State]], 0)</f>
        <v>330</v>
      </c>
      <c r="K38" s="37" cm="1">
        <f t="array" ref="K38">Common_InputFunctions.Utility_DisplayArrayInTable(SourceData_PastureBeef.SourceData_PastureBeef_Liveweight_Data(), Table_SourceData_PastureBeef_Liveweight[[#Headers],[State]], 0)</f>
        <v>490</v>
      </c>
      <c r="L38" s="37" cm="1">
        <f t="array" ref="L38">Common_InputFunctions.Utility_DisplayArrayInTable(SourceData_PastureBeef.SourceData_PastureBeef_Liveweight_Data(), Table_SourceData_PastureBeef_Liveweight[[#Headers],[State]], 0)</f>
        <v>170</v>
      </c>
      <c r="M38" s="37" cm="1">
        <f t="array" ref="M38">Common_InputFunctions.Utility_DisplayArrayInTable(SourceData_PastureBeef.SourceData_PastureBeef_Liveweight_Data(), Table_SourceData_PastureBeef_Liveweight[[#Headers],[State]], 0)</f>
        <v>360</v>
      </c>
    </row>
    <row r="39" spans="4:13"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7" t="str" cm="1">
        <f t="array" ref="E39">Common_InputFunctions.Utility_DisplayArrayInTable(SourceData_PastureBeef.SourceData_PastureBeef_Liveweight_Data(), Table_SourceData_PastureBeef_Liveweight[[#Headers],[State]], 0)</f>
        <v>Pilbara</v>
      </c>
      <c r="F39" s="37" t="str" cm="1">
        <f t="array" ref="F39">Common_InputFunctions.Utility_DisplayArrayInTable(SourceData_PastureBeef.SourceData_PastureBeef_Liveweight_Data(), Table_SourceData_PastureBeef_Liveweight[[#Headers],[State]], 0)</f>
        <v>Spring</v>
      </c>
      <c r="G39" s="37" cm="1">
        <f t="array" ref="G39">Common_InputFunctions.Utility_DisplayArrayInTable(SourceData_PastureBeef.SourceData_PastureBeef_Liveweight_Data(), Table_SourceData_PastureBeef_Liveweight[[#Headers],[State]], 0)</f>
        <v>80</v>
      </c>
      <c r="H39" s="37" cm="1">
        <f t="array" ref="H39">Common_InputFunctions.Utility_DisplayArrayInTable(SourceData_PastureBeef.SourceData_PastureBeef_Liveweight_Data(), Table_SourceData_PastureBeef_Liveweight[[#Headers],[State]], 0)</f>
        <v>450</v>
      </c>
      <c r="I39" s="37" cm="1">
        <f t="array" ref="I39">Common_InputFunctions.Utility_DisplayArrayInTable(SourceData_PastureBeef.SourceData_PastureBeef_Liveweight_Data(), Table_SourceData_PastureBeef_Liveweight[[#Headers],[State]], 0)</f>
        <v>70</v>
      </c>
      <c r="J39" s="37" cm="1">
        <f t="array" ref="J39">Common_InputFunctions.Utility_DisplayArrayInTable(SourceData_PastureBeef.SourceData_PastureBeef_Liveweight_Data(), Table_SourceData_PastureBeef_Liveweight[[#Headers],[State]], 0)</f>
        <v>260</v>
      </c>
      <c r="K39" s="37" cm="1">
        <f t="array" ref="K39">Common_InputFunctions.Utility_DisplayArrayInTable(SourceData_PastureBeef.SourceData_PastureBeef_Liveweight_Data(), Table_SourceData_PastureBeef_Liveweight[[#Headers],[State]], 0)</f>
        <v>340</v>
      </c>
      <c r="L39" s="37" cm="1">
        <f t="array" ref="L39">Common_InputFunctions.Utility_DisplayArrayInTable(SourceData_PastureBeef.SourceData_PastureBeef_Liveweight_Data(), Table_SourceData_PastureBeef_Liveweight[[#Headers],[State]], 0)</f>
        <v>80</v>
      </c>
      <c r="M39" s="37" cm="1">
        <f t="array" ref="M39">Common_InputFunctions.Utility_DisplayArrayInTable(SourceData_PastureBeef.SourceData_PastureBeef_Liveweight_Data(), Table_SourceData_PastureBeef_Liveweight[[#Headers],[State]], 0)</f>
        <v>370</v>
      </c>
    </row>
    <row r="40" spans="4:13"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7" t="str" cm="1">
        <f t="array" ref="E40">Common_InputFunctions.Utility_DisplayArrayInTable(SourceData_PastureBeef.SourceData_PastureBeef_Liveweight_Data(), Table_SourceData_PastureBeef_Liveweight[[#Headers],[State]], 0)</f>
        <v>Pilbara</v>
      </c>
      <c r="F40" s="37" t="str" cm="1">
        <f t="array" ref="F40">Common_InputFunctions.Utility_DisplayArrayInTable(SourceData_PastureBeef.SourceData_PastureBeef_Liveweight_Data(), Table_SourceData_PastureBeef_Liveweight[[#Headers],[State]], 0)</f>
        <v>Summer</v>
      </c>
      <c r="G40" s="37" cm="1">
        <f t="array" ref="G40">Common_InputFunctions.Utility_DisplayArrayInTable(SourceData_PastureBeef.SourceData_PastureBeef_Liveweight_Data(), Table_SourceData_PastureBeef_Liveweight[[#Headers],[State]], 0)</f>
        <v>150</v>
      </c>
      <c r="H40" s="37" cm="1">
        <f t="array" ref="H40">Common_InputFunctions.Utility_DisplayArrayInTable(SourceData_PastureBeef.SourceData_PastureBeef_Liveweight_Data(), Table_SourceData_PastureBeef_Liveweight[[#Headers],[State]], 0)</f>
        <v>500</v>
      </c>
      <c r="I40" s="37" cm="1">
        <f t="array" ref="I40">Common_InputFunctions.Utility_DisplayArrayInTable(SourceData_PastureBeef.SourceData_PastureBeef_Liveweight_Data(), Table_SourceData_PastureBeef_Liveweight[[#Headers],[State]], 0)</f>
        <v>140</v>
      </c>
      <c r="J40" s="37" cm="1">
        <f t="array" ref="J40">Common_InputFunctions.Utility_DisplayArrayInTable(SourceData_PastureBeef.SourceData_PastureBeef_Liveweight_Data(), Table_SourceData_PastureBeef_Liveweight[[#Headers],[State]], 0)</f>
        <v>310</v>
      </c>
      <c r="K40" s="37" cm="1">
        <f t="array" ref="K40">Common_InputFunctions.Utility_DisplayArrayInTable(SourceData_PastureBeef.SourceData_PastureBeef_Liveweight_Data(), Table_SourceData_PastureBeef_Liveweight[[#Headers],[State]], 0)</f>
        <v>360</v>
      </c>
      <c r="L40" s="37" cm="1">
        <f t="array" ref="L40">Common_InputFunctions.Utility_DisplayArrayInTable(SourceData_PastureBeef.SourceData_PastureBeef_Liveweight_Data(), Table_SourceData_PastureBeef_Liveweight[[#Headers],[State]], 0)</f>
        <v>150</v>
      </c>
      <c r="M40" s="37" cm="1">
        <f t="array" ref="M40">Common_InputFunctions.Utility_DisplayArrayInTable(SourceData_PastureBeef.SourceData_PastureBeef_Liveweight_Data(), Table_SourceData_PastureBeef_Liveweight[[#Headers],[State]], 0)</f>
        <v>400</v>
      </c>
    </row>
    <row r="41" spans="4:13"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7" t="str" cm="1">
        <f t="array" ref="E41">Common_InputFunctions.Utility_DisplayArrayInTable(SourceData_PastureBeef.SourceData_PastureBeef_Liveweight_Data(), Table_SourceData_PastureBeef_Liveweight[[#Headers],[State]], 0)</f>
        <v>Pilbara</v>
      </c>
      <c r="F41" s="37" t="str" cm="1">
        <f t="array" ref="F41">Common_InputFunctions.Utility_DisplayArrayInTable(SourceData_PastureBeef.SourceData_PastureBeef_Liveweight_Data(), Table_SourceData_PastureBeef_Liveweight[[#Headers],[State]], 0)</f>
        <v>Autumn</v>
      </c>
      <c r="G41" s="37" cm="1">
        <f t="array" ref="G41">Common_InputFunctions.Utility_DisplayArrayInTable(SourceData_PastureBeef.SourceData_PastureBeef_Liveweight_Data(), Table_SourceData_PastureBeef_Liveweight[[#Headers],[State]], 0)</f>
        <v>230</v>
      </c>
      <c r="H41" s="37" cm="1">
        <f t="array" ref="H41">Common_InputFunctions.Utility_DisplayArrayInTable(SourceData_PastureBeef.SourceData_PastureBeef_Liveweight_Data(), Table_SourceData_PastureBeef_Liveweight[[#Headers],[State]], 0)</f>
        <v>550</v>
      </c>
      <c r="I41" s="37" cm="1">
        <f t="array" ref="I41">Common_InputFunctions.Utility_DisplayArrayInTable(SourceData_PastureBeef.SourceData_PastureBeef_Liveweight_Data(), Table_SourceData_PastureBeef_Liveweight[[#Headers],[State]], 0)</f>
        <v>220</v>
      </c>
      <c r="J41" s="37" cm="1">
        <f t="array" ref="J41">Common_InputFunctions.Utility_DisplayArrayInTable(SourceData_PastureBeef.SourceData_PastureBeef_Liveweight_Data(), Table_SourceData_PastureBeef_Liveweight[[#Headers],[State]], 0)</f>
        <v>330</v>
      </c>
      <c r="K41" s="37" cm="1">
        <f t="array" ref="K41">Common_InputFunctions.Utility_DisplayArrayInTable(SourceData_PastureBeef.SourceData_PastureBeef_Liveweight_Data(), Table_SourceData_PastureBeef_Liveweight[[#Headers],[State]], 0)</f>
        <v>380</v>
      </c>
      <c r="L41" s="37" cm="1">
        <f t="array" ref="L41">Common_InputFunctions.Utility_DisplayArrayInTable(SourceData_PastureBeef.SourceData_PastureBeef_Liveweight_Data(), Table_SourceData_PastureBeef_Liveweight[[#Headers],[State]], 0)</f>
        <v>230</v>
      </c>
      <c r="M41" s="37" cm="1">
        <f t="array" ref="M41">Common_InputFunctions.Utility_DisplayArrayInTable(SourceData_PastureBeef.SourceData_PastureBeef_Liveweight_Data(), Table_SourceData_PastureBeef_Liveweight[[#Headers],[State]], 0)</f>
        <v>420</v>
      </c>
    </row>
    <row r="42" spans="4:13"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7" t="str" cm="1">
        <f t="array" ref="E42">Common_InputFunctions.Utility_DisplayArrayInTable(SourceData_PastureBeef.SourceData_PastureBeef_Liveweight_Data(), Table_SourceData_PastureBeef_Liveweight[[#Headers],[State]], 0)</f>
        <v>Pilbara</v>
      </c>
      <c r="F42" s="37" t="str" cm="1">
        <f t="array" ref="F42">Common_InputFunctions.Utility_DisplayArrayInTable(SourceData_PastureBeef.SourceData_PastureBeef_Liveweight_Data(), Table_SourceData_PastureBeef_Liveweight[[#Headers],[State]], 0)</f>
        <v>Winter</v>
      </c>
      <c r="G42" s="37" cm="1">
        <f t="array" ref="G42">Common_InputFunctions.Utility_DisplayArrayInTable(SourceData_PastureBeef.SourceData_PastureBeef_Liveweight_Data(), Table_SourceData_PastureBeef_Liveweight[[#Headers],[State]], 0)</f>
        <v>250</v>
      </c>
      <c r="H42" s="37" cm="1">
        <f t="array" ref="H42">Common_InputFunctions.Utility_DisplayArrayInTable(SourceData_PastureBeef.SourceData_PastureBeef_Liveweight_Data(), Table_SourceData_PastureBeef_Liveweight[[#Headers],[State]], 0)</f>
        <v>500</v>
      </c>
      <c r="I42" s="37" cm="1">
        <f t="array" ref="I42">Common_InputFunctions.Utility_DisplayArrayInTable(SourceData_PastureBeef.SourceData_PastureBeef_Liveweight_Data(), Table_SourceData_PastureBeef_Liveweight[[#Headers],[State]], 0)</f>
        <v>240</v>
      </c>
      <c r="J42" s="37" cm="1">
        <f t="array" ref="J42">Common_InputFunctions.Utility_DisplayArrayInTable(SourceData_PastureBeef.SourceData_PastureBeef_Liveweight_Data(), Table_SourceData_PastureBeef_Liveweight[[#Headers],[State]], 0)</f>
        <v>340</v>
      </c>
      <c r="K42" s="37" cm="1">
        <f t="array" ref="K42">Common_InputFunctions.Utility_DisplayArrayInTable(SourceData_PastureBeef.SourceData_PastureBeef_Liveweight_Data(), Table_SourceData_PastureBeef_Liveweight[[#Headers],[State]], 0)</f>
        <v>360</v>
      </c>
      <c r="L42" s="37" cm="1">
        <f t="array" ref="L42">Common_InputFunctions.Utility_DisplayArrayInTable(SourceData_PastureBeef.SourceData_PastureBeef_Liveweight_Data(), Table_SourceData_PastureBeef_Liveweight[[#Headers],[State]], 0)</f>
        <v>250</v>
      </c>
      <c r="M42" s="37" cm="1">
        <f t="array" ref="M42">Common_InputFunctions.Utility_DisplayArrayInTable(SourceData_PastureBeef.SourceData_PastureBeef_Liveweight_Data(), Table_SourceData_PastureBeef_Liveweight[[#Headers],[State]], 0)</f>
        <v>390</v>
      </c>
    </row>
    <row r="43" spans="4:13"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7" t="str" cm="1">
        <f t="array" ref="E43">Common_InputFunctions.Utility_DisplayArrayInTable(SourceData_PastureBeef.SourceData_PastureBeef_Liveweight_Data(), Table_SourceData_PastureBeef_Liveweight[[#Headers],[State]], 0)</f>
        <v>Kimberley</v>
      </c>
      <c r="F43" s="37" t="str" cm="1">
        <f t="array" ref="F43">Common_InputFunctions.Utility_DisplayArrayInTable(SourceData_PastureBeef.SourceData_PastureBeef_Liveweight_Data(), Table_SourceData_PastureBeef_Liveweight[[#Headers],[State]], 0)</f>
        <v>Spring</v>
      </c>
      <c r="G43" s="37" cm="1">
        <f t="array" ref="G43">Common_InputFunctions.Utility_DisplayArrayInTable(SourceData_PastureBeef.SourceData_PastureBeef_Liveweight_Data(), Table_SourceData_PastureBeef_Liveweight[[#Headers],[State]], 0)</f>
        <v>220</v>
      </c>
      <c r="H43" s="37" cm="1">
        <f t="array" ref="H43">Common_InputFunctions.Utility_DisplayArrayInTable(SourceData_PastureBeef.SourceData_PastureBeef_Liveweight_Data(), Table_SourceData_PastureBeef_Liveweight[[#Headers],[State]], 0)</f>
        <v>500</v>
      </c>
      <c r="I43" s="37" cm="1">
        <f t="array" ref="I43">Common_InputFunctions.Utility_DisplayArrayInTable(SourceData_PastureBeef.SourceData_PastureBeef_Liveweight_Data(), Table_SourceData_PastureBeef_Liveweight[[#Headers],[State]], 0)</f>
        <v>180</v>
      </c>
      <c r="J43" s="37" cm="1">
        <f t="array" ref="J43">Common_InputFunctions.Utility_DisplayArrayInTable(SourceData_PastureBeef.SourceData_PastureBeef_Liveweight_Data(), Table_SourceData_PastureBeef_Liveweight[[#Headers],[State]], 0)</f>
        <v>300</v>
      </c>
      <c r="K43" s="37" cm="1">
        <f t="array" ref="K43">Common_InputFunctions.Utility_DisplayArrayInTable(SourceData_PastureBeef.SourceData_PastureBeef_Liveweight_Data(), Table_SourceData_PastureBeef_Liveweight[[#Headers],[State]], 0)</f>
        <v>320</v>
      </c>
      <c r="L43" s="37" cm="1">
        <f t="array" ref="L43">Common_InputFunctions.Utility_DisplayArrayInTable(SourceData_PastureBeef.SourceData_PastureBeef_Liveweight_Data(), Table_SourceData_PastureBeef_Liveweight[[#Headers],[State]], 0)</f>
        <v>210</v>
      </c>
      <c r="M43" s="37" cm="1">
        <f t="array" ref="M43">Common_InputFunctions.Utility_DisplayArrayInTable(SourceData_PastureBeef.SourceData_PastureBeef_Liveweight_Data(), Table_SourceData_PastureBeef_Liveweight[[#Headers],[State]], 0)</f>
        <v>340</v>
      </c>
    </row>
    <row r="44" spans="4:13"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7" t="str" cm="1">
        <f t="array" ref="E44">Common_InputFunctions.Utility_DisplayArrayInTable(SourceData_PastureBeef.SourceData_PastureBeef_Liveweight_Data(), Table_SourceData_PastureBeef_Liveweight[[#Headers],[State]], 0)</f>
        <v>Kimberley</v>
      </c>
      <c r="F44" s="37" t="str" cm="1">
        <f t="array" ref="F44">Common_InputFunctions.Utility_DisplayArrayInTable(SourceData_PastureBeef.SourceData_PastureBeef_Liveweight_Data(), Table_SourceData_PastureBeef_Liveweight[[#Headers],[State]], 0)</f>
        <v>Summer</v>
      </c>
      <c r="G44" s="37" cm="1">
        <f t="array" ref="G44">Common_InputFunctions.Utility_DisplayArrayInTable(SourceData_PastureBeef.SourceData_PastureBeef_Liveweight_Data(), Table_SourceData_PastureBeef_Liveweight[[#Headers],[State]], 0)</f>
        <v>110</v>
      </c>
      <c r="H44" s="37" cm="1">
        <f t="array" ref="H44">Common_InputFunctions.Utility_DisplayArrayInTable(SourceData_PastureBeef.SourceData_PastureBeef_Liveweight_Data(), Table_SourceData_PastureBeef_Liveweight[[#Headers],[State]], 0)</f>
        <v>550</v>
      </c>
      <c r="I44" s="37" cm="1">
        <f t="array" ref="I44">Common_InputFunctions.Utility_DisplayArrayInTable(SourceData_PastureBeef.SourceData_PastureBeef_Liveweight_Data(), Table_SourceData_PastureBeef_Liveweight[[#Headers],[State]], 0)</f>
        <v>90</v>
      </c>
      <c r="J44" s="37" cm="1">
        <f t="array" ref="J44">Common_InputFunctions.Utility_DisplayArrayInTable(SourceData_PastureBeef.SourceData_PastureBeef_Liveweight_Data(), Table_SourceData_PastureBeef_Liveweight[[#Headers],[State]], 0)</f>
        <v>220</v>
      </c>
      <c r="K44" s="37" cm="1">
        <f t="array" ref="K44">Common_InputFunctions.Utility_DisplayArrayInTable(SourceData_PastureBeef.SourceData_PastureBeef_Liveweight_Data(), Table_SourceData_PastureBeef_Liveweight[[#Headers],[State]], 0)</f>
        <v>380</v>
      </c>
      <c r="L44" s="37" cm="1">
        <f t="array" ref="L44">Common_InputFunctions.Utility_DisplayArrayInTable(SourceData_PastureBeef.SourceData_PastureBeef_Liveweight_Data(), Table_SourceData_PastureBeef_Liveweight[[#Headers],[State]], 0)</f>
        <v>100</v>
      </c>
      <c r="M44" s="37" cm="1">
        <f t="array" ref="M44">Common_InputFunctions.Utility_DisplayArrayInTable(SourceData_PastureBeef.SourceData_PastureBeef_Liveweight_Data(), Table_SourceData_PastureBeef_Liveweight[[#Headers],[State]], 0)</f>
        <v>390</v>
      </c>
    </row>
    <row r="45" spans="4:13"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7" t="str" cm="1">
        <f t="array" ref="E45">Common_InputFunctions.Utility_DisplayArrayInTable(SourceData_PastureBeef.SourceData_PastureBeef_Liveweight_Data(), Table_SourceData_PastureBeef_Liveweight[[#Headers],[State]], 0)</f>
        <v>Kimberley</v>
      </c>
      <c r="F45" s="37" t="str" cm="1">
        <f t="array" ref="F45">Common_InputFunctions.Utility_DisplayArrayInTable(SourceData_PastureBeef.SourceData_PastureBeef_Liveweight_Data(), Table_SourceData_PastureBeef_Liveweight[[#Headers],[State]], 0)</f>
        <v>Autumn</v>
      </c>
      <c r="G45" s="37" cm="1">
        <f t="array" ref="G45">Common_InputFunctions.Utility_DisplayArrayInTable(SourceData_PastureBeef.SourceData_PastureBeef_Liveweight_Data(), Table_SourceData_PastureBeef_Liveweight[[#Headers],[State]], 0)</f>
        <v>170</v>
      </c>
      <c r="H45" s="37" cm="1">
        <f t="array" ref="H45">Common_InputFunctions.Utility_DisplayArrayInTable(SourceData_PastureBeef.SourceData_PastureBeef_Liveweight_Data(), Table_SourceData_PastureBeef_Liveweight[[#Headers],[State]], 0)</f>
        <v>600</v>
      </c>
      <c r="I45" s="37" cm="1">
        <f t="array" ref="I45">Common_InputFunctions.Utility_DisplayArrayInTable(SourceData_PastureBeef.SourceData_PastureBeef_Liveweight_Data(), Table_SourceData_PastureBeef_Liveweight[[#Headers],[State]], 0)</f>
        <v>140</v>
      </c>
      <c r="J45" s="37" cm="1">
        <f t="array" ref="J45">Common_InputFunctions.Utility_DisplayArrayInTable(SourceData_PastureBeef.SourceData_PastureBeef_Liveweight_Data(), Table_SourceData_PastureBeef_Liveweight[[#Headers],[State]], 0)</f>
        <v>270</v>
      </c>
      <c r="K45" s="37" cm="1">
        <f t="array" ref="K45">Common_InputFunctions.Utility_DisplayArrayInTable(SourceData_PastureBeef.SourceData_PastureBeef_Liveweight_Data(), Table_SourceData_PastureBeef_Liveweight[[#Headers],[State]], 0)</f>
        <v>390</v>
      </c>
      <c r="L45" s="37" cm="1">
        <f t="array" ref="L45">Common_InputFunctions.Utility_DisplayArrayInTable(SourceData_PastureBeef.SourceData_PastureBeef_Liveweight_Data(), Table_SourceData_PastureBeef_Liveweight[[#Headers],[State]], 0)</f>
        <v>160</v>
      </c>
      <c r="M45" s="37" cm="1">
        <f t="array" ref="M45">Common_InputFunctions.Utility_DisplayArrayInTable(SourceData_PastureBeef.SourceData_PastureBeef_Liveweight_Data(), Table_SourceData_PastureBeef_Liveweight[[#Headers],[State]], 0)</f>
        <v>430</v>
      </c>
    </row>
    <row r="46" spans="4:13"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7" t="str" cm="1">
        <f t="array" ref="E46">Common_InputFunctions.Utility_DisplayArrayInTable(SourceData_PastureBeef.SourceData_PastureBeef_Liveweight_Data(), Table_SourceData_PastureBeef_Liveweight[[#Headers],[State]], 0)</f>
        <v>Kimberley</v>
      </c>
      <c r="F46" s="37" t="str" cm="1">
        <f t="array" ref="F46">Common_InputFunctions.Utility_DisplayArrayInTable(SourceData_PastureBeef.SourceData_PastureBeef_Liveweight_Data(), Table_SourceData_PastureBeef_Liveweight[[#Headers],[State]], 0)</f>
        <v>Winter</v>
      </c>
      <c r="G46" s="37" cm="1">
        <f t="array" ref="G46">Common_InputFunctions.Utility_DisplayArrayInTable(SourceData_PastureBeef.SourceData_PastureBeef_Liveweight_Data(), Table_SourceData_PastureBeef_Liveweight[[#Headers],[State]], 0)</f>
        <v>200</v>
      </c>
      <c r="H46" s="37" cm="1">
        <f t="array" ref="H46">Common_InputFunctions.Utility_DisplayArrayInTable(SourceData_PastureBeef.SourceData_PastureBeef_Liveweight_Data(), Table_SourceData_PastureBeef_Liveweight[[#Headers],[State]], 0)</f>
        <v>550</v>
      </c>
      <c r="I46" s="37" cm="1">
        <f t="array" ref="I46">Common_InputFunctions.Utility_DisplayArrayInTable(SourceData_PastureBeef.SourceData_PastureBeef_Liveweight_Data(), Table_SourceData_PastureBeef_Liveweight[[#Headers],[State]], 0)</f>
        <v>150</v>
      </c>
      <c r="J46" s="37" cm="1">
        <f t="array" ref="J46">Common_InputFunctions.Utility_DisplayArrayInTable(SourceData_PastureBeef.SourceData_PastureBeef_Liveweight_Data(), Table_SourceData_PastureBeef_Liveweight[[#Headers],[State]], 0)</f>
        <v>280</v>
      </c>
      <c r="K46" s="37" cm="1">
        <f t="array" ref="K46">Common_InputFunctions.Utility_DisplayArrayInTable(SourceData_PastureBeef.SourceData_PastureBeef_Liveweight_Data(), Table_SourceData_PastureBeef_Liveweight[[#Headers],[State]], 0)</f>
        <v>350</v>
      </c>
      <c r="L46" s="37" cm="1">
        <f t="array" ref="L46">Common_InputFunctions.Utility_DisplayArrayInTable(SourceData_PastureBeef.SourceData_PastureBeef_Liveweight_Data(), Table_SourceData_PastureBeef_Liveweight[[#Headers],[State]], 0)</f>
        <v>190</v>
      </c>
      <c r="M46" s="37" cm="1">
        <f t="array" ref="M46">Common_InputFunctions.Utility_DisplayArrayInTable(SourceData_PastureBeef.SourceData_PastureBeef_Liveweight_Data(), Table_SourceData_PastureBeef_Liveweight[[#Headers],[State]], 0)</f>
        <v>400</v>
      </c>
    </row>
    <row r="47" spans="4:13" ht="20.100000000000001" customHeight="1" x14ac:dyDescent="0.25">
      <c r="M47" s="1"/>
    </row>
    <row r="48" spans="4:13" ht="20.100000000000001" customHeight="1" x14ac:dyDescent="0.25">
      <c r="M48" s="1"/>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4" t="str" cm="1">
        <f t="array" ref="D52">SourceData_PastureBeef.SourceData_PastureBeef_LiveweightNTQLD_Unit()</f>
        <v>kg</v>
      </c>
      <c r="M52" s="1"/>
    </row>
    <row r="53" spans="4:16" ht="20.100000000000001" customHeight="1" x14ac:dyDescent="0.25">
      <c r="D53" s="37" t="s">
        <v>8</v>
      </c>
      <c r="E53" s="37" t="s">
        <v>183</v>
      </c>
      <c r="F53" s="37" t="s">
        <v>184</v>
      </c>
      <c r="G53" s="37" t="s">
        <v>203</v>
      </c>
      <c r="H53" s="37" t="s">
        <v>192</v>
      </c>
      <c r="I53" s="37" t="s">
        <v>193</v>
      </c>
      <c r="J53" s="37" t="s">
        <v>194</v>
      </c>
      <c r="K53" s="37" t="s">
        <v>195</v>
      </c>
      <c r="L53" s="37" t="s">
        <v>196</v>
      </c>
      <c r="M53" s="37" t="s">
        <v>197</v>
      </c>
      <c r="N53" s="37" t="s">
        <v>198</v>
      </c>
      <c r="O53" s="37" t="s">
        <v>199</v>
      </c>
      <c r="P53" s="37" t="s">
        <v>200</v>
      </c>
    </row>
    <row r="54" spans="4:16" ht="20.100000000000001" customHeight="1" x14ac:dyDescent="0.25">
      <c r="D54" s="37" t="str" cm="1">
        <f t="array" ref="D54">Common_InputFunctions.Utility_DisplayArrayInTable(SourceData_PastureBeef.SourceData_PastureBeef_LiveweightNTQLD_Data(),Table_SourceData_PastureBeef_LiveweightNTQD[[#Headers],[State]], 0)</f>
        <v>Northern Territory</v>
      </c>
      <c r="E54" s="37" t="str" cm="1">
        <f t="array" ref="E54">Common_InputFunctions.Utility_DisplayArrayInTable(SourceData_PastureBeef.SourceData_PastureBeef_LiveweightNTQLD_Data(),Table_SourceData_PastureBeef_LiveweightNTQD[[#Headers],[State]], 0)</f>
        <v>Alice Springs</v>
      </c>
      <c r="F54" s="37" t="str" cm="1">
        <f t="array" ref="F54">Common_InputFunctions.Utility_DisplayArrayInTable(SourceData_PastureBeef.SourceData_PastureBeef_LiveweightNTQLD_Data(),Table_SourceData_PastureBeef_LiveweightNTQD[[#Headers],[State]], 0)</f>
        <v>Spring</v>
      </c>
      <c r="G54" s="37" cm="1">
        <f t="array" ref="G54">Common_InputFunctions.Utility_DisplayArrayInTable(SourceData_PastureBeef.SourceData_PastureBeef_LiveweightNTQLD_Data(),Table_SourceData_PastureBeef_LiveweightNTQD[[#Headers],[State]], 0)</f>
        <v>220</v>
      </c>
      <c r="H54" s="37" cm="1">
        <f t="array" ref="H54">Common_InputFunctions.Utility_DisplayArrayInTable(SourceData_PastureBeef.SourceData_PastureBeef_LiveweightNTQLD_Data(),Table_SourceData_PastureBeef_LiveweightNTQD[[#Headers],[State]], 0)</f>
        <v>706</v>
      </c>
      <c r="I54" s="37" cm="1">
        <f t="array" ref="I54">Common_InputFunctions.Utility_DisplayArrayInTable(SourceData_PastureBeef.SourceData_PastureBeef_LiveweightNTQLD_Data(),Table_SourceData_PastureBeef_LiveweightNTQD[[#Headers],[State]], 0)</f>
        <v>208</v>
      </c>
      <c r="J54" s="37" cm="1">
        <f t="array" ref="J54">Common_InputFunctions.Utility_DisplayArrayInTable(SourceData_PastureBeef.SourceData_PastureBeef_LiveweightNTQLD_Data(),Table_SourceData_PastureBeef_LiveweightNTQD[[#Headers],[State]], 0)</f>
        <v>323</v>
      </c>
      <c r="K54" s="37" cm="1">
        <f t="array" ref="K54">Common_InputFunctions.Utility_DisplayArrayInTable(SourceData_PastureBeef.SourceData_PastureBeef_LiveweightNTQLD_Data(),Table_SourceData_PastureBeef_LiveweightNTQD[[#Headers],[State]], 0)</f>
        <v>415</v>
      </c>
      <c r="L54" s="37" cm="1">
        <f t="array" ref="L54">Common_InputFunctions.Utility_DisplayArrayInTable(SourceData_PastureBeef.SourceData_PastureBeef_LiveweightNTQLD_Data(),Table_SourceData_PastureBeef_LiveweightNTQD[[#Headers],[State]], 0)</f>
        <v>467</v>
      </c>
      <c r="M54" s="37" cm="1">
        <f t="array" ref="M54">Common_InputFunctions.Utility_DisplayArrayInTable(SourceData_PastureBeef.SourceData_PastureBeef_LiveweightNTQLD_Data(),Table_SourceData_PastureBeef_LiveweightNTQD[[#Headers],[State]], 0)</f>
        <v>223</v>
      </c>
      <c r="N54" s="37" cm="1">
        <f t="array" ref="N54">Common_InputFunctions.Utility_DisplayArrayInTable(SourceData_PastureBeef.SourceData_PastureBeef_LiveweightNTQLD_Data(),Table_SourceData_PastureBeef_LiveweightNTQD[[#Headers],[State]], 0)</f>
        <v>371</v>
      </c>
      <c r="O54" s="37" cm="1">
        <f t="array" ref="O54">Common_InputFunctions.Utility_DisplayArrayInTable(SourceData_PastureBeef.SourceData_PastureBeef_LiveweightNTQLD_Data(),Table_SourceData_PastureBeef_LiveweightNTQD[[#Headers],[State]], 0)</f>
        <v>493</v>
      </c>
      <c r="P54" s="37"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7" t="str" cm="1">
        <f t="array" ref="E55">Common_InputFunctions.Utility_DisplayArrayInTable(SourceData_PastureBeef.SourceData_PastureBeef_LiveweightNTQLD_Data(),Table_SourceData_PastureBeef_LiveweightNTQD[[#Headers],[State]], 0)</f>
        <v>Alice Springs</v>
      </c>
      <c r="F55" s="37" t="str" cm="1">
        <f t="array" ref="F55">Common_InputFunctions.Utility_DisplayArrayInTable(SourceData_PastureBeef.SourceData_PastureBeef_LiveweightNTQLD_Data(),Table_SourceData_PastureBeef_LiveweightNTQD[[#Headers],[State]], 0)</f>
        <v>Summer</v>
      </c>
      <c r="G55" s="37" cm="1">
        <f t="array" ref="G55">Common_InputFunctions.Utility_DisplayArrayInTable(SourceData_PastureBeef.SourceData_PastureBeef_LiveweightNTQLD_Data(),Table_SourceData_PastureBeef_LiveweightNTQD[[#Headers],[State]], 0)</f>
        <v>110</v>
      </c>
      <c r="H55" s="37" cm="1">
        <f t="array" ref="H55">Common_InputFunctions.Utility_DisplayArrayInTable(SourceData_PastureBeef.SourceData_PastureBeef_LiveweightNTQLD_Data(),Table_SourceData_PastureBeef_LiveweightNTQD[[#Headers],[State]], 0)</f>
        <v>703</v>
      </c>
      <c r="I55" s="37" cm="1">
        <f t="array" ref="I55">Common_InputFunctions.Utility_DisplayArrayInTable(SourceData_PastureBeef.SourceData_PastureBeef_LiveweightNTQLD_Data(),Table_SourceData_PastureBeef_LiveweightNTQD[[#Headers],[State]], 0)</f>
        <v>112</v>
      </c>
      <c r="J55" s="37" cm="1">
        <f t="array" ref="J55">Common_InputFunctions.Utility_DisplayArrayInTable(SourceData_PastureBeef.SourceData_PastureBeef_LiveweightNTQLD_Data(),Table_SourceData_PastureBeef_LiveweightNTQD[[#Headers],[State]], 0)</f>
        <v>256</v>
      </c>
      <c r="K55" s="37" cm="1">
        <f t="array" ref="K55">Common_InputFunctions.Utility_DisplayArrayInTable(SourceData_PastureBeef.SourceData_PastureBeef_LiveweightNTQLD_Data(),Table_SourceData_PastureBeef_LiveweightNTQD[[#Headers],[State]], 0)</f>
        <v>368</v>
      </c>
      <c r="L55" s="37" cm="1">
        <f t="array" ref="L55">Common_InputFunctions.Utility_DisplayArrayInTable(SourceData_PastureBeef.SourceData_PastureBeef_LiveweightNTQLD_Data(),Table_SourceData_PastureBeef_LiveweightNTQD[[#Headers],[State]], 0)</f>
        <v>465</v>
      </c>
      <c r="M55" s="37" cm="1">
        <f t="array" ref="M55">Common_InputFunctions.Utility_DisplayArrayInTable(SourceData_PastureBeef.SourceData_PastureBeef_LiveweightNTQLD_Data(),Table_SourceData_PastureBeef_LiveweightNTQD[[#Headers],[State]], 0)</f>
        <v>108</v>
      </c>
      <c r="N55" s="37" cm="1">
        <f t="array" ref="N55">Common_InputFunctions.Utility_DisplayArrayInTable(SourceData_PastureBeef.SourceData_PastureBeef_LiveweightNTQLD_Data(),Table_SourceData_PastureBeef_LiveweightNTQD[[#Headers],[State]], 0)</f>
        <v>280</v>
      </c>
      <c r="O55" s="37" cm="1">
        <f t="array" ref="O55">Common_InputFunctions.Utility_DisplayArrayInTable(SourceData_PastureBeef.SourceData_PastureBeef_LiveweightNTQLD_Data(),Table_SourceData_PastureBeef_LiveweightNTQD[[#Headers],[State]], 0)</f>
        <v>421</v>
      </c>
      <c r="P55" s="37"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7" t="str" cm="1">
        <f t="array" ref="E56">Common_InputFunctions.Utility_DisplayArrayInTable(SourceData_PastureBeef.SourceData_PastureBeef_LiveweightNTQLD_Data(),Table_SourceData_PastureBeef_LiveweightNTQD[[#Headers],[State]], 0)</f>
        <v>Alice Springs</v>
      </c>
      <c r="F56" s="37" t="str" cm="1">
        <f t="array" ref="F56">Common_InputFunctions.Utility_DisplayArrayInTable(SourceData_PastureBeef.SourceData_PastureBeef_LiveweightNTQLD_Data(),Table_SourceData_PastureBeef_LiveweightNTQD[[#Headers],[State]], 0)</f>
        <v>Autumn</v>
      </c>
      <c r="G56" s="37" cm="1">
        <f t="array" ref="G56">Common_InputFunctions.Utility_DisplayArrayInTable(SourceData_PastureBeef.SourceData_PastureBeef_LiveweightNTQLD_Data(),Table_SourceData_PastureBeef_LiveweightNTQD[[#Headers],[State]], 0)</f>
        <v>170</v>
      </c>
      <c r="H56" s="37" cm="1">
        <f t="array" ref="H56">Common_InputFunctions.Utility_DisplayArrayInTable(SourceData_PastureBeef.SourceData_PastureBeef_LiveweightNTQLD_Data(),Table_SourceData_PastureBeef_LiveweightNTQD[[#Headers],[State]], 0)</f>
        <v>721</v>
      </c>
      <c r="I56" s="37" cm="1">
        <f t="array" ref="I56">Common_InputFunctions.Utility_DisplayArrayInTable(SourceData_PastureBeef.SourceData_PastureBeef_LiveweightNTQLD_Data(),Table_SourceData_PastureBeef_LiveweightNTQD[[#Headers],[State]], 0)</f>
        <v>169</v>
      </c>
      <c r="J56" s="37" cm="1">
        <f t="array" ref="J56">Common_InputFunctions.Utility_DisplayArrayInTable(SourceData_PastureBeef.SourceData_PastureBeef_LiveweightNTQLD_Data(),Table_SourceData_PastureBeef_LiveweightNTQD[[#Headers],[State]], 0)</f>
        <v>306</v>
      </c>
      <c r="K56" s="37" cm="1">
        <f t="array" ref="K56">Common_InputFunctions.Utility_DisplayArrayInTable(SourceData_PastureBeef.SourceData_PastureBeef_LiveweightNTQLD_Data(),Table_SourceData_PastureBeef_LiveweightNTQD[[#Headers],[State]], 0)</f>
        <v>392</v>
      </c>
      <c r="L56" s="37" cm="1">
        <f t="array" ref="L56">Common_InputFunctions.Utility_DisplayArrayInTable(SourceData_PastureBeef.SourceData_PastureBeef_LiveweightNTQLD_Data(),Table_SourceData_PastureBeef_LiveweightNTQD[[#Headers],[State]], 0)</f>
        <v>464</v>
      </c>
      <c r="M56" s="37" cm="1">
        <f t="array" ref="M56">Common_InputFunctions.Utility_DisplayArrayInTable(SourceData_PastureBeef.SourceData_PastureBeef_LiveweightNTQLD_Data(),Table_SourceData_PastureBeef_LiveweightNTQD[[#Headers],[State]], 0)</f>
        <v>176</v>
      </c>
      <c r="N56" s="37" cm="1">
        <f t="array" ref="N56">Common_InputFunctions.Utility_DisplayArrayInTable(SourceData_PastureBeef.SourceData_PastureBeef_LiveweightNTQLD_Data(),Table_SourceData_PastureBeef_LiveweightNTQD[[#Headers],[State]], 0)</f>
        <v>339</v>
      </c>
      <c r="O56" s="37" cm="1">
        <f t="array" ref="O56">Common_InputFunctions.Utility_DisplayArrayInTable(SourceData_PastureBeef.SourceData_PastureBeef_LiveweightNTQLD_Data(),Table_SourceData_PastureBeef_LiveweightNTQD[[#Headers],[State]], 0)</f>
        <v>470</v>
      </c>
      <c r="P56" s="37"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7" t="str" cm="1">
        <f t="array" ref="E57">Common_InputFunctions.Utility_DisplayArrayInTable(SourceData_PastureBeef.SourceData_PastureBeef_LiveweightNTQLD_Data(),Table_SourceData_PastureBeef_LiveweightNTQD[[#Headers],[State]], 0)</f>
        <v>Alice Springs</v>
      </c>
      <c r="F57" s="37" t="str" cm="1">
        <f t="array" ref="F57">Common_InputFunctions.Utility_DisplayArrayInTable(SourceData_PastureBeef.SourceData_PastureBeef_LiveweightNTQLD_Data(),Table_SourceData_PastureBeef_LiveweightNTQD[[#Headers],[State]], 0)</f>
        <v>Winter</v>
      </c>
      <c r="G57" s="37" cm="1">
        <f t="array" ref="G57">Common_InputFunctions.Utility_DisplayArrayInTable(SourceData_PastureBeef.SourceData_PastureBeef_LiveweightNTQLD_Data(),Table_SourceData_PastureBeef_LiveweightNTQD[[#Headers],[State]], 0)</f>
        <v>200</v>
      </c>
      <c r="H57" s="37" cm="1">
        <f t="array" ref="H57">Common_InputFunctions.Utility_DisplayArrayInTable(SourceData_PastureBeef.SourceData_PastureBeef_LiveweightNTQLD_Data(),Table_SourceData_PastureBeef_LiveweightNTQD[[#Headers],[State]], 0)</f>
        <v>727</v>
      </c>
      <c r="I57" s="37" cm="1">
        <f t="array" ref="I57">Common_InputFunctions.Utility_DisplayArrayInTable(SourceData_PastureBeef.SourceData_PastureBeef_LiveweightNTQLD_Data(),Table_SourceData_PastureBeef_LiveweightNTQD[[#Headers],[State]], 0)</f>
        <v>211</v>
      </c>
      <c r="J57" s="37" cm="1">
        <f t="array" ref="J57">Common_InputFunctions.Utility_DisplayArrayInTable(SourceData_PastureBeef.SourceData_PastureBeef_LiveweightNTQLD_Data(),Table_SourceData_PastureBeef_LiveweightNTQD[[#Headers],[State]], 0)</f>
        <v>338</v>
      </c>
      <c r="K57" s="37" cm="1">
        <f t="array" ref="K57">Common_InputFunctions.Utility_DisplayArrayInTable(SourceData_PastureBeef.SourceData_PastureBeef_LiveweightNTQLD_Data(),Table_SourceData_PastureBeef_LiveweightNTQD[[#Headers],[State]], 0)</f>
        <v>432</v>
      </c>
      <c r="L57" s="37" cm="1">
        <f t="array" ref="L57">Common_InputFunctions.Utility_DisplayArrayInTable(SourceData_PastureBeef.SourceData_PastureBeef_LiveweightNTQLD_Data(),Table_SourceData_PastureBeef_LiveweightNTQD[[#Headers],[State]], 0)</f>
        <v>492</v>
      </c>
      <c r="M57" s="37" cm="1">
        <f t="array" ref="M57">Common_InputFunctions.Utility_DisplayArrayInTable(SourceData_PastureBeef.SourceData_PastureBeef_LiveweightNTQLD_Data(),Table_SourceData_PastureBeef_LiveweightNTQD[[#Headers],[State]], 0)</f>
        <v>222</v>
      </c>
      <c r="N57" s="37" cm="1">
        <f t="array" ref="N57">Common_InputFunctions.Utility_DisplayArrayInTable(SourceData_PastureBeef.SourceData_PastureBeef_LiveweightNTQLD_Data(),Table_SourceData_PastureBeef_LiveweightNTQD[[#Headers],[State]], 0)</f>
        <v>377</v>
      </c>
      <c r="O57" s="37" cm="1">
        <f t="array" ref="O57">Common_InputFunctions.Utility_DisplayArrayInTable(SourceData_PastureBeef.SourceData_PastureBeef_LiveweightNTQLD_Data(),Table_SourceData_PastureBeef_LiveweightNTQD[[#Headers],[State]], 0)</f>
        <v>498</v>
      </c>
      <c r="P57" s="37"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7" t="str" cm="1">
        <f t="array" ref="E58">Common_InputFunctions.Utility_DisplayArrayInTable(SourceData_PastureBeef.SourceData_PastureBeef_LiveweightNTQLD_Data(),Table_SourceData_PastureBeef_LiveweightNTQD[[#Headers],[State]], 0)</f>
        <v>Barkly</v>
      </c>
      <c r="F58" s="37" t="str" cm="1">
        <f t="array" ref="F58">Common_InputFunctions.Utility_DisplayArrayInTable(SourceData_PastureBeef.SourceData_PastureBeef_LiveweightNTQLD_Data(),Table_SourceData_PastureBeef_LiveweightNTQD[[#Headers],[State]], 0)</f>
        <v>Spring</v>
      </c>
      <c r="G58" s="37" cm="1">
        <f t="array" ref="G58">Common_InputFunctions.Utility_DisplayArrayInTable(SourceData_PastureBeef.SourceData_PastureBeef_LiveweightNTQLD_Data(),Table_SourceData_PastureBeef_LiveweightNTQD[[#Headers],[State]], 0)</f>
        <v>220</v>
      </c>
      <c r="H58" s="37" cm="1">
        <f t="array" ref="H58">Common_InputFunctions.Utility_DisplayArrayInTable(SourceData_PastureBeef.SourceData_PastureBeef_LiveweightNTQLD_Data(),Table_SourceData_PastureBeef_LiveweightNTQD[[#Headers],[State]], 0)</f>
        <v>620</v>
      </c>
      <c r="I58" s="37" cm="1">
        <f t="array" ref="I58">Common_InputFunctions.Utility_DisplayArrayInTable(SourceData_PastureBeef.SourceData_PastureBeef_LiveweightNTQLD_Data(),Table_SourceData_PastureBeef_LiveweightNTQD[[#Headers],[State]], 0)</f>
        <v>227</v>
      </c>
      <c r="J58" s="37" cm="1">
        <f t="array" ref="J58">Common_InputFunctions.Utility_DisplayArrayInTable(SourceData_PastureBeef.SourceData_PastureBeef_LiveweightNTQLD_Data(),Table_SourceData_PastureBeef_LiveweightNTQD[[#Headers],[State]], 0)</f>
        <v>319</v>
      </c>
      <c r="K58" s="37" cm="1">
        <f t="array" ref="K58">Common_InputFunctions.Utility_DisplayArrayInTable(SourceData_PastureBeef.SourceData_PastureBeef_LiveweightNTQLD_Data(),Table_SourceData_PastureBeef_LiveweightNTQD[[#Headers],[State]], 0)</f>
        <v>398</v>
      </c>
      <c r="L58" s="37" cm="1">
        <f t="array" ref="L58">Common_InputFunctions.Utility_DisplayArrayInTable(SourceData_PastureBeef.SourceData_PastureBeef_LiveweightNTQLD_Data(),Table_SourceData_PastureBeef_LiveweightNTQD[[#Headers],[State]], 0)</f>
        <v>452</v>
      </c>
      <c r="M58" s="37" cm="1">
        <f t="array" ref="M58">Common_InputFunctions.Utility_DisplayArrayInTable(SourceData_PastureBeef.SourceData_PastureBeef_LiveweightNTQLD_Data(),Table_SourceData_PastureBeef_LiveweightNTQD[[#Headers],[State]], 0)</f>
        <v>216</v>
      </c>
      <c r="N58" s="37" cm="1">
        <f t="array" ref="N58">Common_InputFunctions.Utility_DisplayArrayInTable(SourceData_PastureBeef.SourceData_PastureBeef_LiveweightNTQLD_Data(),Table_SourceData_PastureBeef_LiveweightNTQD[[#Headers],[State]], 0)</f>
        <v>334</v>
      </c>
      <c r="O58" s="37" t="str" cm="1">
        <f t="array" ref="O58">Common_InputFunctions.Utility_DisplayArrayInTable(SourceData_PastureBeef.SourceData_PastureBeef_LiveweightNTQLD_Data(),Table_SourceData_PastureBeef_LiveweightNTQD[[#Headers],[State]], 0)</f>
        <v>NO</v>
      </c>
      <c r="P58" s="37"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7" t="str" cm="1">
        <f t="array" ref="E59">Common_InputFunctions.Utility_DisplayArrayInTable(SourceData_PastureBeef.SourceData_PastureBeef_LiveweightNTQLD_Data(),Table_SourceData_PastureBeef_LiveweightNTQD[[#Headers],[State]], 0)</f>
        <v>Barkly</v>
      </c>
      <c r="F59" s="37" t="str" cm="1">
        <f t="array" ref="F59">Common_InputFunctions.Utility_DisplayArrayInTable(SourceData_PastureBeef.SourceData_PastureBeef_LiveweightNTQLD_Data(),Table_SourceData_PastureBeef_LiveweightNTQD[[#Headers],[State]], 0)</f>
        <v>Summer</v>
      </c>
      <c r="G59" s="37" cm="1">
        <f t="array" ref="G59">Common_InputFunctions.Utility_DisplayArrayInTable(SourceData_PastureBeef.SourceData_PastureBeef_LiveweightNTQLD_Data(),Table_SourceData_PastureBeef_LiveweightNTQD[[#Headers],[State]], 0)</f>
        <v>110</v>
      </c>
      <c r="H59" s="37" cm="1">
        <f t="array" ref="H59">Common_InputFunctions.Utility_DisplayArrayInTable(SourceData_PastureBeef.SourceData_PastureBeef_LiveweightNTQLD_Data(),Table_SourceData_PastureBeef_LiveweightNTQD[[#Headers],[State]], 0)</f>
        <v>650</v>
      </c>
      <c r="I59" s="37" cm="1">
        <f t="array" ref="I59">Common_InputFunctions.Utility_DisplayArrayInTable(SourceData_PastureBeef.SourceData_PastureBeef_LiveweightNTQLD_Data(),Table_SourceData_PastureBeef_LiveweightNTQD[[#Headers],[State]], 0)</f>
        <v>108</v>
      </c>
      <c r="J59" s="37" cm="1">
        <f t="array" ref="J59">Common_InputFunctions.Utility_DisplayArrayInTable(SourceData_PastureBeef.SourceData_PastureBeef_LiveweightNTQLD_Data(),Table_SourceData_PastureBeef_LiveweightNTQD[[#Headers],[State]], 0)</f>
        <v>262</v>
      </c>
      <c r="K59" s="37" cm="1">
        <f t="array" ref="K59">Common_InputFunctions.Utility_DisplayArrayInTable(SourceData_PastureBeef.SourceData_PastureBeef_LiveweightNTQLD_Data(),Table_SourceData_PastureBeef_LiveweightNTQD[[#Headers],[State]], 0)</f>
        <v>346</v>
      </c>
      <c r="L59" s="37" cm="1">
        <f t="array" ref="L59">Common_InputFunctions.Utility_DisplayArrayInTable(SourceData_PastureBeef.SourceData_PastureBeef_LiveweightNTQLD_Data(),Table_SourceData_PastureBeef_LiveweightNTQD[[#Headers],[State]], 0)</f>
        <v>430</v>
      </c>
      <c r="M59" s="37" cm="1">
        <f t="array" ref="M59">Common_InputFunctions.Utility_DisplayArrayInTable(SourceData_PastureBeef.SourceData_PastureBeef_LiveweightNTQLD_Data(),Table_SourceData_PastureBeef_LiveweightNTQD[[#Headers],[State]], 0)</f>
        <v>111</v>
      </c>
      <c r="N59" s="37" cm="1">
        <f t="array" ref="N59">Common_InputFunctions.Utility_DisplayArrayInTable(SourceData_PastureBeef.SourceData_PastureBeef_LiveweightNTQLD_Data(),Table_SourceData_PastureBeef_LiveweightNTQD[[#Headers],[State]], 0)</f>
        <v>236</v>
      </c>
      <c r="O59" s="37" t="str" cm="1">
        <f t="array" ref="O59">Common_InputFunctions.Utility_DisplayArrayInTable(SourceData_PastureBeef.SourceData_PastureBeef_LiveweightNTQLD_Data(),Table_SourceData_PastureBeef_LiveweightNTQD[[#Headers],[State]], 0)</f>
        <v>NO</v>
      </c>
      <c r="P59" s="37"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7" t="str" cm="1">
        <f t="array" ref="E60">Common_InputFunctions.Utility_DisplayArrayInTable(SourceData_PastureBeef.SourceData_PastureBeef_LiveweightNTQLD_Data(),Table_SourceData_PastureBeef_LiveweightNTQD[[#Headers],[State]], 0)</f>
        <v>Barkly</v>
      </c>
      <c r="F60" s="37" t="str" cm="1">
        <f t="array" ref="F60">Common_InputFunctions.Utility_DisplayArrayInTable(SourceData_PastureBeef.SourceData_PastureBeef_LiveweightNTQLD_Data(),Table_SourceData_PastureBeef_LiveweightNTQD[[#Headers],[State]], 0)</f>
        <v>Autumn</v>
      </c>
      <c r="G60" s="37" cm="1">
        <f t="array" ref="G60">Common_InputFunctions.Utility_DisplayArrayInTable(SourceData_PastureBeef.SourceData_PastureBeef_LiveweightNTQLD_Data(),Table_SourceData_PastureBeef_LiveweightNTQD[[#Headers],[State]], 0)</f>
        <v>170</v>
      </c>
      <c r="H60" s="37" cm="1">
        <f t="array" ref="H60">Common_InputFunctions.Utility_DisplayArrayInTable(SourceData_PastureBeef.SourceData_PastureBeef_LiveweightNTQLD_Data(),Table_SourceData_PastureBeef_LiveweightNTQD[[#Headers],[State]], 0)</f>
        <v>670</v>
      </c>
      <c r="I60" s="37" cm="1">
        <f t="array" ref="I60">Common_InputFunctions.Utility_DisplayArrayInTable(SourceData_PastureBeef.SourceData_PastureBeef_LiveweightNTQLD_Data(),Table_SourceData_PastureBeef_LiveweightNTQD[[#Headers],[State]], 0)</f>
        <v>170</v>
      </c>
      <c r="J60" s="37" cm="1">
        <f t="array" ref="J60">Common_InputFunctions.Utility_DisplayArrayInTable(SourceData_PastureBeef.SourceData_PastureBeef_LiveweightNTQLD_Data(),Table_SourceData_PastureBeef_LiveweightNTQD[[#Headers],[State]], 0)</f>
        <v>266</v>
      </c>
      <c r="K60" s="37" cm="1">
        <f t="array" ref="K60">Common_InputFunctions.Utility_DisplayArrayInTable(SourceData_PastureBeef.SourceData_PastureBeef_LiveweightNTQLD_Data(),Table_SourceData_PastureBeef_LiveweightNTQD[[#Headers],[State]], 0)</f>
        <v>363</v>
      </c>
      <c r="L60" s="37" cm="1">
        <f t="array" ref="L60">Common_InputFunctions.Utility_DisplayArrayInTable(SourceData_PastureBeef.SourceData_PastureBeef_LiveweightNTQLD_Data(),Table_SourceData_PastureBeef_LiveweightNTQD[[#Headers],[State]], 0)</f>
        <v>444</v>
      </c>
      <c r="M60" s="37" cm="1">
        <f t="array" ref="M60">Common_InputFunctions.Utility_DisplayArrayInTable(SourceData_PastureBeef.SourceData_PastureBeef_LiveweightNTQLD_Data(),Table_SourceData_PastureBeef_LiveweightNTQD[[#Headers],[State]], 0)</f>
        <v>169</v>
      </c>
      <c r="N60" s="37" cm="1">
        <f t="array" ref="N60">Common_InputFunctions.Utility_DisplayArrayInTable(SourceData_PastureBeef.SourceData_PastureBeef_LiveweightNTQLD_Data(),Table_SourceData_PastureBeef_LiveweightNTQD[[#Headers],[State]], 0)</f>
        <v>282</v>
      </c>
      <c r="O60" s="37" t="str" cm="1">
        <f t="array" ref="O60">Common_InputFunctions.Utility_DisplayArrayInTable(SourceData_PastureBeef.SourceData_PastureBeef_LiveweightNTQLD_Data(),Table_SourceData_PastureBeef_LiveweightNTQD[[#Headers],[State]], 0)</f>
        <v>NO</v>
      </c>
      <c r="P60" s="37"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7" t="str" cm="1">
        <f t="array" ref="E61">Common_InputFunctions.Utility_DisplayArrayInTable(SourceData_PastureBeef.SourceData_PastureBeef_LiveweightNTQLD_Data(),Table_SourceData_PastureBeef_LiveweightNTQD[[#Headers],[State]], 0)</f>
        <v>Barkly</v>
      </c>
      <c r="F61" s="37" t="str" cm="1">
        <f t="array" ref="F61">Common_InputFunctions.Utility_DisplayArrayInTable(SourceData_PastureBeef.SourceData_PastureBeef_LiveweightNTQLD_Data(),Table_SourceData_PastureBeef_LiveweightNTQD[[#Headers],[State]], 0)</f>
        <v>Winter</v>
      </c>
      <c r="G61" s="37" cm="1">
        <f t="array" ref="G61">Common_InputFunctions.Utility_DisplayArrayInTable(SourceData_PastureBeef.SourceData_PastureBeef_LiveweightNTQLD_Data(),Table_SourceData_PastureBeef_LiveweightNTQD[[#Headers],[State]], 0)</f>
        <v>200</v>
      </c>
      <c r="H61" s="37" cm="1">
        <f t="array" ref="H61">Common_InputFunctions.Utility_DisplayArrayInTable(SourceData_PastureBeef.SourceData_PastureBeef_LiveweightNTQLD_Data(),Table_SourceData_PastureBeef_LiveweightNTQD[[#Headers],[State]], 0)</f>
        <v>660</v>
      </c>
      <c r="I61" s="37" cm="1">
        <f t="array" ref="I61">Common_InputFunctions.Utility_DisplayArrayInTable(SourceData_PastureBeef.SourceData_PastureBeef_LiveweightNTQLD_Data(),Table_SourceData_PastureBeef_LiveweightNTQD[[#Headers],[State]], 0)</f>
        <v>225</v>
      </c>
      <c r="J61" s="37" cm="1">
        <f t="array" ref="J61">Common_InputFunctions.Utility_DisplayArrayInTable(SourceData_PastureBeef.SourceData_PastureBeef_LiveweightNTQLD_Data(),Table_SourceData_PastureBeef_LiveweightNTQD[[#Headers],[State]], 0)</f>
        <v>307</v>
      </c>
      <c r="K61" s="37" cm="1">
        <f t="array" ref="K61">Common_InputFunctions.Utility_DisplayArrayInTable(SourceData_PastureBeef.SourceData_PastureBeef_LiveweightNTQLD_Data(),Table_SourceData_PastureBeef_LiveweightNTQD[[#Headers],[State]], 0)</f>
        <v>398</v>
      </c>
      <c r="L61" s="37" cm="1">
        <f t="array" ref="L61">Common_InputFunctions.Utility_DisplayArrayInTable(SourceData_PastureBeef.SourceData_PastureBeef_LiveweightNTQLD_Data(),Table_SourceData_PastureBeef_LiveweightNTQD[[#Headers],[State]], 0)</f>
        <v>452</v>
      </c>
      <c r="M61" s="37" cm="1">
        <f t="array" ref="M61">Common_InputFunctions.Utility_DisplayArrayInTable(SourceData_PastureBeef.SourceData_PastureBeef_LiveweightNTQLD_Data(),Table_SourceData_PastureBeef_LiveweightNTQD[[#Headers],[State]], 0)</f>
        <v>214</v>
      </c>
      <c r="N61" s="37" cm="1">
        <f t="array" ref="N61">Common_InputFunctions.Utility_DisplayArrayInTable(SourceData_PastureBeef.SourceData_PastureBeef_LiveweightNTQLD_Data(),Table_SourceData_PastureBeef_LiveweightNTQD[[#Headers],[State]], 0)</f>
        <v>326</v>
      </c>
      <c r="O61" s="37" t="str" cm="1">
        <f t="array" ref="O61">Common_InputFunctions.Utility_DisplayArrayInTable(SourceData_PastureBeef.SourceData_PastureBeef_LiveweightNTQLD_Data(),Table_SourceData_PastureBeef_LiveweightNTQD[[#Headers],[State]], 0)</f>
        <v>NO</v>
      </c>
      <c r="P61" s="37"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7" t="str" cm="1">
        <f t="array" ref="E62">Common_InputFunctions.Utility_DisplayArrayInTable(SourceData_PastureBeef.SourceData_PastureBeef_LiveweightNTQLD_Data(),Table_SourceData_PastureBeef_LiveweightNTQD[[#Headers],[State]], 0)</f>
        <v>Northern</v>
      </c>
      <c r="F62" s="37" t="str" cm="1">
        <f t="array" ref="F62">Common_InputFunctions.Utility_DisplayArrayInTable(SourceData_PastureBeef.SourceData_PastureBeef_LiveweightNTQLD_Data(),Table_SourceData_PastureBeef_LiveweightNTQD[[#Headers],[State]], 0)</f>
        <v>Spring</v>
      </c>
      <c r="G62" s="37" cm="1">
        <f t="array" ref="G62">Common_InputFunctions.Utility_DisplayArrayInTable(SourceData_PastureBeef.SourceData_PastureBeef_LiveweightNTQLD_Data(),Table_SourceData_PastureBeef_LiveweightNTQD[[#Headers],[State]], 0)</f>
        <v>220</v>
      </c>
      <c r="H62" s="37" cm="1">
        <f t="array" ref="H62">Common_InputFunctions.Utility_DisplayArrayInTable(SourceData_PastureBeef.SourceData_PastureBeef_LiveweightNTQLD_Data(),Table_SourceData_PastureBeef_LiveweightNTQD[[#Headers],[State]], 0)</f>
        <v>620</v>
      </c>
      <c r="I62" s="37" cm="1">
        <f t="array" ref="I62">Common_InputFunctions.Utility_DisplayArrayInTable(SourceData_PastureBeef.SourceData_PastureBeef_LiveweightNTQLD_Data(),Table_SourceData_PastureBeef_LiveweightNTQD[[#Headers],[State]], 0)</f>
        <v>177</v>
      </c>
      <c r="J62" s="37" cm="1">
        <f t="array" ref="J62">Common_InputFunctions.Utility_DisplayArrayInTable(SourceData_PastureBeef.SourceData_PastureBeef_LiveweightNTQLD_Data(),Table_SourceData_PastureBeef_LiveweightNTQD[[#Headers],[State]], 0)</f>
        <v>267</v>
      </c>
      <c r="K62" s="37" cm="1">
        <f t="array" ref="K62">Common_InputFunctions.Utility_DisplayArrayInTable(SourceData_PastureBeef.SourceData_PastureBeef_LiveweightNTQLD_Data(),Table_SourceData_PastureBeef_LiveweightNTQD[[#Headers],[State]], 0)</f>
        <v>365</v>
      </c>
      <c r="L62" s="37" cm="1">
        <f t="array" ref="L62">Common_InputFunctions.Utility_DisplayArrayInTable(SourceData_PastureBeef.SourceData_PastureBeef_LiveweightNTQLD_Data(),Table_SourceData_PastureBeef_LiveweightNTQD[[#Headers],[State]], 0)</f>
        <v>406</v>
      </c>
      <c r="M62" s="37" cm="1">
        <f t="array" ref="M62">Common_InputFunctions.Utility_DisplayArrayInTable(SourceData_PastureBeef.SourceData_PastureBeef_LiveweightNTQLD_Data(),Table_SourceData_PastureBeef_LiveweightNTQD[[#Headers],[State]], 0)</f>
        <v>231</v>
      </c>
      <c r="N62" s="37" cm="1">
        <f t="array" ref="N62">Common_InputFunctions.Utility_DisplayArrayInTable(SourceData_PastureBeef.SourceData_PastureBeef_LiveweightNTQLD_Data(),Table_SourceData_PastureBeef_LiveweightNTQD[[#Headers],[State]], 0)</f>
        <v>249</v>
      </c>
      <c r="O62" s="37" cm="1">
        <f t="array" ref="O62">Common_InputFunctions.Utility_DisplayArrayInTable(SourceData_PastureBeef.SourceData_PastureBeef_LiveweightNTQLD_Data(),Table_SourceData_PastureBeef_LiveweightNTQD[[#Headers],[State]], 0)</f>
        <v>324</v>
      </c>
      <c r="P62" s="37"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7" t="str" cm="1">
        <f t="array" ref="E63">Common_InputFunctions.Utility_DisplayArrayInTable(SourceData_PastureBeef.SourceData_PastureBeef_LiveweightNTQLD_Data(),Table_SourceData_PastureBeef_LiveweightNTQD[[#Headers],[State]], 0)</f>
        <v>Northern</v>
      </c>
      <c r="F63" s="37" t="str" cm="1">
        <f t="array" ref="F63">Common_InputFunctions.Utility_DisplayArrayInTable(SourceData_PastureBeef.SourceData_PastureBeef_LiveweightNTQLD_Data(),Table_SourceData_PastureBeef_LiveweightNTQD[[#Headers],[State]], 0)</f>
        <v>Summer</v>
      </c>
      <c r="G63" s="37" cm="1">
        <f t="array" ref="G63">Common_InputFunctions.Utility_DisplayArrayInTable(SourceData_PastureBeef.SourceData_PastureBeef_LiveweightNTQLD_Data(),Table_SourceData_PastureBeef_LiveweightNTQD[[#Headers],[State]], 0)</f>
        <v>110</v>
      </c>
      <c r="H63" s="37" cm="1">
        <f t="array" ref="H63">Common_InputFunctions.Utility_DisplayArrayInTable(SourceData_PastureBeef.SourceData_PastureBeef_LiveweightNTQLD_Data(),Table_SourceData_PastureBeef_LiveweightNTQD[[#Headers],[State]], 0)</f>
        <v>650</v>
      </c>
      <c r="I63" s="37" cm="1">
        <f t="array" ref="I63">Common_InputFunctions.Utility_DisplayArrayInTable(SourceData_PastureBeef.SourceData_PastureBeef_LiveweightNTQLD_Data(),Table_SourceData_PastureBeef_LiveweightNTQD[[#Headers],[State]], 0)</f>
        <v>102</v>
      </c>
      <c r="J63" s="37" cm="1">
        <f t="array" ref="J63">Common_InputFunctions.Utility_DisplayArrayInTable(SourceData_PastureBeef.SourceData_PastureBeef_LiveweightNTQLD_Data(),Table_SourceData_PastureBeef_LiveweightNTQD[[#Headers],[State]], 0)</f>
        <v>203</v>
      </c>
      <c r="K63" s="37" cm="1">
        <f t="array" ref="K63">Common_InputFunctions.Utility_DisplayArrayInTable(SourceData_PastureBeef.SourceData_PastureBeef_LiveweightNTQLD_Data(),Table_SourceData_PastureBeef_LiveweightNTQD[[#Headers],[State]], 0)</f>
        <v>299</v>
      </c>
      <c r="L63" s="37" cm="1">
        <f t="array" ref="L63">Common_InputFunctions.Utility_DisplayArrayInTable(SourceData_PastureBeef.SourceData_PastureBeef_LiveweightNTQLD_Data(),Table_SourceData_PastureBeef_LiveweightNTQD[[#Headers],[State]], 0)</f>
        <v>380</v>
      </c>
      <c r="M63" s="37" cm="1">
        <f t="array" ref="M63">Common_InputFunctions.Utility_DisplayArrayInTable(SourceData_PastureBeef.SourceData_PastureBeef_LiveweightNTQLD_Data(),Table_SourceData_PastureBeef_LiveweightNTQD[[#Headers],[State]], 0)</f>
        <v>102</v>
      </c>
      <c r="N63" s="37" cm="1">
        <f t="array" ref="N63">Common_InputFunctions.Utility_DisplayArrayInTable(SourceData_PastureBeef.SourceData_PastureBeef_LiveweightNTQLD_Data(),Table_SourceData_PastureBeef_LiveweightNTQD[[#Headers],[State]], 0)</f>
        <v>218</v>
      </c>
      <c r="O63" s="37" cm="1">
        <f t="array" ref="O63">Common_InputFunctions.Utility_DisplayArrayInTable(SourceData_PastureBeef.SourceData_PastureBeef_LiveweightNTQLD_Data(),Table_SourceData_PastureBeef_LiveweightNTQD[[#Headers],[State]], 0)</f>
        <v>263</v>
      </c>
      <c r="P63" s="37"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7" t="str" cm="1">
        <f t="array" ref="E64">Common_InputFunctions.Utility_DisplayArrayInTable(SourceData_PastureBeef.SourceData_PastureBeef_LiveweightNTQLD_Data(),Table_SourceData_PastureBeef_LiveweightNTQD[[#Headers],[State]], 0)</f>
        <v>Northern</v>
      </c>
      <c r="F64" s="37" t="str" cm="1">
        <f t="array" ref="F64">Common_InputFunctions.Utility_DisplayArrayInTable(SourceData_PastureBeef.SourceData_PastureBeef_LiveweightNTQLD_Data(),Table_SourceData_PastureBeef_LiveweightNTQD[[#Headers],[State]], 0)</f>
        <v>Autumn</v>
      </c>
      <c r="G64" s="37" cm="1">
        <f t="array" ref="G64">Common_InputFunctions.Utility_DisplayArrayInTable(SourceData_PastureBeef.SourceData_PastureBeef_LiveweightNTQLD_Data(),Table_SourceData_PastureBeef_LiveweightNTQD[[#Headers],[State]], 0)</f>
        <v>170</v>
      </c>
      <c r="H64" s="37" cm="1">
        <f t="array" ref="H64">Common_InputFunctions.Utility_DisplayArrayInTable(SourceData_PastureBeef.SourceData_PastureBeef_LiveweightNTQLD_Data(),Table_SourceData_PastureBeef_LiveweightNTQD[[#Headers],[State]], 0)</f>
        <v>670</v>
      </c>
      <c r="I64" s="37" cm="1">
        <f t="array" ref="I64">Common_InputFunctions.Utility_DisplayArrayInTable(SourceData_PastureBeef.SourceData_PastureBeef_LiveweightNTQLD_Data(),Table_SourceData_PastureBeef_LiveweightNTQD[[#Headers],[State]], 0)</f>
        <v>173</v>
      </c>
      <c r="J64" s="37" cm="1">
        <f t="array" ref="J64">Common_InputFunctions.Utility_DisplayArrayInTable(SourceData_PastureBeef.SourceData_PastureBeef_LiveweightNTQLD_Data(),Table_SourceData_PastureBeef_LiveweightNTQD[[#Headers],[State]], 0)</f>
        <v>250</v>
      </c>
      <c r="K64" s="37" cm="1">
        <f t="array" ref="K64">Common_InputFunctions.Utility_DisplayArrayInTable(SourceData_PastureBeef.SourceData_PastureBeef_LiveweightNTQLD_Data(),Table_SourceData_PastureBeef_LiveweightNTQD[[#Headers],[State]], 0)</f>
        <v>336</v>
      </c>
      <c r="L64" s="37" cm="1">
        <f t="array" ref="L64">Common_InputFunctions.Utility_DisplayArrayInTable(SourceData_PastureBeef.SourceData_PastureBeef_LiveweightNTQLD_Data(),Table_SourceData_PastureBeef_LiveweightNTQD[[#Headers],[State]], 0)</f>
        <v>414</v>
      </c>
      <c r="M64" s="37" cm="1">
        <f t="array" ref="M64">Common_InputFunctions.Utility_DisplayArrayInTable(SourceData_PastureBeef.SourceData_PastureBeef_LiveweightNTQLD_Data(),Table_SourceData_PastureBeef_LiveweightNTQD[[#Headers],[State]], 0)</f>
        <v>175</v>
      </c>
      <c r="N64" s="37" cm="1">
        <f t="array" ref="N64">Common_InputFunctions.Utility_DisplayArrayInTable(SourceData_PastureBeef.SourceData_PastureBeef_LiveweightNTQLD_Data(),Table_SourceData_PastureBeef_LiveweightNTQD[[#Headers],[State]], 0)</f>
        <v>243</v>
      </c>
      <c r="O64" s="37" cm="1">
        <f t="array" ref="O64">Common_InputFunctions.Utility_DisplayArrayInTable(SourceData_PastureBeef.SourceData_PastureBeef_LiveweightNTQLD_Data(),Table_SourceData_PastureBeef_LiveweightNTQD[[#Headers],[State]], 0)</f>
        <v>304</v>
      </c>
      <c r="P64" s="37"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7" t="str" cm="1">
        <f t="array" ref="E65">Common_InputFunctions.Utility_DisplayArrayInTable(SourceData_PastureBeef.SourceData_PastureBeef_LiveweightNTQLD_Data(),Table_SourceData_PastureBeef_LiveweightNTQD[[#Headers],[State]], 0)</f>
        <v>Northern</v>
      </c>
      <c r="F65" s="37" t="str" cm="1">
        <f t="array" ref="F65">Common_InputFunctions.Utility_DisplayArrayInTable(SourceData_PastureBeef.SourceData_PastureBeef_LiveweightNTQLD_Data(),Table_SourceData_PastureBeef_LiveweightNTQD[[#Headers],[State]], 0)</f>
        <v>Winter</v>
      </c>
      <c r="G65" s="37" cm="1">
        <f t="array" ref="G65">Common_InputFunctions.Utility_DisplayArrayInTable(SourceData_PastureBeef.SourceData_PastureBeef_LiveweightNTQLD_Data(),Table_SourceData_PastureBeef_LiveweightNTQD[[#Headers],[State]], 0)</f>
        <v>200</v>
      </c>
      <c r="H65" s="37" cm="1">
        <f t="array" ref="H65">Common_InputFunctions.Utility_DisplayArrayInTable(SourceData_PastureBeef.SourceData_PastureBeef_LiveweightNTQLD_Data(),Table_SourceData_PastureBeef_LiveweightNTQD[[#Headers],[State]], 0)</f>
        <v>660</v>
      </c>
      <c r="I65" s="37" cm="1">
        <f t="array" ref="I65">Common_InputFunctions.Utility_DisplayArrayInTable(SourceData_PastureBeef.SourceData_PastureBeef_LiveweightNTQLD_Data(),Table_SourceData_PastureBeef_LiveweightNTQD[[#Headers],[State]], 0)</f>
        <v>202</v>
      </c>
      <c r="J65" s="37" cm="1">
        <f t="array" ref="J65">Common_InputFunctions.Utility_DisplayArrayInTable(SourceData_PastureBeef.SourceData_PastureBeef_LiveweightNTQLD_Data(),Table_SourceData_PastureBeef_LiveweightNTQD[[#Headers],[State]], 0)</f>
        <v>272</v>
      </c>
      <c r="K65" s="37" cm="1">
        <f t="array" ref="K65">Common_InputFunctions.Utility_DisplayArrayInTable(SourceData_PastureBeef.SourceData_PastureBeef_LiveweightNTQLD_Data(),Table_SourceData_PastureBeef_LiveweightNTQD[[#Headers],[State]], 0)</f>
        <v>365</v>
      </c>
      <c r="L65" s="37" cm="1">
        <f t="array" ref="L65">Common_InputFunctions.Utility_DisplayArrayInTable(SourceData_PastureBeef.SourceData_PastureBeef_LiveweightNTQLD_Data(),Table_SourceData_PastureBeef_LiveweightNTQD[[#Headers],[State]], 0)</f>
        <v>390</v>
      </c>
      <c r="M65" s="37" cm="1">
        <f t="array" ref="M65">Common_InputFunctions.Utility_DisplayArrayInTable(SourceData_PastureBeef.SourceData_PastureBeef_LiveweightNTQLD_Data(),Table_SourceData_PastureBeef_LiveweightNTQD[[#Headers],[State]], 0)</f>
        <v>208</v>
      </c>
      <c r="N65" s="37" cm="1">
        <f t="array" ref="N65">Common_InputFunctions.Utility_DisplayArrayInTable(SourceData_PastureBeef.SourceData_PastureBeef_LiveweightNTQLD_Data(),Table_SourceData_PastureBeef_LiveweightNTQD[[#Headers],[State]], 0)</f>
        <v>260</v>
      </c>
      <c r="O65" s="37" cm="1">
        <f t="array" ref="O65">Common_InputFunctions.Utility_DisplayArrayInTable(SourceData_PastureBeef.SourceData_PastureBeef_LiveweightNTQLD_Data(),Table_SourceData_PastureBeef_LiveweightNTQD[[#Headers],[State]], 0)</f>
        <v>337</v>
      </c>
      <c r="P65" s="37"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7" t="str" cm="1">
        <f t="array" ref="E66">Common_InputFunctions.Utility_DisplayArrayInTable(SourceData_PastureBeef.SourceData_PastureBeef_LiveweightNTQLD_Data(),Table_SourceData_PastureBeef_LiveweightNTQD[[#Headers],[State]], 0)</f>
        <v>High</v>
      </c>
      <c r="F66" s="37" t="str" cm="1">
        <f t="array" ref="F66">Common_InputFunctions.Utility_DisplayArrayInTable(SourceData_PastureBeef.SourceData_PastureBeef_LiveweightNTQLD_Data(),Table_SourceData_PastureBeef_LiveweightNTQD[[#Headers],[State]], 0)</f>
        <v>Spring</v>
      </c>
      <c r="G66" s="37" cm="1">
        <f t="array" ref="G66">Common_InputFunctions.Utility_DisplayArrayInTable(SourceData_PastureBeef.SourceData_PastureBeef_LiveweightNTQLD_Data(),Table_SourceData_PastureBeef_LiveweightNTQD[[#Headers],[State]], 0)</f>
        <v>260</v>
      </c>
      <c r="H66" s="37" cm="1">
        <f t="array" ref="H66">Common_InputFunctions.Utility_DisplayArrayInTable(SourceData_PastureBeef.SourceData_PastureBeef_LiveweightNTQLD_Data(),Table_SourceData_PastureBeef_LiveweightNTQD[[#Headers],[State]], 0)</f>
        <v>705</v>
      </c>
      <c r="I66" s="37" cm="1">
        <f t="array" ref="I66">Common_InputFunctions.Utility_DisplayArrayInTable(SourceData_PastureBeef.SourceData_PastureBeef_LiveweightNTQLD_Data(),Table_SourceData_PastureBeef_LiveweightNTQD[[#Headers],[State]], 0)</f>
        <v>215</v>
      </c>
      <c r="J66" s="37" cm="1">
        <f t="array" ref="J66">Common_InputFunctions.Utility_DisplayArrayInTable(SourceData_PastureBeef.SourceData_PastureBeef_LiveweightNTQLD_Data(),Table_SourceData_PastureBeef_LiveweightNTQD[[#Headers],[State]], 0)</f>
        <v>302</v>
      </c>
      <c r="K66" s="37" cm="1">
        <f t="array" ref="K66">Common_InputFunctions.Utility_DisplayArrayInTable(SourceData_PastureBeef.SourceData_PastureBeef_LiveweightNTQLD_Data(),Table_SourceData_PastureBeef_LiveweightNTQD[[#Headers],[State]], 0)</f>
        <v>416</v>
      </c>
      <c r="L66" s="37" cm="1">
        <f t="array" ref="L66">Common_InputFunctions.Utility_DisplayArrayInTable(SourceData_PastureBeef.SourceData_PastureBeef_LiveweightNTQLD_Data(),Table_SourceData_PastureBeef_LiveweightNTQD[[#Headers],[State]], 0)</f>
        <v>519</v>
      </c>
      <c r="M66" s="37" cm="1">
        <f t="array" ref="M66">Common_InputFunctions.Utility_DisplayArrayInTable(SourceData_PastureBeef.SourceData_PastureBeef_LiveweightNTQLD_Data(),Table_SourceData_PastureBeef_LiveweightNTQD[[#Headers],[State]], 0)</f>
        <v>234</v>
      </c>
      <c r="N66" s="37" cm="1">
        <f t="array" ref="N66">Common_InputFunctions.Utility_DisplayArrayInTable(SourceData_PastureBeef.SourceData_PastureBeef_LiveweightNTQLD_Data(),Table_SourceData_PastureBeef_LiveweightNTQD[[#Headers],[State]], 0)</f>
        <v>455</v>
      </c>
      <c r="O66" s="37" cm="1">
        <f t="array" ref="O66">Common_InputFunctions.Utility_DisplayArrayInTable(SourceData_PastureBeef.SourceData_PastureBeef_LiveweightNTQLD_Data(),Table_SourceData_PastureBeef_LiveweightNTQD[[#Headers],[State]], 0)</f>
        <v>551</v>
      </c>
      <c r="P66" s="37"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7" t="str" cm="1">
        <f t="array" ref="E67">Common_InputFunctions.Utility_DisplayArrayInTable(SourceData_PastureBeef.SourceData_PastureBeef_LiveweightNTQLD_Data(),Table_SourceData_PastureBeef_LiveweightNTQD[[#Headers],[State]], 0)</f>
        <v>High</v>
      </c>
      <c r="F67" s="37" t="str" cm="1">
        <f t="array" ref="F67">Common_InputFunctions.Utility_DisplayArrayInTable(SourceData_PastureBeef.SourceData_PastureBeef_LiveweightNTQLD_Data(),Table_SourceData_PastureBeef_LiveweightNTQD[[#Headers],[State]], 0)</f>
        <v>Summer</v>
      </c>
      <c r="G67" s="37" cm="1">
        <f t="array" ref="G67">Common_InputFunctions.Utility_DisplayArrayInTable(SourceData_PastureBeef.SourceData_PastureBeef_LiveweightNTQLD_Data(),Table_SourceData_PastureBeef_LiveweightNTQD[[#Headers],[State]], 0)</f>
        <v>153</v>
      </c>
      <c r="H67" s="37" cm="1">
        <f t="array" ref="H67">Common_InputFunctions.Utility_DisplayArrayInTable(SourceData_PastureBeef.SourceData_PastureBeef_LiveweightNTQLD_Data(),Table_SourceData_PastureBeef_LiveweightNTQD[[#Headers],[State]], 0)</f>
        <v>703</v>
      </c>
      <c r="I67" s="37" cm="1">
        <f t="array" ref="I67">Common_InputFunctions.Utility_DisplayArrayInTable(SourceData_PastureBeef.SourceData_PastureBeef_LiveweightNTQLD_Data(),Table_SourceData_PastureBeef_LiveweightNTQD[[#Headers],[State]], 0)</f>
        <v>118</v>
      </c>
      <c r="J67" s="37" cm="1">
        <f t="array" ref="J67">Common_InputFunctions.Utility_DisplayArrayInTable(SourceData_PastureBeef.SourceData_PastureBeef_LiveweightNTQLD_Data(),Table_SourceData_PastureBeef_LiveweightNTQD[[#Headers],[State]], 0)</f>
        <v>277</v>
      </c>
      <c r="K67" s="37" cm="1">
        <f t="array" ref="K67">Common_InputFunctions.Utility_DisplayArrayInTable(SourceData_PastureBeef.SourceData_PastureBeef_LiveweightNTQLD_Data(),Table_SourceData_PastureBeef_LiveweightNTQD[[#Headers],[State]], 0)</f>
        <v>397</v>
      </c>
      <c r="L67" s="37" cm="1">
        <f t="array" ref="L67">Common_InputFunctions.Utility_DisplayArrayInTable(SourceData_PastureBeef.SourceData_PastureBeef_LiveweightNTQLD_Data(),Table_SourceData_PastureBeef_LiveweightNTQD[[#Headers],[State]], 0)</f>
        <v>483</v>
      </c>
      <c r="M67" s="37" cm="1">
        <f t="array" ref="M67">Common_InputFunctions.Utility_DisplayArrayInTable(SourceData_PastureBeef.SourceData_PastureBeef_LiveweightNTQLD_Data(),Table_SourceData_PastureBeef_LiveweightNTQD[[#Headers],[State]], 0)</f>
        <v>111</v>
      </c>
      <c r="N67" s="37" cm="1">
        <f t="array" ref="N67">Common_InputFunctions.Utility_DisplayArrayInTable(SourceData_PastureBeef.SourceData_PastureBeef_LiveweightNTQLD_Data(),Table_SourceData_PastureBeef_LiveweightNTQD[[#Headers],[State]], 0)</f>
        <v>304</v>
      </c>
      <c r="O67" s="37" cm="1">
        <f t="array" ref="O67">Common_InputFunctions.Utility_DisplayArrayInTable(SourceData_PastureBeef.SourceData_PastureBeef_LiveweightNTQLD_Data(),Table_SourceData_PastureBeef_LiveweightNTQD[[#Headers],[State]], 0)</f>
        <v>521</v>
      </c>
      <c r="P67" s="37"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7" t="str" cm="1">
        <f t="array" ref="E68">Common_InputFunctions.Utility_DisplayArrayInTable(SourceData_PastureBeef.SourceData_PastureBeef_LiveweightNTQLD_Data(),Table_SourceData_PastureBeef_LiveweightNTQD[[#Headers],[State]], 0)</f>
        <v>High</v>
      </c>
      <c r="F68" s="37" t="str" cm="1">
        <f t="array" ref="F68">Common_InputFunctions.Utility_DisplayArrayInTable(SourceData_PastureBeef.SourceData_PastureBeef_LiveweightNTQLD_Data(),Table_SourceData_PastureBeef_LiveweightNTQD[[#Headers],[State]], 0)</f>
        <v>Autumn</v>
      </c>
      <c r="G68" s="37" cm="1">
        <f t="array" ref="G68">Common_InputFunctions.Utility_DisplayArrayInTable(SourceData_PastureBeef.SourceData_PastureBeef_LiveweightNTQLD_Data(),Table_SourceData_PastureBeef_LiveweightNTQD[[#Headers],[State]], 0)</f>
        <v>168</v>
      </c>
      <c r="H68" s="37" cm="1">
        <f t="array" ref="H68">Common_InputFunctions.Utility_DisplayArrayInTable(SourceData_PastureBeef.SourceData_PastureBeef_LiveweightNTQLD_Data(),Table_SourceData_PastureBeef_LiveweightNTQD[[#Headers],[State]], 0)</f>
        <v>718</v>
      </c>
      <c r="I68" s="37" cm="1">
        <f t="array" ref="I68">Common_InputFunctions.Utility_DisplayArrayInTable(SourceData_PastureBeef.SourceData_PastureBeef_LiveweightNTQLD_Data(),Table_SourceData_PastureBeef_LiveweightNTQD[[#Headers],[State]], 0)</f>
        <v>191</v>
      </c>
      <c r="J68" s="37" cm="1">
        <f t="array" ref="J68">Common_InputFunctions.Utility_DisplayArrayInTable(SourceData_PastureBeef.SourceData_PastureBeef_LiveweightNTQLD_Data(),Table_SourceData_PastureBeef_LiveweightNTQD[[#Headers],[State]], 0)</f>
        <v>319</v>
      </c>
      <c r="K68" s="37" cm="1">
        <f t="array" ref="K68">Common_InputFunctions.Utility_DisplayArrayInTable(SourceData_PastureBeef.SourceData_PastureBeef_LiveweightNTQLD_Data(),Table_SourceData_PastureBeef_LiveweightNTQD[[#Headers],[State]], 0)</f>
        <v>440</v>
      </c>
      <c r="L68" s="37" cm="1">
        <f t="array" ref="L68">Common_InputFunctions.Utility_DisplayArrayInTable(SourceData_PastureBeef.SourceData_PastureBeef_LiveweightNTQLD_Data(),Table_SourceData_PastureBeef_LiveweightNTQD[[#Headers],[State]], 0)</f>
        <v>506</v>
      </c>
      <c r="M68" s="37" cm="1">
        <f t="array" ref="M68">Common_InputFunctions.Utility_DisplayArrayInTable(SourceData_PastureBeef.SourceData_PastureBeef_LiveweightNTQLD_Data(),Table_SourceData_PastureBeef_LiveweightNTQD[[#Headers],[State]], 0)</f>
        <v>188</v>
      </c>
      <c r="N68" s="37" cm="1">
        <f t="array" ref="N68">Common_InputFunctions.Utility_DisplayArrayInTable(SourceData_PastureBeef.SourceData_PastureBeef_LiveweightNTQLD_Data(),Table_SourceData_PastureBeef_LiveweightNTQD[[#Headers],[State]], 0)</f>
        <v>326</v>
      </c>
      <c r="O68" s="37" cm="1">
        <f t="array" ref="O68">Common_InputFunctions.Utility_DisplayArrayInTable(SourceData_PastureBeef.SourceData_PastureBeef_LiveweightNTQLD_Data(),Table_SourceData_PastureBeef_LiveweightNTQD[[#Headers],[State]], 0)</f>
        <v>520</v>
      </c>
      <c r="P68" s="37"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7" t="str" cm="1">
        <f t="array" ref="E69">Common_InputFunctions.Utility_DisplayArrayInTable(SourceData_PastureBeef.SourceData_PastureBeef_LiveweightNTQLD_Data(),Table_SourceData_PastureBeef_LiveweightNTQD[[#Headers],[State]], 0)</f>
        <v>High</v>
      </c>
      <c r="F69" s="37" t="str" cm="1">
        <f t="array" ref="F69">Common_InputFunctions.Utility_DisplayArrayInTable(SourceData_PastureBeef.SourceData_PastureBeef_LiveweightNTQLD_Data(),Table_SourceData_PastureBeef_LiveweightNTQD[[#Headers],[State]], 0)</f>
        <v>Winter</v>
      </c>
      <c r="G69" s="37" cm="1">
        <f t="array" ref="G69">Common_InputFunctions.Utility_DisplayArrayInTable(SourceData_PastureBeef.SourceData_PastureBeef_LiveweightNTQLD_Data(),Table_SourceData_PastureBeef_LiveweightNTQD[[#Headers],[State]], 0)</f>
        <v>235</v>
      </c>
      <c r="H69" s="37" cm="1">
        <f t="array" ref="H69">Common_InputFunctions.Utility_DisplayArrayInTable(SourceData_PastureBeef.SourceData_PastureBeef_LiveweightNTQLD_Data(),Table_SourceData_PastureBeef_LiveweightNTQD[[#Headers],[State]], 0)</f>
        <v>722</v>
      </c>
      <c r="I69" s="37" cm="1">
        <f t="array" ref="I69">Common_InputFunctions.Utility_DisplayArrayInTable(SourceData_PastureBeef.SourceData_PastureBeef_LiveweightNTQLD_Data(),Table_SourceData_PastureBeef_LiveweightNTQD[[#Headers],[State]], 0)</f>
        <v>207</v>
      </c>
      <c r="J69" s="37" cm="1">
        <f t="array" ref="J69">Common_InputFunctions.Utility_DisplayArrayInTable(SourceData_PastureBeef.SourceData_PastureBeef_LiveweightNTQLD_Data(),Table_SourceData_PastureBeef_LiveweightNTQD[[#Headers],[State]], 0)</f>
        <v>352</v>
      </c>
      <c r="K69" s="37" cm="1">
        <f t="array" ref="K69">Common_InputFunctions.Utility_DisplayArrayInTable(SourceData_PastureBeef.SourceData_PastureBeef_LiveweightNTQLD_Data(),Table_SourceData_PastureBeef_LiveweightNTQD[[#Headers],[State]], 0)</f>
        <v>470</v>
      </c>
      <c r="L69" s="37" cm="1">
        <f t="array" ref="L69">Common_InputFunctions.Utility_DisplayArrayInTable(SourceData_PastureBeef.SourceData_PastureBeef_LiveweightNTQLD_Data(),Table_SourceData_PastureBeef_LiveweightNTQD[[#Headers],[State]], 0)</f>
        <v>514</v>
      </c>
      <c r="M69" s="37" cm="1">
        <f t="array" ref="M69">Common_InputFunctions.Utility_DisplayArrayInTable(SourceData_PastureBeef.SourceData_PastureBeef_LiveweightNTQLD_Data(),Table_SourceData_PastureBeef_LiveweightNTQD[[#Headers],[State]], 0)</f>
        <v>209</v>
      </c>
      <c r="N69" s="37" cm="1">
        <f t="array" ref="N69">Common_InputFunctions.Utility_DisplayArrayInTable(SourceData_PastureBeef.SourceData_PastureBeef_LiveweightNTQLD_Data(),Table_SourceData_PastureBeef_LiveweightNTQD[[#Headers],[State]], 0)</f>
        <v>421</v>
      </c>
      <c r="O69" s="37" cm="1">
        <f t="array" ref="O69">Common_InputFunctions.Utility_DisplayArrayInTable(SourceData_PastureBeef.SourceData_PastureBeef_LiveweightNTQLD_Data(),Table_SourceData_PastureBeef_LiveweightNTQD[[#Headers],[State]], 0)</f>
        <v>512</v>
      </c>
      <c r="P69" s="37"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7" t="str" cm="1">
        <f t="array" ref="E70">Common_InputFunctions.Utility_DisplayArrayInTable(SourceData_PastureBeef.SourceData_PastureBeef_LiveweightNTQLD_Data(),Table_SourceData_PastureBeef_LiveweightNTQD[[#Headers],[State]], 0)</f>
        <v>Moderate/High</v>
      </c>
      <c r="F70" s="37" t="str" cm="1">
        <f t="array" ref="F70">Common_InputFunctions.Utility_DisplayArrayInTable(SourceData_PastureBeef.SourceData_PastureBeef_LiveweightNTQLD_Data(),Table_SourceData_PastureBeef_LiveweightNTQD[[#Headers],[State]], 0)</f>
        <v>Spring</v>
      </c>
      <c r="G70" s="37" cm="1">
        <f t="array" ref="G70">Common_InputFunctions.Utility_DisplayArrayInTable(SourceData_PastureBeef.SourceData_PastureBeef_LiveweightNTQLD_Data(),Table_SourceData_PastureBeef_LiveweightNTQD[[#Headers],[State]], 0)</f>
        <v>230</v>
      </c>
      <c r="H70" s="37" cm="1">
        <f t="array" ref="H70">Common_InputFunctions.Utility_DisplayArrayInTable(SourceData_PastureBeef.SourceData_PastureBeef_LiveweightNTQLD_Data(),Table_SourceData_PastureBeef_LiveweightNTQD[[#Headers],[State]], 0)</f>
        <v>674</v>
      </c>
      <c r="I70" s="37" cm="1">
        <f t="array" ref="I70">Common_InputFunctions.Utility_DisplayArrayInTable(SourceData_PastureBeef.SourceData_PastureBeef_LiveweightNTQLD_Data(),Table_SourceData_PastureBeef_LiveweightNTQD[[#Headers],[State]], 0)</f>
        <v>217</v>
      </c>
      <c r="J70" s="37" cm="1">
        <f t="array" ref="J70">Common_InputFunctions.Utility_DisplayArrayInTable(SourceData_PastureBeef.SourceData_PastureBeef_LiveweightNTQLD_Data(),Table_SourceData_PastureBeef_LiveweightNTQD[[#Headers],[State]], 0)</f>
        <v>344</v>
      </c>
      <c r="K70" s="37" cm="1">
        <f t="array" ref="K70">Common_InputFunctions.Utility_DisplayArrayInTable(SourceData_PastureBeef.SourceData_PastureBeef_LiveweightNTQLD_Data(),Table_SourceData_PastureBeef_LiveweightNTQD[[#Headers],[State]], 0)</f>
        <v>357</v>
      </c>
      <c r="L70" s="37" cm="1">
        <f t="array" ref="L70">Common_InputFunctions.Utility_DisplayArrayInTable(SourceData_PastureBeef.SourceData_PastureBeef_LiveweightNTQLD_Data(),Table_SourceData_PastureBeef_LiveweightNTQD[[#Headers],[State]], 0)</f>
        <v>467</v>
      </c>
      <c r="M70" s="37" cm="1">
        <f t="array" ref="M70">Common_InputFunctions.Utility_DisplayArrayInTable(SourceData_PastureBeef.SourceData_PastureBeef_LiveweightNTQLD_Data(),Table_SourceData_PastureBeef_LiveweightNTQD[[#Headers],[State]], 0)</f>
        <v>242</v>
      </c>
      <c r="N70" s="37" cm="1">
        <f t="array" ref="N70">Common_InputFunctions.Utility_DisplayArrayInTable(SourceData_PastureBeef.SourceData_PastureBeef_LiveweightNTQLD_Data(),Table_SourceData_PastureBeef_LiveweightNTQD[[#Headers],[State]], 0)</f>
        <v>370</v>
      </c>
      <c r="O70" s="37" cm="1">
        <f t="array" ref="O70">Common_InputFunctions.Utility_DisplayArrayInTable(SourceData_PastureBeef.SourceData_PastureBeef_LiveweightNTQLD_Data(),Table_SourceData_PastureBeef_LiveweightNTQD[[#Headers],[State]], 0)</f>
        <v>550</v>
      </c>
      <c r="P70" s="37"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7" t="str" cm="1">
        <f t="array" ref="E71">Common_InputFunctions.Utility_DisplayArrayInTable(SourceData_PastureBeef.SourceData_PastureBeef_LiveweightNTQLD_Data(),Table_SourceData_PastureBeef_LiveweightNTQD[[#Headers],[State]], 0)</f>
        <v>Moderate/High</v>
      </c>
      <c r="F71" s="37" t="str" cm="1">
        <f t="array" ref="F71">Common_InputFunctions.Utility_DisplayArrayInTable(SourceData_PastureBeef.SourceData_PastureBeef_LiveweightNTQLD_Data(),Table_SourceData_PastureBeef_LiveweightNTQD[[#Headers],[State]], 0)</f>
        <v>Summer</v>
      </c>
      <c r="G71" s="37" cm="1">
        <f t="array" ref="G71">Common_InputFunctions.Utility_DisplayArrayInTable(SourceData_PastureBeef.SourceData_PastureBeef_LiveweightNTQLD_Data(),Table_SourceData_PastureBeef_LiveweightNTQD[[#Headers],[State]], 0)</f>
        <v>113</v>
      </c>
      <c r="H71" s="37" cm="1">
        <f t="array" ref="H71">Common_InputFunctions.Utility_DisplayArrayInTable(SourceData_PastureBeef.SourceData_PastureBeef_LiveweightNTQLD_Data(),Table_SourceData_PastureBeef_LiveweightNTQD[[#Headers],[State]], 0)</f>
        <v>669</v>
      </c>
      <c r="I71" s="37" cm="1">
        <f t="array" ref="I71">Common_InputFunctions.Utility_DisplayArrayInTable(SourceData_PastureBeef.SourceData_PastureBeef_LiveweightNTQLD_Data(),Table_SourceData_PastureBeef_LiveweightNTQD[[#Headers],[State]], 0)</f>
        <v>113</v>
      </c>
      <c r="J71" s="37" cm="1">
        <f t="array" ref="J71">Common_InputFunctions.Utility_DisplayArrayInTable(SourceData_PastureBeef.SourceData_PastureBeef_LiveweightNTQLD_Data(),Table_SourceData_PastureBeef_LiveweightNTQD[[#Headers],[State]], 0)</f>
        <v>283</v>
      </c>
      <c r="K71" s="37" cm="1">
        <f t="array" ref="K71">Common_InputFunctions.Utility_DisplayArrayInTable(SourceData_PastureBeef.SourceData_PastureBeef_LiveweightNTQLD_Data(),Table_SourceData_PastureBeef_LiveweightNTQD[[#Headers],[State]], 0)</f>
        <v>361</v>
      </c>
      <c r="L71" s="37" cm="1">
        <f t="array" ref="L71">Common_InputFunctions.Utility_DisplayArrayInTable(SourceData_PastureBeef.SourceData_PastureBeef_LiveweightNTQLD_Data(),Table_SourceData_PastureBeef_LiveweightNTQD[[#Headers],[State]], 0)</f>
        <v>477</v>
      </c>
      <c r="M71" s="37" cm="1">
        <f t="array" ref="M71">Common_InputFunctions.Utility_DisplayArrayInTable(SourceData_PastureBeef.SourceData_PastureBeef_LiveweightNTQLD_Data(),Table_SourceData_PastureBeef_LiveweightNTQD[[#Headers],[State]], 0)</f>
        <v>120</v>
      </c>
      <c r="N71" s="37" cm="1">
        <f t="array" ref="N71">Common_InputFunctions.Utility_DisplayArrayInTable(SourceData_PastureBeef.SourceData_PastureBeef_LiveweightNTQLD_Data(),Table_SourceData_PastureBeef_LiveweightNTQD[[#Headers],[State]], 0)</f>
        <v>273</v>
      </c>
      <c r="O71" s="37" cm="1">
        <f t="array" ref="O71">Common_InputFunctions.Utility_DisplayArrayInTable(SourceData_PastureBeef.SourceData_PastureBeef_LiveweightNTQLD_Data(),Table_SourceData_PastureBeef_LiveweightNTQD[[#Headers],[State]], 0)</f>
        <v>545</v>
      </c>
      <c r="P71" s="37"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7" t="str" cm="1">
        <f t="array" ref="E72">Common_InputFunctions.Utility_DisplayArrayInTable(SourceData_PastureBeef.SourceData_PastureBeef_LiveweightNTQLD_Data(),Table_SourceData_PastureBeef_LiveweightNTQD[[#Headers],[State]], 0)</f>
        <v>Moderate/High</v>
      </c>
      <c r="F72" s="37" t="str" cm="1">
        <f t="array" ref="F72">Common_InputFunctions.Utility_DisplayArrayInTable(SourceData_PastureBeef.SourceData_PastureBeef_LiveweightNTQLD_Data(),Table_SourceData_PastureBeef_LiveweightNTQD[[#Headers],[State]], 0)</f>
        <v>Autumn</v>
      </c>
      <c r="G72" s="37" cm="1">
        <f t="array" ref="G72">Common_InputFunctions.Utility_DisplayArrayInTable(SourceData_PastureBeef.SourceData_PastureBeef_LiveweightNTQLD_Data(),Table_SourceData_PastureBeef_LiveweightNTQD[[#Headers],[State]], 0)</f>
        <v>172</v>
      </c>
      <c r="H72" s="37" cm="1">
        <f t="array" ref="H72">Common_InputFunctions.Utility_DisplayArrayInTable(SourceData_PastureBeef.SourceData_PastureBeef_LiveweightNTQLD_Data(),Table_SourceData_PastureBeef_LiveweightNTQD[[#Headers],[State]], 0)</f>
        <v>685</v>
      </c>
      <c r="I72" s="37" cm="1">
        <f t="array" ref="I72">Common_InputFunctions.Utility_DisplayArrayInTable(SourceData_PastureBeef.SourceData_PastureBeef_LiveweightNTQLD_Data(),Table_SourceData_PastureBeef_LiveweightNTQD[[#Headers],[State]], 0)</f>
        <v>172</v>
      </c>
      <c r="J72" s="37" cm="1">
        <f t="array" ref="J72">Common_InputFunctions.Utility_DisplayArrayInTable(SourceData_PastureBeef.SourceData_PastureBeef_LiveweightNTQLD_Data(),Table_SourceData_PastureBeef_LiveweightNTQD[[#Headers],[State]], 0)</f>
        <v>309</v>
      </c>
      <c r="K72" s="37" cm="1">
        <f t="array" ref="K72">Common_InputFunctions.Utility_DisplayArrayInTable(SourceData_PastureBeef.SourceData_PastureBeef_LiveweightNTQLD_Data(),Table_SourceData_PastureBeef_LiveweightNTQD[[#Headers],[State]], 0)</f>
        <v>376</v>
      </c>
      <c r="L72" s="37" cm="1">
        <f t="array" ref="L72">Common_InputFunctions.Utility_DisplayArrayInTable(SourceData_PastureBeef.SourceData_PastureBeef_LiveweightNTQLD_Data(),Table_SourceData_PastureBeef_LiveweightNTQD[[#Headers],[State]], 0)</f>
        <v>471</v>
      </c>
      <c r="M72" s="37" cm="1">
        <f t="array" ref="M72">Common_InputFunctions.Utility_DisplayArrayInTable(SourceData_PastureBeef.SourceData_PastureBeef_LiveweightNTQLD_Data(),Table_SourceData_PastureBeef_LiveweightNTQD[[#Headers],[State]], 0)</f>
        <v>238</v>
      </c>
      <c r="N72" s="37" cm="1">
        <f t="array" ref="N72">Common_InputFunctions.Utility_DisplayArrayInTable(SourceData_PastureBeef.SourceData_PastureBeef_LiveweightNTQLD_Data(),Table_SourceData_PastureBeef_LiveweightNTQD[[#Headers],[State]], 0)</f>
        <v>329</v>
      </c>
      <c r="O72" s="37" cm="1">
        <f t="array" ref="O72">Common_InputFunctions.Utility_DisplayArrayInTable(SourceData_PastureBeef.SourceData_PastureBeef_LiveweightNTQLD_Data(),Table_SourceData_PastureBeef_LiveweightNTQD[[#Headers],[State]], 0)</f>
        <v>573</v>
      </c>
      <c r="P72" s="37"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7" t="str" cm="1">
        <f t="array" ref="E73">Common_InputFunctions.Utility_DisplayArrayInTable(SourceData_PastureBeef.SourceData_PastureBeef_LiveweightNTQLD_Data(),Table_SourceData_PastureBeef_LiveweightNTQD[[#Headers],[State]], 0)</f>
        <v>Moderate/High</v>
      </c>
      <c r="F73" s="37" t="str" cm="1">
        <f t="array" ref="F73">Common_InputFunctions.Utility_DisplayArrayInTable(SourceData_PastureBeef.SourceData_PastureBeef_LiveweightNTQLD_Data(),Table_SourceData_PastureBeef_LiveweightNTQD[[#Headers],[State]], 0)</f>
        <v>Winter</v>
      </c>
      <c r="G73" s="37" cm="1">
        <f t="array" ref="G73">Common_InputFunctions.Utility_DisplayArrayInTable(SourceData_PastureBeef.SourceData_PastureBeef_LiveweightNTQLD_Data(),Table_SourceData_PastureBeef_LiveweightNTQD[[#Headers],[State]], 0)</f>
        <v>241</v>
      </c>
      <c r="H73" s="37" cm="1">
        <f t="array" ref="H73">Common_InputFunctions.Utility_DisplayArrayInTable(SourceData_PastureBeef.SourceData_PastureBeef_LiveweightNTQLD_Data(),Table_SourceData_PastureBeef_LiveweightNTQD[[#Headers],[State]], 0)</f>
        <v>692</v>
      </c>
      <c r="I73" s="37" cm="1">
        <f t="array" ref="I73">Common_InputFunctions.Utility_DisplayArrayInTable(SourceData_PastureBeef.SourceData_PastureBeef_LiveweightNTQLD_Data(),Table_SourceData_PastureBeef_LiveweightNTQD[[#Headers],[State]], 0)</f>
        <v>208</v>
      </c>
      <c r="J73" s="37" cm="1">
        <f t="array" ref="J73">Common_InputFunctions.Utility_DisplayArrayInTable(SourceData_PastureBeef.SourceData_PastureBeef_LiveweightNTQLD_Data(),Table_SourceData_PastureBeef_LiveweightNTQD[[#Headers],[State]], 0)</f>
        <v>344</v>
      </c>
      <c r="K73" s="37" cm="1">
        <f t="array" ref="K73">Common_InputFunctions.Utility_DisplayArrayInTable(SourceData_PastureBeef.SourceData_PastureBeef_LiveweightNTQLD_Data(),Table_SourceData_PastureBeef_LiveweightNTQD[[#Headers],[State]], 0)</f>
        <v>364</v>
      </c>
      <c r="L73" s="37" cm="1">
        <f t="array" ref="L73">Common_InputFunctions.Utility_DisplayArrayInTable(SourceData_PastureBeef.SourceData_PastureBeef_LiveweightNTQLD_Data(),Table_SourceData_PastureBeef_LiveweightNTQD[[#Headers],[State]], 0)</f>
        <v>484</v>
      </c>
      <c r="M73" s="37" cm="1">
        <f t="array" ref="M73">Common_InputFunctions.Utility_DisplayArrayInTable(SourceData_PastureBeef.SourceData_PastureBeef_LiveweightNTQLD_Data(),Table_SourceData_PastureBeef_LiveweightNTQD[[#Headers],[State]], 0)</f>
        <v>260</v>
      </c>
      <c r="N73" s="37" cm="1">
        <f t="array" ref="N73">Common_InputFunctions.Utility_DisplayArrayInTable(SourceData_PastureBeef.SourceData_PastureBeef_LiveweightNTQLD_Data(),Table_SourceData_PastureBeef_LiveweightNTQD[[#Headers],[State]], 0)</f>
        <v>350</v>
      </c>
      <c r="O73" s="37" cm="1">
        <f t="array" ref="O73">Common_InputFunctions.Utility_DisplayArrayInTable(SourceData_PastureBeef.SourceData_PastureBeef_LiveweightNTQLD_Data(),Table_SourceData_PastureBeef_LiveweightNTQD[[#Headers],[State]], 0)</f>
        <v>567</v>
      </c>
      <c r="P73" s="37"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7" t="str" cm="1">
        <f t="array" ref="E74">Common_InputFunctions.Utility_DisplayArrayInTable(SourceData_PastureBeef.SourceData_PastureBeef_LiveweightNTQLD_Data(),Table_SourceData_PastureBeef_LiveweightNTQD[[#Headers],[State]], 0)</f>
        <v>Moderate/Low</v>
      </c>
      <c r="F74" s="37" t="str" cm="1">
        <f t="array" ref="F74">Common_InputFunctions.Utility_DisplayArrayInTable(SourceData_PastureBeef.SourceData_PastureBeef_LiveweightNTQLD_Data(),Table_SourceData_PastureBeef_LiveweightNTQD[[#Headers],[State]], 0)</f>
        <v>Spring</v>
      </c>
      <c r="G74" s="37" cm="1">
        <f t="array" ref="G74">Common_InputFunctions.Utility_DisplayArrayInTable(SourceData_PastureBeef.SourceData_PastureBeef_LiveweightNTQLD_Data(),Table_SourceData_PastureBeef_LiveweightNTQD[[#Headers],[State]], 0)</f>
        <v>236</v>
      </c>
      <c r="H74" s="37" cm="1">
        <f t="array" ref="H74">Common_InputFunctions.Utility_DisplayArrayInTable(SourceData_PastureBeef.SourceData_PastureBeef_LiveweightNTQLD_Data(),Table_SourceData_PastureBeef_LiveweightNTQD[[#Headers],[State]], 0)</f>
        <v>674</v>
      </c>
      <c r="I74" s="37" cm="1">
        <f t="array" ref="I74">Common_InputFunctions.Utility_DisplayArrayInTable(SourceData_PastureBeef.SourceData_PastureBeef_LiveweightNTQLD_Data(),Table_SourceData_PastureBeef_LiveweightNTQD[[#Headers],[State]], 0)</f>
        <v>178</v>
      </c>
      <c r="J74" s="37" cm="1">
        <f t="array" ref="J74">Common_InputFunctions.Utility_DisplayArrayInTable(SourceData_PastureBeef.SourceData_PastureBeef_LiveweightNTQLD_Data(),Table_SourceData_PastureBeef_LiveweightNTQD[[#Headers],[State]], 0)</f>
        <v>310</v>
      </c>
      <c r="K74" s="37" cm="1">
        <f t="array" ref="K74">Common_InputFunctions.Utility_DisplayArrayInTable(SourceData_PastureBeef.SourceData_PastureBeef_LiveweightNTQLD_Data(),Table_SourceData_PastureBeef_LiveweightNTQD[[#Headers],[State]], 0)</f>
        <v>428</v>
      </c>
      <c r="L74" s="37" cm="1">
        <f t="array" ref="L74">Common_InputFunctions.Utility_DisplayArrayInTable(SourceData_PastureBeef.SourceData_PastureBeef_LiveweightNTQLD_Data(),Table_SourceData_PastureBeef_LiveweightNTQD[[#Headers],[State]], 0)</f>
        <v>466</v>
      </c>
      <c r="M74" s="37" cm="1">
        <f t="array" ref="M74">Common_InputFunctions.Utility_DisplayArrayInTable(SourceData_PastureBeef.SourceData_PastureBeef_LiveweightNTQLD_Data(),Table_SourceData_PastureBeef_LiveweightNTQD[[#Headers],[State]], 0)</f>
        <v>193</v>
      </c>
      <c r="N74" s="37" cm="1">
        <f t="array" ref="N74">Common_InputFunctions.Utility_DisplayArrayInTable(SourceData_PastureBeef.SourceData_PastureBeef_LiveweightNTQLD_Data(),Table_SourceData_PastureBeef_LiveweightNTQD[[#Headers],[State]], 0)</f>
        <v>370</v>
      </c>
      <c r="O74" s="37" cm="1">
        <f t="array" ref="O74">Common_InputFunctions.Utility_DisplayArrayInTable(SourceData_PastureBeef.SourceData_PastureBeef_LiveweightNTQLD_Data(),Table_SourceData_PastureBeef_LiveweightNTQD[[#Headers],[State]], 0)</f>
        <v>519</v>
      </c>
      <c r="P74" s="37"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7" t="str" cm="1">
        <f t="array" ref="E75">Common_InputFunctions.Utility_DisplayArrayInTable(SourceData_PastureBeef.SourceData_PastureBeef_LiveweightNTQLD_Data(),Table_SourceData_PastureBeef_LiveweightNTQD[[#Headers],[State]], 0)</f>
        <v>Moderate/Low</v>
      </c>
      <c r="F75" s="37" t="str" cm="1">
        <f t="array" ref="F75">Common_InputFunctions.Utility_DisplayArrayInTable(SourceData_PastureBeef.SourceData_PastureBeef_LiveweightNTQLD_Data(),Table_SourceData_PastureBeef_LiveweightNTQD[[#Headers],[State]], 0)</f>
        <v>Summer</v>
      </c>
      <c r="G75" s="37" cm="1">
        <f t="array" ref="G75">Common_InputFunctions.Utility_DisplayArrayInTable(SourceData_PastureBeef.SourceData_PastureBeef_LiveweightNTQLD_Data(),Table_SourceData_PastureBeef_LiveweightNTQD[[#Headers],[State]], 0)</f>
        <v>120</v>
      </c>
      <c r="H75" s="37" cm="1">
        <f t="array" ref="H75">Common_InputFunctions.Utility_DisplayArrayInTable(SourceData_PastureBeef.SourceData_PastureBeef_LiveweightNTQLD_Data(),Table_SourceData_PastureBeef_LiveweightNTQD[[#Headers],[State]], 0)</f>
        <v>669</v>
      </c>
      <c r="I75" s="37" cm="1">
        <f t="array" ref="I75">Common_InputFunctions.Utility_DisplayArrayInTable(SourceData_PastureBeef.SourceData_PastureBeef_LiveweightNTQLD_Data(),Table_SourceData_PastureBeef_LiveweightNTQD[[#Headers],[State]], 0)</f>
        <v>112</v>
      </c>
      <c r="J75" s="37" cm="1">
        <f t="array" ref="J75">Common_InputFunctions.Utility_DisplayArrayInTable(SourceData_PastureBeef.SourceData_PastureBeef_LiveweightNTQLD_Data(),Table_SourceData_PastureBeef_LiveweightNTQD[[#Headers],[State]], 0)</f>
        <v>250</v>
      </c>
      <c r="K75" s="37" cm="1">
        <f t="array" ref="K75">Common_InputFunctions.Utility_DisplayArrayInTable(SourceData_PastureBeef.SourceData_PastureBeef_LiveweightNTQLD_Data(),Table_SourceData_PastureBeef_LiveweightNTQD[[#Headers],[State]], 0)</f>
        <v>390</v>
      </c>
      <c r="L75" s="37" cm="1">
        <f t="array" ref="L75">Common_InputFunctions.Utility_DisplayArrayInTable(SourceData_PastureBeef.SourceData_PastureBeef_LiveweightNTQLD_Data(),Table_SourceData_PastureBeef_LiveweightNTQD[[#Headers],[State]], 0)</f>
        <v>448</v>
      </c>
      <c r="M75" s="37" cm="1">
        <f t="array" ref="M75">Common_InputFunctions.Utility_DisplayArrayInTable(SourceData_PastureBeef.SourceData_PastureBeef_LiveweightNTQLD_Data(),Table_SourceData_PastureBeef_LiveweightNTQD[[#Headers],[State]], 0)</f>
        <v>115</v>
      </c>
      <c r="N75" s="37" cm="1">
        <f t="array" ref="N75">Common_InputFunctions.Utility_DisplayArrayInTable(SourceData_PastureBeef.SourceData_PastureBeef_LiveweightNTQLD_Data(),Table_SourceData_PastureBeef_LiveweightNTQD[[#Headers],[State]], 0)</f>
        <v>273</v>
      </c>
      <c r="O75" s="37" cm="1">
        <f t="array" ref="O75">Common_InputFunctions.Utility_DisplayArrayInTable(SourceData_PastureBeef.SourceData_PastureBeef_LiveweightNTQLD_Data(),Table_SourceData_PastureBeef_LiveweightNTQD[[#Headers],[State]], 0)</f>
        <v>433</v>
      </c>
      <c r="P75" s="37"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7" t="str" cm="1">
        <f t="array" ref="E76">Common_InputFunctions.Utility_DisplayArrayInTable(SourceData_PastureBeef.SourceData_PastureBeef_LiveweightNTQLD_Data(),Table_SourceData_PastureBeef_LiveweightNTQD[[#Headers],[State]], 0)</f>
        <v>Moderate/Low</v>
      </c>
      <c r="F76" s="37" t="str" cm="1">
        <f t="array" ref="F76">Common_InputFunctions.Utility_DisplayArrayInTable(SourceData_PastureBeef.SourceData_PastureBeef_LiveweightNTQLD_Data(),Table_SourceData_PastureBeef_LiveweightNTQD[[#Headers],[State]], 0)</f>
        <v>Autumn</v>
      </c>
      <c r="G76" s="37" cm="1">
        <f t="array" ref="G76">Common_InputFunctions.Utility_DisplayArrayInTable(SourceData_PastureBeef.SourceData_PastureBeef_LiveweightNTQLD_Data(),Table_SourceData_PastureBeef_LiveweightNTQD[[#Headers],[State]], 0)</f>
        <v>125</v>
      </c>
      <c r="H76" s="37" cm="1">
        <f t="array" ref="H76">Common_InputFunctions.Utility_DisplayArrayInTable(SourceData_PastureBeef.SourceData_PastureBeef_LiveweightNTQLD_Data(),Table_SourceData_PastureBeef_LiveweightNTQD[[#Headers],[State]], 0)</f>
        <v>685</v>
      </c>
      <c r="I76" s="37" cm="1">
        <f t="array" ref="I76">Common_InputFunctions.Utility_DisplayArrayInTable(SourceData_PastureBeef.SourceData_PastureBeef_LiveweightNTQLD_Data(),Table_SourceData_PastureBeef_LiveweightNTQD[[#Headers],[State]], 0)</f>
        <v>140</v>
      </c>
      <c r="J76" s="37" cm="1">
        <f t="array" ref="J76">Common_InputFunctions.Utility_DisplayArrayInTable(SourceData_PastureBeef.SourceData_PastureBeef_LiveweightNTQLD_Data(),Table_SourceData_PastureBeef_LiveweightNTQD[[#Headers],[State]], 0)</f>
        <v>277</v>
      </c>
      <c r="K76" s="37" cm="1">
        <f t="array" ref="K76">Common_InputFunctions.Utility_DisplayArrayInTable(SourceData_PastureBeef.SourceData_PastureBeef_LiveweightNTQLD_Data(),Table_SourceData_PastureBeef_LiveweightNTQD[[#Headers],[State]], 0)</f>
        <v>407</v>
      </c>
      <c r="L76" s="37" cm="1">
        <f t="array" ref="L76">Common_InputFunctions.Utility_DisplayArrayInTable(SourceData_PastureBeef.SourceData_PastureBeef_LiveweightNTQLD_Data(),Table_SourceData_PastureBeef_LiveweightNTQD[[#Headers],[State]], 0)</f>
        <v>455</v>
      </c>
      <c r="M76" s="37" cm="1">
        <f t="array" ref="M76">Common_InputFunctions.Utility_DisplayArrayInTable(SourceData_PastureBeef.SourceData_PastureBeef_LiveweightNTQLD_Data(),Table_SourceData_PastureBeef_LiveweightNTQD[[#Headers],[State]], 0)</f>
        <v>141</v>
      </c>
      <c r="N76" s="37" cm="1">
        <f t="array" ref="N76">Common_InputFunctions.Utility_DisplayArrayInTable(SourceData_PastureBeef.SourceData_PastureBeef_LiveweightNTQLD_Data(),Table_SourceData_PastureBeef_LiveweightNTQD[[#Headers],[State]], 0)</f>
        <v>296</v>
      </c>
      <c r="O76" s="37" cm="1">
        <f t="array" ref="O76">Common_InputFunctions.Utility_DisplayArrayInTable(SourceData_PastureBeef.SourceData_PastureBeef_LiveweightNTQLD_Data(),Table_SourceData_PastureBeef_LiveweightNTQD[[#Headers],[State]], 0)</f>
        <v>445</v>
      </c>
      <c r="P76" s="37"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7" t="str" cm="1">
        <f t="array" ref="E77">Common_InputFunctions.Utility_DisplayArrayInTable(SourceData_PastureBeef.SourceData_PastureBeef_LiveweightNTQLD_Data(),Table_SourceData_PastureBeef_LiveweightNTQD[[#Headers],[State]], 0)</f>
        <v>Moderate/Low</v>
      </c>
      <c r="F77" s="37" t="str" cm="1">
        <f t="array" ref="F77">Common_InputFunctions.Utility_DisplayArrayInTable(SourceData_PastureBeef.SourceData_PastureBeef_LiveweightNTQLD_Data(),Table_SourceData_PastureBeef_LiveweightNTQD[[#Headers],[State]], 0)</f>
        <v>Winter</v>
      </c>
      <c r="G77" s="37" cm="1">
        <f t="array" ref="G77">Common_InputFunctions.Utility_DisplayArrayInTable(SourceData_PastureBeef.SourceData_PastureBeef_LiveweightNTQLD_Data(),Table_SourceData_PastureBeef_LiveweightNTQD[[#Headers],[State]], 0)</f>
        <v>180</v>
      </c>
      <c r="H77" s="37" cm="1">
        <f t="array" ref="H77">Common_InputFunctions.Utility_DisplayArrayInTable(SourceData_PastureBeef.SourceData_PastureBeef_LiveweightNTQLD_Data(),Table_SourceData_PastureBeef_LiveweightNTQD[[#Headers],[State]], 0)</f>
        <v>692</v>
      </c>
      <c r="I77" s="37" cm="1">
        <f t="array" ref="I77">Common_InputFunctions.Utility_DisplayArrayInTable(SourceData_PastureBeef.SourceData_PastureBeef_LiveweightNTQLD_Data(),Table_SourceData_PastureBeef_LiveweightNTQD[[#Headers],[State]], 0)</f>
        <v>183</v>
      </c>
      <c r="J77" s="37" cm="1">
        <f t="array" ref="J77">Common_InputFunctions.Utility_DisplayArrayInTable(SourceData_PastureBeef.SourceData_PastureBeef_LiveweightNTQLD_Data(),Table_SourceData_PastureBeef_LiveweightNTQD[[#Headers],[State]], 0)</f>
        <v>316</v>
      </c>
      <c r="K77" s="37" cm="1">
        <f t="array" ref="K77">Common_InputFunctions.Utility_DisplayArrayInTable(SourceData_PastureBeef.SourceData_PastureBeef_LiveweightNTQLD_Data(),Table_SourceData_PastureBeef_LiveweightNTQD[[#Headers],[State]], 0)</f>
        <v>438</v>
      </c>
      <c r="L77" s="37" cm="1">
        <f t="array" ref="L77">Common_InputFunctions.Utility_DisplayArrayInTable(SourceData_PastureBeef.SourceData_PastureBeef_LiveweightNTQLD_Data(),Table_SourceData_PastureBeef_LiveweightNTQD[[#Headers],[State]], 0)</f>
        <v>468</v>
      </c>
      <c r="M77" s="37" cm="1">
        <f t="array" ref="M77">Common_InputFunctions.Utility_DisplayArrayInTable(SourceData_PastureBeef.SourceData_PastureBeef_LiveweightNTQLD_Data(),Table_SourceData_PastureBeef_LiveweightNTQD[[#Headers],[State]], 0)</f>
        <v>189</v>
      </c>
      <c r="N77" s="37" cm="1">
        <f t="array" ref="N77">Common_InputFunctions.Utility_DisplayArrayInTable(SourceData_PastureBeef.SourceData_PastureBeef_LiveweightNTQLD_Data(),Table_SourceData_PastureBeef_LiveweightNTQD[[#Headers],[State]], 0)</f>
        <v>354</v>
      </c>
      <c r="O77" s="37" cm="1">
        <f t="array" ref="O77">Common_InputFunctions.Utility_DisplayArrayInTable(SourceData_PastureBeef.SourceData_PastureBeef_LiveweightNTQLD_Data(),Table_SourceData_PastureBeef_LiveweightNTQD[[#Headers],[State]], 0)</f>
        <v>500</v>
      </c>
      <c r="P77" s="37"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7" t="str" cm="1">
        <f t="array" ref="E78">Common_InputFunctions.Utility_DisplayArrayInTable(SourceData_PastureBeef.SourceData_PastureBeef_LiveweightNTQLD_Data(),Table_SourceData_PastureBeef_LiveweightNTQD[[#Headers],[State]], 0)</f>
        <v>Low</v>
      </c>
      <c r="F78" s="37" t="str" cm="1">
        <f t="array" ref="F78">Common_InputFunctions.Utility_DisplayArrayInTable(SourceData_PastureBeef.SourceData_PastureBeef_LiveweightNTQLD_Data(),Table_SourceData_PastureBeef_LiveweightNTQD[[#Headers],[State]], 0)</f>
        <v>Spring</v>
      </c>
      <c r="G78" s="37" cm="1">
        <f t="array" ref="G78">Common_InputFunctions.Utility_DisplayArrayInTable(SourceData_PastureBeef.SourceData_PastureBeef_LiveweightNTQLD_Data(),Table_SourceData_PastureBeef_LiveweightNTQD[[#Headers],[State]], 0)</f>
        <v>190</v>
      </c>
      <c r="H78" s="37" cm="1">
        <f t="array" ref="H78">Common_InputFunctions.Utility_DisplayArrayInTable(SourceData_PastureBeef.SourceData_PastureBeef_LiveweightNTQLD_Data(),Table_SourceData_PastureBeef_LiveweightNTQD[[#Headers],[State]], 0)</f>
        <v>617</v>
      </c>
      <c r="I78" s="37" cm="1">
        <f t="array" ref="I78">Common_InputFunctions.Utility_DisplayArrayInTable(SourceData_PastureBeef.SourceData_PastureBeef_LiveweightNTQLD_Data(),Table_SourceData_PastureBeef_LiveweightNTQD[[#Headers],[State]], 0)</f>
        <v>174</v>
      </c>
      <c r="J78" s="37" cm="1">
        <f t="array" ref="J78">Common_InputFunctions.Utility_DisplayArrayInTable(SourceData_PastureBeef.SourceData_PastureBeef_LiveweightNTQLD_Data(),Table_SourceData_PastureBeef_LiveweightNTQD[[#Headers],[State]], 0)</f>
        <v>265</v>
      </c>
      <c r="K78" s="37" cm="1">
        <f t="array" ref="K78">Common_InputFunctions.Utility_DisplayArrayInTable(SourceData_PastureBeef.SourceData_PastureBeef_LiveweightNTQLD_Data(),Table_SourceData_PastureBeef_LiveweightNTQD[[#Headers],[State]], 0)</f>
        <v>371</v>
      </c>
      <c r="L78" s="37" cm="1">
        <f t="array" ref="L78">Common_InputFunctions.Utility_DisplayArrayInTable(SourceData_PastureBeef.SourceData_PastureBeef_LiveweightNTQLD_Data(),Table_SourceData_PastureBeef_LiveweightNTQD[[#Headers],[State]], 0)</f>
        <v>415</v>
      </c>
      <c r="M78" s="37" cm="1">
        <f t="array" ref="M78">Common_InputFunctions.Utility_DisplayArrayInTable(SourceData_PastureBeef.SourceData_PastureBeef_LiveweightNTQLD_Data(),Table_SourceData_PastureBeef_LiveweightNTQD[[#Headers],[State]], 0)</f>
        <v>170</v>
      </c>
      <c r="N78" s="37" cm="1">
        <f t="array" ref="N78">Common_InputFunctions.Utility_DisplayArrayInTable(SourceData_PastureBeef.SourceData_PastureBeef_LiveweightNTQLD_Data(),Table_SourceData_PastureBeef_LiveweightNTQD[[#Headers],[State]], 0)</f>
        <v>272</v>
      </c>
      <c r="O78" s="37" cm="1">
        <f t="array" ref="O78">Common_InputFunctions.Utility_DisplayArrayInTable(SourceData_PastureBeef.SourceData_PastureBeef_LiveweightNTQLD_Data(),Table_SourceData_PastureBeef_LiveweightNTQD[[#Headers],[State]], 0)</f>
        <v>392</v>
      </c>
      <c r="P78" s="37"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7" t="str" cm="1">
        <f t="array" ref="E79">Common_InputFunctions.Utility_DisplayArrayInTable(SourceData_PastureBeef.SourceData_PastureBeef_LiveweightNTQLD_Data(),Table_SourceData_PastureBeef_LiveweightNTQD[[#Headers],[State]], 0)</f>
        <v>Low</v>
      </c>
      <c r="F79" s="37" t="str" cm="1">
        <f t="array" ref="F79">Common_InputFunctions.Utility_DisplayArrayInTable(SourceData_PastureBeef.SourceData_PastureBeef_LiveweightNTQLD_Data(),Table_SourceData_PastureBeef_LiveweightNTQD[[#Headers],[State]], 0)</f>
        <v>Summer</v>
      </c>
      <c r="G79" s="37" cm="1">
        <f t="array" ref="G79">Common_InputFunctions.Utility_DisplayArrayInTable(SourceData_PastureBeef.SourceData_PastureBeef_LiveweightNTQLD_Data(),Table_SourceData_PastureBeef_LiveweightNTQD[[#Headers],[State]], 0)</f>
        <v>119</v>
      </c>
      <c r="H79" s="37" cm="1">
        <f t="array" ref="H79">Common_InputFunctions.Utility_DisplayArrayInTable(SourceData_PastureBeef.SourceData_PastureBeef_LiveweightNTQLD_Data(),Table_SourceData_PastureBeef_LiveweightNTQD[[#Headers],[State]], 0)</f>
        <v>591</v>
      </c>
      <c r="I79" s="37" cm="1">
        <f t="array" ref="I79">Common_InputFunctions.Utility_DisplayArrayInTable(SourceData_PastureBeef.SourceData_PastureBeef_LiveweightNTQLD_Data(),Table_SourceData_PastureBeef_LiveweightNTQD[[#Headers],[State]], 0)</f>
        <v>140</v>
      </c>
      <c r="J79" s="37" cm="1">
        <f t="array" ref="J79">Common_InputFunctions.Utility_DisplayArrayInTable(SourceData_PastureBeef.SourceData_PastureBeef_LiveweightNTQLD_Data(),Table_SourceData_PastureBeef_LiveweightNTQD[[#Headers],[State]], 0)</f>
        <v>205</v>
      </c>
      <c r="K79" s="37" cm="1">
        <f t="array" ref="K79">Common_InputFunctions.Utility_DisplayArrayInTable(SourceData_PastureBeef.SourceData_PastureBeef_LiveweightNTQLD_Data(),Table_SourceData_PastureBeef_LiveweightNTQD[[#Headers],[State]], 0)</f>
        <v>310</v>
      </c>
      <c r="L79" s="37" cm="1">
        <f t="array" ref="L79">Common_InputFunctions.Utility_DisplayArrayInTable(SourceData_PastureBeef.SourceData_PastureBeef_LiveweightNTQLD_Data(),Table_SourceData_PastureBeef_LiveweightNTQD[[#Headers],[State]], 0)</f>
        <v>405</v>
      </c>
      <c r="M79" s="37" cm="1">
        <f t="array" ref="M79">Common_InputFunctions.Utility_DisplayArrayInTable(SourceData_PastureBeef.SourceData_PastureBeef_LiveweightNTQLD_Data(),Table_SourceData_PastureBeef_LiveweightNTQD[[#Headers],[State]], 0)</f>
        <v>133</v>
      </c>
      <c r="N79" s="37" cm="1">
        <f t="array" ref="N79">Common_InputFunctions.Utility_DisplayArrayInTable(SourceData_PastureBeef.SourceData_PastureBeef_LiveweightNTQLD_Data(),Table_SourceData_PastureBeef_LiveweightNTQD[[#Headers],[State]], 0)</f>
        <v>218</v>
      </c>
      <c r="O79" s="37" cm="1">
        <f t="array" ref="O79">Common_InputFunctions.Utility_DisplayArrayInTable(SourceData_PastureBeef.SourceData_PastureBeef_LiveweightNTQLD_Data(),Table_SourceData_PastureBeef_LiveweightNTQD[[#Headers],[State]], 0)</f>
        <v>315</v>
      </c>
      <c r="P79" s="37"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7" t="str" cm="1">
        <f t="array" ref="E80">Common_InputFunctions.Utility_DisplayArrayInTable(SourceData_PastureBeef.SourceData_PastureBeef_LiveweightNTQLD_Data(),Table_SourceData_PastureBeef_LiveweightNTQD[[#Headers],[State]], 0)</f>
        <v>Low</v>
      </c>
      <c r="F80" s="37" t="str" cm="1">
        <f t="array" ref="F80">Common_InputFunctions.Utility_DisplayArrayInTable(SourceData_PastureBeef.SourceData_PastureBeef_LiveweightNTQLD_Data(),Table_SourceData_PastureBeef_LiveweightNTQD[[#Headers],[State]], 0)</f>
        <v>Autumn</v>
      </c>
      <c r="G80" s="37" cm="1">
        <f t="array" ref="G80">Common_InputFunctions.Utility_DisplayArrayInTable(SourceData_PastureBeef.SourceData_PastureBeef_LiveweightNTQLD_Data(),Table_SourceData_PastureBeef_LiveweightNTQD[[#Headers],[State]], 0)</f>
        <v>175</v>
      </c>
      <c r="H80" s="37" cm="1">
        <f t="array" ref="H80">Common_InputFunctions.Utility_DisplayArrayInTable(SourceData_PastureBeef.SourceData_PastureBeef_LiveweightNTQLD_Data(),Table_SourceData_PastureBeef_LiveweightNTQD[[#Headers],[State]], 0)</f>
        <v>610</v>
      </c>
      <c r="I80" s="37" cm="1">
        <f t="array" ref="I80">Common_InputFunctions.Utility_DisplayArrayInTable(SourceData_PastureBeef.SourceData_PastureBeef_LiveweightNTQLD_Data(),Table_SourceData_PastureBeef_LiveweightNTQD[[#Headers],[State]], 0)</f>
        <v>163</v>
      </c>
      <c r="J80" s="37" cm="1">
        <f t="array" ref="J80">Common_InputFunctions.Utility_DisplayArrayInTable(SourceData_PastureBeef.SourceData_PastureBeef_LiveweightNTQLD_Data(),Table_SourceData_PastureBeef_LiveweightNTQD[[#Headers],[State]], 0)</f>
        <v>232</v>
      </c>
      <c r="K80" s="37" cm="1">
        <f t="array" ref="K80">Common_InputFunctions.Utility_DisplayArrayInTable(SourceData_PastureBeef.SourceData_PastureBeef_LiveweightNTQLD_Data(),Table_SourceData_PastureBeef_LiveweightNTQD[[#Headers],[State]], 0)</f>
        <v>351</v>
      </c>
      <c r="L80" s="37" cm="1">
        <f t="array" ref="L80">Common_InputFunctions.Utility_DisplayArrayInTable(SourceData_PastureBeef.SourceData_PastureBeef_LiveweightNTQLD_Data(),Table_SourceData_PastureBeef_LiveweightNTQD[[#Headers],[State]], 0)</f>
        <v>427</v>
      </c>
      <c r="M80" s="37" cm="1">
        <f t="array" ref="M80">Common_InputFunctions.Utility_DisplayArrayInTable(SourceData_PastureBeef.SourceData_PastureBeef_LiveweightNTQLD_Data(),Table_SourceData_PastureBeef_LiveweightNTQD[[#Headers],[State]], 0)</f>
        <v>146</v>
      </c>
      <c r="N80" s="37" cm="1">
        <f t="array" ref="N80">Common_InputFunctions.Utility_DisplayArrayInTable(SourceData_PastureBeef.SourceData_PastureBeef_LiveweightNTQLD_Data(),Table_SourceData_PastureBeef_LiveweightNTQD[[#Headers],[State]], 0)</f>
        <v>242</v>
      </c>
      <c r="O80" s="37" cm="1">
        <f t="array" ref="O80">Common_InputFunctions.Utility_DisplayArrayInTable(SourceData_PastureBeef.SourceData_PastureBeef_LiveweightNTQLD_Data(),Table_SourceData_PastureBeef_LiveweightNTQD[[#Headers],[State]], 0)</f>
        <v>320</v>
      </c>
      <c r="P80" s="37"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7" t="str" cm="1">
        <f t="array" ref="E81">Common_InputFunctions.Utility_DisplayArrayInTable(SourceData_PastureBeef.SourceData_PastureBeef_LiveweightNTQLD_Data(),Table_SourceData_PastureBeef_LiveweightNTQD[[#Headers],[State]], 0)</f>
        <v>Low</v>
      </c>
      <c r="F81" s="37" t="str" cm="1">
        <f t="array" ref="F81">Common_InputFunctions.Utility_DisplayArrayInTable(SourceData_PastureBeef.SourceData_PastureBeef_LiveweightNTQLD_Data(),Table_SourceData_PastureBeef_LiveweightNTQD[[#Headers],[State]], 0)</f>
        <v>Winter</v>
      </c>
      <c r="G81" s="37" cm="1">
        <f t="array" ref="G81">Common_InputFunctions.Utility_DisplayArrayInTable(SourceData_PastureBeef.SourceData_PastureBeef_LiveweightNTQLD_Data(),Table_SourceData_PastureBeef_LiveweightNTQD[[#Headers],[State]], 0)</f>
        <v>192</v>
      </c>
      <c r="H81" s="37" cm="1">
        <f t="array" ref="H81">Common_InputFunctions.Utility_DisplayArrayInTable(SourceData_PastureBeef.SourceData_PastureBeef_LiveweightNTQLD_Data(),Table_SourceData_PastureBeef_LiveweightNTQD[[#Headers],[State]], 0)</f>
        <v>615</v>
      </c>
      <c r="I81" s="37" cm="1">
        <f t="array" ref="I81">Common_InputFunctions.Utility_DisplayArrayInTable(SourceData_PastureBeef.SourceData_PastureBeef_LiveweightNTQLD_Data(),Table_SourceData_PastureBeef_LiveweightNTQD[[#Headers],[State]], 0)</f>
        <v>162</v>
      </c>
      <c r="J81" s="37" cm="1">
        <f t="array" ref="J81">Common_InputFunctions.Utility_DisplayArrayInTable(SourceData_PastureBeef.SourceData_PastureBeef_LiveweightNTQLD_Data(),Table_SourceData_PastureBeef_LiveweightNTQD[[#Headers],[State]], 0)</f>
        <v>255</v>
      </c>
      <c r="K81" s="37" cm="1">
        <f t="array" ref="K81">Common_InputFunctions.Utility_DisplayArrayInTable(SourceData_PastureBeef.SourceData_PastureBeef_LiveweightNTQLD_Data(),Table_SourceData_PastureBeef_LiveweightNTQD[[#Headers],[State]], 0)</f>
        <v>364</v>
      </c>
      <c r="L81" s="37" cm="1">
        <f t="array" ref="L81">Common_InputFunctions.Utility_DisplayArrayInTable(SourceData_PastureBeef.SourceData_PastureBeef_LiveweightNTQLD_Data(),Table_SourceData_PastureBeef_LiveweightNTQD[[#Headers],[State]], 0)</f>
        <v>420</v>
      </c>
      <c r="M81" s="37" cm="1">
        <f t="array" ref="M81">Common_InputFunctions.Utility_DisplayArrayInTable(SourceData_PastureBeef.SourceData_PastureBeef_LiveweightNTQLD_Data(),Table_SourceData_PastureBeef_LiveweightNTQD[[#Headers],[State]], 0)</f>
        <v>157</v>
      </c>
      <c r="N81" s="37" cm="1">
        <f t="array" ref="N81">Common_InputFunctions.Utility_DisplayArrayInTable(SourceData_PastureBeef.SourceData_PastureBeef_LiveweightNTQLD_Data(),Table_SourceData_PastureBeef_LiveweightNTQD[[#Headers],[State]], 0)</f>
        <v>261</v>
      </c>
      <c r="O81" s="37" cm="1">
        <f t="array" ref="O81">Common_InputFunctions.Utility_DisplayArrayInTable(SourceData_PastureBeef.SourceData_PastureBeef_LiveweightNTQLD_Data(),Table_SourceData_PastureBeef_LiveweightNTQD[[#Headers],[State]], 0)</f>
        <v>342</v>
      </c>
      <c r="P81" s="37"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201</v>
      </c>
      <c r="M84" s="1"/>
    </row>
    <row r="85" spans="4:22" ht="20.100000000000001" customHeight="1" x14ac:dyDescent="0.25">
      <c r="D85" s="37" t="s">
        <v>8</v>
      </c>
      <c r="E85" s="37" t="s">
        <v>183</v>
      </c>
      <c r="F85" s="37" t="s">
        <v>184</v>
      </c>
      <c r="G85" s="116" t="s">
        <v>131</v>
      </c>
      <c r="H85" s="116" t="s">
        <v>130</v>
      </c>
      <c r="I85" s="116" t="s">
        <v>165</v>
      </c>
      <c r="J85" s="116" t="s">
        <v>166</v>
      </c>
      <c r="K85" s="116" t="s">
        <v>167</v>
      </c>
      <c r="L85" s="116" t="s">
        <v>168</v>
      </c>
      <c r="M85" s="116" t="s">
        <v>169</v>
      </c>
      <c r="N85" s="116" t="s">
        <v>170</v>
      </c>
      <c r="O85" s="116" t="s">
        <v>171</v>
      </c>
      <c r="P85" s="116" t="s">
        <v>172</v>
      </c>
      <c r="V85" s="1"/>
    </row>
    <row r="86" spans="4:22" ht="20.100000000000001" customHeight="1" x14ac:dyDescent="0.25">
      <c r="D86" s="37" t="s">
        <v>83</v>
      </c>
      <c r="E86" s="37" t="s">
        <v>202</v>
      </c>
      <c r="F86" s="37" t="str">
        <f>F19</f>
        <v>Spring</v>
      </c>
      <c r="G86" s="37">
        <f>G19</f>
        <v>80</v>
      </c>
      <c r="H86" s="37">
        <f t="shared" ref="H86:K89" si="0">H19</f>
        <v>480</v>
      </c>
      <c r="I86" s="37">
        <f>I19</f>
        <v>75</v>
      </c>
      <c r="J86" s="37">
        <f>J19</f>
        <v>300</v>
      </c>
      <c r="K86" s="37">
        <f>K19</f>
        <v>440</v>
      </c>
      <c r="L86" s="37">
        <f>K19</f>
        <v>440</v>
      </c>
      <c r="M86" s="37">
        <f>L19</f>
        <v>75</v>
      </c>
      <c r="N86" s="37">
        <f>M19</f>
        <v>380</v>
      </c>
      <c r="O86" s="37">
        <f>M19</f>
        <v>380</v>
      </c>
      <c r="P86" s="37">
        <f>M19</f>
        <v>380</v>
      </c>
      <c r="V86" s="1"/>
    </row>
    <row r="87" spans="4:22" ht="20.100000000000001" customHeight="1" x14ac:dyDescent="0.25">
      <c r="D87" s="37" t="s">
        <v>83</v>
      </c>
      <c r="E87" s="37" t="s">
        <v>202</v>
      </c>
      <c r="F87" s="37" t="s">
        <v>174</v>
      </c>
      <c r="G87" s="37">
        <f t="shared" ref="G87" si="1">G20</f>
        <v>170</v>
      </c>
      <c r="H87" s="37">
        <f t="shared" si="0"/>
        <v>520</v>
      </c>
      <c r="I87" s="37">
        <f t="shared" si="0"/>
        <v>160</v>
      </c>
      <c r="J87" s="37">
        <f t="shared" si="0"/>
        <v>360</v>
      </c>
      <c r="K87" s="37">
        <f t="shared" si="0"/>
        <v>470</v>
      </c>
      <c r="L87" s="37">
        <f t="shared" ref="L87:N89" si="2">K20</f>
        <v>470</v>
      </c>
      <c r="M87" s="37">
        <f t="shared" si="2"/>
        <v>160</v>
      </c>
      <c r="N87" s="37">
        <f t="shared" si="2"/>
        <v>420</v>
      </c>
      <c r="O87" s="37">
        <f t="shared" ref="O87:O89" si="3">M20</f>
        <v>420</v>
      </c>
      <c r="P87" s="37">
        <f t="shared" ref="P87:P89" si="4">M20</f>
        <v>420</v>
      </c>
      <c r="V87" s="1"/>
    </row>
    <row r="88" spans="4:22" ht="20.100000000000001" customHeight="1" x14ac:dyDescent="0.25">
      <c r="D88" s="37" t="s">
        <v>83</v>
      </c>
      <c r="E88" s="37" t="s">
        <v>202</v>
      </c>
      <c r="F88" s="37" t="s">
        <v>175</v>
      </c>
      <c r="G88" s="37">
        <f t="shared" ref="G88" si="5">G21</f>
        <v>240</v>
      </c>
      <c r="H88" s="37">
        <f t="shared" si="0"/>
        <v>550</v>
      </c>
      <c r="I88" s="37">
        <f t="shared" si="0"/>
        <v>220</v>
      </c>
      <c r="J88" s="37">
        <f t="shared" si="0"/>
        <v>390</v>
      </c>
      <c r="K88" s="37">
        <f t="shared" si="0"/>
        <v>490</v>
      </c>
      <c r="L88" s="37">
        <f t="shared" si="2"/>
        <v>490</v>
      </c>
      <c r="M88" s="37">
        <f t="shared" si="2"/>
        <v>220</v>
      </c>
      <c r="N88" s="37">
        <f t="shared" si="2"/>
        <v>450</v>
      </c>
      <c r="O88" s="37">
        <f t="shared" si="3"/>
        <v>450</v>
      </c>
      <c r="P88" s="37">
        <f t="shared" si="4"/>
        <v>450</v>
      </c>
      <c r="V88" s="1"/>
    </row>
    <row r="89" spans="4:22" ht="20.100000000000001" customHeight="1" x14ac:dyDescent="0.25">
      <c r="D89" s="37" t="s">
        <v>83</v>
      </c>
      <c r="E89" s="37" t="s">
        <v>202</v>
      </c>
      <c r="F89" s="37" t="s">
        <v>176</v>
      </c>
      <c r="G89" s="37">
        <f t="shared" ref="G89" si="6">G22</f>
        <v>280</v>
      </c>
      <c r="H89" s="37">
        <f t="shared" si="0"/>
        <v>560</v>
      </c>
      <c r="I89" s="37">
        <f t="shared" si="0"/>
        <v>260</v>
      </c>
      <c r="J89" s="37">
        <f t="shared" si="0"/>
        <v>410</v>
      </c>
      <c r="K89" s="37">
        <f t="shared" si="0"/>
        <v>500</v>
      </c>
      <c r="L89" s="37">
        <f t="shared" si="2"/>
        <v>500</v>
      </c>
      <c r="M89" s="37">
        <f t="shared" si="2"/>
        <v>260</v>
      </c>
      <c r="N89" s="37">
        <f t="shared" si="2"/>
        <v>460</v>
      </c>
      <c r="O89" s="37">
        <f t="shared" si="3"/>
        <v>460</v>
      </c>
      <c r="P89" s="37">
        <f t="shared" si="4"/>
        <v>460</v>
      </c>
      <c r="V89" s="1"/>
    </row>
    <row r="90" spans="4:22" ht="20.100000000000001" customHeight="1" x14ac:dyDescent="0.25">
      <c r="D90" s="37" t="s">
        <v>84</v>
      </c>
      <c r="E90" s="37" t="s">
        <v>202</v>
      </c>
      <c r="F90" s="37" t="str">
        <f>F23</f>
        <v>Spring</v>
      </c>
      <c r="G90" s="37">
        <f>G19</f>
        <v>80</v>
      </c>
      <c r="H90" s="37">
        <f t="shared" ref="H90:J90" si="7">H19</f>
        <v>480</v>
      </c>
      <c r="I90" s="37">
        <f t="shared" si="7"/>
        <v>75</v>
      </c>
      <c r="J90" s="37">
        <f t="shared" si="7"/>
        <v>300</v>
      </c>
      <c r="K90" s="37">
        <f>K19</f>
        <v>440</v>
      </c>
      <c r="L90" s="37">
        <f>K19</f>
        <v>440</v>
      </c>
      <c r="M90" s="37">
        <f>L19</f>
        <v>75</v>
      </c>
      <c r="N90" s="37">
        <f>M19</f>
        <v>380</v>
      </c>
      <c r="O90" s="37">
        <f>M19</f>
        <v>380</v>
      </c>
      <c r="P90" s="37">
        <f>M19</f>
        <v>380</v>
      </c>
      <c r="V90" s="1"/>
    </row>
    <row r="91" spans="4:22" ht="20.100000000000001" customHeight="1" x14ac:dyDescent="0.25">
      <c r="D91" s="37" t="s">
        <v>84</v>
      </c>
      <c r="E91" s="37" t="s">
        <v>202</v>
      </c>
      <c r="F91" s="37" t="s">
        <v>174</v>
      </c>
      <c r="G91" s="37">
        <f t="shared" ref="G91:K91" si="8">G20</f>
        <v>170</v>
      </c>
      <c r="H91" s="37">
        <f t="shared" si="8"/>
        <v>520</v>
      </c>
      <c r="I91" s="37">
        <f t="shared" si="8"/>
        <v>160</v>
      </c>
      <c r="J91" s="37">
        <f t="shared" si="8"/>
        <v>360</v>
      </c>
      <c r="K91" s="37">
        <f t="shared" si="8"/>
        <v>470</v>
      </c>
      <c r="L91" s="37">
        <f t="shared" ref="L91:M93" si="9">K20</f>
        <v>470</v>
      </c>
      <c r="M91" s="37">
        <f t="shared" si="9"/>
        <v>160</v>
      </c>
      <c r="N91" s="37">
        <f t="shared" ref="N91:N117" si="10">M20</f>
        <v>420</v>
      </c>
      <c r="O91" s="37">
        <f t="shared" ref="O91:O93" si="11">M20</f>
        <v>420</v>
      </c>
      <c r="P91" s="37">
        <f t="shared" ref="P91:P93" si="12">M20</f>
        <v>420</v>
      </c>
    </row>
    <row r="92" spans="4:22" ht="20.100000000000001" customHeight="1" x14ac:dyDescent="0.25">
      <c r="D92" s="37" t="s">
        <v>84</v>
      </c>
      <c r="E92" s="37" t="s">
        <v>202</v>
      </c>
      <c r="F92" s="37" t="s">
        <v>175</v>
      </c>
      <c r="G92" s="37">
        <f t="shared" ref="G92:K92" si="13">G21</f>
        <v>240</v>
      </c>
      <c r="H92" s="37">
        <f t="shared" si="13"/>
        <v>550</v>
      </c>
      <c r="I92" s="37">
        <f t="shared" si="13"/>
        <v>220</v>
      </c>
      <c r="J92" s="37">
        <f t="shared" si="13"/>
        <v>390</v>
      </c>
      <c r="K92" s="37">
        <f t="shared" si="13"/>
        <v>490</v>
      </c>
      <c r="L92" s="37">
        <f t="shared" si="9"/>
        <v>490</v>
      </c>
      <c r="M92" s="37">
        <f t="shared" si="9"/>
        <v>220</v>
      </c>
      <c r="N92" s="37">
        <f t="shared" si="10"/>
        <v>450</v>
      </c>
      <c r="O92" s="37">
        <f t="shared" si="11"/>
        <v>450</v>
      </c>
      <c r="P92" s="37">
        <f t="shared" si="12"/>
        <v>450</v>
      </c>
    </row>
    <row r="93" spans="4:22" ht="20.100000000000001" customHeight="1" x14ac:dyDescent="0.25">
      <c r="D93" s="37" t="s">
        <v>84</v>
      </c>
      <c r="E93" s="37" t="s">
        <v>202</v>
      </c>
      <c r="F93" s="37" t="s">
        <v>176</v>
      </c>
      <c r="G93" s="37">
        <f t="shared" ref="G93:K93" si="14">G22</f>
        <v>280</v>
      </c>
      <c r="H93" s="37">
        <f t="shared" si="14"/>
        <v>560</v>
      </c>
      <c r="I93" s="37">
        <f t="shared" si="14"/>
        <v>260</v>
      </c>
      <c r="J93" s="37">
        <f t="shared" si="14"/>
        <v>410</v>
      </c>
      <c r="K93" s="37">
        <f t="shared" si="14"/>
        <v>500</v>
      </c>
      <c r="L93" s="37">
        <f t="shared" si="9"/>
        <v>500</v>
      </c>
      <c r="M93" s="37">
        <f t="shared" si="9"/>
        <v>260</v>
      </c>
      <c r="N93" s="37">
        <f t="shared" si="10"/>
        <v>460</v>
      </c>
      <c r="O93" s="37">
        <f t="shared" si="11"/>
        <v>460</v>
      </c>
      <c r="P93" s="37">
        <f t="shared" si="12"/>
        <v>460</v>
      </c>
    </row>
    <row r="94" spans="4:22" ht="20.100000000000001" customHeight="1" x14ac:dyDescent="0.25">
      <c r="D94" s="37" t="s">
        <v>87</v>
      </c>
      <c r="E94" s="37" t="s">
        <v>202</v>
      </c>
      <c r="F94" s="37" t="str">
        <f>F27</f>
        <v>Spring</v>
      </c>
      <c r="G94" s="37">
        <f>G23</f>
        <v>250</v>
      </c>
      <c r="H94" s="37">
        <f t="shared" ref="H94:I94" si="15">H23</f>
        <v>800</v>
      </c>
      <c r="I94" s="37">
        <f t="shared" si="15"/>
        <v>220</v>
      </c>
      <c r="J94" s="37">
        <f>J23</f>
        <v>400</v>
      </c>
      <c r="K94" s="37">
        <f>K23</f>
        <v>500</v>
      </c>
      <c r="L94" s="37">
        <f>K23</f>
        <v>500</v>
      </c>
      <c r="M94" s="37">
        <f>L23</f>
        <v>230</v>
      </c>
      <c r="N94" s="37">
        <f>M23</f>
        <v>420</v>
      </c>
      <c r="O94" s="37">
        <f>M23</f>
        <v>420</v>
      </c>
      <c r="P94" s="37">
        <f>M23</f>
        <v>420</v>
      </c>
    </row>
    <row r="95" spans="4:22" ht="20.100000000000001" customHeight="1" x14ac:dyDescent="0.25">
      <c r="D95" s="37" t="s">
        <v>87</v>
      </c>
      <c r="E95" s="37" t="s">
        <v>202</v>
      </c>
      <c r="F95" s="37" t="s">
        <v>174</v>
      </c>
      <c r="G95" s="37">
        <f t="shared" ref="G95:K95" si="16">G24</f>
        <v>320</v>
      </c>
      <c r="H95" s="37">
        <f t="shared" si="16"/>
        <v>800</v>
      </c>
      <c r="I95" s="37">
        <f t="shared" si="16"/>
        <v>280</v>
      </c>
      <c r="J95" s="37">
        <f t="shared" si="16"/>
        <v>420</v>
      </c>
      <c r="K95" s="37">
        <f t="shared" si="16"/>
        <v>500</v>
      </c>
      <c r="L95" s="37">
        <f t="shared" ref="L95:M97" si="17">K24</f>
        <v>500</v>
      </c>
      <c r="M95" s="37">
        <f t="shared" si="17"/>
        <v>290</v>
      </c>
      <c r="N95" s="37">
        <f t="shared" si="10"/>
        <v>420</v>
      </c>
      <c r="O95" s="37">
        <f t="shared" ref="O95:O97" si="18">M24</f>
        <v>420</v>
      </c>
      <c r="P95" s="37">
        <f t="shared" ref="P95:P97" si="19">M24</f>
        <v>420</v>
      </c>
    </row>
    <row r="96" spans="4:22" ht="20.100000000000001" customHeight="1" x14ac:dyDescent="0.25">
      <c r="D96" s="37" t="s">
        <v>87</v>
      </c>
      <c r="E96" s="37" t="s">
        <v>202</v>
      </c>
      <c r="F96" s="37" t="s">
        <v>175</v>
      </c>
      <c r="G96" s="37">
        <f t="shared" ref="G96:K96" si="20">G25</f>
        <v>80</v>
      </c>
      <c r="H96" s="37">
        <f t="shared" si="20"/>
        <v>700</v>
      </c>
      <c r="I96" s="37">
        <f t="shared" si="20"/>
        <v>70</v>
      </c>
      <c r="J96" s="37">
        <f t="shared" si="20"/>
        <v>300</v>
      </c>
      <c r="K96" s="37">
        <f t="shared" si="20"/>
        <v>450</v>
      </c>
      <c r="L96" s="37">
        <f t="shared" si="17"/>
        <v>450</v>
      </c>
      <c r="M96" s="37">
        <f t="shared" si="17"/>
        <v>75</v>
      </c>
      <c r="N96" s="37">
        <f t="shared" si="10"/>
        <v>400</v>
      </c>
      <c r="O96" s="37">
        <f t="shared" si="18"/>
        <v>400</v>
      </c>
      <c r="P96" s="37">
        <f t="shared" si="19"/>
        <v>400</v>
      </c>
    </row>
    <row r="97" spans="4:16" ht="20.100000000000001" customHeight="1" x14ac:dyDescent="0.25">
      <c r="D97" s="37" t="s">
        <v>87</v>
      </c>
      <c r="E97" s="37" t="s">
        <v>202</v>
      </c>
      <c r="F97" s="37" t="s">
        <v>176</v>
      </c>
      <c r="G97" s="37">
        <f t="shared" ref="G97:K97" si="21">G26</f>
        <v>160</v>
      </c>
      <c r="H97" s="37">
        <f t="shared" si="21"/>
        <v>700</v>
      </c>
      <c r="I97" s="37">
        <f t="shared" si="21"/>
        <v>140</v>
      </c>
      <c r="J97" s="37">
        <f t="shared" si="21"/>
        <v>350</v>
      </c>
      <c r="K97" s="37">
        <f t="shared" si="21"/>
        <v>450</v>
      </c>
      <c r="L97" s="37">
        <f t="shared" si="17"/>
        <v>450</v>
      </c>
      <c r="M97" s="37">
        <f t="shared" si="17"/>
        <v>150</v>
      </c>
      <c r="N97" s="37">
        <f t="shared" si="10"/>
        <v>400</v>
      </c>
      <c r="O97" s="37">
        <f t="shared" si="18"/>
        <v>400</v>
      </c>
      <c r="P97" s="37">
        <f t="shared" si="19"/>
        <v>400</v>
      </c>
    </row>
    <row r="98" spans="4:16" ht="20.100000000000001" customHeight="1" x14ac:dyDescent="0.25">
      <c r="D98" s="37" t="s">
        <v>88</v>
      </c>
      <c r="E98" s="37" t="s">
        <v>202</v>
      </c>
      <c r="F98" s="37" t="str">
        <f>F31</f>
        <v>Spring</v>
      </c>
      <c r="G98" s="37">
        <f>G27</f>
        <v>105</v>
      </c>
      <c r="H98" s="37">
        <f t="shared" ref="H98:K98" si="22">H27</f>
        <v>700</v>
      </c>
      <c r="I98" s="37">
        <f t="shared" si="22"/>
        <v>85</v>
      </c>
      <c r="J98" s="37">
        <f t="shared" si="22"/>
        <v>300</v>
      </c>
      <c r="K98" s="37">
        <f t="shared" si="22"/>
        <v>490</v>
      </c>
      <c r="L98" s="37">
        <f>K27</f>
        <v>490</v>
      </c>
      <c r="M98" s="37">
        <f>L27</f>
        <v>90</v>
      </c>
      <c r="N98" s="37">
        <f>M27</f>
        <v>480</v>
      </c>
      <c r="O98" s="37">
        <f>M27</f>
        <v>480</v>
      </c>
      <c r="P98" s="37">
        <f>M27</f>
        <v>480</v>
      </c>
    </row>
    <row r="99" spans="4:16" ht="20.100000000000001" customHeight="1" x14ac:dyDescent="0.25">
      <c r="D99" s="37" t="s">
        <v>88</v>
      </c>
      <c r="E99" s="37" t="s">
        <v>202</v>
      </c>
      <c r="F99" s="37" t="s">
        <v>174</v>
      </c>
      <c r="G99" s="37">
        <f t="shared" ref="G99:K99" si="23">G28</f>
        <v>480</v>
      </c>
      <c r="H99" s="37">
        <f t="shared" si="23"/>
        <v>750</v>
      </c>
      <c r="I99" s="37">
        <f t="shared" si="23"/>
        <v>150</v>
      </c>
      <c r="J99" s="37">
        <f t="shared" si="23"/>
        <v>350</v>
      </c>
      <c r="K99" s="37">
        <f t="shared" si="23"/>
        <v>530</v>
      </c>
      <c r="L99" s="37">
        <f t="shared" ref="L99:M101" si="24">K28</f>
        <v>530</v>
      </c>
      <c r="M99" s="37">
        <f t="shared" si="24"/>
        <v>160</v>
      </c>
      <c r="N99" s="37">
        <f t="shared" si="10"/>
        <v>460</v>
      </c>
      <c r="O99" s="37">
        <f t="shared" ref="O99:O101" si="25">M28</f>
        <v>460</v>
      </c>
      <c r="P99" s="37">
        <f t="shared" ref="P99:P101" si="26">M28</f>
        <v>460</v>
      </c>
    </row>
    <row r="100" spans="4:16" ht="20.100000000000001" customHeight="1" x14ac:dyDescent="0.25">
      <c r="D100" s="37" t="s">
        <v>88</v>
      </c>
      <c r="E100" s="37" t="s">
        <v>202</v>
      </c>
      <c r="F100" s="37" t="s">
        <v>175</v>
      </c>
      <c r="G100" s="37">
        <f t="shared" ref="G100:K100" si="27">G29</f>
        <v>250</v>
      </c>
      <c r="H100" s="37">
        <f t="shared" si="27"/>
        <v>725</v>
      </c>
      <c r="I100" s="37">
        <f t="shared" si="27"/>
        <v>200</v>
      </c>
      <c r="J100" s="37">
        <f t="shared" si="27"/>
        <v>360</v>
      </c>
      <c r="K100" s="37">
        <f t="shared" si="27"/>
        <v>500</v>
      </c>
      <c r="L100" s="37">
        <f t="shared" si="24"/>
        <v>500</v>
      </c>
      <c r="M100" s="37">
        <f t="shared" si="24"/>
        <v>215</v>
      </c>
      <c r="N100" s="37">
        <f t="shared" si="10"/>
        <v>490</v>
      </c>
      <c r="O100" s="37">
        <f t="shared" si="25"/>
        <v>490</v>
      </c>
      <c r="P100" s="37">
        <f t="shared" si="26"/>
        <v>490</v>
      </c>
    </row>
    <row r="101" spans="4:16" ht="20.100000000000001" customHeight="1" x14ac:dyDescent="0.25">
      <c r="D101" s="37" t="s">
        <v>88</v>
      </c>
      <c r="E101" s="37" t="s">
        <v>202</v>
      </c>
      <c r="F101" s="37" t="s">
        <v>176</v>
      </c>
      <c r="G101" s="37">
        <f t="shared" ref="G101:K101" si="28">G30</f>
        <v>260</v>
      </c>
      <c r="H101" s="37">
        <f t="shared" si="28"/>
        <v>700</v>
      </c>
      <c r="I101" s="37">
        <f t="shared" si="28"/>
        <v>210</v>
      </c>
      <c r="J101" s="37">
        <f t="shared" si="28"/>
        <v>380</v>
      </c>
      <c r="K101" s="37">
        <f t="shared" si="28"/>
        <v>460</v>
      </c>
      <c r="L101" s="37">
        <f t="shared" si="24"/>
        <v>460</v>
      </c>
      <c r="M101" s="37">
        <f t="shared" si="24"/>
        <v>230</v>
      </c>
      <c r="N101" s="37">
        <f t="shared" si="10"/>
        <v>470</v>
      </c>
      <c r="O101" s="37">
        <f t="shared" si="25"/>
        <v>470</v>
      </c>
      <c r="P101" s="37">
        <f t="shared" si="26"/>
        <v>470</v>
      </c>
    </row>
    <row r="102" spans="4:16" ht="20.100000000000001" customHeight="1" x14ac:dyDescent="0.25">
      <c r="D102" s="37" t="s">
        <v>89</v>
      </c>
      <c r="E102" s="37" t="s">
        <v>202</v>
      </c>
      <c r="F102" s="37" t="str">
        <f>F35</f>
        <v>Spring</v>
      </c>
      <c r="G102" s="37">
        <f>G31</f>
        <v>250</v>
      </c>
      <c r="H102" s="37">
        <f t="shared" ref="H102:J102" si="29">H31</f>
        <v>820</v>
      </c>
      <c r="I102" s="37">
        <f t="shared" si="29"/>
        <v>240</v>
      </c>
      <c r="J102" s="37">
        <f t="shared" si="29"/>
        <v>410</v>
      </c>
      <c r="K102" s="37">
        <f>K31</f>
        <v>560</v>
      </c>
      <c r="L102" s="37">
        <f>K31</f>
        <v>560</v>
      </c>
      <c r="M102" s="37">
        <f>L31</f>
        <v>240</v>
      </c>
      <c r="N102" s="37">
        <f>M31</f>
        <v>510</v>
      </c>
      <c r="O102" s="37">
        <f>M31</f>
        <v>510</v>
      </c>
      <c r="P102" s="37">
        <f>M31</f>
        <v>510</v>
      </c>
    </row>
    <row r="103" spans="4:16" ht="20.100000000000001" customHeight="1" x14ac:dyDescent="0.25">
      <c r="D103" s="37" t="s">
        <v>89</v>
      </c>
      <c r="E103" s="37" t="s">
        <v>202</v>
      </c>
      <c r="F103" s="37" t="s">
        <v>174</v>
      </c>
      <c r="G103" s="37">
        <f t="shared" ref="G103:K103" si="30">G32</f>
        <v>280</v>
      </c>
      <c r="H103" s="37">
        <f t="shared" si="30"/>
        <v>850</v>
      </c>
      <c r="I103" s="37">
        <f t="shared" si="30"/>
        <v>260</v>
      </c>
      <c r="J103" s="37">
        <f t="shared" si="30"/>
        <v>440</v>
      </c>
      <c r="K103" s="37">
        <f t="shared" si="30"/>
        <v>550</v>
      </c>
      <c r="L103" s="37">
        <f t="shared" ref="L103:M105" si="31">K32</f>
        <v>550</v>
      </c>
      <c r="M103" s="37">
        <f t="shared" si="31"/>
        <v>270</v>
      </c>
      <c r="N103" s="37">
        <f t="shared" si="10"/>
        <v>520</v>
      </c>
      <c r="O103" s="37">
        <f t="shared" ref="O103:O105" si="32">M32</f>
        <v>520</v>
      </c>
      <c r="P103" s="37">
        <f t="shared" ref="P103:P105" si="33">M32</f>
        <v>520</v>
      </c>
    </row>
    <row r="104" spans="4:16" ht="20.100000000000001" customHeight="1" x14ac:dyDescent="0.25">
      <c r="D104" s="37" t="s">
        <v>89</v>
      </c>
      <c r="E104" s="37" t="s">
        <v>202</v>
      </c>
      <c r="F104" s="37" t="s">
        <v>175</v>
      </c>
      <c r="G104" s="37">
        <f t="shared" ref="G104:K104" si="34">G33</f>
        <v>100</v>
      </c>
      <c r="H104" s="37">
        <f t="shared" si="34"/>
        <v>700</v>
      </c>
      <c r="I104" s="37">
        <f t="shared" si="34"/>
        <v>95</v>
      </c>
      <c r="J104" s="37">
        <f t="shared" si="34"/>
        <v>300</v>
      </c>
      <c r="K104" s="37">
        <f t="shared" si="34"/>
        <v>450</v>
      </c>
      <c r="L104" s="37">
        <f t="shared" si="31"/>
        <v>450</v>
      </c>
      <c r="M104" s="37">
        <f t="shared" si="31"/>
        <v>95</v>
      </c>
      <c r="N104" s="37">
        <f t="shared" si="10"/>
        <v>410</v>
      </c>
      <c r="O104" s="37">
        <f t="shared" si="32"/>
        <v>410</v>
      </c>
      <c r="P104" s="37">
        <f t="shared" si="33"/>
        <v>410</v>
      </c>
    </row>
    <row r="105" spans="4:16" ht="20.100000000000001" customHeight="1" x14ac:dyDescent="0.25">
      <c r="D105" s="37" t="s">
        <v>89</v>
      </c>
      <c r="E105" s="37" t="s">
        <v>202</v>
      </c>
      <c r="F105" s="37" t="s">
        <v>176</v>
      </c>
      <c r="G105" s="37">
        <f t="shared" ref="G105:K105" si="35">G34</f>
        <v>150</v>
      </c>
      <c r="H105" s="37">
        <f t="shared" si="35"/>
        <v>720</v>
      </c>
      <c r="I105" s="37">
        <f t="shared" si="35"/>
        <v>140</v>
      </c>
      <c r="J105" s="37">
        <f t="shared" si="35"/>
        <v>320</v>
      </c>
      <c r="K105" s="37">
        <f t="shared" si="35"/>
        <v>470</v>
      </c>
      <c r="L105" s="37">
        <f t="shared" si="31"/>
        <v>470</v>
      </c>
      <c r="M105" s="37">
        <f t="shared" si="31"/>
        <v>140</v>
      </c>
      <c r="N105" s="37">
        <f t="shared" si="10"/>
        <v>440</v>
      </c>
      <c r="O105" s="37">
        <f t="shared" si="32"/>
        <v>440</v>
      </c>
      <c r="P105" s="37">
        <f t="shared" si="33"/>
        <v>440</v>
      </c>
    </row>
    <row r="106" spans="4:16" ht="20.100000000000001" customHeight="1" x14ac:dyDescent="0.25">
      <c r="D106" s="37" t="s">
        <v>90</v>
      </c>
      <c r="E106" s="37" t="str">
        <f>E35</f>
        <v>South West</v>
      </c>
      <c r="F106" s="37" t="str">
        <f t="shared" ref="F106:K106" si="36">F35</f>
        <v>Spring</v>
      </c>
      <c r="G106" s="37">
        <f t="shared" si="36"/>
        <v>340</v>
      </c>
      <c r="H106" s="37">
        <f t="shared" si="36"/>
        <v>800</v>
      </c>
      <c r="I106" s="37">
        <f t="shared" si="36"/>
        <v>260</v>
      </c>
      <c r="J106" s="37">
        <f t="shared" si="36"/>
        <v>420</v>
      </c>
      <c r="K106" s="37">
        <f t="shared" si="36"/>
        <v>550</v>
      </c>
      <c r="L106" s="37">
        <f>K35</f>
        <v>550</v>
      </c>
      <c r="M106" s="37">
        <f>L35</f>
        <v>300</v>
      </c>
      <c r="N106" s="37">
        <f>M35</f>
        <v>480</v>
      </c>
      <c r="O106" s="37">
        <f>M35</f>
        <v>480</v>
      </c>
      <c r="P106" s="37">
        <f>M35</f>
        <v>480</v>
      </c>
    </row>
    <row r="107" spans="4:16" ht="20.100000000000001" customHeight="1" x14ac:dyDescent="0.25">
      <c r="D107" s="37" t="s">
        <v>90</v>
      </c>
      <c r="E107" s="37" t="str">
        <f t="shared" ref="E107:K107" si="37">E36</f>
        <v>South West</v>
      </c>
      <c r="F107" s="37" t="str">
        <f t="shared" si="37"/>
        <v>Summer</v>
      </c>
      <c r="G107" s="37">
        <f t="shared" si="37"/>
        <v>380</v>
      </c>
      <c r="H107" s="37">
        <f t="shared" si="37"/>
        <v>780</v>
      </c>
      <c r="I107" s="37">
        <f t="shared" si="37"/>
        <v>300</v>
      </c>
      <c r="J107" s="37">
        <f t="shared" si="37"/>
        <v>450</v>
      </c>
      <c r="K107" s="37">
        <f t="shared" si="37"/>
        <v>530</v>
      </c>
      <c r="L107" s="37">
        <f t="shared" ref="L107:M117" si="38">K36</f>
        <v>530</v>
      </c>
      <c r="M107" s="37">
        <f t="shared" si="38"/>
        <v>340</v>
      </c>
      <c r="N107" s="37">
        <f t="shared" si="10"/>
        <v>470</v>
      </c>
      <c r="O107" s="37">
        <f t="shared" ref="O107:O117" si="39">M36</f>
        <v>470</v>
      </c>
      <c r="P107" s="37">
        <f t="shared" ref="P107:P117" si="40">M36</f>
        <v>470</v>
      </c>
    </row>
    <row r="108" spans="4:16" ht="20.100000000000001" customHeight="1" x14ac:dyDescent="0.25">
      <c r="D108" s="37" t="s">
        <v>90</v>
      </c>
      <c r="E108" s="37" t="str">
        <f t="shared" ref="E108:K108" si="41">E37</f>
        <v>South West</v>
      </c>
      <c r="F108" s="37" t="str">
        <f t="shared" si="41"/>
        <v>Autumn</v>
      </c>
      <c r="G108" s="37">
        <f t="shared" si="41"/>
        <v>100</v>
      </c>
      <c r="H108" s="37">
        <f t="shared" si="41"/>
        <v>680</v>
      </c>
      <c r="I108" s="37">
        <f t="shared" si="41"/>
        <v>80</v>
      </c>
      <c r="J108" s="37">
        <f t="shared" si="41"/>
        <v>320</v>
      </c>
      <c r="K108" s="37">
        <f t="shared" si="41"/>
        <v>480</v>
      </c>
      <c r="L108" s="37">
        <f t="shared" si="38"/>
        <v>480</v>
      </c>
      <c r="M108" s="37">
        <f t="shared" si="38"/>
        <v>100</v>
      </c>
      <c r="N108" s="37">
        <f t="shared" si="10"/>
        <v>340</v>
      </c>
      <c r="O108" s="37">
        <f t="shared" si="39"/>
        <v>340</v>
      </c>
      <c r="P108" s="37">
        <f t="shared" si="40"/>
        <v>340</v>
      </c>
    </row>
    <row r="109" spans="4:16" ht="20.100000000000001" customHeight="1" x14ac:dyDescent="0.25">
      <c r="D109" s="37" t="s">
        <v>90</v>
      </c>
      <c r="E109" s="37" t="str">
        <f t="shared" ref="E109:K109" si="42">E38</f>
        <v>South West</v>
      </c>
      <c r="F109" s="37" t="str">
        <f t="shared" si="42"/>
        <v>Winter</v>
      </c>
      <c r="G109" s="37">
        <f t="shared" si="42"/>
        <v>190</v>
      </c>
      <c r="H109" s="37">
        <f t="shared" si="42"/>
        <v>700</v>
      </c>
      <c r="I109" s="37">
        <f t="shared" si="42"/>
        <v>150</v>
      </c>
      <c r="J109" s="37">
        <f t="shared" si="42"/>
        <v>330</v>
      </c>
      <c r="K109" s="37">
        <f t="shared" si="42"/>
        <v>490</v>
      </c>
      <c r="L109" s="37">
        <f t="shared" si="38"/>
        <v>490</v>
      </c>
      <c r="M109" s="37">
        <f t="shared" si="38"/>
        <v>170</v>
      </c>
      <c r="N109" s="37">
        <f t="shared" si="10"/>
        <v>360</v>
      </c>
      <c r="O109" s="37">
        <f t="shared" si="39"/>
        <v>360</v>
      </c>
      <c r="P109" s="37">
        <f t="shared" si="40"/>
        <v>360</v>
      </c>
    </row>
    <row r="110" spans="4:16" ht="20.100000000000001" customHeight="1" x14ac:dyDescent="0.25">
      <c r="D110" s="37" t="s">
        <v>90</v>
      </c>
      <c r="E110" s="37" t="str">
        <f t="shared" ref="E110:K110" si="43">E39</f>
        <v>Pilbara</v>
      </c>
      <c r="F110" s="37" t="str">
        <f t="shared" si="43"/>
        <v>Spring</v>
      </c>
      <c r="G110" s="37">
        <f t="shared" si="43"/>
        <v>80</v>
      </c>
      <c r="H110" s="37">
        <f t="shared" si="43"/>
        <v>450</v>
      </c>
      <c r="I110" s="37">
        <f t="shared" si="43"/>
        <v>70</v>
      </c>
      <c r="J110" s="37">
        <f t="shared" si="43"/>
        <v>260</v>
      </c>
      <c r="K110" s="37">
        <f t="shared" si="43"/>
        <v>340</v>
      </c>
      <c r="L110" s="37">
        <f t="shared" si="38"/>
        <v>340</v>
      </c>
      <c r="M110" s="37">
        <f t="shared" si="38"/>
        <v>80</v>
      </c>
      <c r="N110" s="37">
        <f t="shared" si="10"/>
        <v>370</v>
      </c>
      <c r="O110" s="37">
        <f t="shared" si="39"/>
        <v>370</v>
      </c>
      <c r="P110" s="37">
        <f t="shared" si="40"/>
        <v>370</v>
      </c>
    </row>
    <row r="111" spans="4:16" ht="20.100000000000001" customHeight="1" x14ac:dyDescent="0.25">
      <c r="D111" s="37" t="s">
        <v>90</v>
      </c>
      <c r="E111" s="37" t="str">
        <f t="shared" ref="E111:K111" si="44">E40</f>
        <v>Pilbara</v>
      </c>
      <c r="F111" s="37" t="str">
        <f t="shared" si="44"/>
        <v>Summer</v>
      </c>
      <c r="G111" s="37">
        <f t="shared" si="44"/>
        <v>150</v>
      </c>
      <c r="H111" s="37">
        <f t="shared" si="44"/>
        <v>500</v>
      </c>
      <c r="I111" s="37">
        <f t="shared" si="44"/>
        <v>140</v>
      </c>
      <c r="J111" s="37">
        <f t="shared" si="44"/>
        <v>310</v>
      </c>
      <c r="K111" s="37">
        <f t="shared" si="44"/>
        <v>360</v>
      </c>
      <c r="L111" s="37">
        <f t="shared" si="38"/>
        <v>360</v>
      </c>
      <c r="M111" s="37">
        <f t="shared" si="38"/>
        <v>150</v>
      </c>
      <c r="N111" s="37">
        <f t="shared" si="10"/>
        <v>400</v>
      </c>
      <c r="O111" s="37">
        <f t="shared" si="39"/>
        <v>400</v>
      </c>
      <c r="P111" s="37">
        <f t="shared" si="40"/>
        <v>400</v>
      </c>
    </row>
    <row r="112" spans="4:16" ht="20.100000000000001" customHeight="1" x14ac:dyDescent="0.25">
      <c r="D112" s="37" t="s">
        <v>90</v>
      </c>
      <c r="E112" s="37" t="str">
        <f t="shared" ref="E112:K112" si="45">E41</f>
        <v>Pilbara</v>
      </c>
      <c r="F112" s="37" t="str">
        <f t="shared" si="45"/>
        <v>Autumn</v>
      </c>
      <c r="G112" s="37">
        <f t="shared" si="45"/>
        <v>230</v>
      </c>
      <c r="H112" s="37">
        <f t="shared" si="45"/>
        <v>550</v>
      </c>
      <c r="I112" s="37">
        <f t="shared" si="45"/>
        <v>220</v>
      </c>
      <c r="J112" s="37">
        <f t="shared" si="45"/>
        <v>330</v>
      </c>
      <c r="K112" s="37">
        <f t="shared" si="45"/>
        <v>380</v>
      </c>
      <c r="L112" s="37">
        <f t="shared" si="38"/>
        <v>380</v>
      </c>
      <c r="M112" s="37">
        <f t="shared" si="38"/>
        <v>230</v>
      </c>
      <c r="N112" s="37">
        <f t="shared" si="10"/>
        <v>420</v>
      </c>
      <c r="O112" s="37">
        <f t="shared" si="39"/>
        <v>420</v>
      </c>
      <c r="P112" s="37">
        <f t="shared" si="40"/>
        <v>420</v>
      </c>
    </row>
    <row r="113" spans="4:22" ht="20.100000000000001" customHeight="1" x14ac:dyDescent="0.25">
      <c r="D113" s="37" t="s">
        <v>90</v>
      </c>
      <c r="E113" s="37" t="str">
        <f t="shared" ref="E113:K113" si="46">E42</f>
        <v>Pilbara</v>
      </c>
      <c r="F113" s="37" t="str">
        <f t="shared" si="46"/>
        <v>Winter</v>
      </c>
      <c r="G113" s="37">
        <f t="shared" si="46"/>
        <v>250</v>
      </c>
      <c r="H113" s="37">
        <f t="shared" si="46"/>
        <v>500</v>
      </c>
      <c r="I113" s="37">
        <f t="shared" si="46"/>
        <v>240</v>
      </c>
      <c r="J113" s="37">
        <f t="shared" si="46"/>
        <v>340</v>
      </c>
      <c r="K113" s="37">
        <f t="shared" si="46"/>
        <v>360</v>
      </c>
      <c r="L113" s="37">
        <f t="shared" si="38"/>
        <v>360</v>
      </c>
      <c r="M113" s="37">
        <f t="shared" si="38"/>
        <v>250</v>
      </c>
      <c r="N113" s="37">
        <f t="shared" si="10"/>
        <v>390</v>
      </c>
      <c r="O113" s="37">
        <f t="shared" si="39"/>
        <v>390</v>
      </c>
      <c r="P113" s="37">
        <f t="shared" si="40"/>
        <v>390</v>
      </c>
    </row>
    <row r="114" spans="4:22" ht="20.100000000000001" customHeight="1" x14ac:dyDescent="0.25">
      <c r="D114" s="37" t="s">
        <v>90</v>
      </c>
      <c r="E114" s="37" t="str">
        <f t="shared" ref="E114:K114" si="47">E43</f>
        <v>Kimberley</v>
      </c>
      <c r="F114" s="37" t="str">
        <f t="shared" si="47"/>
        <v>Spring</v>
      </c>
      <c r="G114" s="37">
        <f t="shared" si="47"/>
        <v>220</v>
      </c>
      <c r="H114" s="37">
        <f t="shared" si="47"/>
        <v>500</v>
      </c>
      <c r="I114" s="37">
        <f t="shared" si="47"/>
        <v>180</v>
      </c>
      <c r="J114" s="37">
        <f t="shared" si="47"/>
        <v>300</v>
      </c>
      <c r="K114" s="37">
        <f t="shared" si="47"/>
        <v>320</v>
      </c>
      <c r="L114" s="37">
        <f t="shared" si="38"/>
        <v>320</v>
      </c>
      <c r="M114" s="37">
        <f t="shared" si="38"/>
        <v>210</v>
      </c>
      <c r="N114" s="37">
        <f t="shared" si="10"/>
        <v>340</v>
      </c>
      <c r="O114" s="37">
        <f t="shared" si="39"/>
        <v>340</v>
      </c>
      <c r="P114" s="37">
        <f t="shared" si="40"/>
        <v>340</v>
      </c>
    </row>
    <row r="115" spans="4:22" ht="20.100000000000001" customHeight="1" x14ac:dyDescent="0.25">
      <c r="D115" s="37" t="s">
        <v>90</v>
      </c>
      <c r="E115" s="37" t="str">
        <f t="shared" ref="E115:K115" si="48">E44</f>
        <v>Kimberley</v>
      </c>
      <c r="F115" s="37" t="str">
        <f t="shared" si="48"/>
        <v>Summer</v>
      </c>
      <c r="G115" s="37">
        <f t="shared" si="48"/>
        <v>110</v>
      </c>
      <c r="H115" s="37">
        <f t="shared" si="48"/>
        <v>550</v>
      </c>
      <c r="I115" s="37">
        <f t="shared" si="48"/>
        <v>90</v>
      </c>
      <c r="J115" s="37">
        <f t="shared" si="48"/>
        <v>220</v>
      </c>
      <c r="K115" s="37">
        <f t="shared" si="48"/>
        <v>380</v>
      </c>
      <c r="L115" s="37">
        <f t="shared" si="38"/>
        <v>380</v>
      </c>
      <c r="M115" s="37">
        <f t="shared" si="38"/>
        <v>100</v>
      </c>
      <c r="N115" s="37">
        <f t="shared" si="10"/>
        <v>390</v>
      </c>
      <c r="O115" s="37">
        <f t="shared" si="39"/>
        <v>390</v>
      </c>
      <c r="P115" s="37">
        <f t="shared" si="40"/>
        <v>390</v>
      </c>
      <c r="V115" s="1"/>
    </row>
    <row r="116" spans="4:22" ht="20.100000000000001" customHeight="1" x14ac:dyDescent="0.25">
      <c r="D116" s="37" t="s">
        <v>90</v>
      </c>
      <c r="E116" s="37" t="str">
        <f t="shared" ref="E116:K116" si="49">E45</f>
        <v>Kimberley</v>
      </c>
      <c r="F116" s="37" t="str">
        <f t="shared" si="49"/>
        <v>Autumn</v>
      </c>
      <c r="G116" s="37">
        <f t="shared" si="49"/>
        <v>170</v>
      </c>
      <c r="H116" s="37">
        <f t="shared" si="49"/>
        <v>600</v>
      </c>
      <c r="I116" s="37">
        <f t="shared" si="49"/>
        <v>140</v>
      </c>
      <c r="J116" s="37">
        <f t="shared" si="49"/>
        <v>270</v>
      </c>
      <c r="K116" s="37">
        <f t="shared" si="49"/>
        <v>390</v>
      </c>
      <c r="L116" s="37">
        <f t="shared" si="38"/>
        <v>390</v>
      </c>
      <c r="M116" s="37">
        <f t="shared" si="38"/>
        <v>160</v>
      </c>
      <c r="N116" s="37">
        <f t="shared" si="10"/>
        <v>430</v>
      </c>
      <c r="O116" s="37">
        <f t="shared" si="39"/>
        <v>430</v>
      </c>
      <c r="P116" s="37">
        <f t="shared" si="40"/>
        <v>430</v>
      </c>
      <c r="V116" s="1"/>
    </row>
    <row r="117" spans="4:22" ht="20.100000000000001" customHeight="1" x14ac:dyDescent="0.25">
      <c r="D117" s="37" t="s">
        <v>90</v>
      </c>
      <c r="E117" s="37" t="str">
        <f t="shared" ref="E117:K117" si="50">E46</f>
        <v>Kimberley</v>
      </c>
      <c r="F117" s="37" t="str">
        <f t="shared" si="50"/>
        <v>Winter</v>
      </c>
      <c r="G117" s="37">
        <f t="shared" si="50"/>
        <v>200</v>
      </c>
      <c r="H117" s="37">
        <f t="shared" si="50"/>
        <v>550</v>
      </c>
      <c r="I117" s="37">
        <f t="shared" si="50"/>
        <v>150</v>
      </c>
      <c r="J117" s="37">
        <f t="shared" si="50"/>
        <v>280</v>
      </c>
      <c r="K117" s="37">
        <f t="shared" si="50"/>
        <v>350</v>
      </c>
      <c r="L117" s="37">
        <f t="shared" si="38"/>
        <v>350</v>
      </c>
      <c r="M117" s="37">
        <f t="shared" si="38"/>
        <v>190</v>
      </c>
      <c r="N117" s="37">
        <f t="shared" si="10"/>
        <v>400</v>
      </c>
      <c r="O117" s="37">
        <f t="shared" si="39"/>
        <v>400</v>
      </c>
      <c r="P117" s="37">
        <f t="shared" si="40"/>
        <v>400</v>
      </c>
      <c r="V117" s="1"/>
    </row>
    <row r="118" spans="4:22" ht="20.100000000000001" customHeight="1" x14ac:dyDescent="0.25">
      <c r="D118" s="37" t="s">
        <v>85</v>
      </c>
      <c r="E118" s="37" t="str">
        <f>E54</f>
        <v>Alice Springs</v>
      </c>
      <c r="F118" s="37" t="str">
        <f t="shared" ref="F118:P118" si="51">F54</f>
        <v>Spring</v>
      </c>
      <c r="G118" s="37">
        <f t="shared" si="51"/>
        <v>220</v>
      </c>
      <c r="H118" s="37">
        <f t="shared" si="51"/>
        <v>706</v>
      </c>
      <c r="I118" s="37">
        <f t="shared" si="51"/>
        <v>208</v>
      </c>
      <c r="J118" s="37">
        <f t="shared" si="51"/>
        <v>323</v>
      </c>
      <c r="K118" s="37">
        <f t="shared" si="51"/>
        <v>415</v>
      </c>
      <c r="L118" s="37">
        <f t="shared" si="51"/>
        <v>467</v>
      </c>
      <c r="M118" s="37">
        <f t="shared" si="51"/>
        <v>223</v>
      </c>
      <c r="N118" s="37">
        <f t="shared" si="51"/>
        <v>371</v>
      </c>
      <c r="O118" s="37">
        <f t="shared" si="51"/>
        <v>493</v>
      </c>
      <c r="P118" s="37">
        <f t="shared" si="51"/>
        <v>585</v>
      </c>
    </row>
    <row r="119" spans="4:22" ht="20.100000000000001" customHeight="1" x14ac:dyDescent="0.25">
      <c r="D119" s="37" t="s">
        <v>85</v>
      </c>
      <c r="E119" s="37" t="str">
        <f t="shared" ref="E119:P119" si="52">E55</f>
        <v>Alice Springs</v>
      </c>
      <c r="F119" s="37" t="str">
        <f t="shared" si="52"/>
        <v>Summer</v>
      </c>
      <c r="G119" s="37">
        <f t="shared" si="52"/>
        <v>110</v>
      </c>
      <c r="H119" s="37">
        <f t="shared" si="52"/>
        <v>703</v>
      </c>
      <c r="I119" s="37">
        <f t="shared" si="52"/>
        <v>112</v>
      </c>
      <c r="J119" s="37">
        <f t="shared" si="52"/>
        <v>256</v>
      </c>
      <c r="K119" s="37">
        <f t="shared" si="52"/>
        <v>368</v>
      </c>
      <c r="L119" s="37">
        <f t="shared" si="52"/>
        <v>465</v>
      </c>
      <c r="M119" s="37">
        <f t="shared" si="52"/>
        <v>108</v>
      </c>
      <c r="N119" s="37">
        <f t="shared" si="52"/>
        <v>280</v>
      </c>
      <c r="O119" s="37">
        <f t="shared" si="52"/>
        <v>421</v>
      </c>
      <c r="P119" s="37">
        <f t="shared" si="52"/>
        <v>543</v>
      </c>
    </row>
    <row r="120" spans="4:22" ht="20.100000000000001" customHeight="1" x14ac:dyDescent="0.25">
      <c r="D120" s="37" t="s">
        <v>85</v>
      </c>
      <c r="E120" s="37" t="str">
        <f t="shared" ref="E120:P120" si="53">E56</f>
        <v>Alice Springs</v>
      </c>
      <c r="F120" s="37" t="str">
        <f t="shared" si="53"/>
        <v>Autumn</v>
      </c>
      <c r="G120" s="37">
        <f t="shared" si="53"/>
        <v>170</v>
      </c>
      <c r="H120" s="37">
        <f t="shared" si="53"/>
        <v>721</v>
      </c>
      <c r="I120" s="37">
        <f t="shared" si="53"/>
        <v>169</v>
      </c>
      <c r="J120" s="37">
        <f t="shared" si="53"/>
        <v>306</v>
      </c>
      <c r="K120" s="37">
        <f t="shared" si="53"/>
        <v>392</v>
      </c>
      <c r="L120" s="37">
        <f t="shared" si="53"/>
        <v>464</v>
      </c>
      <c r="M120" s="37">
        <f t="shared" si="53"/>
        <v>176</v>
      </c>
      <c r="N120" s="37">
        <f t="shared" si="53"/>
        <v>339</v>
      </c>
      <c r="O120" s="37">
        <f t="shared" si="53"/>
        <v>470</v>
      </c>
      <c r="P120" s="37">
        <f t="shared" si="53"/>
        <v>580</v>
      </c>
    </row>
    <row r="121" spans="4:22" ht="20.100000000000001" customHeight="1" x14ac:dyDescent="0.25">
      <c r="D121" s="37" t="s">
        <v>85</v>
      </c>
      <c r="E121" s="37" t="str">
        <f t="shared" ref="E121:P121" si="54">E57</f>
        <v>Alice Springs</v>
      </c>
      <c r="F121" s="37" t="str">
        <f t="shared" si="54"/>
        <v>Winter</v>
      </c>
      <c r="G121" s="37">
        <f t="shared" si="54"/>
        <v>200</v>
      </c>
      <c r="H121" s="37">
        <f t="shared" si="54"/>
        <v>727</v>
      </c>
      <c r="I121" s="37">
        <f t="shared" si="54"/>
        <v>211</v>
      </c>
      <c r="J121" s="37">
        <f t="shared" si="54"/>
        <v>338</v>
      </c>
      <c r="K121" s="37">
        <f t="shared" si="54"/>
        <v>432</v>
      </c>
      <c r="L121" s="37">
        <f t="shared" si="54"/>
        <v>492</v>
      </c>
      <c r="M121" s="37">
        <f t="shared" si="54"/>
        <v>222</v>
      </c>
      <c r="N121" s="37">
        <f t="shared" si="54"/>
        <v>377</v>
      </c>
      <c r="O121" s="37">
        <f t="shared" si="54"/>
        <v>498</v>
      </c>
      <c r="P121" s="37">
        <f t="shared" si="54"/>
        <v>590</v>
      </c>
    </row>
    <row r="122" spans="4:22" ht="20.100000000000001" customHeight="1" x14ac:dyDescent="0.25">
      <c r="D122" s="37" t="s">
        <v>85</v>
      </c>
      <c r="E122" s="37" t="str">
        <f t="shared" ref="E122:P122" si="55">E58</f>
        <v>Barkly</v>
      </c>
      <c r="F122" s="37" t="str">
        <f t="shared" si="55"/>
        <v>Spring</v>
      </c>
      <c r="G122" s="37">
        <f t="shared" si="55"/>
        <v>220</v>
      </c>
      <c r="H122" s="37">
        <f t="shared" si="55"/>
        <v>620</v>
      </c>
      <c r="I122" s="37">
        <f t="shared" si="55"/>
        <v>227</v>
      </c>
      <c r="J122" s="37">
        <f t="shared" si="55"/>
        <v>319</v>
      </c>
      <c r="K122" s="37">
        <f t="shared" si="55"/>
        <v>398</v>
      </c>
      <c r="L122" s="37">
        <f t="shared" si="55"/>
        <v>452</v>
      </c>
      <c r="M122" s="37">
        <f t="shared" si="55"/>
        <v>216</v>
      </c>
      <c r="N122" s="37">
        <f t="shared" si="55"/>
        <v>334</v>
      </c>
      <c r="O122" s="37" t="str">
        <f t="shared" si="55"/>
        <v>NO</v>
      </c>
      <c r="P122" s="37" t="str">
        <f t="shared" si="55"/>
        <v>NO</v>
      </c>
    </row>
    <row r="123" spans="4:22" ht="20.100000000000001" customHeight="1" x14ac:dyDescent="0.25">
      <c r="D123" s="37" t="s">
        <v>85</v>
      </c>
      <c r="E123" s="37" t="str">
        <f t="shared" ref="E123:P123" si="56">E59</f>
        <v>Barkly</v>
      </c>
      <c r="F123" s="37" t="str">
        <f t="shared" si="56"/>
        <v>Summer</v>
      </c>
      <c r="G123" s="37">
        <f t="shared" si="56"/>
        <v>110</v>
      </c>
      <c r="H123" s="37">
        <f t="shared" si="56"/>
        <v>650</v>
      </c>
      <c r="I123" s="37">
        <f t="shared" si="56"/>
        <v>108</v>
      </c>
      <c r="J123" s="37">
        <f t="shared" si="56"/>
        <v>262</v>
      </c>
      <c r="K123" s="37">
        <f t="shared" si="56"/>
        <v>346</v>
      </c>
      <c r="L123" s="37">
        <f t="shared" si="56"/>
        <v>430</v>
      </c>
      <c r="M123" s="37">
        <f t="shared" si="56"/>
        <v>111</v>
      </c>
      <c r="N123" s="37">
        <f t="shared" si="56"/>
        <v>236</v>
      </c>
      <c r="O123" s="37" t="str">
        <f t="shared" si="56"/>
        <v>NO</v>
      </c>
      <c r="P123" s="37" t="str">
        <f t="shared" si="56"/>
        <v>NO</v>
      </c>
    </row>
    <row r="124" spans="4:22" ht="20.100000000000001" customHeight="1" x14ac:dyDescent="0.25">
      <c r="D124" s="37" t="s">
        <v>85</v>
      </c>
      <c r="E124" s="37" t="str">
        <f t="shared" ref="E124:P124" si="57">E60</f>
        <v>Barkly</v>
      </c>
      <c r="F124" s="37" t="str">
        <f t="shared" si="57"/>
        <v>Autumn</v>
      </c>
      <c r="G124" s="37">
        <f t="shared" si="57"/>
        <v>170</v>
      </c>
      <c r="H124" s="37">
        <f t="shared" si="57"/>
        <v>670</v>
      </c>
      <c r="I124" s="37">
        <f t="shared" si="57"/>
        <v>170</v>
      </c>
      <c r="J124" s="37">
        <f t="shared" si="57"/>
        <v>266</v>
      </c>
      <c r="K124" s="37">
        <f t="shared" si="57"/>
        <v>363</v>
      </c>
      <c r="L124" s="37">
        <f t="shared" si="57"/>
        <v>444</v>
      </c>
      <c r="M124" s="37">
        <f t="shared" si="57"/>
        <v>169</v>
      </c>
      <c r="N124" s="37">
        <f t="shared" si="57"/>
        <v>282</v>
      </c>
      <c r="O124" s="37" t="str">
        <f t="shared" si="57"/>
        <v>NO</v>
      </c>
      <c r="P124" s="37" t="str">
        <f t="shared" si="57"/>
        <v>NO</v>
      </c>
    </row>
    <row r="125" spans="4:22" ht="20.100000000000001" customHeight="1" x14ac:dyDescent="0.25">
      <c r="D125" s="37" t="s">
        <v>85</v>
      </c>
      <c r="E125" s="37" t="str">
        <f t="shared" ref="E125:P125" si="58">E61</f>
        <v>Barkly</v>
      </c>
      <c r="F125" s="37" t="str">
        <f t="shared" si="58"/>
        <v>Winter</v>
      </c>
      <c r="G125" s="37">
        <f t="shared" si="58"/>
        <v>200</v>
      </c>
      <c r="H125" s="37">
        <f t="shared" si="58"/>
        <v>660</v>
      </c>
      <c r="I125" s="37">
        <f t="shared" si="58"/>
        <v>225</v>
      </c>
      <c r="J125" s="37">
        <f t="shared" si="58"/>
        <v>307</v>
      </c>
      <c r="K125" s="37">
        <f t="shared" si="58"/>
        <v>398</v>
      </c>
      <c r="L125" s="37">
        <f t="shared" si="58"/>
        <v>452</v>
      </c>
      <c r="M125" s="37">
        <f t="shared" si="58"/>
        <v>214</v>
      </c>
      <c r="N125" s="37">
        <f t="shared" si="58"/>
        <v>326</v>
      </c>
      <c r="O125" s="37" t="str">
        <f t="shared" si="58"/>
        <v>NO</v>
      </c>
      <c r="P125" s="37" t="str">
        <f t="shared" si="58"/>
        <v>NO</v>
      </c>
      <c r="V125" s="1"/>
    </row>
    <row r="126" spans="4:22" ht="20.100000000000001" customHeight="1" x14ac:dyDescent="0.25">
      <c r="D126" s="37" t="s">
        <v>85</v>
      </c>
      <c r="E126" s="37" t="str">
        <f t="shared" ref="E126:P126" si="59">E62</f>
        <v>Northern</v>
      </c>
      <c r="F126" s="37" t="str">
        <f t="shared" si="59"/>
        <v>Spring</v>
      </c>
      <c r="G126" s="37">
        <f t="shared" si="59"/>
        <v>220</v>
      </c>
      <c r="H126" s="37">
        <f t="shared" si="59"/>
        <v>620</v>
      </c>
      <c r="I126" s="37">
        <f t="shared" si="59"/>
        <v>177</v>
      </c>
      <c r="J126" s="37">
        <f t="shared" si="59"/>
        <v>267</v>
      </c>
      <c r="K126" s="37">
        <f t="shared" si="59"/>
        <v>365</v>
      </c>
      <c r="L126" s="37">
        <f t="shared" si="59"/>
        <v>406</v>
      </c>
      <c r="M126" s="37">
        <f t="shared" si="59"/>
        <v>231</v>
      </c>
      <c r="N126" s="37">
        <f t="shared" si="59"/>
        <v>249</v>
      </c>
      <c r="O126" s="37">
        <f t="shared" si="59"/>
        <v>324</v>
      </c>
      <c r="P126" s="37" t="str">
        <f t="shared" si="59"/>
        <v>NO</v>
      </c>
      <c r="V126" s="1"/>
    </row>
    <row r="127" spans="4:22" ht="20.100000000000001" customHeight="1" x14ac:dyDescent="0.25">
      <c r="D127" s="37" t="s">
        <v>85</v>
      </c>
      <c r="E127" s="37" t="str">
        <f t="shared" ref="E127:P127" si="60">E63</f>
        <v>Northern</v>
      </c>
      <c r="F127" s="37" t="str">
        <f t="shared" si="60"/>
        <v>Summer</v>
      </c>
      <c r="G127" s="37">
        <f t="shared" si="60"/>
        <v>110</v>
      </c>
      <c r="H127" s="37">
        <f t="shared" si="60"/>
        <v>650</v>
      </c>
      <c r="I127" s="37">
        <f t="shared" si="60"/>
        <v>102</v>
      </c>
      <c r="J127" s="37">
        <f t="shared" si="60"/>
        <v>203</v>
      </c>
      <c r="K127" s="37">
        <f t="shared" si="60"/>
        <v>299</v>
      </c>
      <c r="L127" s="37">
        <f t="shared" si="60"/>
        <v>380</v>
      </c>
      <c r="M127" s="37">
        <f t="shared" si="60"/>
        <v>102</v>
      </c>
      <c r="N127" s="37">
        <f t="shared" si="60"/>
        <v>218</v>
      </c>
      <c r="O127" s="37">
        <f t="shared" si="60"/>
        <v>263</v>
      </c>
      <c r="P127" s="37" t="str">
        <f t="shared" si="60"/>
        <v>NO</v>
      </c>
      <c r="V127" s="1"/>
    </row>
    <row r="128" spans="4:22" ht="20.100000000000001" customHeight="1" x14ac:dyDescent="0.25">
      <c r="D128" s="37" t="s">
        <v>85</v>
      </c>
      <c r="E128" s="37" t="str">
        <f t="shared" ref="E128:P128" si="61">E64</f>
        <v>Northern</v>
      </c>
      <c r="F128" s="37" t="str">
        <f t="shared" si="61"/>
        <v>Autumn</v>
      </c>
      <c r="G128" s="37">
        <f t="shared" si="61"/>
        <v>170</v>
      </c>
      <c r="H128" s="37">
        <f t="shared" si="61"/>
        <v>670</v>
      </c>
      <c r="I128" s="37">
        <f t="shared" si="61"/>
        <v>173</v>
      </c>
      <c r="J128" s="37">
        <f t="shared" si="61"/>
        <v>250</v>
      </c>
      <c r="K128" s="37">
        <f t="shared" si="61"/>
        <v>336</v>
      </c>
      <c r="L128" s="37">
        <f t="shared" si="61"/>
        <v>414</v>
      </c>
      <c r="M128" s="37">
        <f t="shared" si="61"/>
        <v>175</v>
      </c>
      <c r="N128" s="37">
        <f t="shared" si="61"/>
        <v>243</v>
      </c>
      <c r="O128" s="37">
        <f t="shared" si="61"/>
        <v>304</v>
      </c>
      <c r="P128" s="37" t="str">
        <f t="shared" si="61"/>
        <v>NO</v>
      </c>
      <c r="V128" s="1"/>
    </row>
    <row r="129" spans="4:22" ht="20.100000000000001" customHeight="1" x14ac:dyDescent="0.25">
      <c r="D129" s="37" t="s">
        <v>85</v>
      </c>
      <c r="E129" s="37" t="str">
        <f t="shared" ref="E129:P129" si="62">E65</f>
        <v>Northern</v>
      </c>
      <c r="F129" s="37" t="str">
        <f t="shared" si="62"/>
        <v>Winter</v>
      </c>
      <c r="G129" s="37">
        <f t="shared" si="62"/>
        <v>200</v>
      </c>
      <c r="H129" s="37">
        <f t="shared" si="62"/>
        <v>660</v>
      </c>
      <c r="I129" s="37">
        <f t="shared" si="62"/>
        <v>202</v>
      </c>
      <c r="J129" s="37">
        <f t="shared" si="62"/>
        <v>272</v>
      </c>
      <c r="K129" s="37">
        <f t="shared" si="62"/>
        <v>365</v>
      </c>
      <c r="L129" s="37">
        <f t="shared" si="62"/>
        <v>390</v>
      </c>
      <c r="M129" s="37">
        <f t="shared" si="62"/>
        <v>208</v>
      </c>
      <c r="N129" s="37">
        <f t="shared" si="62"/>
        <v>260</v>
      </c>
      <c r="O129" s="37">
        <f t="shared" si="62"/>
        <v>337</v>
      </c>
      <c r="P129" s="37" t="str">
        <f t="shared" si="62"/>
        <v>NO</v>
      </c>
      <c r="V129" s="1"/>
    </row>
    <row r="130" spans="4:22" ht="20.100000000000001" customHeight="1" x14ac:dyDescent="0.25">
      <c r="D130" s="37" t="s">
        <v>86</v>
      </c>
      <c r="E130" s="37" t="str">
        <f t="shared" ref="E130:P130" si="63">E66</f>
        <v>High</v>
      </c>
      <c r="F130" s="37" t="str">
        <f t="shared" si="63"/>
        <v>Spring</v>
      </c>
      <c r="G130" s="37">
        <f t="shared" si="63"/>
        <v>260</v>
      </c>
      <c r="H130" s="37">
        <f t="shared" si="63"/>
        <v>705</v>
      </c>
      <c r="I130" s="37">
        <f t="shared" si="63"/>
        <v>215</v>
      </c>
      <c r="J130" s="37">
        <f t="shared" si="63"/>
        <v>302</v>
      </c>
      <c r="K130" s="37">
        <f t="shared" si="63"/>
        <v>416</v>
      </c>
      <c r="L130" s="37">
        <f t="shared" si="63"/>
        <v>519</v>
      </c>
      <c r="M130" s="37">
        <f t="shared" si="63"/>
        <v>234</v>
      </c>
      <c r="N130" s="37">
        <f t="shared" si="63"/>
        <v>455</v>
      </c>
      <c r="O130" s="37">
        <f t="shared" si="63"/>
        <v>551</v>
      </c>
      <c r="P130" s="37">
        <f t="shared" si="63"/>
        <v>660</v>
      </c>
      <c r="V130" s="1"/>
    </row>
    <row r="131" spans="4:22" ht="20.100000000000001" customHeight="1" x14ac:dyDescent="0.25">
      <c r="D131" s="37" t="s">
        <v>86</v>
      </c>
      <c r="E131" s="37" t="str">
        <f t="shared" ref="E131:P131" si="64">E67</f>
        <v>High</v>
      </c>
      <c r="F131" s="37" t="str">
        <f t="shared" si="64"/>
        <v>Summer</v>
      </c>
      <c r="G131" s="37">
        <f t="shared" si="64"/>
        <v>153</v>
      </c>
      <c r="H131" s="37">
        <f t="shared" si="64"/>
        <v>703</v>
      </c>
      <c r="I131" s="37">
        <f t="shared" si="64"/>
        <v>118</v>
      </c>
      <c r="J131" s="37">
        <f t="shared" si="64"/>
        <v>277</v>
      </c>
      <c r="K131" s="37">
        <f t="shared" si="64"/>
        <v>397</v>
      </c>
      <c r="L131" s="37">
        <f t="shared" si="64"/>
        <v>483</v>
      </c>
      <c r="M131" s="37">
        <f t="shared" si="64"/>
        <v>111</v>
      </c>
      <c r="N131" s="37">
        <f t="shared" si="64"/>
        <v>304</v>
      </c>
      <c r="O131" s="37">
        <f t="shared" si="64"/>
        <v>521</v>
      </c>
      <c r="P131" s="37">
        <f t="shared" si="64"/>
        <v>547</v>
      </c>
    </row>
    <row r="132" spans="4:22" ht="20.100000000000001" customHeight="1" x14ac:dyDescent="0.25">
      <c r="D132" s="37" t="s">
        <v>86</v>
      </c>
      <c r="E132" s="37" t="str">
        <f t="shared" ref="E132:P132" si="65">E68</f>
        <v>High</v>
      </c>
      <c r="F132" s="37" t="str">
        <f t="shared" si="65"/>
        <v>Autumn</v>
      </c>
      <c r="G132" s="37">
        <f t="shared" si="65"/>
        <v>168</v>
      </c>
      <c r="H132" s="37">
        <f t="shared" si="65"/>
        <v>718</v>
      </c>
      <c r="I132" s="37">
        <f t="shared" si="65"/>
        <v>191</v>
      </c>
      <c r="J132" s="37">
        <f t="shared" si="65"/>
        <v>319</v>
      </c>
      <c r="K132" s="37">
        <f t="shared" si="65"/>
        <v>440</v>
      </c>
      <c r="L132" s="37">
        <f t="shared" si="65"/>
        <v>506</v>
      </c>
      <c r="M132" s="37">
        <f t="shared" si="65"/>
        <v>188</v>
      </c>
      <c r="N132" s="37">
        <f t="shared" si="65"/>
        <v>326</v>
      </c>
      <c r="O132" s="37">
        <f t="shared" si="65"/>
        <v>520</v>
      </c>
      <c r="P132" s="37">
        <f t="shared" si="65"/>
        <v>582</v>
      </c>
    </row>
    <row r="133" spans="4:22" ht="20.100000000000001" customHeight="1" x14ac:dyDescent="0.25">
      <c r="D133" s="37" t="s">
        <v>86</v>
      </c>
      <c r="E133" s="37" t="str">
        <f t="shared" ref="E133:P133" si="66">E69</f>
        <v>High</v>
      </c>
      <c r="F133" s="37" t="str">
        <f t="shared" si="66"/>
        <v>Winter</v>
      </c>
      <c r="G133" s="37">
        <f t="shared" si="66"/>
        <v>235</v>
      </c>
      <c r="H133" s="37">
        <f t="shared" si="66"/>
        <v>722</v>
      </c>
      <c r="I133" s="37">
        <f t="shared" si="66"/>
        <v>207</v>
      </c>
      <c r="J133" s="37">
        <f t="shared" si="66"/>
        <v>352</v>
      </c>
      <c r="K133" s="37">
        <f t="shared" si="66"/>
        <v>470</v>
      </c>
      <c r="L133" s="37">
        <f t="shared" si="66"/>
        <v>514</v>
      </c>
      <c r="M133" s="37">
        <f t="shared" si="66"/>
        <v>209</v>
      </c>
      <c r="N133" s="37">
        <f t="shared" si="66"/>
        <v>421</v>
      </c>
      <c r="O133" s="37">
        <f t="shared" si="66"/>
        <v>512</v>
      </c>
      <c r="P133" s="37">
        <f t="shared" si="66"/>
        <v>605</v>
      </c>
    </row>
    <row r="134" spans="4:22" ht="20.100000000000001" customHeight="1" x14ac:dyDescent="0.25">
      <c r="D134" s="37" t="s">
        <v>86</v>
      </c>
      <c r="E134" s="37" t="str">
        <f t="shared" ref="E134:P134" si="67">E70</f>
        <v>Moderate/High</v>
      </c>
      <c r="F134" s="37" t="str">
        <f t="shared" si="67"/>
        <v>Spring</v>
      </c>
      <c r="G134" s="37">
        <f t="shared" si="67"/>
        <v>230</v>
      </c>
      <c r="H134" s="37">
        <f t="shared" si="67"/>
        <v>674</v>
      </c>
      <c r="I134" s="37">
        <f t="shared" si="67"/>
        <v>217</v>
      </c>
      <c r="J134" s="37">
        <f t="shared" si="67"/>
        <v>344</v>
      </c>
      <c r="K134" s="37">
        <f t="shared" si="67"/>
        <v>357</v>
      </c>
      <c r="L134" s="37">
        <f t="shared" si="67"/>
        <v>467</v>
      </c>
      <c r="M134" s="37">
        <f t="shared" si="67"/>
        <v>242</v>
      </c>
      <c r="N134" s="37">
        <f t="shared" si="67"/>
        <v>370</v>
      </c>
      <c r="O134" s="37">
        <f t="shared" si="67"/>
        <v>550</v>
      </c>
      <c r="P134" s="37">
        <f t="shared" si="67"/>
        <v>620</v>
      </c>
    </row>
    <row r="135" spans="4:22" ht="20.100000000000001" customHeight="1" x14ac:dyDescent="0.25">
      <c r="D135" s="37" t="s">
        <v>86</v>
      </c>
      <c r="E135" s="37" t="str">
        <f t="shared" ref="E135:P135" si="68">E71</f>
        <v>Moderate/High</v>
      </c>
      <c r="F135" s="37" t="str">
        <f t="shared" si="68"/>
        <v>Summer</v>
      </c>
      <c r="G135" s="37">
        <f t="shared" si="68"/>
        <v>113</v>
      </c>
      <c r="H135" s="37">
        <f t="shared" si="68"/>
        <v>669</v>
      </c>
      <c r="I135" s="37">
        <f t="shared" si="68"/>
        <v>113</v>
      </c>
      <c r="J135" s="37">
        <f t="shared" si="68"/>
        <v>283</v>
      </c>
      <c r="K135" s="37">
        <f t="shared" si="68"/>
        <v>361</v>
      </c>
      <c r="L135" s="37">
        <f t="shared" si="68"/>
        <v>477</v>
      </c>
      <c r="M135" s="37">
        <f t="shared" si="68"/>
        <v>120</v>
      </c>
      <c r="N135" s="37">
        <f t="shared" si="68"/>
        <v>273</v>
      </c>
      <c r="O135" s="37">
        <f t="shared" si="68"/>
        <v>545</v>
      </c>
      <c r="P135" s="37">
        <f t="shared" si="68"/>
        <v>553</v>
      </c>
    </row>
    <row r="136" spans="4:22" ht="20.100000000000001" customHeight="1" x14ac:dyDescent="0.25">
      <c r="D136" s="37" t="s">
        <v>86</v>
      </c>
      <c r="E136" s="37" t="str">
        <f t="shared" ref="E136:P136" si="69">E72</f>
        <v>Moderate/High</v>
      </c>
      <c r="F136" s="37" t="str">
        <f t="shared" si="69"/>
        <v>Autumn</v>
      </c>
      <c r="G136" s="37">
        <f t="shared" si="69"/>
        <v>172</v>
      </c>
      <c r="H136" s="37">
        <f t="shared" si="69"/>
        <v>685</v>
      </c>
      <c r="I136" s="37">
        <f t="shared" si="69"/>
        <v>172</v>
      </c>
      <c r="J136" s="37">
        <f t="shared" si="69"/>
        <v>309</v>
      </c>
      <c r="K136" s="37">
        <f t="shared" si="69"/>
        <v>376</v>
      </c>
      <c r="L136" s="37">
        <f t="shared" si="69"/>
        <v>471</v>
      </c>
      <c r="M136" s="37">
        <f t="shared" si="69"/>
        <v>238</v>
      </c>
      <c r="N136" s="37">
        <f t="shared" si="69"/>
        <v>329</v>
      </c>
      <c r="O136" s="37">
        <f t="shared" si="69"/>
        <v>573</v>
      </c>
      <c r="P136" s="37">
        <f t="shared" si="69"/>
        <v>620</v>
      </c>
    </row>
    <row r="137" spans="4:22" ht="20.100000000000001" customHeight="1" x14ac:dyDescent="0.25">
      <c r="D137" s="37" t="s">
        <v>86</v>
      </c>
      <c r="E137" s="37" t="str">
        <f t="shared" ref="E137:P137" si="70">E73</f>
        <v>Moderate/High</v>
      </c>
      <c r="F137" s="37" t="str">
        <f t="shared" si="70"/>
        <v>Winter</v>
      </c>
      <c r="G137" s="37">
        <f t="shared" si="70"/>
        <v>241</v>
      </c>
      <c r="H137" s="37">
        <f t="shared" si="70"/>
        <v>692</v>
      </c>
      <c r="I137" s="37">
        <f t="shared" si="70"/>
        <v>208</v>
      </c>
      <c r="J137" s="37">
        <f t="shared" si="70"/>
        <v>344</v>
      </c>
      <c r="K137" s="37">
        <f t="shared" si="70"/>
        <v>364</v>
      </c>
      <c r="L137" s="37">
        <f t="shared" si="70"/>
        <v>484</v>
      </c>
      <c r="M137" s="37">
        <f t="shared" si="70"/>
        <v>260</v>
      </c>
      <c r="N137" s="37">
        <f t="shared" si="70"/>
        <v>350</v>
      </c>
      <c r="O137" s="37">
        <f t="shared" si="70"/>
        <v>567</v>
      </c>
      <c r="P137" s="37">
        <f t="shared" si="70"/>
        <v>620</v>
      </c>
    </row>
    <row r="138" spans="4:22" ht="20.100000000000001" customHeight="1" x14ac:dyDescent="0.25">
      <c r="D138" s="37" t="s">
        <v>86</v>
      </c>
      <c r="E138" s="37" t="str">
        <f t="shared" ref="E138:P138" si="71">E74</f>
        <v>Moderate/Low</v>
      </c>
      <c r="F138" s="37" t="str">
        <f t="shared" si="71"/>
        <v>Spring</v>
      </c>
      <c r="G138" s="37">
        <f t="shared" si="71"/>
        <v>236</v>
      </c>
      <c r="H138" s="37">
        <f t="shared" si="71"/>
        <v>674</v>
      </c>
      <c r="I138" s="37">
        <f t="shared" si="71"/>
        <v>178</v>
      </c>
      <c r="J138" s="37">
        <f t="shared" si="71"/>
        <v>310</v>
      </c>
      <c r="K138" s="37">
        <f t="shared" si="71"/>
        <v>428</v>
      </c>
      <c r="L138" s="37">
        <f t="shared" si="71"/>
        <v>466</v>
      </c>
      <c r="M138" s="37">
        <f t="shared" si="71"/>
        <v>193</v>
      </c>
      <c r="N138" s="37">
        <f t="shared" si="71"/>
        <v>370</v>
      </c>
      <c r="O138" s="37">
        <f t="shared" si="71"/>
        <v>519</v>
      </c>
      <c r="P138" s="37">
        <f t="shared" si="71"/>
        <v>565</v>
      </c>
    </row>
    <row r="139" spans="4:22" ht="20.100000000000001" customHeight="1" x14ac:dyDescent="0.25">
      <c r="D139" s="37" t="s">
        <v>86</v>
      </c>
      <c r="E139" s="37" t="str">
        <f t="shared" ref="E139:P139" si="72">E75</f>
        <v>Moderate/Low</v>
      </c>
      <c r="F139" s="37" t="str">
        <f t="shared" si="72"/>
        <v>Summer</v>
      </c>
      <c r="G139" s="37">
        <f t="shared" si="72"/>
        <v>120</v>
      </c>
      <c r="H139" s="37">
        <f t="shared" si="72"/>
        <v>669</v>
      </c>
      <c r="I139" s="37">
        <f t="shared" si="72"/>
        <v>112</v>
      </c>
      <c r="J139" s="37">
        <f t="shared" si="72"/>
        <v>250</v>
      </c>
      <c r="K139" s="37">
        <f t="shared" si="72"/>
        <v>390</v>
      </c>
      <c r="L139" s="37">
        <f t="shared" si="72"/>
        <v>448</v>
      </c>
      <c r="M139" s="37">
        <f t="shared" si="72"/>
        <v>115</v>
      </c>
      <c r="N139" s="37">
        <f t="shared" si="72"/>
        <v>273</v>
      </c>
      <c r="O139" s="37">
        <f t="shared" si="72"/>
        <v>433</v>
      </c>
      <c r="P139" s="37">
        <f t="shared" si="72"/>
        <v>556</v>
      </c>
    </row>
    <row r="140" spans="4:22" ht="20.100000000000001" customHeight="1" x14ac:dyDescent="0.25">
      <c r="D140" s="37" t="s">
        <v>86</v>
      </c>
      <c r="E140" s="37" t="str">
        <f t="shared" ref="E140:P140" si="73">E76</f>
        <v>Moderate/Low</v>
      </c>
      <c r="F140" s="37" t="str">
        <f t="shared" si="73"/>
        <v>Autumn</v>
      </c>
      <c r="G140" s="37">
        <f t="shared" si="73"/>
        <v>125</v>
      </c>
      <c r="H140" s="37">
        <f t="shared" si="73"/>
        <v>685</v>
      </c>
      <c r="I140" s="37">
        <f t="shared" si="73"/>
        <v>140</v>
      </c>
      <c r="J140" s="37">
        <f t="shared" si="73"/>
        <v>277</v>
      </c>
      <c r="K140" s="37">
        <f t="shared" si="73"/>
        <v>407</v>
      </c>
      <c r="L140" s="37">
        <f t="shared" si="73"/>
        <v>455</v>
      </c>
      <c r="M140" s="37">
        <f t="shared" si="73"/>
        <v>141</v>
      </c>
      <c r="N140" s="37">
        <f t="shared" si="73"/>
        <v>296</v>
      </c>
      <c r="O140" s="37">
        <f t="shared" si="73"/>
        <v>445</v>
      </c>
      <c r="P140" s="37">
        <f t="shared" si="73"/>
        <v>593</v>
      </c>
    </row>
    <row r="141" spans="4:22" ht="20.100000000000001" customHeight="1" x14ac:dyDescent="0.25">
      <c r="D141" s="37" t="s">
        <v>86</v>
      </c>
      <c r="E141" s="37" t="str">
        <f t="shared" ref="E141:P141" si="74">E77</f>
        <v>Moderate/Low</v>
      </c>
      <c r="F141" s="37" t="str">
        <f t="shared" si="74"/>
        <v>Winter</v>
      </c>
      <c r="G141" s="37">
        <f t="shared" si="74"/>
        <v>180</v>
      </c>
      <c r="H141" s="37">
        <f t="shared" si="74"/>
        <v>692</v>
      </c>
      <c r="I141" s="37">
        <f t="shared" si="74"/>
        <v>183</v>
      </c>
      <c r="J141" s="37">
        <f t="shared" si="74"/>
        <v>316</v>
      </c>
      <c r="K141" s="37">
        <f t="shared" si="74"/>
        <v>438</v>
      </c>
      <c r="L141" s="37">
        <f t="shared" si="74"/>
        <v>468</v>
      </c>
      <c r="M141" s="37">
        <f t="shared" si="74"/>
        <v>189</v>
      </c>
      <c r="N141" s="37">
        <f t="shared" si="74"/>
        <v>354</v>
      </c>
      <c r="O141" s="37">
        <f t="shared" si="74"/>
        <v>500</v>
      </c>
      <c r="P141" s="37">
        <f t="shared" si="74"/>
        <v>553</v>
      </c>
    </row>
    <row r="142" spans="4:22" ht="20.100000000000001" customHeight="1" x14ac:dyDescent="0.25">
      <c r="D142" s="37" t="s">
        <v>86</v>
      </c>
      <c r="E142" s="37" t="str">
        <f t="shared" ref="E142:P142" si="75">E78</f>
        <v>Low</v>
      </c>
      <c r="F142" s="37" t="str">
        <f t="shared" si="75"/>
        <v>Spring</v>
      </c>
      <c r="G142" s="37">
        <f t="shared" si="75"/>
        <v>190</v>
      </c>
      <c r="H142" s="37">
        <f t="shared" si="75"/>
        <v>617</v>
      </c>
      <c r="I142" s="37">
        <f t="shared" si="75"/>
        <v>174</v>
      </c>
      <c r="J142" s="37">
        <f t="shared" si="75"/>
        <v>265</v>
      </c>
      <c r="K142" s="37">
        <f t="shared" si="75"/>
        <v>371</v>
      </c>
      <c r="L142" s="37">
        <f t="shared" si="75"/>
        <v>415</v>
      </c>
      <c r="M142" s="37">
        <f t="shared" si="75"/>
        <v>170</v>
      </c>
      <c r="N142" s="37">
        <f t="shared" si="75"/>
        <v>272</v>
      </c>
      <c r="O142" s="37">
        <f t="shared" si="75"/>
        <v>392</v>
      </c>
      <c r="P142" s="37">
        <f t="shared" si="75"/>
        <v>531</v>
      </c>
    </row>
    <row r="143" spans="4:22" ht="20.100000000000001" customHeight="1" x14ac:dyDescent="0.25">
      <c r="D143" s="37" t="s">
        <v>86</v>
      </c>
      <c r="E143" s="37" t="str">
        <f t="shared" ref="E143:P143" si="76">E79</f>
        <v>Low</v>
      </c>
      <c r="F143" s="37" t="str">
        <f t="shared" si="76"/>
        <v>Summer</v>
      </c>
      <c r="G143" s="37">
        <f t="shared" si="76"/>
        <v>119</v>
      </c>
      <c r="H143" s="37">
        <f t="shared" si="76"/>
        <v>591</v>
      </c>
      <c r="I143" s="37">
        <f t="shared" si="76"/>
        <v>140</v>
      </c>
      <c r="J143" s="37">
        <f t="shared" si="76"/>
        <v>205</v>
      </c>
      <c r="K143" s="37">
        <f t="shared" si="76"/>
        <v>310</v>
      </c>
      <c r="L143" s="37">
        <f t="shared" si="76"/>
        <v>405</v>
      </c>
      <c r="M143" s="37">
        <f t="shared" si="76"/>
        <v>133</v>
      </c>
      <c r="N143" s="37">
        <f t="shared" si="76"/>
        <v>218</v>
      </c>
      <c r="O143" s="37">
        <f t="shared" si="76"/>
        <v>315</v>
      </c>
      <c r="P143" s="37">
        <f t="shared" si="76"/>
        <v>445</v>
      </c>
    </row>
    <row r="144" spans="4:22" ht="20.100000000000001" customHeight="1" x14ac:dyDescent="0.25">
      <c r="D144" s="37" t="s">
        <v>86</v>
      </c>
      <c r="E144" s="37" t="str">
        <f t="shared" ref="E144:P144" si="77">E80</f>
        <v>Low</v>
      </c>
      <c r="F144" s="37" t="str">
        <f t="shared" si="77"/>
        <v>Autumn</v>
      </c>
      <c r="G144" s="37">
        <f t="shared" si="77"/>
        <v>175</v>
      </c>
      <c r="H144" s="37">
        <f t="shared" si="77"/>
        <v>610</v>
      </c>
      <c r="I144" s="37">
        <f t="shared" si="77"/>
        <v>163</v>
      </c>
      <c r="J144" s="37">
        <f t="shared" si="77"/>
        <v>232</v>
      </c>
      <c r="K144" s="37">
        <f t="shared" si="77"/>
        <v>351</v>
      </c>
      <c r="L144" s="37">
        <f t="shared" si="77"/>
        <v>427</v>
      </c>
      <c r="M144" s="37">
        <f t="shared" si="77"/>
        <v>146</v>
      </c>
      <c r="N144" s="37">
        <f t="shared" si="77"/>
        <v>242</v>
      </c>
      <c r="O144" s="37">
        <f t="shared" si="77"/>
        <v>320</v>
      </c>
      <c r="P144" s="37">
        <f t="shared" si="77"/>
        <v>471</v>
      </c>
    </row>
    <row r="145" spans="4:16" ht="20.100000000000001" customHeight="1" x14ac:dyDescent="0.25">
      <c r="D145" s="37" t="s">
        <v>86</v>
      </c>
      <c r="E145" s="37" t="str">
        <f t="shared" ref="E145:P145" si="78">E81</f>
        <v>Low</v>
      </c>
      <c r="F145" s="37" t="str">
        <f t="shared" si="78"/>
        <v>Winter</v>
      </c>
      <c r="G145" s="37">
        <f t="shared" si="78"/>
        <v>192</v>
      </c>
      <c r="H145" s="37">
        <f t="shared" si="78"/>
        <v>615</v>
      </c>
      <c r="I145" s="37">
        <f t="shared" si="78"/>
        <v>162</v>
      </c>
      <c r="J145" s="37">
        <f t="shared" si="78"/>
        <v>255</v>
      </c>
      <c r="K145" s="37">
        <f t="shared" si="78"/>
        <v>364</v>
      </c>
      <c r="L145" s="37">
        <f t="shared" si="78"/>
        <v>420</v>
      </c>
      <c r="M145" s="37">
        <f t="shared" si="78"/>
        <v>157</v>
      </c>
      <c r="N145" s="37">
        <f t="shared" si="78"/>
        <v>261</v>
      </c>
      <c r="O145" s="37">
        <f t="shared" si="78"/>
        <v>342</v>
      </c>
      <c r="P145" s="37">
        <f t="shared" si="78"/>
        <v>484</v>
      </c>
    </row>
    <row r="146" spans="4:16" ht="20.100000000000001" customHeight="1" x14ac:dyDescent="0.25">
      <c r="D146" s="1" t="s">
        <v>361</v>
      </c>
      <c r="E146" s="1" t="s">
        <v>202</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361</v>
      </c>
      <c r="E147" s="1" t="s">
        <v>202</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361</v>
      </c>
      <c r="E148" s="1" t="s">
        <v>202</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361</v>
      </c>
      <c r="E149" s="1" t="s">
        <v>202</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4" t="str" cm="1">
        <f t="array" ref="D153">SourceData_PastureBeef.SourceData_PastureBeef_LiveweightGain_Unit()</f>
        <v>kg</v>
      </c>
      <c r="M153" s="1"/>
    </row>
    <row r="154" spans="4:16" ht="20.100000000000001" customHeight="1" x14ac:dyDescent="0.25">
      <c r="D154" s="37" t="s">
        <v>8</v>
      </c>
      <c r="E154" s="37" t="s">
        <v>183</v>
      </c>
      <c r="F154" s="37" t="s">
        <v>184</v>
      </c>
      <c r="G154" s="37" t="s">
        <v>203</v>
      </c>
      <c r="H154" s="37" t="s">
        <v>192</v>
      </c>
      <c r="I154" s="37" t="s">
        <v>224</v>
      </c>
      <c r="J154" s="37" t="s">
        <v>188</v>
      </c>
      <c r="K154" s="37" t="s">
        <v>225</v>
      </c>
      <c r="L154" s="37" t="s">
        <v>197</v>
      </c>
      <c r="M154" s="37" t="s">
        <v>226</v>
      </c>
    </row>
    <row r="155" spans="4:16" ht="20.100000000000001" customHeight="1" x14ac:dyDescent="0.25">
      <c r="D155" s="37" t="str" cm="1">
        <f t="array" ref="D155">Common_InputFunctions.Utility_DisplayArrayInTable(SourceData_PastureBeef.SourceData_PastureBeef_LiveweightGain_Data(), Table_SourceData_PastureBeef_LiveweightGain[[#Headers],[State]],0)</f>
        <v>ACT/NSW</v>
      </c>
      <c r="E155" s="37" t="str" cm="1">
        <f t="array" ref="E155">Common_InputFunctions.Utility_DisplayArrayInTable(SourceData_PastureBeef.SourceData_PastureBeef_LiveweightGain_Data(), Table_SourceData_PastureBeef_LiveweightGain[[#Headers],[State]],0)</f>
        <v>n/a</v>
      </c>
      <c r="F155" s="37" t="str" cm="1">
        <f t="array" ref="F155">Common_InputFunctions.Utility_DisplayArrayInTable(SourceData_PastureBeef.SourceData_PastureBeef_LiveweightGain_Data(), Table_SourceData_PastureBeef_LiveweightGain[[#Headers],[State]],0)</f>
        <v>Spring</v>
      </c>
      <c r="G155" s="37" cm="1">
        <f t="array" ref="G155">Common_InputFunctions.Utility_DisplayArrayInTable(SourceData_PastureBeef.SourceData_PastureBeef_LiveweightGain_Data(), Table_SourceData_PastureBeef_LiveweightGain[[#Headers],[State]],0)</f>
        <v>0.5</v>
      </c>
      <c r="H155" s="37" cm="1">
        <f t="array" ref="H155">Common_InputFunctions.Utility_DisplayArrayInTable(SourceData_PastureBeef.SourceData_PastureBeef_LiveweightGain_Data(), Table_SourceData_PastureBeef_LiveweightGain[[#Headers],[State]],0)</f>
        <v>0.2</v>
      </c>
      <c r="I155" s="37" cm="1">
        <f t="array" ref="I155">Common_InputFunctions.Utility_DisplayArrayInTable(SourceData_PastureBeef.SourceData_PastureBeef_LiveweightGain_Data(), Table_SourceData_PastureBeef_LiveweightGain[[#Headers],[State]],0)</f>
        <v>0.5</v>
      </c>
      <c r="J155" s="37" cm="1">
        <f t="array" ref="J155">Common_InputFunctions.Utility_DisplayArrayInTable(SourceData_PastureBeef.SourceData_PastureBeef_LiveweightGain_Data(), Table_SourceData_PastureBeef_LiveweightGain[[#Headers],[State]],0)</f>
        <v>0.4</v>
      </c>
      <c r="K155" s="37" cm="1">
        <f t="array" ref="K155">Common_InputFunctions.Utility_DisplayArrayInTable(SourceData_PastureBeef.SourceData_PastureBeef_LiveweightGain_Data(), Table_SourceData_PastureBeef_LiveweightGain[[#Headers],[State]],0)</f>
        <v>0.3</v>
      </c>
      <c r="L155" s="37" cm="1">
        <f t="array" ref="L155">Common_InputFunctions.Utility_DisplayArrayInTable(SourceData_PastureBeef.SourceData_PastureBeef_LiveweightGain_Data(), Table_SourceData_PastureBeef_LiveweightGain[[#Headers],[State]],0)</f>
        <v>0.5</v>
      </c>
      <c r="M155" s="37"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7" t="str" cm="1">
        <f t="array" ref="E156">Common_InputFunctions.Utility_DisplayArrayInTable(SourceData_PastureBeef.SourceData_PastureBeef_LiveweightGain_Data(), Table_SourceData_PastureBeef_LiveweightGain[[#Headers],[State]],0)</f>
        <v>n/a</v>
      </c>
      <c r="F156" s="37" t="str" cm="1">
        <f t="array" ref="F156">Common_InputFunctions.Utility_DisplayArrayInTable(SourceData_PastureBeef.SourceData_PastureBeef_LiveweightGain_Data(), Table_SourceData_PastureBeef_LiveweightGain[[#Headers],[State]],0)</f>
        <v>Summer</v>
      </c>
      <c r="G156" s="37" cm="1">
        <f t="array" ref="G156">Common_InputFunctions.Utility_DisplayArrayInTable(SourceData_PastureBeef.SourceData_PastureBeef_LiveweightGain_Data(), Table_SourceData_PastureBeef_LiveweightGain[[#Headers],[State]],0)</f>
        <v>1</v>
      </c>
      <c r="H156" s="37" cm="1">
        <f t="array" ref="H156">Common_InputFunctions.Utility_DisplayArrayInTable(SourceData_PastureBeef.SourceData_PastureBeef_LiveweightGain_Data(), Table_SourceData_PastureBeef_LiveweightGain[[#Headers],[State]],0)</f>
        <v>0.4</v>
      </c>
      <c r="I156" s="37" cm="1">
        <f t="array" ref="I156">Common_InputFunctions.Utility_DisplayArrayInTable(SourceData_PastureBeef.SourceData_PastureBeef_LiveweightGain_Data(), Table_SourceData_PastureBeef_LiveweightGain[[#Headers],[State]],0)</f>
        <v>0.9</v>
      </c>
      <c r="J156" s="37" cm="1">
        <f t="array" ref="J156">Common_InputFunctions.Utility_DisplayArrayInTable(SourceData_PastureBeef.SourceData_PastureBeef_LiveweightGain_Data(), Table_SourceData_PastureBeef_LiveweightGain[[#Headers],[State]],0)</f>
        <v>0.7</v>
      </c>
      <c r="K156" s="37" cm="1">
        <f t="array" ref="K156">Common_InputFunctions.Utility_DisplayArrayInTable(SourceData_PastureBeef.SourceData_PastureBeef_LiveweightGain_Data(), Table_SourceData_PastureBeef_LiveweightGain[[#Headers],[State]],0)</f>
        <v>0.3</v>
      </c>
      <c r="L156" s="37" cm="1">
        <f t="array" ref="L156">Common_InputFunctions.Utility_DisplayArrayInTable(SourceData_PastureBeef.SourceData_PastureBeef_LiveweightGain_Data(), Table_SourceData_PastureBeef_LiveweightGain[[#Headers],[State]],0)</f>
        <v>0.9</v>
      </c>
      <c r="M156" s="37"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7" t="str" cm="1">
        <f t="array" ref="E157">Common_InputFunctions.Utility_DisplayArrayInTable(SourceData_PastureBeef.SourceData_PastureBeef_LiveweightGain_Data(), Table_SourceData_PastureBeef_LiveweightGain[[#Headers],[State]],0)</f>
        <v>n/a</v>
      </c>
      <c r="F157" s="37" t="str" cm="1">
        <f t="array" ref="F157">Common_InputFunctions.Utility_DisplayArrayInTable(SourceData_PastureBeef.SourceData_PastureBeef_LiveweightGain_Data(), Table_SourceData_PastureBeef_LiveweightGain[[#Headers],[State]],0)</f>
        <v>Autumn</v>
      </c>
      <c r="G157" s="37" cm="1">
        <f t="array" ref="G157">Common_InputFunctions.Utility_DisplayArrayInTable(SourceData_PastureBeef.SourceData_PastureBeef_LiveweightGain_Data(), Table_SourceData_PastureBeef_LiveweightGain[[#Headers],[State]],0)</f>
        <v>0.8</v>
      </c>
      <c r="H157" s="37" cm="1">
        <f t="array" ref="H157">Common_InputFunctions.Utility_DisplayArrayInTable(SourceData_PastureBeef.SourceData_PastureBeef_LiveweightGain_Data(), Table_SourceData_PastureBeef_LiveweightGain[[#Headers],[State]],0)</f>
        <v>0.3</v>
      </c>
      <c r="I157" s="37" cm="1">
        <f t="array" ref="I157">Common_InputFunctions.Utility_DisplayArrayInTable(SourceData_PastureBeef.SourceData_PastureBeef_LiveweightGain_Data(), Table_SourceData_PastureBeef_LiveweightGain[[#Headers],[State]],0)</f>
        <v>0.7</v>
      </c>
      <c r="J157" s="37" cm="1">
        <f t="array" ref="J157">Common_InputFunctions.Utility_DisplayArrayInTable(SourceData_PastureBeef.SourceData_PastureBeef_LiveweightGain_Data(), Table_SourceData_PastureBeef_LiveweightGain[[#Headers],[State]],0)</f>
        <v>0.3</v>
      </c>
      <c r="K157" s="37" cm="1">
        <f t="array" ref="K157">Common_InputFunctions.Utility_DisplayArrayInTable(SourceData_PastureBeef.SourceData_PastureBeef_LiveweightGain_Data(), Table_SourceData_PastureBeef_LiveweightGain[[#Headers],[State]],0)</f>
        <v>0.2</v>
      </c>
      <c r="L157" s="37" cm="1">
        <f t="array" ref="L157">Common_InputFunctions.Utility_DisplayArrayInTable(SourceData_PastureBeef.SourceData_PastureBeef_LiveweightGain_Data(), Table_SourceData_PastureBeef_LiveweightGain[[#Headers],[State]],0)</f>
        <v>0.7</v>
      </c>
      <c r="M157" s="37"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7" t="str" cm="1">
        <f t="array" ref="E158">Common_InputFunctions.Utility_DisplayArrayInTable(SourceData_PastureBeef.SourceData_PastureBeef_LiveweightGain_Data(), Table_SourceData_PastureBeef_LiveweightGain[[#Headers],[State]],0)</f>
        <v>n/a</v>
      </c>
      <c r="F158" s="37" t="str" cm="1">
        <f t="array" ref="F158">Common_InputFunctions.Utility_DisplayArrayInTable(SourceData_PastureBeef.SourceData_PastureBeef_LiveweightGain_Data(), Table_SourceData_PastureBeef_LiveweightGain[[#Headers],[State]],0)</f>
        <v>Winter</v>
      </c>
      <c r="G158" s="37" cm="1">
        <f t="array" ref="G158">Common_InputFunctions.Utility_DisplayArrayInTable(SourceData_PastureBeef.SourceData_PastureBeef_LiveweightGain_Data(), Table_SourceData_PastureBeef_LiveweightGain[[#Headers],[State]],0)</f>
        <v>0.4</v>
      </c>
      <c r="H158" s="37" cm="1">
        <f t="array" ref="H158">Common_InputFunctions.Utility_DisplayArrayInTable(SourceData_PastureBeef.SourceData_PastureBeef_LiveweightGain_Data(), Table_SourceData_PastureBeef_LiveweightGain[[#Headers],[State]],0)</f>
        <v>0.1</v>
      </c>
      <c r="I158" s="37" cm="1">
        <f t="array" ref="I158">Common_InputFunctions.Utility_DisplayArrayInTable(SourceData_PastureBeef.SourceData_PastureBeef_LiveweightGain_Data(), Table_SourceData_PastureBeef_LiveweightGain[[#Headers],[State]],0)</f>
        <v>0.4</v>
      </c>
      <c r="J158" s="37" cm="1">
        <f t="array" ref="J158">Common_InputFunctions.Utility_DisplayArrayInTable(SourceData_PastureBeef.SourceData_PastureBeef_LiveweightGain_Data(), Table_SourceData_PastureBeef_LiveweightGain[[#Headers],[State]],0)</f>
        <v>0.2</v>
      </c>
      <c r="K158" s="37" cm="1">
        <f t="array" ref="K158">Common_InputFunctions.Utility_DisplayArrayInTable(SourceData_PastureBeef.SourceData_PastureBeef_LiveweightGain_Data(), Table_SourceData_PastureBeef_LiveweightGain[[#Headers],[State]],0)</f>
        <v>0.1</v>
      </c>
      <c r="L158" s="37" cm="1">
        <f t="array" ref="L158">Common_InputFunctions.Utility_DisplayArrayInTable(SourceData_PastureBeef.SourceData_PastureBeef_LiveweightGain_Data(), Table_SourceData_PastureBeef_LiveweightGain[[#Headers],[State]],0)</f>
        <v>0.4</v>
      </c>
      <c r="M158" s="37"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7" t="str" cm="1">
        <f t="array" ref="E159">Common_InputFunctions.Utility_DisplayArrayInTable(SourceData_PastureBeef.SourceData_PastureBeef_LiveweightGain_Data(), Table_SourceData_PastureBeef_LiveweightGain[[#Headers],[State]],0)</f>
        <v>n/a</v>
      </c>
      <c r="F159" s="37" t="str" cm="1">
        <f t="array" ref="F159">Common_InputFunctions.Utility_DisplayArrayInTable(SourceData_PastureBeef.SourceData_PastureBeef_LiveweightGain_Data(), Table_SourceData_PastureBeef_LiveweightGain[[#Headers],[State]],0)</f>
        <v>Spring</v>
      </c>
      <c r="G159" s="37" cm="1">
        <f t="array" ref="G159">Common_InputFunctions.Utility_DisplayArrayInTable(SourceData_PastureBeef.SourceData_PastureBeef_LiveweightGain_Data(), Table_SourceData_PastureBeef_LiveweightGain[[#Headers],[State]],0)</f>
        <v>0.99</v>
      </c>
      <c r="H159" s="37" cm="1">
        <f t="array" ref="H159">Common_InputFunctions.Utility_DisplayArrayInTable(SourceData_PastureBeef.SourceData_PastureBeef_LiveweightGain_Data(), Table_SourceData_PastureBeef_LiveweightGain[[#Headers],[State]],0)</f>
        <v>1.1000000000000001</v>
      </c>
      <c r="I159" s="37" cm="1">
        <f t="array" ref="I159">Common_InputFunctions.Utility_DisplayArrayInTable(SourceData_PastureBeef.SourceData_PastureBeef_LiveweightGain_Data(), Table_SourceData_PastureBeef_LiveweightGain[[#Headers],[State]],0)</f>
        <v>0.88</v>
      </c>
      <c r="J159" s="37" cm="1">
        <f t="array" ref="J159">Common_InputFunctions.Utility_DisplayArrayInTable(SourceData_PastureBeef.SourceData_PastureBeef_LiveweightGain_Data(), Table_SourceData_PastureBeef_LiveweightGain[[#Headers],[State]],0)</f>
        <v>0.55000000000000004</v>
      </c>
      <c r="K159" s="37" cm="1">
        <f t="array" ref="K159">Common_InputFunctions.Utility_DisplayArrayInTable(SourceData_PastureBeef.SourceData_PastureBeef_LiveweightGain_Data(), Table_SourceData_PastureBeef_LiveweightGain[[#Headers],[State]],0)</f>
        <v>0.55000000000000004</v>
      </c>
      <c r="L159" s="37" cm="1">
        <f t="array" ref="L159">Common_InputFunctions.Utility_DisplayArrayInTable(SourceData_PastureBeef.SourceData_PastureBeef_LiveweightGain_Data(), Table_SourceData_PastureBeef_LiveweightGain[[#Headers],[State]],0)</f>
        <v>0.88</v>
      </c>
      <c r="M159" s="37"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7" t="str" cm="1">
        <f t="array" ref="E160">Common_InputFunctions.Utility_DisplayArrayInTable(SourceData_PastureBeef.SourceData_PastureBeef_LiveweightGain_Data(), Table_SourceData_PastureBeef_LiveweightGain[[#Headers],[State]],0)</f>
        <v>n/a</v>
      </c>
      <c r="F160" s="37" t="str" cm="1">
        <f t="array" ref="F160">Common_InputFunctions.Utility_DisplayArrayInTable(SourceData_PastureBeef.SourceData_PastureBeef_LiveweightGain_Data(), Table_SourceData_PastureBeef_LiveweightGain[[#Headers],[State]],0)</f>
        <v>Summer</v>
      </c>
      <c r="G160" s="37" cm="1">
        <f t="array" ref="G160">Common_InputFunctions.Utility_DisplayArrayInTable(SourceData_PastureBeef.SourceData_PastureBeef_LiveweightGain_Data(), Table_SourceData_PastureBeef_LiveweightGain[[#Headers],[State]],0)</f>
        <v>0.77</v>
      </c>
      <c r="H160" s="37" cm="1">
        <f t="array" ref="H160">Common_InputFunctions.Utility_DisplayArrayInTable(SourceData_PastureBeef.SourceData_PastureBeef_LiveweightGain_Data(), Table_SourceData_PastureBeef_LiveweightGain[[#Headers],[State]],0)</f>
        <v>0</v>
      </c>
      <c r="I160" s="37" cm="1">
        <f t="array" ref="I160">Common_InputFunctions.Utility_DisplayArrayInTable(SourceData_PastureBeef.SourceData_PastureBeef_LiveweightGain_Data(), Table_SourceData_PastureBeef_LiveweightGain[[#Headers],[State]],0)</f>
        <v>0.66</v>
      </c>
      <c r="J160" s="37" cm="1">
        <f t="array" ref="J160">Common_InputFunctions.Utility_DisplayArrayInTable(SourceData_PastureBeef.SourceData_PastureBeef_LiveweightGain_Data(), Table_SourceData_PastureBeef_LiveweightGain[[#Headers],[State]],0)</f>
        <v>0.22</v>
      </c>
      <c r="K160" s="37" cm="1">
        <f t="array" ref="K160">Common_InputFunctions.Utility_DisplayArrayInTable(SourceData_PastureBeef.SourceData_PastureBeef_LiveweightGain_Data(), Table_SourceData_PastureBeef_LiveweightGain[[#Headers],[State]],0)</f>
        <v>0</v>
      </c>
      <c r="L160" s="37" cm="1">
        <f t="array" ref="L160">Common_InputFunctions.Utility_DisplayArrayInTable(SourceData_PastureBeef.SourceData_PastureBeef_LiveweightGain_Data(), Table_SourceData_PastureBeef_LiveweightGain[[#Headers],[State]],0)</f>
        <v>0.66</v>
      </c>
      <c r="M160" s="37"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7" t="str" cm="1">
        <f t="array" ref="E161">Common_InputFunctions.Utility_DisplayArrayInTable(SourceData_PastureBeef.SourceData_PastureBeef_LiveweightGain_Data(), Table_SourceData_PastureBeef_LiveweightGain[[#Headers],[State]],0)</f>
        <v>n/a</v>
      </c>
      <c r="F161" s="37" t="str" cm="1">
        <f t="array" ref="F161">Common_InputFunctions.Utility_DisplayArrayInTable(SourceData_PastureBeef.SourceData_PastureBeef_LiveweightGain_Data(), Table_SourceData_PastureBeef_LiveweightGain[[#Headers],[State]],0)</f>
        <v>Autumn</v>
      </c>
      <c r="G161" s="37" cm="1">
        <f t="array" ref="G161">Common_InputFunctions.Utility_DisplayArrayInTable(SourceData_PastureBeef.SourceData_PastureBeef_LiveweightGain_Data(), Table_SourceData_PastureBeef_LiveweightGain[[#Headers],[State]],0)</f>
        <v>0.9</v>
      </c>
      <c r="H161" s="37" cm="1">
        <f t="array" ref="H161">Common_InputFunctions.Utility_DisplayArrayInTable(SourceData_PastureBeef.SourceData_PastureBeef_LiveweightGain_Data(), Table_SourceData_PastureBeef_LiveweightGain[[#Headers],[State]],0)</f>
        <v>-1.1000000000000001</v>
      </c>
      <c r="I161" s="37" cm="1">
        <f t="array" ref="I161">Common_InputFunctions.Utility_DisplayArrayInTable(SourceData_PastureBeef.SourceData_PastureBeef_LiveweightGain_Data(), Table_SourceData_PastureBeef_LiveweightGain[[#Headers],[State]],0)</f>
        <v>0.7</v>
      </c>
      <c r="J161" s="37" cm="1">
        <f t="array" ref="J161">Common_InputFunctions.Utility_DisplayArrayInTable(SourceData_PastureBeef.SourceData_PastureBeef_LiveweightGain_Data(), Table_SourceData_PastureBeef_LiveweightGain[[#Headers],[State]],0)</f>
        <v>0.22</v>
      </c>
      <c r="K161" s="37" cm="1">
        <f t="array" ref="K161">Common_InputFunctions.Utility_DisplayArrayInTable(SourceData_PastureBeef.SourceData_PastureBeef_LiveweightGain_Data(), Table_SourceData_PastureBeef_LiveweightGain[[#Headers],[State]],0)</f>
        <v>-0.55000000000000004</v>
      </c>
      <c r="L161" s="37" cm="1">
        <f t="array" ref="L161">Common_InputFunctions.Utility_DisplayArrayInTable(SourceData_PastureBeef.SourceData_PastureBeef_LiveweightGain_Data(), Table_SourceData_PastureBeef_LiveweightGain[[#Headers],[State]],0)</f>
        <v>0.8</v>
      </c>
      <c r="M161" s="37"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7" t="str" cm="1">
        <f t="array" ref="E162">Common_InputFunctions.Utility_DisplayArrayInTable(SourceData_PastureBeef.SourceData_PastureBeef_LiveweightGain_Data(), Table_SourceData_PastureBeef_LiveweightGain[[#Headers],[State]],0)</f>
        <v>n/a</v>
      </c>
      <c r="F162" s="37" t="str" cm="1">
        <f t="array" ref="F162">Common_InputFunctions.Utility_DisplayArrayInTable(SourceData_PastureBeef.SourceData_PastureBeef_LiveweightGain_Data(), Table_SourceData_PastureBeef_LiveweightGain[[#Headers],[State]],0)</f>
        <v>Winter</v>
      </c>
      <c r="G162" s="37" cm="1">
        <f t="array" ref="G162">Common_InputFunctions.Utility_DisplayArrayInTable(SourceData_PastureBeef.SourceData_PastureBeef_LiveweightGain_Data(), Table_SourceData_PastureBeef_LiveweightGain[[#Headers],[State]],0)</f>
        <v>0.88</v>
      </c>
      <c r="H162" s="37" cm="1">
        <f t="array" ref="H162">Common_InputFunctions.Utility_DisplayArrayInTable(SourceData_PastureBeef.SourceData_PastureBeef_LiveweightGain_Data(), Table_SourceData_PastureBeef_LiveweightGain[[#Headers],[State]],0)</f>
        <v>0</v>
      </c>
      <c r="I162" s="37" cm="1">
        <f t="array" ref="I162">Common_InputFunctions.Utility_DisplayArrayInTable(SourceData_PastureBeef.SourceData_PastureBeef_LiveweightGain_Data(), Table_SourceData_PastureBeef_LiveweightGain[[#Headers],[State]],0)</f>
        <v>0.77</v>
      </c>
      <c r="J162" s="37" cm="1">
        <f t="array" ref="J162">Common_InputFunctions.Utility_DisplayArrayInTable(SourceData_PastureBeef.SourceData_PastureBeef_LiveweightGain_Data(), Table_SourceData_PastureBeef_LiveweightGain[[#Headers],[State]],0)</f>
        <v>0.55000000000000004</v>
      </c>
      <c r="K162" s="37" cm="1">
        <f t="array" ref="K162">Common_InputFunctions.Utility_DisplayArrayInTable(SourceData_PastureBeef.SourceData_PastureBeef_LiveweightGain_Data(), Table_SourceData_PastureBeef_LiveweightGain[[#Headers],[State]],0)</f>
        <v>0</v>
      </c>
      <c r="L162" s="37" cm="1">
        <f t="array" ref="L162">Common_InputFunctions.Utility_DisplayArrayInTable(SourceData_PastureBeef.SourceData_PastureBeef_LiveweightGain_Data(), Table_SourceData_PastureBeef_LiveweightGain[[#Headers],[State]],0)</f>
        <v>0.82</v>
      </c>
      <c r="M162" s="37"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7" t="str" cm="1">
        <f t="array" ref="E163">Common_InputFunctions.Utility_DisplayArrayInTable(SourceData_PastureBeef.SourceData_PastureBeef_LiveweightGain_Data(), Table_SourceData_PastureBeef_LiveweightGain[[#Headers],[State]],0)</f>
        <v>n/a</v>
      </c>
      <c r="F163" s="37" t="str" cm="1">
        <f t="array" ref="F163">Common_InputFunctions.Utility_DisplayArrayInTable(SourceData_PastureBeef.SourceData_PastureBeef_LiveweightGain_Data(), Table_SourceData_PastureBeef_LiveweightGain[[#Headers],[State]],0)</f>
        <v>Spring</v>
      </c>
      <c r="G163" s="37" cm="1">
        <f t="array" ref="G163">Common_InputFunctions.Utility_DisplayArrayInTable(SourceData_PastureBeef.SourceData_PastureBeef_LiveweightGain_Data(), Table_SourceData_PastureBeef_LiveweightGain[[#Headers],[State]],0)</f>
        <v>1</v>
      </c>
      <c r="H163" s="37" cm="1">
        <f t="array" ref="H163">Common_InputFunctions.Utility_DisplayArrayInTable(SourceData_PastureBeef.SourceData_PastureBeef_LiveweightGain_Data(), Table_SourceData_PastureBeef_LiveweightGain[[#Headers],[State]],0)</f>
        <v>0.5</v>
      </c>
      <c r="I163" s="37" cm="1">
        <f t="array" ref="I163">Common_InputFunctions.Utility_DisplayArrayInTable(SourceData_PastureBeef.SourceData_PastureBeef_LiveweightGain_Data(), Table_SourceData_PastureBeef_LiveweightGain[[#Headers],[State]],0)</f>
        <v>1</v>
      </c>
      <c r="J163" s="37" cm="1">
        <f t="array" ref="J163">Common_InputFunctions.Utility_DisplayArrayInTable(SourceData_PastureBeef.SourceData_PastureBeef_LiveweightGain_Data(), Table_SourceData_PastureBeef_LiveweightGain[[#Headers],[State]],0)</f>
        <v>1</v>
      </c>
      <c r="K163" s="37" cm="1">
        <f t="array" ref="K163">Common_InputFunctions.Utility_DisplayArrayInTable(SourceData_PastureBeef.SourceData_PastureBeef_LiveweightGain_Data(), Table_SourceData_PastureBeef_LiveweightGain[[#Headers],[State]],0)</f>
        <v>-0.44</v>
      </c>
      <c r="L163" s="37" cm="1">
        <f t="array" ref="L163">Common_InputFunctions.Utility_DisplayArrayInTable(SourceData_PastureBeef.SourceData_PastureBeef_LiveweightGain_Data(), Table_SourceData_PastureBeef_LiveweightGain[[#Headers],[State]],0)</f>
        <v>1</v>
      </c>
      <c r="M163" s="37"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7" t="str" cm="1">
        <f t="array" ref="E164">Common_InputFunctions.Utility_DisplayArrayInTable(SourceData_PastureBeef.SourceData_PastureBeef_LiveweightGain_Data(), Table_SourceData_PastureBeef_LiveweightGain[[#Headers],[State]],0)</f>
        <v>n/a</v>
      </c>
      <c r="F164" s="37" t="str" cm="1">
        <f t="array" ref="F164">Common_InputFunctions.Utility_DisplayArrayInTable(SourceData_PastureBeef.SourceData_PastureBeef_LiveweightGain_Data(), Table_SourceData_PastureBeef_LiveweightGain[[#Headers],[State]],0)</f>
        <v>Summer</v>
      </c>
      <c r="G164" s="37" cm="1">
        <f t="array" ref="G164">Common_InputFunctions.Utility_DisplayArrayInTable(SourceData_PastureBeef.SourceData_PastureBeef_LiveweightGain_Data(), Table_SourceData_PastureBeef_LiveweightGain[[#Headers],[State]],0)</f>
        <v>0.82</v>
      </c>
      <c r="H164" s="37" cm="1">
        <f t="array" ref="H164">Common_InputFunctions.Utility_DisplayArrayInTable(SourceData_PastureBeef.SourceData_PastureBeef_LiveweightGain_Data(), Table_SourceData_PastureBeef_LiveweightGain[[#Headers],[State]],0)</f>
        <v>0.55000000000000004</v>
      </c>
      <c r="I164" s="37" cm="1">
        <f t="array" ref="I164">Common_InputFunctions.Utility_DisplayArrayInTable(SourceData_PastureBeef.SourceData_PastureBeef_LiveweightGain_Data(), Table_SourceData_PastureBeef_LiveweightGain[[#Headers],[State]],0)</f>
        <v>0.71</v>
      </c>
      <c r="J164" s="37" cm="1">
        <f t="array" ref="J164">Common_InputFunctions.Utility_DisplayArrayInTable(SourceData_PastureBeef.SourceData_PastureBeef_LiveweightGain_Data(), Table_SourceData_PastureBeef_LiveweightGain[[#Headers],[State]],0)</f>
        <v>0.55000000000000004</v>
      </c>
      <c r="K164" s="37" cm="1">
        <f t="array" ref="K164">Common_InputFunctions.Utility_DisplayArrayInTable(SourceData_PastureBeef.SourceData_PastureBeef_LiveweightGain_Data(), Table_SourceData_PastureBeef_LiveweightGain[[#Headers],[State]],0)</f>
        <v>0.99</v>
      </c>
      <c r="L164" s="37" cm="1">
        <f t="array" ref="L164">Common_InputFunctions.Utility_DisplayArrayInTable(SourceData_PastureBeef.SourceData_PastureBeef_LiveweightGain_Data(), Table_SourceData_PastureBeef_LiveweightGain[[#Headers],[State]],0)</f>
        <v>0.77</v>
      </c>
      <c r="M164" s="37"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7" t="str" cm="1">
        <f t="array" ref="E165">Common_InputFunctions.Utility_DisplayArrayInTable(SourceData_PastureBeef.SourceData_PastureBeef_LiveweightGain_Data(), Table_SourceData_PastureBeef_LiveweightGain[[#Headers],[State]],0)</f>
        <v>n/a</v>
      </c>
      <c r="F165" s="37" t="str" cm="1">
        <f t="array" ref="F165">Common_InputFunctions.Utility_DisplayArrayInTable(SourceData_PastureBeef.SourceData_PastureBeef_LiveweightGain_Data(), Table_SourceData_PastureBeef_LiveweightGain[[#Headers],[State]],0)</f>
        <v>Autumn</v>
      </c>
      <c r="G165" s="37" cm="1">
        <f t="array" ref="G165">Common_InputFunctions.Utility_DisplayArrayInTable(SourceData_PastureBeef.SourceData_PastureBeef_LiveweightGain_Data(), Table_SourceData_PastureBeef_LiveweightGain[[#Headers],[State]],0)</f>
        <v>0.77</v>
      </c>
      <c r="H165" s="37" cm="1">
        <f t="array" ref="H165">Common_InputFunctions.Utility_DisplayArrayInTable(SourceData_PastureBeef.SourceData_PastureBeef_LiveweightGain_Data(), Table_SourceData_PastureBeef_LiveweightGain[[#Headers],[State]],0)</f>
        <v>0.5</v>
      </c>
      <c r="I165" s="37" cm="1">
        <f t="array" ref="I165">Common_InputFunctions.Utility_DisplayArrayInTable(SourceData_PastureBeef.SourceData_PastureBeef_LiveweightGain_Data(), Table_SourceData_PastureBeef_LiveweightGain[[#Headers],[State]],0)</f>
        <v>0.55000000000000004</v>
      </c>
      <c r="J165" s="37" cm="1">
        <f t="array" ref="J165">Common_InputFunctions.Utility_DisplayArrayInTable(SourceData_PastureBeef.SourceData_PastureBeef_LiveweightGain_Data(), Table_SourceData_PastureBeef_LiveweightGain[[#Headers],[State]],0)</f>
        <v>0.11</v>
      </c>
      <c r="K165" s="37" cm="1">
        <f t="array" ref="K165">Common_InputFunctions.Utility_DisplayArrayInTable(SourceData_PastureBeef.SourceData_PastureBeef_LiveweightGain_Data(), Table_SourceData_PastureBeef_LiveweightGain[[#Headers],[State]],0)</f>
        <v>-0.33</v>
      </c>
      <c r="L165" s="37" cm="1">
        <f t="array" ref="L165">Common_InputFunctions.Utility_DisplayArrayInTable(SourceData_PastureBeef.SourceData_PastureBeef_LiveweightGain_Data(), Table_SourceData_PastureBeef_LiveweightGain[[#Headers],[State]],0)</f>
        <v>0.6</v>
      </c>
      <c r="M165" s="37"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7" t="str" cm="1">
        <f t="array" ref="E166">Common_InputFunctions.Utility_DisplayArrayInTable(SourceData_PastureBeef.SourceData_PastureBeef_LiveweightGain_Data(), Table_SourceData_PastureBeef_LiveweightGain[[#Headers],[State]],0)</f>
        <v>n/a</v>
      </c>
      <c r="F166" s="37" t="str" cm="1">
        <f t="array" ref="F166">Common_InputFunctions.Utility_DisplayArrayInTable(SourceData_PastureBeef.SourceData_PastureBeef_LiveweightGain_Data(), Table_SourceData_PastureBeef_LiveweightGain[[#Headers],[State]],0)</f>
        <v>Winter</v>
      </c>
      <c r="G166" s="37" cm="1">
        <f t="array" ref="G166">Common_InputFunctions.Utility_DisplayArrayInTable(SourceData_PastureBeef.SourceData_PastureBeef_LiveweightGain_Data(), Table_SourceData_PastureBeef_LiveweightGain[[#Headers],[State]],0)</f>
        <v>0.11</v>
      </c>
      <c r="H166" s="37" cm="1">
        <f t="array" ref="H166">Common_InputFunctions.Utility_DisplayArrayInTable(SourceData_PastureBeef.SourceData_PastureBeef_LiveweightGain_Data(), Table_SourceData_PastureBeef_LiveweightGain[[#Headers],[State]],0)</f>
        <v>-0.27</v>
      </c>
      <c r="I166" s="37" cm="1">
        <f t="array" ref="I166">Common_InputFunctions.Utility_DisplayArrayInTable(SourceData_PastureBeef.SourceData_PastureBeef_LiveweightGain_Data(), Table_SourceData_PastureBeef_LiveweightGain[[#Headers],[State]],0)</f>
        <v>0.11</v>
      </c>
      <c r="J166" s="37" cm="1">
        <f t="array" ref="J166">Common_InputFunctions.Utility_DisplayArrayInTable(SourceData_PastureBeef.SourceData_PastureBeef_LiveweightGain_Data(), Table_SourceData_PastureBeef_LiveweightGain[[#Headers],[State]],0)</f>
        <v>0.22</v>
      </c>
      <c r="K166" s="37" cm="1">
        <f t="array" ref="K166">Common_InputFunctions.Utility_DisplayArrayInTable(SourceData_PastureBeef.SourceData_PastureBeef_LiveweightGain_Data(), Table_SourceData_PastureBeef_LiveweightGain[[#Headers],[State]],0)</f>
        <v>-0.44</v>
      </c>
      <c r="L166" s="37" cm="1">
        <f t="array" ref="L166">Common_InputFunctions.Utility_DisplayArrayInTable(SourceData_PastureBeef.SourceData_PastureBeef_LiveweightGain_Data(), Table_SourceData_PastureBeef_LiveweightGain[[#Headers],[State]],0)</f>
        <v>0.16</v>
      </c>
      <c r="M166" s="37"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7" t="str" cm="1">
        <f t="array" ref="E167">Common_InputFunctions.Utility_DisplayArrayInTable(SourceData_PastureBeef.SourceData_PastureBeef_LiveweightGain_Data(), Table_SourceData_PastureBeef_LiveweightGain[[#Headers],[State]],0)</f>
        <v>n/a</v>
      </c>
      <c r="F167" s="37" t="str" cm="1">
        <f t="array" ref="F167">Common_InputFunctions.Utility_DisplayArrayInTable(SourceData_PastureBeef.SourceData_PastureBeef_LiveweightGain_Data(), Table_SourceData_PastureBeef_LiveweightGain[[#Headers],[State]],0)</f>
        <v>Spring</v>
      </c>
      <c r="G167" s="37" cm="1">
        <f t="array" ref="G167">Common_InputFunctions.Utility_DisplayArrayInTable(SourceData_PastureBeef.SourceData_PastureBeef_LiveweightGain_Data(), Table_SourceData_PastureBeef_LiveweightGain[[#Headers],[State]],0)</f>
        <v>1.1000000000000001</v>
      </c>
      <c r="H167" s="37" cm="1">
        <f t="array" ref="H167">Common_InputFunctions.Utility_DisplayArrayInTable(SourceData_PastureBeef.SourceData_PastureBeef_LiveweightGain_Data(), Table_SourceData_PastureBeef_LiveweightGain[[#Headers],[State]],0)</f>
        <v>1.1000000000000001</v>
      </c>
      <c r="I167" s="37" cm="1">
        <f t="array" ref="I167">Common_InputFunctions.Utility_DisplayArrayInTable(SourceData_PastureBeef.SourceData_PastureBeef_LiveweightGain_Data(), Table_SourceData_PastureBeef_LiveweightGain[[#Headers],[State]],0)</f>
        <v>1.1000000000000001</v>
      </c>
      <c r="J167" s="37" cm="1">
        <f t="array" ref="J167">Common_InputFunctions.Utility_DisplayArrayInTable(SourceData_PastureBeef.SourceData_PastureBeef_LiveweightGain_Data(), Table_SourceData_PastureBeef_LiveweightGain[[#Headers],[State]],0)</f>
        <v>0.99</v>
      </c>
      <c r="K167" s="37" cm="1">
        <f t="array" ref="K167">Common_InputFunctions.Utility_DisplayArrayInTable(SourceData_PastureBeef.SourceData_PastureBeef_LiveweightGain_Data(), Table_SourceData_PastureBeef_LiveweightGain[[#Headers],[State]],0)</f>
        <v>0.99</v>
      </c>
      <c r="L167" s="37" cm="1">
        <f t="array" ref="L167">Common_InputFunctions.Utility_DisplayArrayInTable(SourceData_PastureBeef.SourceData_PastureBeef_LiveweightGain_Data(), Table_SourceData_PastureBeef_LiveweightGain[[#Headers],[State]],0)</f>
        <v>1.1000000000000001</v>
      </c>
      <c r="M167" s="37"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7" t="str" cm="1">
        <f t="array" ref="E168">Common_InputFunctions.Utility_DisplayArrayInTable(SourceData_PastureBeef.SourceData_PastureBeef_LiveweightGain_Data(), Table_SourceData_PastureBeef_LiveweightGain[[#Headers],[State]],0)</f>
        <v>n/a</v>
      </c>
      <c r="F168" s="37" t="str" cm="1">
        <f t="array" ref="F168">Common_InputFunctions.Utility_DisplayArrayInTable(SourceData_PastureBeef.SourceData_PastureBeef_LiveweightGain_Data(), Table_SourceData_PastureBeef_LiveweightGain[[#Headers],[State]],0)</f>
        <v>Summer</v>
      </c>
      <c r="G168" s="37" cm="1">
        <f t="array" ref="G168">Common_InputFunctions.Utility_DisplayArrayInTable(SourceData_PastureBeef.SourceData_PastureBeef_LiveweightGain_Data(), Table_SourceData_PastureBeef_LiveweightGain[[#Headers],[State]],0)</f>
        <v>0.33</v>
      </c>
      <c r="H168" s="37" cm="1">
        <f t="array" ref="H168">Common_InputFunctions.Utility_DisplayArrayInTable(SourceData_PastureBeef.SourceData_PastureBeef_LiveweightGain_Data(), Table_SourceData_PastureBeef_LiveweightGain[[#Headers],[State]],0)</f>
        <v>0.33</v>
      </c>
      <c r="I168" s="37" cm="1">
        <f t="array" ref="I168">Common_InputFunctions.Utility_DisplayArrayInTable(SourceData_PastureBeef.SourceData_PastureBeef_LiveweightGain_Data(), Table_SourceData_PastureBeef_LiveweightGain[[#Headers],[State]],0)</f>
        <v>0.22</v>
      </c>
      <c r="J168" s="37" cm="1">
        <f t="array" ref="J168">Common_InputFunctions.Utility_DisplayArrayInTable(SourceData_PastureBeef.SourceData_PastureBeef_LiveweightGain_Data(), Table_SourceData_PastureBeef_LiveweightGain[[#Headers],[State]],0)</f>
        <v>0.33</v>
      </c>
      <c r="K168" s="37" cm="1">
        <f t="array" ref="K168">Common_InputFunctions.Utility_DisplayArrayInTable(SourceData_PastureBeef.SourceData_PastureBeef_LiveweightGain_Data(), Table_SourceData_PastureBeef_LiveweightGain[[#Headers],[State]],0)</f>
        <v>-0.1</v>
      </c>
      <c r="L168" s="37" cm="1">
        <f t="array" ref="L168">Common_InputFunctions.Utility_DisplayArrayInTable(SourceData_PastureBeef.SourceData_PastureBeef_LiveweightGain_Data(), Table_SourceData_PastureBeef_LiveweightGain[[#Headers],[State]],0)</f>
        <v>0.33</v>
      </c>
      <c r="M168" s="37"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7" t="str" cm="1">
        <f t="array" ref="E169">Common_InputFunctions.Utility_DisplayArrayInTable(SourceData_PastureBeef.SourceData_PastureBeef_LiveweightGain_Data(), Table_SourceData_PastureBeef_LiveweightGain[[#Headers],[State]],0)</f>
        <v>n/a</v>
      </c>
      <c r="F169" s="37" t="str" cm="1">
        <f t="array" ref="F169">Common_InputFunctions.Utility_DisplayArrayInTable(SourceData_PastureBeef.SourceData_PastureBeef_LiveweightGain_Data(), Table_SourceData_PastureBeef_LiveweightGain[[#Headers],[State]],0)</f>
        <v>Autumn</v>
      </c>
      <c r="G169" s="37" cm="1">
        <f t="array" ref="G169">Common_InputFunctions.Utility_DisplayArrayInTable(SourceData_PastureBeef.SourceData_PastureBeef_LiveweightGain_Data(), Table_SourceData_PastureBeef_LiveweightGain[[#Headers],[State]],0)</f>
        <v>0.5</v>
      </c>
      <c r="H169" s="37" cm="1">
        <f t="array" ref="H169">Common_InputFunctions.Utility_DisplayArrayInTable(SourceData_PastureBeef.SourceData_PastureBeef_LiveweightGain_Data(), Table_SourceData_PastureBeef_LiveweightGain[[#Headers],[State]],0)</f>
        <v>0.2</v>
      </c>
      <c r="I169" s="37" cm="1">
        <f t="array" ref="I169">Common_InputFunctions.Utility_DisplayArrayInTable(SourceData_PastureBeef.SourceData_PastureBeef_LiveweightGain_Data(), Table_SourceData_PastureBeef_LiveweightGain[[#Headers],[State]],0)</f>
        <v>0.55000000000000004</v>
      </c>
      <c r="J169" s="37" cm="1">
        <f t="array" ref="J169">Common_InputFunctions.Utility_DisplayArrayInTable(SourceData_PastureBeef.SourceData_PastureBeef_LiveweightGain_Data(), Table_SourceData_PastureBeef_LiveweightGain[[#Headers],[State]],0)</f>
        <v>0.44</v>
      </c>
      <c r="K169" s="37" cm="1">
        <f t="array" ref="K169">Common_InputFunctions.Utility_DisplayArrayInTable(SourceData_PastureBeef.SourceData_PastureBeef_LiveweightGain_Data(), Table_SourceData_PastureBeef_LiveweightGain[[#Headers],[State]],0)</f>
        <v>0.2</v>
      </c>
      <c r="L169" s="37" cm="1">
        <f t="array" ref="L169">Common_InputFunctions.Utility_DisplayArrayInTable(SourceData_PastureBeef.SourceData_PastureBeef_LiveweightGain_Data(), Table_SourceData_PastureBeef_LiveweightGain[[#Headers],[State]],0)</f>
        <v>0.55000000000000004</v>
      </c>
      <c r="M169" s="37"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7" t="str" cm="1">
        <f t="array" ref="E170">Common_InputFunctions.Utility_DisplayArrayInTable(SourceData_PastureBeef.SourceData_PastureBeef_LiveweightGain_Data(), Table_SourceData_PastureBeef_LiveweightGain[[#Headers],[State]],0)</f>
        <v>n/a</v>
      </c>
      <c r="F170" s="37" t="str" cm="1">
        <f t="array" ref="F170">Common_InputFunctions.Utility_DisplayArrayInTable(SourceData_PastureBeef.SourceData_PastureBeef_LiveweightGain_Data(), Table_SourceData_PastureBeef_LiveweightGain[[#Headers],[State]],0)</f>
        <v>Winter</v>
      </c>
      <c r="G170" s="37" cm="1">
        <f t="array" ref="G170">Common_InputFunctions.Utility_DisplayArrayInTable(SourceData_PastureBeef.SourceData_PastureBeef_LiveweightGain_Data(), Table_SourceData_PastureBeef_LiveweightGain[[#Headers],[State]],0)</f>
        <v>0.55000000000000004</v>
      </c>
      <c r="H170" s="37" cm="1">
        <f t="array" ref="H170">Common_InputFunctions.Utility_DisplayArrayInTable(SourceData_PastureBeef.SourceData_PastureBeef_LiveweightGain_Data(), Table_SourceData_PastureBeef_LiveweightGain[[#Headers],[State]],0)</f>
        <v>0.22</v>
      </c>
      <c r="I170" s="37" cm="1">
        <f t="array" ref="I170">Common_InputFunctions.Utility_DisplayArrayInTable(SourceData_PastureBeef.SourceData_PastureBeef_LiveweightGain_Data(), Table_SourceData_PastureBeef_LiveweightGain[[#Headers],[State]],0)</f>
        <v>0.49</v>
      </c>
      <c r="J170" s="37" cm="1">
        <f t="array" ref="J170">Common_InputFunctions.Utility_DisplayArrayInTable(SourceData_PastureBeef.SourceData_PastureBeef_LiveweightGain_Data(), Table_SourceData_PastureBeef_LiveweightGain[[#Headers],[State]],0)</f>
        <v>0.22</v>
      </c>
      <c r="K170" s="37" cm="1">
        <f t="array" ref="K170">Common_InputFunctions.Utility_DisplayArrayInTable(SourceData_PastureBeef.SourceData_PastureBeef_LiveweightGain_Data(), Table_SourceData_PastureBeef_LiveweightGain[[#Headers],[State]],0)</f>
        <v>0.22</v>
      </c>
      <c r="L170" s="37" cm="1">
        <f t="array" ref="L170">Common_InputFunctions.Utility_DisplayArrayInTable(SourceData_PastureBeef.SourceData_PastureBeef_LiveweightGain_Data(), Table_SourceData_PastureBeef_LiveweightGain[[#Headers],[State]],0)</f>
        <v>0.49</v>
      </c>
      <c r="M170" s="37"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7" t="str" cm="1">
        <f t="array" ref="E171">Common_InputFunctions.Utility_DisplayArrayInTable(SourceData_PastureBeef.SourceData_PastureBeef_LiveweightGain_Data(), Table_SourceData_PastureBeef_LiveweightGain[[#Headers],[State]],0)</f>
        <v>South West</v>
      </c>
      <c r="F171" s="37" t="str" cm="1">
        <f t="array" ref="F171">Common_InputFunctions.Utility_DisplayArrayInTable(SourceData_PastureBeef.SourceData_PastureBeef_LiveweightGain_Data(), Table_SourceData_PastureBeef_LiveweightGain[[#Headers],[State]],0)</f>
        <v>Spring</v>
      </c>
      <c r="G171" s="37" cm="1">
        <f t="array" ref="G171">Common_InputFunctions.Utility_DisplayArrayInTable(SourceData_PastureBeef.SourceData_PastureBeef_LiveweightGain_Data(), Table_SourceData_PastureBeef_LiveweightGain[[#Headers],[State]],0)</f>
        <v>1.64</v>
      </c>
      <c r="H171" s="37" cm="1">
        <f t="array" ref="H171">Common_InputFunctions.Utility_DisplayArrayInTable(SourceData_PastureBeef.SourceData_PastureBeef_LiveweightGain_Data(), Table_SourceData_PastureBeef_LiveweightGain[[#Headers],[State]],0)</f>
        <v>1.1000000000000001</v>
      </c>
      <c r="I171" s="37" cm="1">
        <f t="array" ref="I171">Common_InputFunctions.Utility_DisplayArrayInTable(SourceData_PastureBeef.SourceData_PastureBeef_LiveweightGain_Data(), Table_SourceData_PastureBeef_LiveweightGain[[#Headers],[State]],0)</f>
        <v>1.21</v>
      </c>
      <c r="J171" s="37" cm="1">
        <f t="array" ref="J171">Common_InputFunctions.Utility_DisplayArrayInTable(SourceData_PastureBeef.SourceData_PastureBeef_LiveweightGain_Data(), Table_SourceData_PastureBeef_LiveweightGain[[#Headers],[State]],0)</f>
        <v>0.99</v>
      </c>
      <c r="K171" s="37" cm="1">
        <f t="array" ref="K171">Common_InputFunctions.Utility_DisplayArrayInTable(SourceData_PastureBeef.SourceData_PastureBeef_LiveweightGain_Data(), Table_SourceData_PastureBeef_LiveweightGain[[#Headers],[State]],0)</f>
        <v>0.66</v>
      </c>
      <c r="L171" s="37" cm="1">
        <f t="array" ref="L171">Common_InputFunctions.Utility_DisplayArrayInTable(SourceData_PastureBeef.SourceData_PastureBeef_LiveweightGain_Data(), Table_SourceData_PastureBeef_LiveweightGain[[#Headers],[State]],0)</f>
        <v>1.42</v>
      </c>
      <c r="M171" s="37"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7" t="str" cm="1">
        <f t="array" ref="E172">Common_InputFunctions.Utility_DisplayArrayInTable(SourceData_PastureBeef.SourceData_PastureBeef_LiveweightGain_Data(), Table_SourceData_PastureBeef_LiveweightGain[[#Headers],[State]],0)</f>
        <v>South West</v>
      </c>
      <c r="F172" s="37" t="str" cm="1">
        <f t="array" ref="F172">Common_InputFunctions.Utility_DisplayArrayInTable(SourceData_PastureBeef.SourceData_PastureBeef_LiveweightGain_Data(), Table_SourceData_PastureBeef_LiveweightGain[[#Headers],[State]],0)</f>
        <v>Summer</v>
      </c>
      <c r="G172" s="37" cm="1">
        <f t="array" ref="G172">Common_InputFunctions.Utility_DisplayArrayInTable(SourceData_PastureBeef.SourceData_PastureBeef_LiveweightGain_Data(), Table_SourceData_PastureBeef_LiveweightGain[[#Headers],[State]],0)</f>
        <v>0.44</v>
      </c>
      <c r="H172" s="37" cm="1">
        <f t="array" ref="H172">Common_InputFunctions.Utility_DisplayArrayInTable(SourceData_PastureBeef.SourceData_PastureBeef_LiveweightGain_Data(), Table_SourceData_PastureBeef_LiveweightGain[[#Headers],[State]],0)</f>
        <v>-0.22</v>
      </c>
      <c r="I172" s="37" cm="1">
        <f t="array" ref="I172">Common_InputFunctions.Utility_DisplayArrayInTable(SourceData_PastureBeef.SourceData_PastureBeef_LiveweightGain_Data(), Table_SourceData_PastureBeef_LiveweightGain[[#Headers],[State]],0)</f>
        <v>0.44</v>
      </c>
      <c r="J172" s="37" cm="1">
        <f t="array" ref="J172">Common_InputFunctions.Utility_DisplayArrayInTable(SourceData_PastureBeef.SourceData_PastureBeef_LiveweightGain_Data(), Table_SourceData_PastureBeef_LiveweightGain[[#Headers],[State]],0)</f>
        <v>0.33</v>
      </c>
      <c r="K172" s="37" cm="1">
        <f t="array" ref="K172">Common_InputFunctions.Utility_DisplayArrayInTable(SourceData_PastureBeef.SourceData_PastureBeef_LiveweightGain_Data(), Table_SourceData_PastureBeef_LiveweightGain[[#Headers],[State]],0)</f>
        <v>-0.22</v>
      </c>
      <c r="L172" s="37" cm="1">
        <f t="array" ref="L172">Common_InputFunctions.Utility_DisplayArrayInTable(SourceData_PastureBeef.SourceData_PastureBeef_LiveweightGain_Data(), Table_SourceData_PastureBeef_LiveweightGain[[#Headers],[State]],0)</f>
        <v>0.44</v>
      </c>
      <c r="M172" s="37"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7" t="str" cm="1">
        <f t="array" ref="E173">Common_InputFunctions.Utility_DisplayArrayInTable(SourceData_PastureBeef.SourceData_PastureBeef_LiveweightGain_Data(), Table_SourceData_PastureBeef_LiveweightGain[[#Headers],[State]],0)</f>
        <v>South West</v>
      </c>
      <c r="F173" s="37" t="str" cm="1">
        <f t="array" ref="F173">Common_InputFunctions.Utility_DisplayArrayInTable(SourceData_PastureBeef.SourceData_PastureBeef_LiveweightGain_Data(), Table_SourceData_PastureBeef_LiveweightGain[[#Headers],[State]],0)</f>
        <v>Autumn</v>
      </c>
      <c r="G173" s="37" cm="1">
        <f t="array" ref="G173">Common_InputFunctions.Utility_DisplayArrayInTable(SourceData_PastureBeef.SourceData_PastureBeef_LiveweightGain_Data(), Table_SourceData_PastureBeef_LiveweightGain[[#Headers],[State]],0)</f>
        <v>0.6</v>
      </c>
      <c r="H173" s="37" cm="1">
        <f t="array" ref="H173">Common_InputFunctions.Utility_DisplayArrayInTable(SourceData_PastureBeef.SourceData_PastureBeef_LiveweightGain_Data(), Table_SourceData_PastureBeef_LiveweightGain[[#Headers],[State]],0)</f>
        <v>0</v>
      </c>
      <c r="I173" s="37" cm="1">
        <f t="array" ref="I173">Common_InputFunctions.Utility_DisplayArrayInTable(SourceData_PastureBeef.SourceData_PastureBeef_LiveweightGain_Data(), Table_SourceData_PastureBeef_LiveweightGain[[#Headers],[State]],0)</f>
        <v>0.6</v>
      </c>
      <c r="J173" s="37" cm="1">
        <f t="array" ref="J173">Common_InputFunctions.Utility_DisplayArrayInTable(SourceData_PastureBeef.SourceData_PastureBeef_LiveweightGain_Data(), Table_SourceData_PastureBeef_LiveweightGain[[#Headers],[State]],0)</f>
        <v>0.22</v>
      </c>
      <c r="K173" s="37" cm="1">
        <f t="array" ref="K173">Common_InputFunctions.Utility_DisplayArrayInTable(SourceData_PastureBeef.SourceData_PastureBeef_LiveweightGain_Data(), Table_SourceData_PastureBeef_LiveweightGain[[#Headers],[State]],0)</f>
        <v>-0.55000000000000004</v>
      </c>
      <c r="L173" s="37" cm="1">
        <f t="array" ref="L173">Common_InputFunctions.Utility_DisplayArrayInTable(SourceData_PastureBeef.SourceData_PastureBeef_LiveweightGain_Data(), Table_SourceData_PastureBeef_LiveweightGain[[#Headers],[State]],0)</f>
        <v>0.6</v>
      </c>
      <c r="M173" s="37"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7" t="str" cm="1">
        <f t="array" ref="E174">Common_InputFunctions.Utility_DisplayArrayInTable(SourceData_PastureBeef.SourceData_PastureBeef_LiveweightGain_Data(), Table_SourceData_PastureBeef_LiveweightGain[[#Headers],[State]],0)</f>
        <v>South West</v>
      </c>
      <c r="F174" s="37" t="str" cm="1">
        <f t="array" ref="F174">Common_InputFunctions.Utility_DisplayArrayInTable(SourceData_PastureBeef.SourceData_PastureBeef_LiveweightGain_Data(), Table_SourceData_PastureBeef_LiveweightGain[[#Headers],[State]],0)</f>
        <v>Winter</v>
      </c>
      <c r="G174" s="37" cm="1">
        <f t="array" ref="G174">Common_InputFunctions.Utility_DisplayArrayInTable(SourceData_PastureBeef.SourceData_PastureBeef_LiveweightGain_Data(), Table_SourceData_PastureBeef_LiveweightGain[[#Headers],[State]],0)</f>
        <v>0.99</v>
      </c>
      <c r="H174" s="37" cm="1">
        <f t="array" ref="H174">Common_InputFunctions.Utility_DisplayArrayInTable(SourceData_PastureBeef.SourceData_PastureBeef_LiveweightGain_Data(), Table_SourceData_PastureBeef_LiveweightGain[[#Headers],[State]],0)</f>
        <v>0.22</v>
      </c>
      <c r="I174" s="37" cm="1">
        <f t="array" ref="I174">Common_InputFunctions.Utility_DisplayArrayInTable(SourceData_PastureBeef.SourceData_PastureBeef_LiveweightGain_Data(), Table_SourceData_PastureBeef_LiveweightGain[[#Headers],[State]],0)</f>
        <v>0.77</v>
      </c>
      <c r="J174" s="37" cm="1">
        <f t="array" ref="J174">Common_InputFunctions.Utility_DisplayArrayInTable(SourceData_PastureBeef.SourceData_PastureBeef_LiveweightGain_Data(), Table_SourceData_PastureBeef_LiveweightGain[[#Headers],[State]],0)</f>
        <v>0.11</v>
      </c>
      <c r="K174" s="37" cm="1">
        <f t="array" ref="K174">Common_InputFunctions.Utility_DisplayArrayInTable(SourceData_PastureBeef.SourceData_PastureBeef_LiveweightGain_Data(), Table_SourceData_PastureBeef_LiveweightGain[[#Headers],[State]],0)</f>
        <v>0.11</v>
      </c>
      <c r="L174" s="37" cm="1">
        <f t="array" ref="L174">Common_InputFunctions.Utility_DisplayArrayInTable(SourceData_PastureBeef.SourceData_PastureBeef_LiveweightGain_Data(), Table_SourceData_PastureBeef_LiveweightGain[[#Headers],[State]],0)</f>
        <v>0.77</v>
      </c>
      <c r="M174" s="37"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7" t="str" cm="1">
        <f t="array" ref="E175">Common_InputFunctions.Utility_DisplayArrayInTable(SourceData_PastureBeef.SourceData_PastureBeef_LiveweightGain_Data(), Table_SourceData_PastureBeef_LiveweightGain[[#Headers],[State]],0)</f>
        <v>Pilbara</v>
      </c>
      <c r="F175" s="37" t="str" cm="1">
        <f t="array" ref="F175">Common_InputFunctions.Utility_DisplayArrayInTable(SourceData_PastureBeef.SourceData_PastureBeef_LiveweightGain_Data(), Table_SourceData_PastureBeef_LiveweightGain[[#Headers],[State]],0)</f>
        <v>Spring</v>
      </c>
      <c r="G175" s="37" cm="1">
        <f t="array" ref="G175">Common_InputFunctions.Utility_DisplayArrayInTable(SourceData_PastureBeef.SourceData_PastureBeef_LiveweightGain_Data(), Table_SourceData_PastureBeef_LiveweightGain[[#Headers],[State]],0)</f>
        <v>0.7</v>
      </c>
      <c r="H175" s="37" cm="1">
        <f t="array" ref="H175">Common_InputFunctions.Utility_DisplayArrayInTable(SourceData_PastureBeef.SourceData_PastureBeef_LiveweightGain_Data(), Table_SourceData_PastureBeef_LiveweightGain[[#Headers],[State]],0)</f>
        <v>-0.55000000000000004</v>
      </c>
      <c r="I175" s="37" cm="1">
        <f t="array" ref="I175">Common_InputFunctions.Utility_DisplayArrayInTable(SourceData_PastureBeef.SourceData_PastureBeef_LiveweightGain_Data(), Table_SourceData_PastureBeef_LiveweightGain[[#Headers],[State]],0)</f>
        <v>0.7</v>
      </c>
      <c r="J175" s="37" cm="1">
        <f t="array" ref="J175">Common_InputFunctions.Utility_DisplayArrayInTable(SourceData_PastureBeef.SourceData_PastureBeef_LiveweightGain_Data(), Table_SourceData_PastureBeef_LiveweightGain[[#Headers],[State]],0)</f>
        <v>0.22</v>
      </c>
      <c r="K175" s="37" cm="1">
        <f t="array" ref="K175">Common_InputFunctions.Utility_DisplayArrayInTable(SourceData_PastureBeef.SourceData_PastureBeef_LiveweightGain_Data(), Table_SourceData_PastureBeef_LiveweightGain[[#Headers],[State]],0)</f>
        <v>-0.22</v>
      </c>
      <c r="L175" s="37" cm="1">
        <f t="array" ref="L175">Common_InputFunctions.Utility_DisplayArrayInTable(SourceData_PastureBeef.SourceData_PastureBeef_LiveweightGain_Data(), Table_SourceData_PastureBeef_LiveweightGain[[#Headers],[State]],0)</f>
        <v>0.7</v>
      </c>
      <c r="M175" s="37"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7" t="str" cm="1">
        <f t="array" ref="E176">Common_InputFunctions.Utility_DisplayArrayInTable(SourceData_PastureBeef.SourceData_PastureBeef_LiveweightGain_Data(), Table_SourceData_PastureBeef_LiveweightGain[[#Headers],[State]],0)</f>
        <v>Pilbara</v>
      </c>
      <c r="F176" s="37" t="str" cm="1">
        <f t="array" ref="F176">Common_InputFunctions.Utility_DisplayArrayInTable(SourceData_PastureBeef.SourceData_PastureBeef_LiveweightGain_Data(), Table_SourceData_PastureBeef_LiveweightGain[[#Headers],[State]],0)</f>
        <v>Summer</v>
      </c>
      <c r="G176" s="37" cm="1">
        <f t="array" ref="G176">Common_InputFunctions.Utility_DisplayArrayInTable(SourceData_PastureBeef.SourceData_PastureBeef_LiveweightGain_Data(), Table_SourceData_PastureBeef_LiveweightGain[[#Headers],[State]],0)</f>
        <v>0.77</v>
      </c>
      <c r="H176" s="37" cm="1">
        <f t="array" ref="H176">Common_InputFunctions.Utility_DisplayArrayInTable(SourceData_PastureBeef.SourceData_PastureBeef_LiveweightGain_Data(), Table_SourceData_PastureBeef_LiveweightGain[[#Headers],[State]],0)</f>
        <v>0.55000000000000004</v>
      </c>
      <c r="I176" s="37" cm="1">
        <f t="array" ref="I176">Common_InputFunctions.Utility_DisplayArrayInTable(SourceData_PastureBeef.SourceData_PastureBeef_LiveweightGain_Data(), Table_SourceData_PastureBeef_LiveweightGain[[#Headers],[State]],0)</f>
        <v>0.77</v>
      </c>
      <c r="J176" s="37" cm="1">
        <f t="array" ref="J176">Common_InputFunctions.Utility_DisplayArrayInTable(SourceData_PastureBeef.SourceData_PastureBeef_LiveweightGain_Data(), Table_SourceData_PastureBeef_LiveweightGain[[#Headers],[State]],0)</f>
        <v>0.66</v>
      </c>
      <c r="K176" s="37" cm="1">
        <f t="array" ref="K176">Common_InputFunctions.Utility_DisplayArrayInTable(SourceData_PastureBeef.SourceData_PastureBeef_LiveweightGain_Data(), Table_SourceData_PastureBeef_LiveweightGain[[#Headers],[State]],0)</f>
        <v>0.55000000000000004</v>
      </c>
      <c r="L176" s="37" cm="1">
        <f t="array" ref="L176">Common_InputFunctions.Utility_DisplayArrayInTable(SourceData_PastureBeef.SourceData_PastureBeef_LiveweightGain_Data(), Table_SourceData_PastureBeef_LiveweightGain[[#Headers],[State]],0)</f>
        <v>0.77</v>
      </c>
      <c r="M176" s="37"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7" t="str" cm="1">
        <f t="array" ref="E177">Common_InputFunctions.Utility_DisplayArrayInTable(SourceData_PastureBeef.SourceData_PastureBeef_LiveweightGain_Data(), Table_SourceData_PastureBeef_LiveweightGain[[#Headers],[State]],0)</f>
        <v>Pilbara</v>
      </c>
      <c r="F177" s="37" t="str" cm="1">
        <f t="array" ref="F177">Common_InputFunctions.Utility_DisplayArrayInTable(SourceData_PastureBeef.SourceData_PastureBeef_LiveweightGain_Data(), Table_SourceData_PastureBeef_LiveweightGain[[#Headers],[State]],0)</f>
        <v>Autumn</v>
      </c>
      <c r="G177" s="37" cm="1">
        <f t="array" ref="G177">Common_InputFunctions.Utility_DisplayArrayInTable(SourceData_PastureBeef.SourceData_PastureBeef_LiveweightGain_Data(), Table_SourceData_PastureBeef_LiveweightGain[[#Headers],[State]],0)</f>
        <v>0.88</v>
      </c>
      <c r="H177" s="37" cm="1">
        <f t="array" ref="H177">Common_InputFunctions.Utility_DisplayArrayInTable(SourceData_PastureBeef.SourceData_PastureBeef_LiveweightGain_Data(), Table_SourceData_PastureBeef_LiveweightGain[[#Headers],[State]],0)</f>
        <v>0.55000000000000004</v>
      </c>
      <c r="I177" s="37" cm="1">
        <f t="array" ref="I177">Common_InputFunctions.Utility_DisplayArrayInTable(SourceData_PastureBeef.SourceData_PastureBeef_LiveweightGain_Data(), Table_SourceData_PastureBeef_LiveweightGain[[#Headers],[State]],0)</f>
        <v>0.88</v>
      </c>
      <c r="J177" s="37" cm="1">
        <f t="array" ref="J177">Common_InputFunctions.Utility_DisplayArrayInTable(SourceData_PastureBeef.SourceData_PastureBeef_LiveweightGain_Data(), Table_SourceData_PastureBeef_LiveweightGain[[#Headers],[State]],0)</f>
        <v>0.22</v>
      </c>
      <c r="K177" s="37" cm="1">
        <f t="array" ref="K177">Common_InputFunctions.Utility_DisplayArrayInTable(SourceData_PastureBeef.SourceData_PastureBeef_LiveweightGain_Data(), Table_SourceData_PastureBeef_LiveweightGain[[#Headers],[State]],0)</f>
        <v>0.22</v>
      </c>
      <c r="L177" s="37" cm="1">
        <f t="array" ref="L177">Common_InputFunctions.Utility_DisplayArrayInTable(SourceData_PastureBeef.SourceData_PastureBeef_LiveweightGain_Data(), Table_SourceData_PastureBeef_LiveweightGain[[#Headers],[State]],0)</f>
        <v>0.88</v>
      </c>
      <c r="M177" s="37"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7" t="str" cm="1">
        <f t="array" ref="E178">Common_InputFunctions.Utility_DisplayArrayInTable(SourceData_PastureBeef.SourceData_PastureBeef_LiveweightGain_Data(), Table_SourceData_PastureBeef_LiveweightGain[[#Headers],[State]],0)</f>
        <v>Pilbara</v>
      </c>
      <c r="F178" s="37" t="str" cm="1">
        <f t="array" ref="F178">Common_InputFunctions.Utility_DisplayArrayInTable(SourceData_PastureBeef.SourceData_PastureBeef_LiveweightGain_Data(), Table_SourceData_PastureBeef_LiveweightGain[[#Headers],[State]],0)</f>
        <v>Winter</v>
      </c>
      <c r="G178" s="37" cm="1">
        <f t="array" ref="G178">Common_InputFunctions.Utility_DisplayArrayInTable(SourceData_PastureBeef.SourceData_PastureBeef_LiveweightGain_Data(), Table_SourceData_PastureBeef_LiveweightGain[[#Headers],[State]],0)</f>
        <v>0.22</v>
      </c>
      <c r="H178" s="37" cm="1">
        <f t="array" ref="H178">Common_InputFunctions.Utility_DisplayArrayInTable(SourceData_PastureBeef.SourceData_PastureBeef_LiveweightGain_Data(), Table_SourceData_PastureBeef_LiveweightGain[[#Headers],[State]],0)</f>
        <v>-0.55000000000000004</v>
      </c>
      <c r="I178" s="37" cm="1">
        <f t="array" ref="I178">Common_InputFunctions.Utility_DisplayArrayInTable(SourceData_PastureBeef.SourceData_PastureBeef_LiveweightGain_Data(), Table_SourceData_PastureBeef_LiveweightGain[[#Headers],[State]],0)</f>
        <v>0.22</v>
      </c>
      <c r="J178" s="37" cm="1">
        <f t="array" ref="J178">Common_InputFunctions.Utility_DisplayArrayInTable(SourceData_PastureBeef.SourceData_PastureBeef_LiveweightGain_Data(), Table_SourceData_PastureBeef_LiveweightGain[[#Headers],[State]],0)</f>
        <v>0.11</v>
      </c>
      <c r="K178" s="37" cm="1">
        <f t="array" ref="K178">Common_InputFunctions.Utility_DisplayArrayInTable(SourceData_PastureBeef.SourceData_PastureBeef_LiveweightGain_Data(), Table_SourceData_PastureBeef_LiveweightGain[[#Headers],[State]],0)</f>
        <v>-0.22</v>
      </c>
      <c r="L178" s="37" cm="1">
        <f t="array" ref="L178">Common_InputFunctions.Utility_DisplayArrayInTable(SourceData_PastureBeef.SourceData_PastureBeef_LiveweightGain_Data(), Table_SourceData_PastureBeef_LiveweightGain[[#Headers],[State]],0)</f>
        <v>0.22</v>
      </c>
      <c r="M178" s="37"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7" t="str" cm="1">
        <f t="array" ref="E179">Common_InputFunctions.Utility_DisplayArrayInTable(SourceData_PastureBeef.SourceData_PastureBeef_LiveweightGain_Data(), Table_SourceData_PastureBeef_LiveweightGain[[#Headers],[State]],0)</f>
        <v>Kimberley</v>
      </c>
      <c r="F179" s="37" t="str" cm="1">
        <f t="array" ref="F179">Common_InputFunctions.Utility_DisplayArrayInTable(SourceData_PastureBeef.SourceData_PastureBeef_LiveweightGain_Data(), Table_SourceData_PastureBeef_LiveweightGain[[#Headers],[State]],0)</f>
        <v>Spring</v>
      </c>
      <c r="G179" s="37" cm="1">
        <f t="array" ref="G179">Common_InputFunctions.Utility_DisplayArrayInTable(SourceData_PastureBeef.SourceData_PastureBeef_LiveweightGain_Data(), Table_SourceData_PastureBeef_LiveweightGain[[#Headers],[State]],0)</f>
        <v>0.22</v>
      </c>
      <c r="H179" s="37" cm="1">
        <f t="array" ref="H179">Common_InputFunctions.Utility_DisplayArrayInTable(SourceData_PastureBeef.SourceData_PastureBeef_LiveweightGain_Data(), Table_SourceData_PastureBeef_LiveweightGain[[#Headers],[State]],0)</f>
        <v>-0.55000000000000004</v>
      </c>
      <c r="I179" s="37" cm="1">
        <f t="array" ref="I179">Common_InputFunctions.Utility_DisplayArrayInTable(SourceData_PastureBeef.SourceData_PastureBeef_LiveweightGain_Data(), Table_SourceData_PastureBeef_LiveweightGain[[#Headers],[State]],0)</f>
        <v>0.33</v>
      </c>
      <c r="J179" s="37" cm="1">
        <f t="array" ref="J179">Common_InputFunctions.Utility_DisplayArrayInTable(SourceData_PastureBeef.SourceData_PastureBeef_LiveweightGain_Data(), Table_SourceData_PastureBeef_LiveweightGain[[#Headers],[State]],0)</f>
        <v>0.22</v>
      </c>
      <c r="K179" s="37" cm="1">
        <f t="array" ref="K179">Common_InputFunctions.Utility_DisplayArrayInTable(SourceData_PastureBeef.SourceData_PastureBeef_LiveweightGain_Data(), Table_SourceData_PastureBeef_LiveweightGain[[#Headers],[State]],0)</f>
        <v>-0.33</v>
      </c>
      <c r="L179" s="37" cm="1">
        <f t="array" ref="L179">Common_InputFunctions.Utility_DisplayArrayInTable(SourceData_PastureBeef.SourceData_PastureBeef_LiveweightGain_Data(), Table_SourceData_PastureBeef_LiveweightGain[[#Headers],[State]],0)</f>
        <v>0.22</v>
      </c>
      <c r="M179" s="37"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7" t="str" cm="1">
        <f t="array" ref="E180">Common_InputFunctions.Utility_DisplayArrayInTable(SourceData_PastureBeef.SourceData_PastureBeef_LiveweightGain_Data(), Table_SourceData_PastureBeef_LiveweightGain[[#Headers],[State]],0)</f>
        <v>Kimberley</v>
      </c>
      <c r="F180" s="37" t="str" cm="1">
        <f t="array" ref="F180">Common_InputFunctions.Utility_DisplayArrayInTable(SourceData_PastureBeef.SourceData_PastureBeef_LiveweightGain_Data(), Table_SourceData_PastureBeef_LiveweightGain[[#Headers],[State]],0)</f>
        <v>Summer</v>
      </c>
      <c r="G180" s="37" cm="1">
        <f t="array" ref="G180">Common_InputFunctions.Utility_DisplayArrayInTable(SourceData_PastureBeef.SourceData_PastureBeef_LiveweightGain_Data(), Table_SourceData_PastureBeef_LiveweightGain[[#Headers],[State]],0)</f>
        <v>0.8</v>
      </c>
      <c r="H180" s="37" cm="1">
        <f t="array" ref="H180">Common_InputFunctions.Utility_DisplayArrayInTable(SourceData_PastureBeef.SourceData_PastureBeef_LiveweightGain_Data(), Table_SourceData_PastureBeef_LiveweightGain[[#Headers],[State]],0)</f>
        <v>0.55000000000000004</v>
      </c>
      <c r="I180" s="37" cm="1">
        <f t="array" ref="I180">Common_InputFunctions.Utility_DisplayArrayInTable(SourceData_PastureBeef.SourceData_PastureBeef_LiveweightGain_Data(), Table_SourceData_PastureBeef_LiveweightGain[[#Headers],[State]],0)</f>
        <v>0.7</v>
      </c>
      <c r="J180" s="37" cm="1">
        <f t="array" ref="J180">Common_InputFunctions.Utility_DisplayArrayInTable(SourceData_PastureBeef.SourceData_PastureBeef_LiveweightGain_Data(), Table_SourceData_PastureBeef_LiveweightGain[[#Headers],[State]],0)</f>
        <v>0.44</v>
      </c>
      <c r="K180" s="37" cm="1">
        <f t="array" ref="K180">Common_InputFunctions.Utility_DisplayArrayInTable(SourceData_PastureBeef.SourceData_PastureBeef_LiveweightGain_Data(), Table_SourceData_PastureBeef_LiveweightGain[[#Headers],[State]],0)</f>
        <v>0.66</v>
      </c>
      <c r="L180" s="37" cm="1">
        <f t="array" ref="L180">Common_InputFunctions.Utility_DisplayArrayInTable(SourceData_PastureBeef.SourceData_PastureBeef_LiveweightGain_Data(), Table_SourceData_PastureBeef_LiveweightGain[[#Headers],[State]],0)</f>
        <v>0.8</v>
      </c>
      <c r="M180" s="37"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7" t="str" cm="1">
        <f t="array" ref="E181">Common_InputFunctions.Utility_DisplayArrayInTable(SourceData_PastureBeef.SourceData_PastureBeef_LiveweightGain_Data(), Table_SourceData_PastureBeef_LiveweightGain[[#Headers],[State]],0)</f>
        <v>Kimberley</v>
      </c>
      <c r="F181" s="37" t="str" cm="1">
        <f t="array" ref="F181">Common_InputFunctions.Utility_DisplayArrayInTable(SourceData_PastureBeef.SourceData_PastureBeef_LiveweightGain_Data(), Table_SourceData_PastureBeef_LiveweightGain[[#Headers],[State]],0)</f>
        <v>Autumn</v>
      </c>
      <c r="G181" s="37" cm="1">
        <f t="array" ref="G181">Common_InputFunctions.Utility_DisplayArrayInTable(SourceData_PastureBeef.SourceData_PastureBeef_LiveweightGain_Data(), Table_SourceData_PastureBeef_LiveweightGain[[#Headers],[State]],0)</f>
        <v>0.66</v>
      </c>
      <c r="H181" s="37" cm="1">
        <f t="array" ref="H181">Common_InputFunctions.Utility_DisplayArrayInTable(SourceData_PastureBeef.SourceData_PastureBeef_LiveweightGain_Data(), Table_SourceData_PastureBeef_LiveweightGain[[#Headers],[State]],0)</f>
        <v>0.55000000000000004</v>
      </c>
      <c r="I181" s="37" cm="1">
        <f t="array" ref="I181">Common_InputFunctions.Utility_DisplayArrayInTable(SourceData_PastureBeef.SourceData_PastureBeef_LiveweightGain_Data(), Table_SourceData_PastureBeef_LiveweightGain[[#Headers],[State]],0)</f>
        <v>0.55000000000000004</v>
      </c>
      <c r="J181" s="37" cm="1">
        <f t="array" ref="J181">Common_InputFunctions.Utility_DisplayArrayInTable(SourceData_PastureBeef.SourceData_PastureBeef_LiveweightGain_Data(), Table_SourceData_PastureBeef_LiveweightGain[[#Headers],[State]],0)</f>
        <v>0.55000000000000004</v>
      </c>
      <c r="K181" s="37" cm="1">
        <f t="array" ref="K181">Common_InputFunctions.Utility_DisplayArrayInTable(SourceData_PastureBeef.SourceData_PastureBeef_LiveweightGain_Data(), Table_SourceData_PastureBeef_LiveweightGain[[#Headers],[State]],0)</f>
        <v>0.11</v>
      </c>
      <c r="L181" s="37" cm="1">
        <f t="array" ref="L181">Common_InputFunctions.Utility_DisplayArrayInTable(SourceData_PastureBeef.SourceData_PastureBeef_LiveweightGain_Data(), Table_SourceData_PastureBeef_LiveweightGain[[#Headers],[State]],0)</f>
        <v>0.66</v>
      </c>
      <c r="M181" s="37"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7" t="str" cm="1">
        <f t="array" ref="E182">Common_InputFunctions.Utility_DisplayArrayInTable(SourceData_PastureBeef.SourceData_PastureBeef_LiveweightGain_Data(), Table_SourceData_PastureBeef_LiveweightGain[[#Headers],[State]],0)</f>
        <v>Kimberley</v>
      </c>
      <c r="F182" s="37" t="str" cm="1">
        <f t="array" ref="F182">Common_InputFunctions.Utility_DisplayArrayInTable(SourceData_PastureBeef.SourceData_PastureBeef_LiveweightGain_Data(), Table_SourceData_PastureBeef_LiveweightGain[[#Headers],[State]],0)</f>
        <v>Winter</v>
      </c>
      <c r="G182" s="37" cm="1">
        <f t="array" ref="G182">Common_InputFunctions.Utility_DisplayArrayInTable(SourceData_PastureBeef.SourceData_PastureBeef_LiveweightGain_Data(), Table_SourceData_PastureBeef_LiveweightGain[[#Headers],[State]],0)</f>
        <v>0.33</v>
      </c>
      <c r="H182" s="37" cm="1">
        <f t="array" ref="H182">Common_InputFunctions.Utility_DisplayArrayInTable(SourceData_PastureBeef.SourceData_PastureBeef_LiveweightGain_Data(), Table_SourceData_PastureBeef_LiveweightGain[[#Headers],[State]],0)</f>
        <v>-0.55000000000000004</v>
      </c>
      <c r="I182" s="37" cm="1">
        <f t="array" ref="I182">Common_InputFunctions.Utility_DisplayArrayInTable(SourceData_PastureBeef.SourceData_PastureBeef_LiveweightGain_Data(), Table_SourceData_PastureBeef_LiveweightGain[[#Headers],[State]],0)</f>
        <v>0.11</v>
      </c>
      <c r="J182" s="37" cm="1">
        <f t="array" ref="J182">Common_InputFunctions.Utility_DisplayArrayInTable(SourceData_PastureBeef.SourceData_PastureBeef_LiveweightGain_Data(), Table_SourceData_PastureBeef_LiveweightGain[[#Headers],[State]],0)</f>
        <v>0.11</v>
      </c>
      <c r="K182" s="37" cm="1">
        <f t="array" ref="K182">Common_InputFunctions.Utility_DisplayArrayInTable(SourceData_PastureBeef.SourceData_PastureBeef_LiveweightGain_Data(), Table_SourceData_PastureBeef_LiveweightGain[[#Headers],[State]],0)</f>
        <v>-0.44</v>
      </c>
      <c r="L182" s="37" cm="1">
        <f t="array" ref="L182">Common_InputFunctions.Utility_DisplayArrayInTable(SourceData_PastureBeef.SourceData_PastureBeef_LiveweightGain_Data(), Table_SourceData_PastureBeef_LiveweightGain[[#Headers],[State]],0)</f>
        <v>0.33</v>
      </c>
      <c r="M182" s="37"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4" t="str" cm="1">
        <f t="array" ref="D188">SourceData_PastureBeef.SourceData_PastureBeef_LiveweightGainNTQLD_Unit()</f>
        <v>kg</v>
      </c>
      <c r="M188" s="1"/>
    </row>
    <row r="189" spans="4:16" x14ac:dyDescent="0.25">
      <c r="D189" s="37" t="s">
        <v>8</v>
      </c>
      <c r="E189" s="37" t="s">
        <v>183</v>
      </c>
      <c r="F189" s="37" t="s">
        <v>184</v>
      </c>
      <c r="G189" s="37" t="s">
        <v>203</v>
      </c>
      <c r="H189" s="37" t="s">
        <v>192</v>
      </c>
      <c r="I189" s="37" t="s">
        <v>224</v>
      </c>
      <c r="J189" s="37" t="s">
        <v>188</v>
      </c>
      <c r="K189" s="37" t="s">
        <v>227</v>
      </c>
      <c r="L189" s="37" t="s">
        <v>228</v>
      </c>
      <c r="M189" s="37" t="s">
        <v>197</v>
      </c>
      <c r="N189" s="37" t="s">
        <v>198</v>
      </c>
      <c r="O189" s="37" t="s">
        <v>199</v>
      </c>
      <c r="P189" s="37" t="s">
        <v>200</v>
      </c>
    </row>
    <row r="190" spans="4:16" x14ac:dyDescent="0.25">
      <c r="D190" s="37" t="str" cm="1">
        <f t="array" ref="D190">Common_InputFunctions.Utility_DisplayArrayInTable(SourceData_PastureBeef.SourceData_PastureBeef_LiveweightGainNTQLD_Data(),Table_SourceData_PastureBeef_LiveweightGainNTQLD[[#Headers],[State]],0)</f>
        <v>Northern Territory</v>
      </c>
      <c r="E190" s="37" t="str" cm="1">
        <f t="array" ref="E190">Common_InputFunctions.Utility_DisplayArrayInTable(SourceData_PastureBeef.SourceData_PastureBeef_LiveweightGainNTQLD_Data(),Table_SourceData_PastureBeef_LiveweightGainNTQLD[[#Headers],[State]],0)</f>
        <v>Alice Springs</v>
      </c>
      <c r="F190" s="37" t="str" cm="1">
        <f t="array" ref="F190">Common_InputFunctions.Utility_DisplayArrayInTable(SourceData_PastureBeef.SourceData_PastureBeef_LiveweightGainNTQLD_Data(),Table_SourceData_PastureBeef_LiveweightGainNTQLD[[#Headers],[State]],0)</f>
        <v>Spring</v>
      </c>
      <c r="G190" s="37" cm="1">
        <f t="array" ref="G190">Common_InputFunctions.Utility_DisplayArrayInTable(SourceData_PastureBeef.SourceData_PastureBeef_LiveweightGainNTQLD_Data(),Table_SourceData_PastureBeef_LiveweightGainNTQLD[[#Headers],[State]],0)</f>
        <v>0.22</v>
      </c>
      <c r="H190" s="37" cm="1">
        <f t="array" ref="H190">Common_InputFunctions.Utility_DisplayArrayInTable(SourceData_PastureBeef.SourceData_PastureBeef_LiveweightGainNTQLD_Data(),Table_SourceData_PastureBeef_LiveweightGainNTQLD[[#Headers],[State]],0)</f>
        <v>-0.23</v>
      </c>
      <c r="I190" s="37" cm="1">
        <f t="array" ref="I190">Common_InputFunctions.Utility_DisplayArrayInTable(SourceData_PastureBeef.SourceData_PastureBeef_LiveweightGainNTQLD_Data(),Table_SourceData_PastureBeef_LiveweightGainNTQLD[[#Headers],[State]],0)</f>
        <v>0.25</v>
      </c>
      <c r="J190" s="37" cm="1">
        <f t="array" ref="J190">Common_InputFunctions.Utility_DisplayArrayInTable(SourceData_PastureBeef.SourceData_PastureBeef_LiveweightGainNTQLD_Data(),Table_SourceData_PastureBeef_LiveweightGainNTQLD[[#Headers],[State]],0)</f>
        <v>0.17</v>
      </c>
      <c r="K190" s="37" cm="1">
        <f t="array" ref="K190">Common_InputFunctions.Utility_DisplayArrayInTable(SourceData_PastureBeef.SourceData_PastureBeef_LiveweightGainNTQLD_Data(),Table_SourceData_PastureBeef_LiveweightGainNTQLD[[#Headers],[State]],0)</f>
        <v>0.18</v>
      </c>
      <c r="L190" s="37" cm="1">
        <f t="array" ref="L190">Common_InputFunctions.Utility_DisplayArrayInTable(SourceData_PastureBeef.SourceData_PastureBeef_LiveweightGainNTQLD_Data(),Table_SourceData_PastureBeef_LiveweightGainNTQLD[[#Headers],[State]],0)</f>
        <v>-0.28000000000000003</v>
      </c>
      <c r="M190" s="37" cm="1">
        <f t="array" ref="M190">Common_InputFunctions.Utility_DisplayArrayInTable(SourceData_PastureBeef.SourceData_PastureBeef_LiveweightGainNTQLD_Data(),Table_SourceData_PastureBeef_LiveweightGainNTQLD[[#Headers],[State]],0)</f>
        <v>0.32</v>
      </c>
      <c r="N190" s="37" cm="1">
        <f t="array" ref="N190">Common_InputFunctions.Utility_DisplayArrayInTable(SourceData_PastureBeef.SourceData_PastureBeef_LiveweightGainNTQLD_Data(),Table_SourceData_PastureBeef_LiveweightGainNTQLD[[#Headers],[State]],0)</f>
        <v>0.24</v>
      </c>
      <c r="O190" s="37" cm="1">
        <f t="array" ref="O190">Common_InputFunctions.Utility_DisplayArrayInTable(SourceData_PastureBeef.SourceData_PastureBeef_LiveweightGainNTQLD_Data(),Table_SourceData_PastureBeef_LiveweightGainNTQLD[[#Headers],[State]],0)</f>
        <v>0.25</v>
      </c>
      <c r="P190" s="37"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7" t="str" cm="1">
        <f t="array" ref="E191">Common_InputFunctions.Utility_DisplayArrayInTable(SourceData_PastureBeef.SourceData_PastureBeef_LiveweightGainNTQLD_Data(),Table_SourceData_PastureBeef_LiveweightGainNTQLD[[#Headers],[State]],0)</f>
        <v>Alice Springs</v>
      </c>
      <c r="F191" s="37" t="str" cm="1">
        <f t="array" ref="F191">Common_InputFunctions.Utility_DisplayArrayInTable(SourceData_PastureBeef.SourceData_PastureBeef_LiveweightGainNTQLD_Data(),Table_SourceData_PastureBeef_LiveweightGainNTQLD[[#Headers],[State]],0)</f>
        <v>Summer</v>
      </c>
      <c r="G191" s="37" cm="1">
        <f t="array" ref="G191">Common_InputFunctions.Utility_DisplayArrayInTable(SourceData_PastureBeef.SourceData_PastureBeef_LiveweightGainNTQLD_Data(),Table_SourceData_PastureBeef_LiveweightGainNTQLD[[#Headers],[State]],0)</f>
        <v>0.66</v>
      </c>
      <c r="H191" s="37" cm="1">
        <f t="array" ref="H191">Common_InputFunctions.Utility_DisplayArrayInTable(SourceData_PastureBeef.SourceData_PastureBeef_LiveweightGainNTQLD_Data(),Table_SourceData_PastureBeef_LiveweightGainNTQLD[[#Headers],[State]],0)</f>
        <v>0.2</v>
      </c>
      <c r="I191" s="37" cm="1">
        <f t="array" ref="I191">Common_InputFunctions.Utility_DisplayArrayInTable(SourceData_PastureBeef.SourceData_PastureBeef_LiveweightGainNTQLD_Data(),Table_SourceData_PastureBeef_LiveweightGainNTQLD[[#Headers],[State]],0)</f>
        <v>0.62</v>
      </c>
      <c r="J191" s="37" cm="1">
        <f t="array" ref="J191">Common_InputFunctions.Utility_DisplayArrayInTable(SourceData_PastureBeef.SourceData_PastureBeef_LiveweightGainNTQLD_Data(),Table_SourceData_PastureBeef_LiveweightGainNTQLD[[#Headers],[State]],0)</f>
        <v>0.54</v>
      </c>
      <c r="K191" s="37" cm="1">
        <f t="array" ref="K191">Common_InputFunctions.Utility_DisplayArrayInTable(SourceData_PastureBeef.SourceData_PastureBeef_LiveweightGainNTQLD_Data(),Table_SourceData_PastureBeef_LiveweightGainNTQLD[[#Headers],[State]],0)</f>
        <v>0.38</v>
      </c>
      <c r="L191" s="37" cm="1">
        <f t="array" ref="L191">Common_InputFunctions.Utility_DisplayArrayInTable(SourceData_PastureBeef.SourceData_PastureBeef_LiveweightGainNTQLD_Data(),Table_SourceData_PastureBeef_LiveweightGainNTQLD[[#Headers],[State]],0)</f>
        <v>0.27</v>
      </c>
      <c r="M191" s="37" cm="1">
        <f t="array" ref="M191">Common_InputFunctions.Utility_DisplayArrayInTable(SourceData_PastureBeef.SourceData_PastureBeef_LiveweightGainNTQLD_Data(),Table_SourceData_PastureBeef_LiveweightGainNTQLD[[#Headers],[State]],0)</f>
        <v>0.75</v>
      </c>
      <c r="N191" s="37" cm="1">
        <f t="array" ref="N191">Common_InputFunctions.Utility_DisplayArrayInTable(SourceData_PastureBeef.SourceData_PastureBeef_LiveweightGainNTQLD_Data(),Table_SourceData_PastureBeef_LiveweightGainNTQLD[[#Headers],[State]],0)</f>
        <v>0.64</v>
      </c>
      <c r="O191" s="37" cm="1">
        <f t="array" ref="O191">Common_InputFunctions.Utility_DisplayArrayInTable(SourceData_PastureBeef.SourceData_PastureBeef_LiveweightGainNTQLD_Data(),Table_SourceData_PastureBeef_LiveweightGainNTQLD[[#Headers],[State]],0)</f>
        <v>0.55000000000000004</v>
      </c>
      <c r="P191" s="37"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7" t="str" cm="1">
        <f t="array" ref="E192">Common_InputFunctions.Utility_DisplayArrayInTable(SourceData_PastureBeef.SourceData_PastureBeef_LiveweightGainNTQLD_Data(),Table_SourceData_PastureBeef_LiveweightGainNTQLD[[#Headers],[State]],0)</f>
        <v>Alice Springs</v>
      </c>
      <c r="F192" s="37" t="str" cm="1">
        <f t="array" ref="F192">Common_InputFunctions.Utility_DisplayArrayInTable(SourceData_PastureBeef.SourceData_PastureBeef_LiveweightGainNTQLD_Data(),Table_SourceData_PastureBeef_LiveweightGainNTQLD[[#Headers],[State]],0)</f>
        <v>Autumn</v>
      </c>
      <c r="G192" s="37" cm="1">
        <f t="array" ref="G192">Common_InputFunctions.Utility_DisplayArrayInTable(SourceData_PastureBeef.SourceData_PastureBeef_LiveweightGainNTQLD_Data(),Table_SourceData_PastureBeef_LiveweightGainNTQLD[[#Headers],[State]],0)</f>
        <v>0.49</v>
      </c>
      <c r="H192" s="37" cm="1">
        <f t="array" ref="H192">Common_InputFunctions.Utility_DisplayArrayInTable(SourceData_PastureBeef.SourceData_PastureBeef_LiveweightGainNTQLD_Data(),Table_SourceData_PastureBeef_LiveweightGainNTQLD[[#Headers],[State]],0)</f>
        <v>0.13</v>
      </c>
      <c r="I192" s="37" cm="1">
        <f t="array" ref="I192">Common_InputFunctions.Utility_DisplayArrayInTable(SourceData_PastureBeef.SourceData_PastureBeef_LiveweightGainNTQLD_Data(),Table_SourceData_PastureBeef_LiveweightGainNTQLD[[#Headers],[State]],0)</f>
        <v>0.54</v>
      </c>
      <c r="J192" s="37" cm="1">
        <f t="array" ref="J192">Common_InputFunctions.Utility_DisplayArrayInTable(SourceData_PastureBeef.SourceData_PastureBeef_LiveweightGainNTQLD_Data(),Table_SourceData_PastureBeef_LiveweightGainNTQLD[[#Headers],[State]],0)</f>
        <v>0.45</v>
      </c>
      <c r="K192" s="37" cm="1">
        <f t="array" ref="K192">Common_InputFunctions.Utility_DisplayArrayInTable(SourceData_PastureBeef.SourceData_PastureBeef_LiveweightGainNTQLD_Data(),Table_SourceData_PastureBeef_LiveweightGainNTQLD[[#Headers],[State]],0)</f>
        <v>0.35</v>
      </c>
      <c r="L192" s="37" cm="1">
        <f t="array" ref="L192">Common_InputFunctions.Utility_DisplayArrayInTable(SourceData_PastureBeef.SourceData_PastureBeef_LiveweightGainNTQLD_Data(),Table_SourceData_PastureBeef_LiveweightGainNTQLD[[#Headers],[State]],0)</f>
        <v>0.15</v>
      </c>
      <c r="M192" s="37" cm="1">
        <f t="array" ref="M192">Common_InputFunctions.Utility_DisplayArrayInTable(SourceData_PastureBeef.SourceData_PastureBeef_LiveweightGainNTQLD_Data(),Table_SourceData_PastureBeef_LiveweightGainNTQLD[[#Headers],[State]],0)</f>
        <v>0.63</v>
      </c>
      <c r="N192" s="37" cm="1">
        <f t="array" ref="N192">Common_InputFunctions.Utility_DisplayArrayInTable(SourceData_PastureBeef.SourceData_PastureBeef_LiveweightGainNTQLD_Data(),Table_SourceData_PastureBeef_LiveweightGainNTQLD[[#Headers],[State]],0)</f>
        <v>0.54</v>
      </c>
      <c r="O192" s="37" cm="1">
        <f t="array" ref="O192">Common_InputFunctions.Utility_DisplayArrayInTable(SourceData_PastureBeef.SourceData_PastureBeef_LiveweightGainNTQLD_Data(),Table_SourceData_PastureBeef_LiveweightGainNTQLD[[#Headers],[State]],0)</f>
        <v>0.42</v>
      </c>
      <c r="P192" s="37"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7" t="str" cm="1">
        <f t="array" ref="E193">Common_InputFunctions.Utility_DisplayArrayInTable(SourceData_PastureBeef.SourceData_PastureBeef_LiveweightGainNTQLD_Data(),Table_SourceData_PastureBeef_LiveweightGainNTQLD[[#Headers],[State]],0)</f>
        <v>Alice Springs</v>
      </c>
      <c r="F193" s="37" t="str" cm="1">
        <f t="array" ref="F193">Common_InputFunctions.Utility_DisplayArrayInTable(SourceData_PastureBeef.SourceData_PastureBeef_LiveweightGainNTQLD_Data(),Table_SourceData_PastureBeef_LiveweightGainNTQLD[[#Headers],[State]],0)</f>
        <v>Winter</v>
      </c>
      <c r="G193" s="37" cm="1">
        <f t="array" ref="G193">Common_InputFunctions.Utility_DisplayArrayInTable(SourceData_PastureBeef.SourceData_PastureBeef_LiveweightGainNTQLD_Data(),Table_SourceData_PastureBeef_LiveweightGainNTQLD[[#Headers],[State]],0)</f>
        <v>0.27</v>
      </c>
      <c r="H193" s="37" cm="1">
        <f t="array" ref="H193">Common_InputFunctions.Utility_DisplayArrayInTable(SourceData_PastureBeef.SourceData_PastureBeef_LiveweightGainNTQLD_Data(),Table_SourceData_PastureBeef_LiveweightGainNTQLD[[#Headers],[State]],0)</f>
        <v>-0.8</v>
      </c>
      <c r="I193" s="37" cm="1">
        <f t="array" ref="I193">Common_InputFunctions.Utility_DisplayArrayInTable(SourceData_PastureBeef.SourceData_PastureBeef_LiveweightGainNTQLD_Data(),Table_SourceData_PastureBeef_LiveweightGainNTQLD[[#Headers],[State]],0)</f>
        <v>0.22</v>
      </c>
      <c r="J193" s="37" cm="1">
        <f t="array" ref="J193">Common_InputFunctions.Utility_DisplayArrayInTable(SourceData_PastureBeef.SourceData_PastureBeef_LiveweightGainNTQLD_Data(),Table_SourceData_PastureBeef_LiveweightGainNTQLD[[#Headers],[State]],0)</f>
        <v>0.09</v>
      </c>
      <c r="K193" s="37" cm="1">
        <f t="array" ref="K193">Common_InputFunctions.Utility_DisplayArrayInTable(SourceData_PastureBeef.SourceData_PastureBeef_LiveweightGainNTQLD_Data(),Table_SourceData_PastureBeef_LiveweightGainNTQLD[[#Headers],[State]],0)</f>
        <v>0.12</v>
      </c>
      <c r="L193" s="37" cm="1">
        <f t="array" ref="L193">Common_InputFunctions.Utility_DisplayArrayInTable(SourceData_PastureBeef.SourceData_PastureBeef_LiveweightGainNTQLD_Data(),Table_SourceData_PastureBeef_LiveweightGainNTQLD[[#Headers],[State]],0)</f>
        <v>0.02</v>
      </c>
      <c r="M193" s="37" cm="1">
        <f t="array" ref="M193">Common_InputFunctions.Utility_DisplayArrayInTable(SourceData_PastureBeef.SourceData_PastureBeef_LiveweightGainNTQLD_Data(),Table_SourceData_PastureBeef_LiveweightGainNTQLD[[#Headers],[State]],0)</f>
        <v>0.25</v>
      </c>
      <c r="N193" s="37" cm="1">
        <f t="array" ref="N193">Common_InputFunctions.Utility_DisplayArrayInTable(SourceData_PastureBeef.SourceData_PastureBeef_LiveweightGainNTQLD_Data(),Table_SourceData_PastureBeef_LiveweightGainNTQLD[[#Headers],[State]],0)</f>
        <v>0.18</v>
      </c>
      <c r="O193" s="37" cm="1">
        <f t="array" ref="O193">Common_InputFunctions.Utility_DisplayArrayInTable(SourceData_PastureBeef.SourceData_PastureBeef_LiveweightGainNTQLD_Data(),Table_SourceData_PastureBeef_LiveweightGainNTQLD[[#Headers],[State]],0)</f>
        <v>0.12</v>
      </c>
      <c r="P193" s="37"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7" t="str" cm="1">
        <f t="array" ref="E194">Common_InputFunctions.Utility_DisplayArrayInTable(SourceData_PastureBeef.SourceData_PastureBeef_LiveweightGainNTQLD_Data(),Table_SourceData_PastureBeef_LiveweightGainNTQLD[[#Headers],[State]],0)</f>
        <v>Barkly</v>
      </c>
      <c r="F194" s="37" t="str" cm="1">
        <f t="array" ref="F194">Common_InputFunctions.Utility_DisplayArrayInTable(SourceData_PastureBeef.SourceData_PastureBeef_LiveweightGainNTQLD_Data(),Table_SourceData_PastureBeef_LiveweightGainNTQLD[[#Headers],[State]],0)</f>
        <v>Spring</v>
      </c>
      <c r="G194" s="37" cm="1">
        <f t="array" ref="G194">Common_InputFunctions.Utility_DisplayArrayInTable(SourceData_PastureBeef.SourceData_PastureBeef_LiveweightGainNTQLD_Data(),Table_SourceData_PastureBeef_LiveweightGainNTQLD[[#Headers],[State]],0)</f>
        <v>0.22</v>
      </c>
      <c r="H194" s="37" cm="1">
        <f t="array" ref="H194">Common_InputFunctions.Utility_DisplayArrayInTable(SourceData_PastureBeef.SourceData_PastureBeef_LiveweightGainNTQLD_Data(),Table_SourceData_PastureBeef_LiveweightGainNTQLD[[#Headers],[State]],0)</f>
        <v>-0.44</v>
      </c>
      <c r="I194" s="37" cm="1">
        <f t="array" ref="I194">Common_InputFunctions.Utility_DisplayArrayInTable(SourceData_PastureBeef.SourceData_PastureBeef_LiveweightGainNTQLD_Data(),Table_SourceData_PastureBeef_LiveweightGainNTQLD[[#Headers],[State]],0)</f>
        <v>0.2</v>
      </c>
      <c r="J194" s="37" cm="1">
        <f t="array" ref="J194">Common_InputFunctions.Utility_DisplayArrayInTable(SourceData_PastureBeef.SourceData_PastureBeef_LiveweightGainNTQLD_Data(),Table_SourceData_PastureBeef_LiveweightGainNTQLD[[#Headers],[State]],0)</f>
        <v>0.21</v>
      </c>
      <c r="K194" s="37" cm="1">
        <f t="array" ref="K194">Common_InputFunctions.Utility_DisplayArrayInTable(SourceData_PastureBeef.SourceData_PastureBeef_LiveweightGainNTQLD_Data(),Table_SourceData_PastureBeef_LiveweightGainNTQLD[[#Headers],[State]],0)</f>
        <v>0.18</v>
      </c>
      <c r="L194" s="37" cm="1">
        <f t="array" ref="L194">Common_InputFunctions.Utility_DisplayArrayInTable(SourceData_PastureBeef.SourceData_PastureBeef_LiveweightGainNTQLD_Data(),Table_SourceData_PastureBeef_LiveweightGainNTQLD[[#Headers],[State]],0)</f>
        <v>0.01</v>
      </c>
      <c r="M194" s="37" cm="1">
        <f t="array" ref="M194">Common_InputFunctions.Utility_DisplayArrayInTable(SourceData_PastureBeef.SourceData_PastureBeef_LiveweightGainNTQLD_Data(),Table_SourceData_PastureBeef_LiveweightGainNTQLD[[#Headers],[State]],0)</f>
        <v>0.12</v>
      </c>
      <c r="N194" s="37" cm="1">
        <f t="array" ref="N194">Common_InputFunctions.Utility_DisplayArrayInTable(SourceData_PastureBeef.SourceData_PastureBeef_LiveweightGainNTQLD_Data(),Table_SourceData_PastureBeef_LiveweightGainNTQLD[[#Headers],[State]],0)</f>
        <v>0.09</v>
      </c>
      <c r="O194" s="37" t="str" cm="1">
        <f t="array" ref="O194">Common_InputFunctions.Utility_DisplayArrayInTable(SourceData_PastureBeef.SourceData_PastureBeef_LiveweightGainNTQLD_Data(),Table_SourceData_PastureBeef_LiveweightGainNTQLD[[#Headers],[State]],0)</f>
        <v>NO</v>
      </c>
      <c r="P194" s="37"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7" t="str" cm="1">
        <f t="array" ref="E195">Common_InputFunctions.Utility_DisplayArrayInTable(SourceData_PastureBeef.SourceData_PastureBeef_LiveweightGainNTQLD_Data(),Table_SourceData_PastureBeef_LiveweightGainNTQLD[[#Headers],[State]],0)</f>
        <v>Barkly</v>
      </c>
      <c r="F195" s="37" t="str" cm="1">
        <f t="array" ref="F195">Common_InputFunctions.Utility_DisplayArrayInTable(SourceData_PastureBeef.SourceData_PastureBeef_LiveweightGainNTQLD_Data(),Table_SourceData_PastureBeef_LiveweightGainNTQLD[[#Headers],[State]],0)</f>
        <v>Summer</v>
      </c>
      <c r="G195" s="37" cm="1">
        <f t="array" ref="G195">Common_InputFunctions.Utility_DisplayArrayInTable(SourceData_PastureBeef.SourceData_PastureBeef_LiveweightGainNTQLD_Data(),Table_SourceData_PastureBeef_LiveweightGainNTQLD[[#Headers],[State]],0)</f>
        <v>0.66</v>
      </c>
      <c r="H195" s="37" cm="1">
        <f t="array" ref="H195">Common_InputFunctions.Utility_DisplayArrayInTable(SourceData_PastureBeef.SourceData_PastureBeef_LiveweightGainNTQLD_Data(),Table_SourceData_PastureBeef_LiveweightGainNTQLD[[#Headers],[State]],0)</f>
        <v>0.22</v>
      </c>
      <c r="I195" s="37" cm="1">
        <f t="array" ref="I195">Common_InputFunctions.Utility_DisplayArrayInTable(SourceData_PastureBeef.SourceData_PastureBeef_LiveweightGainNTQLD_Data(),Table_SourceData_PastureBeef_LiveweightGainNTQLD[[#Headers],[State]],0)</f>
        <v>0.68</v>
      </c>
      <c r="J195" s="37" cm="1">
        <f t="array" ref="J195">Common_InputFunctions.Utility_DisplayArrayInTable(SourceData_PastureBeef.SourceData_PastureBeef_LiveweightGainNTQLD_Data(),Table_SourceData_PastureBeef_LiveweightGainNTQLD[[#Headers],[State]],0)</f>
        <v>0.22</v>
      </c>
      <c r="K195" s="37" cm="1">
        <f t="array" ref="K195">Common_InputFunctions.Utility_DisplayArrayInTable(SourceData_PastureBeef.SourceData_PastureBeef_LiveweightGainNTQLD_Data(),Table_SourceData_PastureBeef_LiveweightGainNTQLD[[#Headers],[State]],0)</f>
        <v>0.24</v>
      </c>
      <c r="L195" s="37" cm="1">
        <f t="array" ref="L195">Common_InputFunctions.Utility_DisplayArrayInTable(SourceData_PastureBeef.SourceData_PastureBeef_LiveweightGainNTQLD_Data(),Table_SourceData_PastureBeef_LiveweightGainNTQLD[[#Headers],[State]],0)</f>
        <v>0.25</v>
      </c>
      <c r="M195" s="37" cm="1">
        <f t="array" ref="M195">Common_InputFunctions.Utility_DisplayArrayInTable(SourceData_PastureBeef.SourceData_PastureBeef_LiveweightGainNTQLD_Data(),Table_SourceData_PastureBeef_LiveweightGainNTQLD[[#Headers],[State]],0)</f>
        <v>0.64</v>
      </c>
      <c r="N195" s="37" cm="1">
        <f t="array" ref="N195">Common_InputFunctions.Utility_DisplayArrayInTable(SourceData_PastureBeef.SourceData_PastureBeef_LiveweightGainNTQLD_Data(),Table_SourceData_PastureBeef_LiveweightGainNTQLD[[#Headers],[State]],0)</f>
        <v>0.37</v>
      </c>
      <c r="O195" s="37" t="str" cm="1">
        <f t="array" ref="O195">Common_InputFunctions.Utility_DisplayArrayInTable(SourceData_PastureBeef.SourceData_PastureBeef_LiveweightGainNTQLD_Data(),Table_SourceData_PastureBeef_LiveweightGainNTQLD[[#Headers],[State]],0)</f>
        <v>NO</v>
      </c>
      <c r="P195" s="37"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7" t="str" cm="1">
        <f t="array" ref="E196">Common_InputFunctions.Utility_DisplayArrayInTable(SourceData_PastureBeef.SourceData_PastureBeef_LiveweightGainNTQLD_Data(),Table_SourceData_PastureBeef_LiveweightGainNTQLD[[#Headers],[State]],0)</f>
        <v>Barkly</v>
      </c>
      <c r="F196" s="37" t="str" cm="1">
        <f t="array" ref="F196">Common_InputFunctions.Utility_DisplayArrayInTable(SourceData_PastureBeef.SourceData_PastureBeef_LiveweightGainNTQLD_Data(),Table_SourceData_PastureBeef_LiveweightGainNTQLD[[#Headers],[State]],0)</f>
        <v>Autumn</v>
      </c>
      <c r="G196" s="37" cm="1">
        <f t="array" ref="G196">Common_InputFunctions.Utility_DisplayArrayInTable(SourceData_PastureBeef.SourceData_PastureBeef_LiveweightGainNTQLD_Data(),Table_SourceData_PastureBeef_LiveweightGainNTQLD[[#Headers],[State]],0)</f>
        <v>0.49</v>
      </c>
      <c r="H196" s="37" cm="1">
        <f t="array" ref="H196">Common_InputFunctions.Utility_DisplayArrayInTable(SourceData_PastureBeef.SourceData_PastureBeef_LiveweightGainNTQLD_Data(),Table_SourceData_PastureBeef_LiveweightGainNTQLD[[#Headers],[State]],0)</f>
        <v>0.05</v>
      </c>
      <c r="I196" s="37" cm="1">
        <f t="array" ref="I196">Common_InputFunctions.Utility_DisplayArrayInTable(SourceData_PastureBeef.SourceData_PastureBeef_LiveweightGainNTQLD_Data(),Table_SourceData_PastureBeef_LiveweightGainNTQLD[[#Headers],[State]],0)</f>
        <v>0.64</v>
      </c>
      <c r="J196" s="37" cm="1">
        <f t="array" ref="J196">Common_InputFunctions.Utility_DisplayArrayInTable(SourceData_PastureBeef.SourceData_PastureBeef_LiveweightGainNTQLD_Data(),Table_SourceData_PastureBeef_LiveweightGainNTQLD[[#Headers],[State]],0)</f>
        <v>0.25</v>
      </c>
      <c r="K196" s="37" cm="1">
        <f t="array" ref="K196">Common_InputFunctions.Utility_DisplayArrayInTable(SourceData_PastureBeef.SourceData_PastureBeef_LiveweightGainNTQLD_Data(),Table_SourceData_PastureBeef_LiveweightGainNTQLD[[#Headers],[State]],0)</f>
        <v>0.28999999999999998</v>
      </c>
      <c r="L196" s="37" cm="1">
        <f t="array" ref="L196">Common_InputFunctions.Utility_DisplayArrayInTable(SourceData_PastureBeef.SourceData_PastureBeef_LiveweightGainNTQLD_Data(),Table_SourceData_PastureBeef_LiveweightGainNTQLD[[#Headers],[State]],0)</f>
        <v>0.12</v>
      </c>
      <c r="M196" s="37" cm="1">
        <f t="array" ref="M196">Common_InputFunctions.Utility_DisplayArrayInTable(SourceData_PastureBeef.SourceData_PastureBeef_LiveweightGainNTQLD_Data(),Table_SourceData_PastureBeef_LiveweightGainNTQLD[[#Headers],[State]],0)</f>
        <v>0.56999999999999995</v>
      </c>
      <c r="N196" s="37" cm="1">
        <f t="array" ref="N196">Common_InputFunctions.Utility_DisplayArrayInTable(SourceData_PastureBeef.SourceData_PastureBeef_LiveweightGainNTQLD_Data(),Table_SourceData_PastureBeef_LiveweightGainNTQLD[[#Headers],[State]],0)</f>
        <v>0.49</v>
      </c>
      <c r="O196" s="37" t="str" cm="1">
        <f t="array" ref="O196">Common_InputFunctions.Utility_DisplayArrayInTable(SourceData_PastureBeef.SourceData_PastureBeef_LiveweightGainNTQLD_Data(),Table_SourceData_PastureBeef_LiveweightGainNTQLD[[#Headers],[State]],0)</f>
        <v>NO</v>
      </c>
      <c r="P196" s="37"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7" t="str" cm="1">
        <f t="array" ref="E197">Common_InputFunctions.Utility_DisplayArrayInTable(SourceData_PastureBeef.SourceData_PastureBeef_LiveweightGainNTQLD_Data(),Table_SourceData_PastureBeef_LiveweightGainNTQLD[[#Headers],[State]],0)</f>
        <v>Barkly</v>
      </c>
      <c r="F197" s="37" t="str" cm="1">
        <f t="array" ref="F197">Common_InputFunctions.Utility_DisplayArrayInTable(SourceData_PastureBeef.SourceData_PastureBeef_LiveweightGainNTQLD_Data(),Table_SourceData_PastureBeef_LiveweightGainNTQLD[[#Headers],[State]],0)</f>
        <v>Winter</v>
      </c>
      <c r="G197" s="37" cm="1">
        <f t="array" ref="G197">Common_InputFunctions.Utility_DisplayArrayInTable(SourceData_PastureBeef.SourceData_PastureBeef_LiveweightGainNTQLD_Data(),Table_SourceData_PastureBeef_LiveweightGainNTQLD[[#Headers],[State]],0)</f>
        <v>0.27</v>
      </c>
      <c r="H197" s="37" cm="1">
        <f t="array" ref="H197">Common_InputFunctions.Utility_DisplayArrayInTable(SourceData_PastureBeef.SourceData_PastureBeef_LiveweightGainNTQLD_Data(),Table_SourceData_PastureBeef_LiveweightGainNTQLD[[#Headers],[State]],0)</f>
        <v>-0.27</v>
      </c>
      <c r="I197" s="37" cm="1">
        <f t="array" ref="I197">Common_InputFunctions.Utility_DisplayArrayInTable(SourceData_PastureBeef.SourceData_PastureBeef_LiveweightGainNTQLD_Data(),Table_SourceData_PastureBeef_LiveweightGainNTQLD[[#Headers],[State]],0)</f>
        <v>0.31</v>
      </c>
      <c r="J197" s="37" cm="1">
        <f t="array" ref="J197">Common_InputFunctions.Utility_DisplayArrayInTable(SourceData_PastureBeef.SourceData_PastureBeef_LiveweightGainNTQLD_Data(),Table_SourceData_PastureBeef_LiveweightGainNTQLD[[#Headers],[State]],0)</f>
        <v>0.28999999999999998</v>
      </c>
      <c r="K197" s="37" cm="1">
        <f t="array" ref="K197">Common_InputFunctions.Utility_DisplayArrayInTable(SourceData_PastureBeef.SourceData_PastureBeef_LiveweightGainNTQLD_Data(),Table_SourceData_PastureBeef_LiveweightGainNTQLD[[#Headers],[State]],0)</f>
        <v>0.19</v>
      </c>
      <c r="L197" s="37" cm="1">
        <f t="array" ref="L197">Common_InputFunctions.Utility_DisplayArrayInTable(SourceData_PastureBeef.SourceData_PastureBeef_LiveweightGainNTQLD_Data(),Table_SourceData_PastureBeef_LiveweightGainNTQLD[[#Headers],[State]],0)</f>
        <v>0.04</v>
      </c>
      <c r="M197" s="37" cm="1">
        <f t="array" ref="M197">Common_InputFunctions.Utility_DisplayArrayInTable(SourceData_PastureBeef.SourceData_PastureBeef_LiveweightGainNTQLD_Data(),Table_SourceData_PastureBeef_LiveweightGainNTQLD[[#Headers],[State]],0)</f>
        <v>0.26</v>
      </c>
      <c r="N197" s="37" cm="1">
        <f t="array" ref="N197">Common_InputFunctions.Utility_DisplayArrayInTable(SourceData_PastureBeef.SourceData_PastureBeef_LiveweightGainNTQLD_Data(),Table_SourceData_PastureBeef_LiveweightGainNTQLD[[#Headers],[State]],0)</f>
        <v>0.28000000000000003</v>
      </c>
      <c r="O197" s="37" t="str" cm="1">
        <f t="array" ref="O197">Common_InputFunctions.Utility_DisplayArrayInTable(SourceData_PastureBeef.SourceData_PastureBeef_LiveweightGainNTQLD_Data(),Table_SourceData_PastureBeef_LiveweightGainNTQLD[[#Headers],[State]],0)</f>
        <v>NO</v>
      </c>
      <c r="P197" s="37"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7" t="str" cm="1">
        <f t="array" ref="E198">Common_InputFunctions.Utility_DisplayArrayInTable(SourceData_PastureBeef.SourceData_PastureBeef_LiveweightGainNTQLD_Data(),Table_SourceData_PastureBeef_LiveweightGainNTQLD[[#Headers],[State]],0)</f>
        <v>Northern</v>
      </c>
      <c r="F198" s="37" t="str" cm="1">
        <f t="array" ref="F198">Common_InputFunctions.Utility_DisplayArrayInTable(SourceData_PastureBeef.SourceData_PastureBeef_LiveweightGainNTQLD_Data(),Table_SourceData_PastureBeef_LiveweightGainNTQLD[[#Headers],[State]],0)</f>
        <v>Spring</v>
      </c>
      <c r="G198" s="37" cm="1">
        <f t="array" ref="G198">Common_InputFunctions.Utility_DisplayArrayInTable(SourceData_PastureBeef.SourceData_PastureBeef_LiveweightGainNTQLD_Data(),Table_SourceData_PastureBeef_LiveweightGainNTQLD[[#Headers],[State]],0)</f>
        <v>0.22</v>
      </c>
      <c r="H198" s="37" cm="1">
        <f t="array" ref="H198">Common_InputFunctions.Utility_DisplayArrayInTable(SourceData_PastureBeef.SourceData_PastureBeef_LiveweightGainNTQLD_Data(),Table_SourceData_PastureBeef_LiveweightGainNTQLD[[#Headers],[State]],0)</f>
        <v>-0.44</v>
      </c>
      <c r="I198" s="37" cm="1">
        <f t="array" ref="I198">Common_InputFunctions.Utility_DisplayArrayInTable(SourceData_PastureBeef.SourceData_PastureBeef_LiveweightGainNTQLD_Data(),Table_SourceData_PastureBeef_LiveweightGainNTQLD[[#Headers],[State]],0)</f>
        <v>0</v>
      </c>
      <c r="J198" s="37" cm="1">
        <f t="array" ref="J198">Common_InputFunctions.Utility_DisplayArrayInTable(SourceData_PastureBeef.SourceData_PastureBeef_LiveweightGainNTQLD_Data(),Table_SourceData_PastureBeef_LiveweightGainNTQLD[[#Headers],[State]],0)</f>
        <v>0.15</v>
      </c>
      <c r="K198" s="37" cm="1">
        <f t="array" ref="K198">Common_InputFunctions.Utility_DisplayArrayInTable(SourceData_PastureBeef.SourceData_PastureBeef_LiveweightGainNTQLD_Data(),Table_SourceData_PastureBeef_LiveweightGainNTQLD[[#Headers],[State]],0)</f>
        <v>0.08</v>
      </c>
      <c r="L198" s="37" cm="1">
        <f t="array" ref="L198">Common_InputFunctions.Utility_DisplayArrayInTable(SourceData_PastureBeef.SourceData_PastureBeef_LiveweightGainNTQLD_Data(),Table_SourceData_PastureBeef_LiveweightGainNTQLD[[#Headers],[State]],0)</f>
        <v>0.17</v>
      </c>
      <c r="M198" s="37" cm="1">
        <f t="array" ref="M198">Common_InputFunctions.Utility_DisplayArrayInTable(SourceData_PastureBeef.SourceData_PastureBeef_LiveweightGainNTQLD_Data(),Table_SourceData_PastureBeef_LiveweightGainNTQLD[[#Headers],[State]],0)</f>
        <v>0.06</v>
      </c>
      <c r="N198" s="37" cm="1">
        <f t="array" ref="N198">Common_InputFunctions.Utility_DisplayArrayInTable(SourceData_PastureBeef.SourceData_PastureBeef_LiveweightGainNTQLD_Data(),Table_SourceData_PastureBeef_LiveweightGainNTQLD[[#Headers],[State]],0)</f>
        <v>0.02</v>
      </c>
      <c r="O198" s="37" cm="1">
        <f t="array" ref="O198">Common_InputFunctions.Utility_DisplayArrayInTable(SourceData_PastureBeef.SourceData_PastureBeef_LiveweightGainNTQLD_Data(),Table_SourceData_PastureBeef_LiveweightGainNTQLD[[#Headers],[State]],0)</f>
        <v>-0.14000000000000001</v>
      </c>
      <c r="P198" s="37"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7" t="str" cm="1">
        <f t="array" ref="E199">Common_InputFunctions.Utility_DisplayArrayInTable(SourceData_PastureBeef.SourceData_PastureBeef_LiveweightGainNTQLD_Data(),Table_SourceData_PastureBeef_LiveweightGainNTQLD[[#Headers],[State]],0)</f>
        <v>Northern</v>
      </c>
      <c r="F199" s="37" t="str" cm="1">
        <f t="array" ref="F199">Common_InputFunctions.Utility_DisplayArrayInTable(SourceData_PastureBeef.SourceData_PastureBeef_LiveweightGainNTQLD_Data(),Table_SourceData_PastureBeef_LiveweightGainNTQLD[[#Headers],[State]],0)</f>
        <v>Summer</v>
      </c>
      <c r="G199" s="37" cm="1">
        <f t="array" ref="G199">Common_InputFunctions.Utility_DisplayArrayInTable(SourceData_PastureBeef.SourceData_PastureBeef_LiveweightGainNTQLD_Data(),Table_SourceData_PastureBeef_LiveweightGainNTQLD[[#Headers],[State]],0)</f>
        <v>0.66</v>
      </c>
      <c r="H199" s="37" cm="1">
        <f t="array" ref="H199">Common_InputFunctions.Utility_DisplayArrayInTable(SourceData_PastureBeef.SourceData_PastureBeef_LiveweightGainNTQLD_Data(),Table_SourceData_PastureBeef_LiveweightGainNTQLD[[#Headers],[State]],0)</f>
        <v>0.22</v>
      </c>
      <c r="I199" s="37" cm="1">
        <f t="array" ref="I199">Common_InputFunctions.Utility_DisplayArrayInTable(SourceData_PastureBeef.SourceData_PastureBeef_LiveweightGainNTQLD_Data(),Table_SourceData_PastureBeef_LiveweightGainNTQLD[[#Headers],[State]],0)</f>
        <v>0.79</v>
      </c>
      <c r="J199" s="37" cm="1">
        <f t="array" ref="J199">Common_InputFunctions.Utility_DisplayArrayInTable(SourceData_PastureBeef.SourceData_PastureBeef_LiveweightGainNTQLD_Data(),Table_SourceData_PastureBeef_LiveweightGainNTQLD[[#Headers],[State]],0)</f>
        <v>0.4</v>
      </c>
      <c r="K199" s="37" cm="1">
        <f t="array" ref="K199">Common_InputFunctions.Utility_DisplayArrayInTable(SourceData_PastureBeef.SourceData_PastureBeef_LiveweightGainNTQLD_Data(),Table_SourceData_PastureBeef_LiveweightGainNTQLD[[#Headers],[State]],0)</f>
        <v>0.38</v>
      </c>
      <c r="L199" s="37" cm="1">
        <f t="array" ref="L199">Common_InputFunctions.Utility_DisplayArrayInTable(SourceData_PastureBeef.SourceData_PastureBeef_LiveweightGainNTQLD_Data(),Table_SourceData_PastureBeef_LiveweightGainNTQLD[[#Headers],[State]],0)</f>
        <v>0.27</v>
      </c>
      <c r="M199" s="37" cm="1">
        <f t="array" ref="M199">Common_InputFunctions.Utility_DisplayArrayInTable(SourceData_PastureBeef.SourceData_PastureBeef_LiveweightGainNTQLD_Data(),Table_SourceData_PastureBeef_LiveweightGainNTQLD[[#Headers],[State]],0)</f>
        <v>0.8</v>
      </c>
      <c r="N199" s="37" cm="1">
        <f t="array" ref="N199">Common_InputFunctions.Utility_DisplayArrayInTable(SourceData_PastureBeef.SourceData_PastureBeef_LiveweightGainNTQLD_Data(),Table_SourceData_PastureBeef_LiveweightGainNTQLD[[#Headers],[State]],0)</f>
        <v>0.16</v>
      </c>
      <c r="O199" s="37" cm="1">
        <f t="array" ref="O199">Common_InputFunctions.Utility_DisplayArrayInTable(SourceData_PastureBeef.SourceData_PastureBeef_LiveweightGainNTQLD_Data(),Table_SourceData_PastureBeef_LiveweightGainNTQLD[[#Headers],[State]],0)</f>
        <v>0.3</v>
      </c>
      <c r="P199" s="37"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7" t="str" cm="1">
        <f t="array" ref="E200">Common_InputFunctions.Utility_DisplayArrayInTable(SourceData_PastureBeef.SourceData_PastureBeef_LiveweightGainNTQLD_Data(),Table_SourceData_PastureBeef_LiveweightGainNTQLD[[#Headers],[State]],0)</f>
        <v>Northern</v>
      </c>
      <c r="F200" s="37" t="str" cm="1">
        <f t="array" ref="F200">Common_InputFunctions.Utility_DisplayArrayInTable(SourceData_PastureBeef.SourceData_PastureBeef_LiveweightGainNTQLD_Data(),Table_SourceData_PastureBeef_LiveweightGainNTQLD[[#Headers],[State]],0)</f>
        <v>Autumn</v>
      </c>
      <c r="G200" s="37" cm="1">
        <f t="array" ref="G200">Common_InputFunctions.Utility_DisplayArrayInTable(SourceData_PastureBeef.SourceData_PastureBeef_LiveweightGainNTQLD_Data(),Table_SourceData_PastureBeef_LiveweightGainNTQLD[[#Headers],[State]],0)</f>
        <v>0.49</v>
      </c>
      <c r="H200" s="37" cm="1">
        <f t="array" ref="H200">Common_InputFunctions.Utility_DisplayArrayInTable(SourceData_PastureBeef.SourceData_PastureBeef_LiveweightGainNTQLD_Data(),Table_SourceData_PastureBeef_LiveweightGainNTQLD[[#Headers],[State]],0)</f>
        <v>0.05</v>
      </c>
      <c r="I200" s="37" cm="1">
        <f t="array" ref="I200">Common_InputFunctions.Utility_DisplayArrayInTable(SourceData_PastureBeef.SourceData_PastureBeef_LiveweightGainNTQLD_Data(),Table_SourceData_PastureBeef_LiveweightGainNTQLD[[#Headers],[State]],0)</f>
        <v>0.55000000000000004</v>
      </c>
      <c r="J200" s="37" cm="1">
        <f t="array" ref="J200">Common_InputFunctions.Utility_DisplayArrayInTable(SourceData_PastureBeef.SourceData_PastureBeef_LiveweightGainNTQLD_Data(),Table_SourceData_PastureBeef_LiveweightGainNTQLD[[#Headers],[State]],0)</f>
        <v>0.38</v>
      </c>
      <c r="K200" s="37" cm="1">
        <f t="array" ref="K200">Common_InputFunctions.Utility_DisplayArrayInTable(SourceData_PastureBeef.SourceData_PastureBeef_LiveweightGainNTQLD_Data(),Table_SourceData_PastureBeef_LiveweightGainNTQLD[[#Headers],[State]],0)</f>
        <v>0.36</v>
      </c>
      <c r="L200" s="37" cm="1">
        <f t="array" ref="L200">Common_InputFunctions.Utility_DisplayArrayInTable(SourceData_PastureBeef.SourceData_PastureBeef_LiveweightGainNTQLD_Data(),Table_SourceData_PastureBeef_LiveweightGainNTQLD[[#Headers],[State]],0)</f>
        <v>0.06</v>
      </c>
      <c r="M200" s="37" cm="1">
        <f t="array" ref="M200">Common_InputFunctions.Utility_DisplayArrayInTable(SourceData_PastureBeef.SourceData_PastureBeef_LiveweightGainNTQLD_Data(),Table_SourceData_PastureBeef_LiveweightGainNTQLD[[#Headers],[State]],0)</f>
        <v>0.57999999999999996</v>
      </c>
      <c r="N200" s="37" cm="1">
        <f t="array" ref="N200">Common_InputFunctions.Utility_DisplayArrayInTable(SourceData_PastureBeef.SourceData_PastureBeef_LiveweightGainNTQLD_Data(),Table_SourceData_PastureBeef_LiveweightGainNTQLD[[#Headers],[State]],0)</f>
        <v>0.23</v>
      </c>
      <c r="O200" s="37" cm="1">
        <f t="array" ref="O200">Common_InputFunctions.Utility_DisplayArrayInTable(SourceData_PastureBeef.SourceData_PastureBeef_LiveweightGainNTQLD_Data(),Table_SourceData_PastureBeef_LiveweightGainNTQLD[[#Headers],[State]],0)</f>
        <v>0.4</v>
      </c>
      <c r="P200" s="37"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7" t="str" cm="1">
        <f t="array" ref="E201">Common_InputFunctions.Utility_DisplayArrayInTable(SourceData_PastureBeef.SourceData_PastureBeef_LiveweightGainNTQLD_Data(),Table_SourceData_PastureBeef_LiveweightGainNTQLD[[#Headers],[State]],0)</f>
        <v>Northern</v>
      </c>
      <c r="F201" s="37" t="str" cm="1">
        <f t="array" ref="F201">Common_InputFunctions.Utility_DisplayArrayInTable(SourceData_PastureBeef.SourceData_PastureBeef_LiveweightGainNTQLD_Data(),Table_SourceData_PastureBeef_LiveweightGainNTQLD[[#Headers],[State]],0)</f>
        <v>Winter</v>
      </c>
      <c r="G201" s="37" cm="1">
        <f t="array" ref="G201">Common_InputFunctions.Utility_DisplayArrayInTable(SourceData_PastureBeef.SourceData_PastureBeef_LiveweightGainNTQLD_Data(),Table_SourceData_PastureBeef_LiveweightGainNTQLD[[#Headers],[State]],0)</f>
        <v>0.27</v>
      </c>
      <c r="H201" s="37" cm="1">
        <f t="array" ref="H201">Common_InputFunctions.Utility_DisplayArrayInTable(SourceData_PastureBeef.SourceData_PastureBeef_LiveweightGainNTQLD_Data(),Table_SourceData_PastureBeef_LiveweightGainNTQLD[[#Headers],[State]],0)</f>
        <v>-0.27</v>
      </c>
      <c r="I201" s="37" cm="1">
        <f t="array" ref="I201">Common_InputFunctions.Utility_DisplayArrayInTable(SourceData_PastureBeef.SourceData_PastureBeef_LiveweightGainNTQLD_Data(),Table_SourceData_PastureBeef_LiveweightGainNTQLD[[#Headers],[State]],0)</f>
        <v>0.02</v>
      </c>
      <c r="J201" s="37" cm="1">
        <f t="array" ref="J201">Common_InputFunctions.Utility_DisplayArrayInTable(SourceData_PastureBeef.SourceData_PastureBeef_LiveweightGainNTQLD_Data(),Table_SourceData_PastureBeef_LiveweightGainNTQLD[[#Headers],[State]],0)</f>
        <v>0.09</v>
      </c>
      <c r="K201" s="37" cm="1">
        <f t="array" ref="K201">Common_InputFunctions.Utility_DisplayArrayInTable(SourceData_PastureBeef.SourceData_PastureBeef_LiveweightGainNTQLD_Data(),Table_SourceData_PastureBeef_LiveweightGainNTQLD[[#Headers],[State]],0)</f>
        <v>0.16</v>
      </c>
      <c r="L201" s="37" cm="1">
        <f t="array" ref="L201">Common_InputFunctions.Utility_DisplayArrayInTable(SourceData_PastureBeef.SourceData_PastureBeef_LiveweightGainNTQLD_Data(),Table_SourceData_PastureBeef_LiveweightGainNTQLD[[#Headers],[State]],0)</f>
        <v>-0.04</v>
      </c>
      <c r="M201" s="37" cm="1">
        <f t="array" ref="M201">Common_InputFunctions.Utility_DisplayArrayInTable(SourceData_PastureBeef.SourceData_PastureBeef_LiveweightGainNTQLD_Data(),Table_SourceData_PastureBeef_LiveweightGainNTQLD[[#Headers],[State]],0)</f>
        <v>0.21</v>
      </c>
      <c r="N201" s="37" cm="1">
        <f t="array" ref="N201">Common_InputFunctions.Utility_DisplayArrayInTable(SourceData_PastureBeef.SourceData_PastureBeef_LiveweightGainNTQLD_Data(),Table_SourceData_PastureBeef_LiveweightGainNTQLD[[#Headers],[State]],0)</f>
        <v>0.03</v>
      </c>
      <c r="O201" s="37" cm="1">
        <f t="array" ref="O201">Common_InputFunctions.Utility_DisplayArrayInTable(SourceData_PastureBeef.SourceData_PastureBeef_LiveweightGainNTQLD_Data(),Table_SourceData_PastureBeef_LiveweightGainNTQLD[[#Headers],[State]],0)</f>
        <v>0.11</v>
      </c>
      <c r="P201" s="37"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7" t="str" cm="1">
        <f t="array" ref="E202">Common_InputFunctions.Utility_DisplayArrayInTable(SourceData_PastureBeef.SourceData_PastureBeef_LiveweightGainNTQLD_Data(),Table_SourceData_PastureBeef_LiveweightGainNTQLD[[#Headers],[State]],0)</f>
        <v>High</v>
      </c>
      <c r="F202" s="37" t="str" cm="1">
        <f t="array" ref="F202">Common_InputFunctions.Utility_DisplayArrayInTable(SourceData_PastureBeef.SourceData_PastureBeef_LiveweightGainNTQLD_Data(),Table_SourceData_PastureBeef_LiveweightGainNTQLD[[#Headers],[State]],0)</f>
        <v>Spring</v>
      </c>
      <c r="G202" s="37" cm="1">
        <f t="array" ref="G202">Common_InputFunctions.Utility_DisplayArrayInTable(SourceData_PastureBeef.SourceData_PastureBeef_LiveweightGainNTQLD_Data(),Table_SourceData_PastureBeef_LiveweightGainNTQLD[[#Headers],[State]],0)</f>
        <v>0.27</v>
      </c>
      <c r="H202" s="37" cm="1">
        <f t="array" ref="H202">Common_InputFunctions.Utility_DisplayArrayInTable(SourceData_PastureBeef.SourceData_PastureBeef_LiveweightGainNTQLD_Data(),Table_SourceData_PastureBeef_LiveweightGainNTQLD[[#Headers],[State]],0)</f>
        <v>-0.19</v>
      </c>
      <c r="I202" s="37" cm="1">
        <f t="array" ref="I202">Common_InputFunctions.Utility_DisplayArrayInTable(SourceData_PastureBeef.SourceData_PastureBeef_LiveweightGainNTQLD_Data(),Table_SourceData_PastureBeef_LiveweightGainNTQLD[[#Headers],[State]],0)</f>
        <v>0.38</v>
      </c>
      <c r="J202" s="37" cm="1">
        <f t="array" ref="J202">Common_InputFunctions.Utility_DisplayArrayInTable(SourceData_PastureBeef.SourceData_PastureBeef_LiveweightGainNTQLD_Data(),Table_SourceData_PastureBeef_LiveweightGainNTQLD[[#Headers],[State]],0)</f>
        <v>0.25</v>
      </c>
      <c r="K202" s="37" cm="1">
        <f t="array" ref="K202">Common_InputFunctions.Utility_DisplayArrayInTable(SourceData_PastureBeef.SourceData_PastureBeef_LiveweightGainNTQLD_Data(),Table_SourceData_PastureBeef_LiveweightGainNTQLD[[#Headers],[State]],0)</f>
        <v>7.0000000000000007E-2</v>
      </c>
      <c r="L202" s="37" cm="1">
        <f t="array" ref="L202">Common_InputFunctions.Utility_DisplayArrayInTable(SourceData_PastureBeef.SourceData_PastureBeef_LiveweightGainNTQLD_Data(),Table_SourceData_PastureBeef_LiveweightGainNTQLD[[#Headers],[State]],0)</f>
        <v>0.05</v>
      </c>
      <c r="M202" s="37" cm="1">
        <f t="array" ref="M202">Common_InputFunctions.Utility_DisplayArrayInTable(SourceData_PastureBeef.SourceData_PastureBeef_LiveweightGainNTQLD_Data(),Table_SourceData_PastureBeef_LiveweightGainNTQLD[[#Headers],[State]],0)</f>
        <v>0.52</v>
      </c>
      <c r="N202" s="37" cm="1">
        <f t="array" ref="N202">Common_InputFunctions.Utility_DisplayArrayInTable(SourceData_PastureBeef.SourceData_PastureBeef_LiveweightGainNTQLD_Data(),Table_SourceData_PastureBeef_LiveweightGainNTQLD[[#Headers],[State]],0)</f>
        <v>0.55000000000000004</v>
      </c>
      <c r="O202" s="37" cm="1">
        <f t="array" ref="O202">Common_InputFunctions.Utility_DisplayArrayInTable(SourceData_PastureBeef.SourceData_PastureBeef_LiveweightGainNTQLD_Data(),Table_SourceData_PastureBeef_LiveweightGainNTQLD[[#Headers],[State]],0)</f>
        <v>0.19</v>
      </c>
      <c r="P202" s="37"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7" t="str" cm="1">
        <f t="array" ref="E203">Common_InputFunctions.Utility_DisplayArrayInTable(SourceData_PastureBeef.SourceData_PastureBeef_LiveweightGainNTQLD_Data(),Table_SourceData_PastureBeef_LiveweightGainNTQLD[[#Headers],[State]],0)</f>
        <v>High</v>
      </c>
      <c r="F203" s="37" t="str" cm="1">
        <f t="array" ref="F203">Common_InputFunctions.Utility_DisplayArrayInTable(SourceData_PastureBeef.SourceData_PastureBeef_LiveweightGainNTQLD_Data(),Table_SourceData_PastureBeef_LiveweightGainNTQLD[[#Headers],[State]],0)</f>
        <v>Summer</v>
      </c>
      <c r="G203" s="37" cm="1">
        <f t="array" ref="G203">Common_InputFunctions.Utility_DisplayArrayInTable(SourceData_PastureBeef.SourceData_PastureBeef_LiveweightGainNTQLD_Data(),Table_SourceData_PastureBeef_LiveweightGainNTQLD[[#Headers],[State]],0)</f>
        <v>0.16</v>
      </c>
      <c r="H203" s="37" cm="1">
        <f t="array" ref="H203">Common_InputFunctions.Utility_DisplayArrayInTable(SourceData_PastureBeef.SourceData_PastureBeef_LiveweightGainNTQLD_Data(),Table_SourceData_PastureBeef_LiveweightGainNTQLD[[#Headers],[State]],0)</f>
        <v>0.16</v>
      </c>
      <c r="I203" s="37" cm="1">
        <f t="array" ref="I203">Common_InputFunctions.Utility_DisplayArrayInTable(SourceData_PastureBeef.SourceData_PastureBeef_LiveweightGainNTQLD_Data(),Table_SourceData_PastureBeef_LiveweightGainNTQLD[[#Headers],[State]],0)</f>
        <v>0.8</v>
      </c>
      <c r="J203" s="37" cm="1">
        <f t="array" ref="J203">Common_InputFunctions.Utility_DisplayArrayInTable(SourceData_PastureBeef.SourceData_PastureBeef_LiveweightGainNTQLD_Data(),Table_SourceData_PastureBeef_LiveweightGainNTQLD[[#Headers],[State]],0)</f>
        <v>0.56999999999999995</v>
      </c>
      <c r="K203" s="37" cm="1">
        <f t="array" ref="K203">Common_InputFunctions.Utility_DisplayArrayInTable(SourceData_PastureBeef.SourceData_PastureBeef_LiveweightGainNTQLD_Data(),Table_SourceData_PastureBeef_LiveweightGainNTQLD[[#Headers],[State]],0)</f>
        <v>0.76</v>
      </c>
      <c r="L203" s="37" cm="1">
        <f t="array" ref="L203">Common_InputFunctions.Utility_DisplayArrayInTable(SourceData_PastureBeef.SourceData_PastureBeef_LiveweightGainNTQLD_Data(),Table_SourceData_PastureBeef_LiveweightGainNTQLD[[#Headers],[State]],0)</f>
        <v>0.49</v>
      </c>
      <c r="M203" s="37" cm="1">
        <f t="array" ref="M203">Common_InputFunctions.Utility_DisplayArrayInTable(SourceData_PastureBeef.SourceData_PastureBeef_LiveweightGainNTQLD_Data(),Table_SourceData_PastureBeef_LiveweightGainNTQLD[[#Headers],[State]],0)</f>
        <v>0.84</v>
      </c>
      <c r="N203" s="37" cm="1">
        <f t="array" ref="N203">Common_InputFunctions.Utility_DisplayArrayInTable(SourceData_PastureBeef.SourceData_PastureBeef_LiveweightGainNTQLD_Data(),Table_SourceData_PastureBeef_LiveweightGainNTQLD[[#Headers],[State]],0)</f>
        <v>0.51</v>
      </c>
      <c r="O203" s="37" cm="1">
        <f t="array" ref="O203">Common_InputFunctions.Utility_DisplayArrayInTable(SourceData_PastureBeef.SourceData_PastureBeef_LiveweightGainNTQLD_Data(),Table_SourceData_PastureBeef_LiveweightGainNTQLD[[#Headers],[State]],0)</f>
        <v>0.36</v>
      </c>
      <c r="P203" s="37"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7" t="str" cm="1">
        <f t="array" ref="E204">Common_InputFunctions.Utility_DisplayArrayInTable(SourceData_PastureBeef.SourceData_PastureBeef_LiveweightGainNTQLD_Data(),Table_SourceData_PastureBeef_LiveweightGainNTQLD[[#Headers],[State]],0)</f>
        <v>High</v>
      </c>
      <c r="F204" s="37" t="str" cm="1">
        <f t="array" ref="F204">Common_InputFunctions.Utility_DisplayArrayInTable(SourceData_PastureBeef.SourceData_PastureBeef_LiveweightGainNTQLD_Data(),Table_SourceData_PastureBeef_LiveweightGainNTQLD[[#Headers],[State]],0)</f>
        <v>Autumn</v>
      </c>
      <c r="G204" s="37" cm="1">
        <f t="array" ref="G204">Common_InputFunctions.Utility_DisplayArrayInTable(SourceData_PastureBeef.SourceData_PastureBeef_LiveweightGainNTQLD_Data(),Table_SourceData_PastureBeef_LiveweightGainNTQLD[[#Headers],[State]],0)</f>
        <v>0.45</v>
      </c>
      <c r="H204" s="37" cm="1">
        <f t="array" ref="H204">Common_InputFunctions.Utility_DisplayArrayInTable(SourceData_PastureBeef.SourceData_PastureBeef_LiveweightGainNTQLD_Data(),Table_SourceData_PastureBeef_LiveweightGainNTQLD[[#Headers],[State]],0)</f>
        <v>0.1</v>
      </c>
      <c r="I204" s="37" cm="1">
        <f t="array" ref="I204">Common_InputFunctions.Utility_DisplayArrayInTable(SourceData_PastureBeef.SourceData_PastureBeef_LiveweightGainNTQLD_Data(),Table_SourceData_PastureBeef_LiveweightGainNTQLD[[#Headers],[State]],0)</f>
        <v>0.49</v>
      </c>
      <c r="J204" s="37" cm="1">
        <f t="array" ref="J204">Common_InputFunctions.Utility_DisplayArrayInTable(SourceData_PastureBeef.SourceData_PastureBeef_LiveweightGainNTQLD_Data(),Table_SourceData_PastureBeef_LiveweightGainNTQLD[[#Headers],[State]],0)</f>
        <v>0.41</v>
      </c>
      <c r="K204" s="37" cm="1">
        <f t="array" ref="K204">Common_InputFunctions.Utility_DisplayArrayInTable(SourceData_PastureBeef.SourceData_PastureBeef_LiveweightGainNTQLD_Data(),Table_SourceData_PastureBeef_LiveweightGainNTQLD[[#Headers],[State]],0)</f>
        <v>0.4</v>
      </c>
      <c r="L204" s="37" cm="1">
        <f t="array" ref="L204">Common_InputFunctions.Utility_DisplayArrayInTable(SourceData_PastureBeef.SourceData_PastureBeef_LiveweightGainNTQLD_Data(),Table_SourceData_PastureBeef_LiveweightGainNTQLD[[#Headers],[State]],0)</f>
        <v>0.17</v>
      </c>
      <c r="M204" s="37" cm="1">
        <f t="array" ref="M204">Common_InputFunctions.Utility_DisplayArrayInTable(SourceData_PastureBeef.SourceData_PastureBeef_LiveweightGainNTQLD_Data(),Table_SourceData_PastureBeef_LiveweightGainNTQLD[[#Headers],[State]],0)</f>
        <v>0.54</v>
      </c>
      <c r="N204" s="37" cm="1">
        <f t="array" ref="N204">Common_InputFunctions.Utility_DisplayArrayInTable(SourceData_PastureBeef.SourceData_PastureBeef_LiveweightGainNTQLD_Data(),Table_SourceData_PastureBeef_LiveweightGainNTQLD[[#Headers],[State]],0)</f>
        <v>0.64</v>
      </c>
      <c r="O204" s="37" cm="1">
        <f t="array" ref="O204">Common_InputFunctions.Utility_DisplayArrayInTable(SourceData_PastureBeef.SourceData_PastureBeef_LiveweightGainNTQLD_Data(),Table_SourceData_PastureBeef_LiveweightGainNTQLD[[#Headers],[State]],0)</f>
        <v>-0.05</v>
      </c>
      <c r="P204" s="37"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7" t="str" cm="1">
        <f t="array" ref="E205">Common_InputFunctions.Utility_DisplayArrayInTable(SourceData_PastureBeef.SourceData_PastureBeef_LiveweightGainNTQLD_Data(),Table_SourceData_PastureBeef_LiveweightGainNTQLD[[#Headers],[State]],0)</f>
        <v>High</v>
      </c>
      <c r="F205" s="37" t="str" cm="1">
        <f t="array" ref="F205">Common_InputFunctions.Utility_DisplayArrayInTable(SourceData_PastureBeef.SourceData_PastureBeef_LiveweightGainNTQLD_Data(),Table_SourceData_PastureBeef_LiveweightGainNTQLD[[#Headers],[State]],0)</f>
        <v>Winter</v>
      </c>
      <c r="G205" s="37" cm="1">
        <f t="array" ref="G205">Common_InputFunctions.Utility_DisplayArrayInTable(SourceData_PastureBeef.SourceData_PastureBeef_LiveweightGainNTQLD_Data(),Table_SourceData_PastureBeef_LiveweightGainNTQLD[[#Headers],[State]],0)</f>
        <v>0.51</v>
      </c>
      <c r="H205" s="37" cm="1">
        <f t="array" ref="H205">Common_InputFunctions.Utility_DisplayArrayInTable(SourceData_PastureBeef.SourceData_PastureBeef_LiveweightGainNTQLD_Data(),Table_SourceData_PastureBeef_LiveweightGainNTQLD[[#Headers],[State]],0)</f>
        <v>-7.0000000000000007E-2</v>
      </c>
      <c r="I205" s="37" cm="1">
        <f t="array" ref="I205">Common_InputFunctions.Utility_DisplayArrayInTable(SourceData_PastureBeef.SourceData_PastureBeef_LiveweightGainNTQLD_Data(),Table_SourceData_PastureBeef_LiveweightGainNTQLD[[#Headers],[State]],0)</f>
        <v>0.13</v>
      </c>
      <c r="J205" s="37" cm="1">
        <f t="array" ref="J205">Common_InputFunctions.Utility_DisplayArrayInTable(SourceData_PastureBeef.SourceData_PastureBeef_LiveweightGainNTQLD_Data(),Table_SourceData_PastureBeef_LiveweightGainNTQLD[[#Headers],[State]],0)</f>
        <v>-0.09</v>
      </c>
      <c r="K205" s="37" cm="1">
        <f t="array" ref="K205">Common_InputFunctions.Utility_DisplayArrayInTable(SourceData_PastureBeef.SourceData_PastureBeef_LiveweightGainNTQLD_Data(),Table_SourceData_PastureBeef_LiveweightGainNTQLD[[#Headers],[State]],0)</f>
        <v>-0.13</v>
      </c>
      <c r="L205" s="37" cm="1">
        <f t="array" ref="L205">Common_InputFunctions.Utility_DisplayArrayInTable(SourceData_PastureBeef.SourceData_PastureBeef_LiveweightGainNTQLD_Data(),Table_SourceData_PastureBeef_LiveweightGainNTQLD[[#Headers],[State]],0)</f>
        <v>7.0000000000000007E-2</v>
      </c>
      <c r="M205" s="37" cm="1">
        <f t="array" ref="M205">Common_InputFunctions.Utility_DisplayArrayInTable(SourceData_PastureBeef.SourceData_PastureBeef_LiveweightGainNTQLD_Data(),Table_SourceData_PastureBeef_LiveweightGainNTQLD[[#Headers],[State]],0)</f>
        <v>0.25</v>
      </c>
      <c r="N205" s="37" cm="1">
        <f t="array" ref="N205">Common_InputFunctions.Utility_DisplayArrayInTable(SourceData_PastureBeef.SourceData_PastureBeef_LiveweightGainNTQLD_Data(),Table_SourceData_PastureBeef_LiveweightGainNTQLD[[#Headers],[State]],0)</f>
        <v>0.71</v>
      </c>
      <c r="O205" s="37" cm="1">
        <f t="array" ref="O205">Common_InputFunctions.Utility_DisplayArrayInTable(SourceData_PastureBeef.SourceData_PastureBeef_LiveweightGainNTQLD_Data(),Table_SourceData_PastureBeef_LiveweightGainNTQLD[[#Headers],[State]],0)</f>
        <v>0.17</v>
      </c>
      <c r="P205" s="37"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7" t="str" cm="1">
        <f t="array" ref="E206">Common_InputFunctions.Utility_DisplayArrayInTable(SourceData_PastureBeef.SourceData_PastureBeef_LiveweightGainNTQLD_Data(),Table_SourceData_PastureBeef_LiveweightGainNTQLD[[#Headers],[State]],0)</f>
        <v>Moderate/High</v>
      </c>
      <c r="F206" s="37" t="str" cm="1">
        <f t="array" ref="F206">Common_InputFunctions.Utility_DisplayArrayInTable(SourceData_PastureBeef.SourceData_PastureBeef_LiveweightGainNTQLD_Data(),Table_SourceData_PastureBeef_LiveweightGainNTQLD[[#Headers],[State]],0)</f>
        <v>Spring</v>
      </c>
      <c r="G206" s="37" cm="1">
        <f t="array" ref="G206">Common_InputFunctions.Utility_DisplayArrayInTable(SourceData_PastureBeef.SourceData_PastureBeef_LiveweightGainNTQLD_Data(),Table_SourceData_PastureBeef_LiveweightGainNTQLD[[#Headers],[State]],0)</f>
        <v>-0.12</v>
      </c>
      <c r="H206" s="37" cm="1">
        <f t="array" ref="H206">Common_InputFunctions.Utility_DisplayArrayInTable(SourceData_PastureBeef.SourceData_PastureBeef_LiveweightGainNTQLD_Data(),Table_SourceData_PastureBeef_LiveweightGainNTQLD[[#Headers],[State]],0)</f>
        <v>-0.19</v>
      </c>
      <c r="I206" s="37" cm="1">
        <f t="array" ref="I206">Common_InputFunctions.Utility_DisplayArrayInTable(SourceData_PastureBeef.SourceData_PastureBeef_LiveweightGainNTQLD_Data(),Table_SourceData_PastureBeef_LiveweightGainNTQLD[[#Headers],[State]],0)</f>
        <v>0.41</v>
      </c>
      <c r="J206" s="37" cm="1">
        <f t="array" ref="J206">Common_InputFunctions.Utility_DisplayArrayInTable(SourceData_PastureBeef.SourceData_PastureBeef_LiveweightGainNTQLD_Data(),Table_SourceData_PastureBeef_LiveweightGainNTQLD[[#Headers],[State]],0)</f>
        <v>0.09</v>
      </c>
      <c r="K206" s="37" cm="1">
        <f t="array" ref="K206">Common_InputFunctions.Utility_DisplayArrayInTable(SourceData_PastureBeef.SourceData_PastureBeef_LiveweightGainNTQLD_Data(),Table_SourceData_PastureBeef_LiveweightGainNTQLD[[#Headers],[State]],0)</f>
        <v>0.41</v>
      </c>
      <c r="L206" s="37" cm="1">
        <f t="array" ref="L206">Common_InputFunctions.Utility_DisplayArrayInTable(SourceData_PastureBeef.SourceData_PastureBeef_LiveweightGainNTQLD_Data(),Table_SourceData_PastureBeef_LiveweightGainNTQLD[[#Headers],[State]],0)</f>
        <v>-0.19</v>
      </c>
      <c r="M206" s="37" cm="1">
        <f t="array" ref="M206">Common_InputFunctions.Utility_DisplayArrayInTable(SourceData_PastureBeef.SourceData_PastureBeef_LiveweightGainNTQLD_Data(),Table_SourceData_PastureBeef_LiveweightGainNTQLD[[#Headers],[State]],0)</f>
        <v>7.0000000000000007E-2</v>
      </c>
      <c r="N206" s="37" cm="1">
        <f t="array" ref="N206">Common_InputFunctions.Utility_DisplayArrayInTable(SourceData_PastureBeef.SourceData_PastureBeef_LiveweightGainNTQLD_Data(),Table_SourceData_PastureBeef_LiveweightGainNTQLD[[#Headers],[State]],0)</f>
        <v>1.07</v>
      </c>
      <c r="O206" s="37" cm="1">
        <f t="array" ref="O206">Common_InputFunctions.Utility_DisplayArrayInTable(SourceData_PastureBeef.SourceData_PastureBeef_LiveweightGainNTQLD_Data(),Table_SourceData_PastureBeef_LiveweightGainNTQLD[[#Headers],[State]],0)</f>
        <v>-0.08</v>
      </c>
      <c r="P206" s="37"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7" t="str" cm="1">
        <f t="array" ref="E207">Common_InputFunctions.Utility_DisplayArrayInTable(SourceData_PastureBeef.SourceData_PastureBeef_LiveweightGainNTQLD_Data(),Table_SourceData_PastureBeef_LiveweightGainNTQLD[[#Headers],[State]],0)</f>
        <v>Moderate/High</v>
      </c>
      <c r="F207" s="37" t="str" cm="1">
        <f t="array" ref="F207">Common_InputFunctions.Utility_DisplayArrayInTable(SourceData_PastureBeef.SourceData_PastureBeef_LiveweightGainNTQLD_Data(),Table_SourceData_PastureBeef_LiveweightGainNTQLD[[#Headers],[State]],0)</f>
        <v>Summer</v>
      </c>
      <c r="G207" s="37" cm="1">
        <f t="array" ref="G207">Common_InputFunctions.Utility_DisplayArrayInTable(SourceData_PastureBeef.SourceData_PastureBeef_LiveweightGainNTQLD_Data(),Table_SourceData_PastureBeef_LiveweightGainNTQLD[[#Headers],[State]],0)</f>
        <v>0.65</v>
      </c>
      <c r="H207" s="37" cm="1">
        <f t="array" ref="H207">Common_InputFunctions.Utility_DisplayArrayInTable(SourceData_PastureBeef.SourceData_PastureBeef_LiveweightGainNTQLD_Data(),Table_SourceData_PastureBeef_LiveweightGainNTQLD[[#Headers],[State]],0)</f>
        <v>0.19</v>
      </c>
      <c r="I207" s="37" cm="1">
        <f t="array" ref="I207">Common_InputFunctions.Utility_DisplayArrayInTable(SourceData_PastureBeef.SourceData_PastureBeef_LiveweightGainNTQLD_Data(),Table_SourceData_PastureBeef_LiveweightGainNTQLD[[#Headers],[State]],0)</f>
        <v>0.65</v>
      </c>
      <c r="J207" s="37" cm="1">
        <f t="array" ref="J207">Common_InputFunctions.Utility_DisplayArrayInTable(SourceData_PastureBeef.SourceData_PastureBeef_LiveweightGainNTQLD_Data(),Table_SourceData_PastureBeef_LiveweightGainNTQLD[[#Headers],[State]],0)</f>
        <v>0.51</v>
      </c>
      <c r="K207" s="37" cm="1">
        <f t="array" ref="K207">Common_InputFunctions.Utility_DisplayArrayInTable(SourceData_PastureBeef.SourceData_PastureBeef_LiveweightGainNTQLD_Data(),Table_SourceData_PastureBeef_LiveweightGainNTQLD[[#Headers],[State]],0)</f>
        <v>0.18</v>
      </c>
      <c r="L207" s="37" cm="1">
        <f t="array" ref="L207">Common_InputFunctions.Utility_DisplayArrayInTable(SourceData_PastureBeef.SourceData_PastureBeef_LiveweightGainNTQLD_Data(),Table_SourceData_PastureBeef_LiveweightGainNTQLD[[#Headers],[State]],0)</f>
        <v>0.63</v>
      </c>
      <c r="M207" s="37" cm="1">
        <f t="array" ref="M207">Common_InputFunctions.Utility_DisplayArrayInTable(SourceData_PastureBeef.SourceData_PastureBeef_LiveweightGainNTQLD_Data(),Table_SourceData_PastureBeef_LiveweightGainNTQLD[[#Headers],[State]],0)</f>
        <v>1.3</v>
      </c>
      <c r="N207" s="37" cm="1">
        <f t="array" ref="N207">Common_InputFunctions.Utility_DisplayArrayInTable(SourceData_PastureBeef.SourceData_PastureBeef_LiveweightGainNTQLD_Data(),Table_SourceData_PastureBeef_LiveweightGainNTQLD[[#Headers],[State]],0)</f>
        <v>0.48</v>
      </c>
      <c r="O207" s="37" cm="1">
        <f t="array" ref="O207">Common_InputFunctions.Utility_DisplayArrayInTable(SourceData_PastureBeef.SourceData_PastureBeef_LiveweightGainNTQLD_Data(),Table_SourceData_PastureBeef_LiveweightGainNTQLD[[#Headers],[State]],0)</f>
        <v>1.1200000000000001</v>
      </c>
      <c r="P207" s="37"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7" t="str" cm="1">
        <f t="array" ref="E208">Common_InputFunctions.Utility_DisplayArrayInTable(SourceData_PastureBeef.SourceData_PastureBeef_LiveweightGainNTQLD_Data(),Table_SourceData_PastureBeef_LiveweightGainNTQLD[[#Headers],[State]],0)</f>
        <v>Moderate/High</v>
      </c>
      <c r="F208" s="37" t="str" cm="1">
        <f t="array" ref="F208">Common_InputFunctions.Utility_DisplayArrayInTable(SourceData_PastureBeef.SourceData_PastureBeef_LiveweightGainNTQLD_Data(),Table_SourceData_PastureBeef_LiveweightGainNTQLD[[#Headers],[State]],0)</f>
        <v>Autumn</v>
      </c>
      <c r="G208" s="37" cm="1">
        <f t="array" ref="G208">Common_InputFunctions.Utility_DisplayArrayInTable(SourceData_PastureBeef.SourceData_PastureBeef_LiveweightGainNTQLD_Data(),Table_SourceData_PastureBeef_LiveweightGainNTQLD[[#Headers],[State]],0)</f>
        <v>0.7</v>
      </c>
      <c r="H208" s="37" cm="1">
        <f t="array" ref="H208">Common_InputFunctions.Utility_DisplayArrayInTable(SourceData_PastureBeef.SourceData_PastureBeef_LiveweightGainNTQLD_Data(),Table_SourceData_PastureBeef_LiveweightGainNTQLD[[#Headers],[State]],0)</f>
        <v>0.13</v>
      </c>
      <c r="I208" s="37" cm="1">
        <f t="array" ref="I208">Common_InputFunctions.Utility_DisplayArrayInTable(SourceData_PastureBeef.SourceData_PastureBeef_LiveweightGainNTQLD_Data(),Table_SourceData_PastureBeef_LiveweightGainNTQLD[[#Headers],[State]],0)</f>
        <v>0.52</v>
      </c>
      <c r="J208" s="37" cm="1">
        <f t="array" ref="J208">Common_InputFunctions.Utility_DisplayArrayInTable(SourceData_PastureBeef.SourceData_PastureBeef_LiveweightGainNTQLD_Data(),Table_SourceData_PastureBeef_LiveweightGainNTQLD[[#Headers],[State]],0)</f>
        <v>0.34</v>
      </c>
      <c r="K208" s="37" cm="1">
        <f t="array" ref="K208">Common_InputFunctions.Utility_DisplayArrayInTable(SourceData_PastureBeef.SourceData_PastureBeef_LiveweightGainNTQLD_Data(),Table_SourceData_PastureBeef_LiveweightGainNTQLD[[#Headers],[State]],0)</f>
        <v>0.02</v>
      </c>
      <c r="L208" s="37" cm="1">
        <f t="array" ref="L208">Common_InputFunctions.Utility_DisplayArrayInTable(SourceData_PastureBeef.SourceData_PastureBeef_LiveweightGainNTQLD_Data(),Table_SourceData_PastureBeef_LiveweightGainNTQLD[[#Headers],[State]],0)</f>
        <v>0.04</v>
      </c>
      <c r="M208" s="37" cm="1">
        <f t="array" ref="M208">Common_InputFunctions.Utility_DisplayArrayInTable(SourceData_PastureBeef.SourceData_PastureBeef_LiveweightGainNTQLD_Data(),Table_SourceData_PastureBeef_LiveweightGainNTQLD[[#Headers],[State]],0)</f>
        <v>0.77</v>
      </c>
      <c r="N208" s="37" cm="1">
        <f t="array" ref="N208">Common_InputFunctions.Utility_DisplayArrayInTable(SourceData_PastureBeef.SourceData_PastureBeef_LiveweightGainNTQLD_Data(),Table_SourceData_PastureBeef_LiveweightGainNTQLD[[#Headers],[State]],0)</f>
        <v>0.42</v>
      </c>
      <c r="O208" s="37" cm="1">
        <f t="array" ref="O208">Common_InputFunctions.Utility_DisplayArrayInTable(SourceData_PastureBeef.SourceData_PastureBeef_LiveweightGainNTQLD_Data(),Table_SourceData_PastureBeef_LiveweightGainNTQLD[[#Headers],[State]],0)</f>
        <v>0.12</v>
      </c>
      <c r="P208" s="37"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7" t="str" cm="1">
        <f t="array" ref="E209">Common_InputFunctions.Utility_DisplayArrayInTable(SourceData_PastureBeef.SourceData_PastureBeef_LiveweightGainNTQLD_Data(),Table_SourceData_PastureBeef_LiveweightGainNTQLD[[#Headers],[State]],0)</f>
        <v>Moderate/High</v>
      </c>
      <c r="F209" s="37" t="str" cm="1">
        <f t="array" ref="F209">Common_InputFunctions.Utility_DisplayArrayInTable(SourceData_PastureBeef.SourceData_PastureBeef_LiveweightGainNTQLD_Data(),Table_SourceData_PastureBeef_LiveweightGainNTQLD[[#Headers],[State]],0)</f>
        <v>Winter</v>
      </c>
      <c r="G209" s="37" cm="1">
        <f t="array" ref="G209">Common_InputFunctions.Utility_DisplayArrayInTable(SourceData_PastureBeef.SourceData_PastureBeef_LiveweightGainNTQLD_Data(),Table_SourceData_PastureBeef_LiveweightGainNTQLD[[#Headers],[State]],0)</f>
        <v>0.32</v>
      </c>
      <c r="H209" s="37" cm="1">
        <f t="array" ref="H209">Common_InputFunctions.Utility_DisplayArrayInTable(SourceData_PastureBeef.SourceData_PastureBeef_LiveweightGainNTQLD_Data(),Table_SourceData_PastureBeef_LiveweightGainNTQLD[[#Headers],[State]],0)</f>
        <v>-0.06</v>
      </c>
      <c r="I209" s="37" cm="1">
        <f t="array" ref="I209">Common_InputFunctions.Utility_DisplayArrayInTable(SourceData_PastureBeef.SourceData_PastureBeef_LiveweightGainNTQLD_Data(),Table_SourceData_PastureBeef_LiveweightGainNTQLD[[#Headers],[State]],0)</f>
        <v>0.25</v>
      </c>
      <c r="J209" s="37" cm="1">
        <f t="array" ref="J209">Common_InputFunctions.Utility_DisplayArrayInTable(SourceData_PastureBeef.SourceData_PastureBeef_LiveweightGainNTQLD_Data(),Table_SourceData_PastureBeef_LiveweightGainNTQLD[[#Headers],[State]],0)</f>
        <v>0.19</v>
      </c>
      <c r="K209" s="37" cm="1">
        <f t="array" ref="K209">Common_InputFunctions.Utility_DisplayArrayInTable(SourceData_PastureBeef.SourceData_PastureBeef_LiveweightGainNTQLD_Data(),Table_SourceData_PastureBeef_LiveweightGainNTQLD[[#Headers],[State]],0)</f>
        <v>-0.1</v>
      </c>
      <c r="L209" s="37" cm="1">
        <f t="array" ref="L209">Common_InputFunctions.Utility_DisplayArrayInTable(SourceData_PastureBeef.SourceData_PastureBeef_LiveweightGainNTQLD_Data(),Table_SourceData_PastureBeef_LiveweightGainNTQLD[[#Headers],[State]],0)</f>
        <v>-0.02</v>
      </c>
      <c r="M209" s="37" cm="1">
        <f t="array" ref="M209">Common_InputFunctions.Utility_DisplayArrayInTable(SourceData_PastureBeef.SourceData_PastureBeef_LiveweightGainNTQLD_Data(),Table_SourceData_PastureBeef_LiveweightGainNTQLD[[#Headers],[State]],0)</f>
        <v>0.02</v>
      </c>
      <c r="N209" s="37" cm="1">
        <f t="array" ref="N209">Common_InputFunctions.Utility_DisplayArrayInTable(SourceData_PastureBeef.SourceData_PastureBeef_LiveweightGainNTQLD_Data(),Table_SourceData_PastureBeef_LiveweightGainNTQLD[[#Headers],[State]],0)</f>
        <v>0.23</v>
      </c>
      <c r="O209" s="37" cm="1">
        <f t="array" ref="O209">Common_InputFunctions.Utility_DisplayArrayInTable(SourceData_PastureBeef.SourceData_PastureBeef_LiveweightGainNTQLD_Data(),Table_SourceData_PastureBeef_LiveweightGainNTQLD[[#Headers],[State]],0)</f>
        <v>-0.13</v>
      </c>
      <c r="P209" s="37"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7" t="str" cm="1">
        <f t="array" ref="E210">Common_InputFunctions.Utility_DisplayArrayInTable(SourceData_PastureBeef.SourceData_PastureBeef_LiveweightGainNTQLD_Data(),Table_SourceData_PastureBeef_LiveweightGainNTQLD[[#Headers],[State]],0)</f>
        <v>Moderate/Low</v>
      </c>
      <c r="F210" s="37" t="str" cm="1">
        <f t="array" ref="F210">Common_InputFunctions.Utility_DisplayArrayInTable(SourceData_PastureBeef.SourceData_PastureBeef_LiveweightGainNTQLD_Data(),Table_SourceData_PastureBeef_LiveweightGainNTQLD[[#Headers],[State]],0)</f>
        <v>Spring</v>
      </c>
      <c r="G210" s="37" cm="1">
        <f t="array" ref="G210">Common_InputFunctions.Utility_DisplayArrayInTable(SourceData_PastureBeef.SourceData_PastureBeef_LiveweightGainNTQLD_Data(),Table_SourceData_PastureBeef_LiveweightGainNTQLD[[#Headers],[State]],0)</f>
        <v>0.62</v>
      </c>
      <c r="H210" s="37" cm="1">
        <f t="array" ref="H210">Common_InputFunctions.Utility_DisplayArrayInTable(SourceData_PastureBeef.SourceData_PastureBeef_LiveweightGainNTQLD_Data(),Table_SourceData_PastureBeef_LiveweightGainNTQLD[[#Headers],[State]],0)</f>
        <v>-0.19</v>
      </c>
      <c r="I210" s="37" cm="1">
        <f t="array" ref="I210">Common_InputFunctions.Utility_DisplayArrayInTable(SourceData_PastureBeef.SourceData_PastureBeef_LiveweightGainNTQLD_Data(),Table_SourceData_PastureBeef_LiveweightGainNTQLD[[#Headers],[State]],0)</f>
        <v>0.37</v>
      </c>
      <c r="J210" s="37" cm="1">
        <f t="array" ref="J210">Common_InputFunctions.Utility_DisplayArrayInTable(SourceData_PastureBeef.SourceData_PastureBeef_LiveweightGainNTQLD_Data(),Table_SourceData_PastureBeef_LiveweightGainNTQLD[[#Headers],[State]],0)</f>
        <v>0.41</v>
      </c>
      <c r="K210" s="37" cm="1">
        <f t="array" ref="K210">Common_InputFunctions.Utility_DisplayArrayInTable(SourceData_PastureBeef.SourceData_PastureBeef_LiveweightGainNTQLD_Data(),Table_SourceData_PastureBeef_LiveweightGainNTQLD[[#Headers],[State]],0)</f>
        <v>0.06</v>
      </c>
      <c r="L210" s="37" cm="1">
        <f t="array" ref="L210">Common_InputFunctions.Utility_DisplayArrayInTable(SourceData_PastureBeef.SourceData_PastureBeef_LiveweightGainNTQLD_Data(),Table_SourceData_PastureBeef_LiveweightGainNTQLD[[#Headers],[State]],0)</f>
        <v>-0.02</v>
      </c>
      <c r="M210" s="37" cm="1">
        <f t="array" ref="M210">Common_InputFunctions.Utility_DisplayArrayInTable(SourceData_PastureBeef.SourceData_PastureBeef_LiveweightGainNTQLD_Data(),Table_SourceData_PastureBeef_LiveweightGainNTQLD[[#Headers],[State]],0)</f>
        <v>0.47</v>
      </c>
      <c r="N210" s="37" cm="1">
        <f t="array" ref="N210">Common_InputFunctions.Utility_DisplayArrayInTable(SourceData_PastureBeef.SourceData_PastureBeef_LiveweightGainNTQLD_Data(),Table_SourceData_PastureBeef_LiveweightGainNTQLD[[#Headers],[State]],0)</f>
        <v>0.44</v>
      </c>
      <c r="O210" s="37" cm="1">
        <f t="array" ref="O210">Common_InputFunctions.Utility_DisplayArrayInTable(SourceData_PastureBeef.SourceData_PastureBeef_LiveweightGainNTQLD_Data(),Table_SourceData_PastureBeef_LiveweightGainNTQLD[[#Headers],[State]],0)</f>
        <v>0.3</v>
      </c>
      <c r="P210" s="37"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7" t="str" cm="1">
        <f t="array" ref="E211">Common_InputFunctions.Utility_DisplayArrayInTable(SourceData_PastureBeef.SourceData_PastureBeef_LiveweightGainNTQLD_Data(),Table_SourceData_PastureBeef_LiveweightGainNTQLD[[#Headers],[State]],0)</f>
        <v>Moderate/Low</v>
      </c>
      <c r="F211" s="37" t="str" cm="1">
        <f t="array" ref="F211">Common_InputFunctions.Utility_DisplayArrayInTable(SourceData_PastureBeef.SourceData_PastureBeef_LiveweightGainNTQLD_Data(),Table_SourceData_PastureBeef_LiveweightGainNTQLD[[#Headers],[State]],0)</f>
        <v>Summer</v>
      </c>
      <c r="G211" s="37" cm="1">
        <f t="array" ref="G211">Common_InputFunctions.Utility_DisplayArrayInTable(SourceData_PastureBeef.SourceData_PastureBeef_LiveweightGainNTQLD_Data(),Table_SourceData_PastureBeef_LiveweightGainNTQLD[[#Headers],[State]],0)</f>
        <v>0.05</v>
      </c>
      <c r="H211" s="37" cm="1">
        <f t="array" ref="H211">Common_InputFunctions.Utility_DisplayArrayInTable(SourceData_PastureBeef.SourceData_PastureBeef_LiveweightGainNTQLD_Data(),Table_SourceData_PastureBeef_LiveweightGainNTQLD[[#Headers],[State]],0)</f>
        <v>0.19</v>
      </c>
      <c r="I211" s="37" cm="1">
        <f t="array" ref="I211">Common_InputFunctions.Utility_DisplayArrayInTable(SourceData_PastureBeef.SourceData_PastureBeef_LiveweightGainNTQLD_Data(),Table_SourceData_PastureBeef_LiveweightGainNTQLD[[#Headers],[State]],0)</f>
        <v>0.31</v>
      </c>
      <c r="J211" s="37" cm="1">
        <f t="array" ref="J211">Common_InputFunctions.Utility_DisplayArrayInTable(SourceData_PastureBeef.SourceData_PastureBeef_LiveweightGainNTQLD_Data(),Table_SourceData_PastureBeef_LiveweightGainNTQLD[[#Headers],[State]],0)</f>
        <v>0.54</v>
      </c>
      <c r="K211" s="37" cm="1">
        <f t="array" ref="K211">Common_InputFunctions.Utility_DisplayArrayInTable(SourceData_PastureBeef.SourceData_PastureBeef_LiveweightGainNTQLD_Data(),Table_SourceData_PastureBeef_LiveweightGainNTQLD[[#Headers],[State]],0)</f>
        <v>0.53</v>
      </c>
      <c r="L211" s="37" cm="1">
        <f t="array" ref="L211">Common_InputFunctions.Utility_DisplayArrayInTable(SourceData_PastureBeef.SourceData_PastureBeef_LiveweightGainNTQLD_Data(),Table_SourceData_PastureBeef_LiveweightGainNTQLD[[#Headers],[State]],0)</f>
        <v>0.15</v>
      </c>
      <c r="M211" s="37" cm="1">
        <f t="array" ref="M211">Common_InputFunctions.Utility_DisplayArrayInTable(SourceData_PastureBeef.SourceData_PastureBeef_LiveweightGainNTQLD_Data(),Table_SourceData_PastureBeef_LiveweightGainNTQLD[[#Headers],[State]],0)</f>
        <v>0.28000000000000003</v>
      </c>
      <c r="N211" s="37" cm="1">
        <f t="array" ref="N211">Common_InputFunctions.Utility_DisplayArrayInTable(SourceData_PastureBeef.SourceData_PastureBeef_LiveweightGainNTQLD_Data(),Table_SourceData_PastureBeef_LiveweightGainNTQLD[[#Headers],[State]],0)</f>
        <v>0.56999999999999995</v>
      </c>
      <c r="O211" s="37" cm="1">
        <f t="array" ref="O211">Common_InputFunctions.Utility_DisplayArrayInTable(SourceData_PastureBeef.SourceData_PastureBeef_LiveweightGainNTQLD_Data(),Table_SourceData_PastureBeef_LiveweightGainNTQLD[[#Headers],[State]],0)</f>
        <v>0.42</v>
      </c>
      <c r="P211" s="37"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7" t="str" cm="1">
        <f t="array" ref="E212">Common_InputFunctions.Utility_DisplayArrayInTable(SourceData_PastureBeef.SourceData_PastureBeef_LiveweightGainNTQLD_Data(),Table_SourceData_PastureBeef_LiveweightGainNTQLD[[#Headers],[State]],0)</f>
        <v>Moderate/Low</v>
      </c>
      <c r="F212" s="37" t="str" cm="1">
        <f t="array" ref="F212">Common_InputFunctions.Utility_DisplayArrayInTable(SourceData_PastureBeef.SourceData_PastureBeef_LiveweightGainNTQLD_Data(),Table_SourceData_PastureBeef_LiveweightGainNTQLD[[#Headers],[State]],0)</f>
        <v>Autumn</v>
      </c>
      <c r="G212" s="37" cm="1">
        <f t="array" ref="G212">Common_InputFunctions.Utility_DisplayArrayInTable(SourceData_PastureBeef.SourceData_PastureBeef_LiveweightGainNTQLD_Data(),Table_SourceData_PastureBeef_LiveweightGainNTQLD[[#Headers],[State]],0)</f>
        <v>0.33</v>
      </c>
      <c r="H212" s="37" cm="1">
        <f t="array" ref="H212">Common_InputFunctions.Utility_DisplayArrayInTable(SourceData_PastureBeef.SourceData_PastureBeef_LiveweightGainNTQLD_Data(),Table_SourceData_PastureBeef_LiveweightGainNTQLD[[#Headers],[State]],0)</f>
        <v>0.13</v>
      </c>
      <c r="I212" s="37" cm="1">
        <f t="array" ref="I212">Common_InputFunctions.Utility_DisplayArrayInTable(SourceData_PastureBeef.SourceData_PastureBeef_LiveweightGainNTQLD_Data(),Table_SourceData_PastureBeef_LiveweightGainNTQLD[[#Headers],[State]],0)</f>
        <v>0.39</v>
      </c>
      <c r="J212" s="37" cm="1">
        <f t="array" ref="J212">Common_InputFunctions.Utility_DisplayArrayInTable(SourceData_PastureBeef.SourceData_PastureBeef_LiveweightGainNTQLD_Data(),Table_SourceData_PastureBeef_LiveweightGainNTQLD[[#Headers],[State]],0)</f>
        <v>0.36</v>
      </c>
      <c r="K212" s="37" cm="1">
        <f t="array" ref="K212">Common_InputFunctions.Utility_DisplayArrayInTable(SourceData_PastureBeef.SourceData_PastureBeef_LiveweightGainNTQLD_Data(),Table_SourceData_PastureBeef_LiveweightGainNTQLD[[#Headers],[State]],0)</f>
        <v>0.26</v>
      </c>
      <c r="L212" s="37" cm="1">
        <f t="array" ref="L212">Common_InputFunctions.Utility_DisplayArrayInTable(SourceData_PastureBeef.SourceData_PastureBeef_LiveweightGainNTQLD_Data(),Table_SourceData_PastureBeef_LiveweightGainNTQLD[[#Headers],[State]],0)</f>
        <v>0.11</v>
      </c>
      <c r="M212" s="37" cm="1">
        <f t="array" ref="M212">Common_InputFunctions.Utility_DisplayArrayInTable(SourceData_PastureBeef.SourceData_PastureBeef_LiveweightGainNTQLD_Data(),Table_SourceData_PastureBeef_LiveweightGainNTQLD[[#Headers],[State]],0)</f>
        <v>0.4</v>
      </c>
      <c r="N212" s="37" cm="1">
        <f t="array" ref="N212">Common_InputFunctions.Utility_DisplayArrayInTable(SourceData_PastureBeef.SourceData_PastureBeef_LiveweightGainNTQLD_Data(),Table_SourceData_PastureBeef_LiveweightGainNTQLD[[#Headers],[State]],0)</f>
        <v>0.44</v>
      </c>
      <c r="O212" s="37" cm="1">
        <f t="array" ref="O212">Common_InputFunctions.Utility_DisplayArrayInTable(SourceData_PastureBeef.SourceData_PastureBeef_LiveweightGainNTQLD_Data(),Table_SourceData_PastureBeef_LiveweightGainNTQLD[[#Headers],[State]],0)</f>
        <v>0.37</v>
      </c>
      <c r="P212" s="37"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7" t="str" cm="1">
        <f t="array" ref="E213">Common_InputFunctions.Utility_DisplayArrayInTable(SourceData_PastureBeef.SourceData_PastureBeef_LiveweightGainNTQLD_Data(),Table_SourceData_PastureBeef_LiveweightGainNTQLD[[#Headers],[State]],0)</f>
        <v>Moderate/Low</v>
      </c>
      <c r="F213" s="37" t="str" cm="1">
        <f t="array" ref="F213">Common_InputFunctions.Utility_DisplayArrayInTable(SourceData_PastureBeef.SourceData_PastureBeef_LiveweightGainNTQLD_Data(),Table_SourceData_PastureBeef_LiveweightGainNTQLD[[#Headers],[State]],0)</f>
        <v>Winter</v>
      </c>
      <c r="G213" s="37" cm="1">
        <f t="array" ref="G213">Common_InputFunctions.Utility_DisplayArrayInTable(SourceData_PastureBeef.SourceData_PastureBeef_LiveweightGainNTQLD_Data(),Table_SourceData_PastureBeef_LiveweightGainNTQLD[[#Headers],[State]],0)</f>
        <v>0.61</v>
      </c>
      <c r="H213" s="37" cm="1">
        <f t="array" ref="H213">Common_InputFunctions.Utility_DisplayArrayInTable(SourceData_PastureBeef.SourceData_PastureBeef_LiveweightGainNTQLD_Data(),Table_SourceData_PastureBeef_LiveweightGainNTQLD[[#Headers],[State]],0)</f>
        <v>-0.06</v>
      </c>
      <c r="I213" s="37" cm="1">
        <f t="array" ref="I213">Common_InputFunctions.Utility_DisplayArrayInTable(SourceData_PastureBeef.SourceData_PastureBeef_LiveweightGainNTQLD_Data(),Table_SourceData_PastureBeef_LiveweightGainNTQLD[[#Headers],[State]],0)</f>
        <v>0.21</v>
      </c>
      <c r="J213" s="37" cm="1">
        <f t="array" ref="J213">Common_InputFunctions.Utility_DisplayArrayInTable(SourceData_PastureBeef.SourceData_PastureBeef_LiveweightGainNTQLD_Data(),Table_SourceData_PastureBeef_LiveweightGainNTQLD[[#Headers],[State]],0)</f>
        <v>0.18</v>
      </c>
      <c r="K213" s="37" cm="1">
        <f t="array" ref="K213">Common_InputFunctions.Utility_DisplayArrayInTable(SourceData_PastureBeef.SourceData_PastureBeef_LiveweightGainNTQLD_Data(),Table_SourceData_PastureBeef_LiveweightGainNTQLD[[#Headers],[State]],0)</f>
        <v>0.12</v>
      </c>
      <c r="L213" s="37" cm="1">
        <f t="array" ref="L213">Common_InputFunctions.Utility_DisplayArrayInTable(SourceData_PastureBeef.SourceData_PastureBeef_LiveweightGainNTQLD_Data(),Table_SourceData_PastureBeef_LiveweightGainNTQLD[[#Headers],[State]],0)</f>
        <v>0.06</v>
      </c>
      <c r="M213" s="37" cm="1">
        <f t="array" ref="M213">Common_InputFunctions.Utility_DisplayArrayInTable(SourceData_PastureBeef.SourceData_PastureBeef_LiveweightGainNTQLD_Data(),Table_SourceData_PastureBeef_LiveweightGainNTQLD[[#Headers],[State]],0)</f>
        <v>0.28999999999999998</v>
      </c>
      <c r="N213" s="37" cm="1">
        <f t="array" ref="N213">Common_InputFunctions.Utility_DisplayArrayInTable(SourceData_PastureBeef.SourceData_PastureBeef_LiveweightGainNTQLD_Data(),Table_SourceData_PastureBeef_LiveweightGainNTQLD[[#Headers],[State]],0)</f>
        <v>0.41</v>
      </c>
      <c r="O213" s="37" cm="1">
        <f t="array" ref="O213">Common_InputFunctions.Utility_DisplayArrayInTable(SourceData_PastureBeef.SourceData_PastureBeef_LiveweightGainNTQLD_Data(),Table_SourceData_PastureBeef_LiveweightGainNTQLD[[#Headers],[State]],0)</f>
        <v>0.41</v>
      </c>
      <c r="P213" s="37"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7" t="str" cm="1">
        <f t="array" ref="E214">Common_InputFunctions.Utility_DisplayArrayInTable(SourceData_PastureBeef.SourceData_PastureBeef_LiveweightGainNTQLD_Data(),Table_SourceData_PastureBeef_LiveweightGainNTQLD[[#Headers],[State]],0)</f>
        <v>Low</v>
      </c>
      <c r="F214" s="37" t="str" cm="1">
        <f t="array" ref="F214">Common_InputFunctions.Utility_DisplayArrayInTable(SourceData_PastureBeef.SourceData_PastureBeef_LiveweightGainNTQLD_Data(),Table_SourceData_PastureBeef_LiveweightGainNTQLD[[#Headers],[State]],0)</f>
        <v>Spring</v>
      </c>
      <c r="G214" s="37" cm="1">
        <f t="array" ref="G214">Common_InputFunctions.Utility_DisplayArrayInTable(SourceData_PastureBeef.SourceData_PastureBeef_LiveweightGainNTQLD_Data(),Table_SourceData_PastureBeef_LiveweightGainNTQLD[[#Headers],[State]],0)</f>
        <v>-0.2</v>
      </c>
      <c r="H214" s="37" cm="1">
        <f t="array" ref="H214">Common_InputFunctions.Utility_DisplayArrayInTable(SourceData_PastureBeef.SourceData_PastureBeef_LiveweightGainNTQLD_Data(),Table_SourceData_PastureBeef_LiveweightGainNTQLD[[#Headers],[State]],0)</f>
        <v>0.02</v>
      </c>
      <c r="I214" s="37" cm="1">
        <f t="array" ref="I214">Common_InputFunctions.Utility_DisplayArrayInTable(SourceData_PastureBeef.SourceData_PastureBeef_LiveweightGainNTQLD_Data(),Table_SourceData_PastureBeef_LiveweightGainNTQLD[[#Headers],[State]],0)</f>
        <v>0.24</v>
      </c>
      <c r="J214" s="37" cm="1">
        <f t="array" ref="J214">Common_InputFunctions.Utility_DisplayArrayInTable(SourceData_PastureBeef.SourceData_PastureBeef_LiveweightGainNTQLD_Data(),Table_SourceData_PastureBeef_LiveweightGainNTQLD[[#Headers],[State]],0)</f>
        <v>0.3</v>
      </c>
      <c r="K214" s="37" cm="1">
        <f t="array" ref="K214">Common_InputFunctions.Utility_DisplayArrayInTable(SourceData_PastureBeef.SourceData_PastureBeef_LiveweightGainNTQLD_Data(),Table_SourceData_PastureBeef_LiveweightGainNTQLD[[#Headers],[State]],0)</f>
        <v>0.23</v>
      </c>
      <c r="L214" s="37" cm="1">
        <f t="array" ref="L214">Common_InputFunctions.Utility_DisplayArrayInTable(SourceData_PastureBeef.SourceData_PastureBeef_LiveweightGainNTQLD_Data(),Table_SourceData_PastureBeef_LiveweightGainNTQLD[[#Headers],[State]],0)</f>
        <v>-0.05</v>
      </c>
      <c r="M214" s="37" cm="1">
        <f t="array" ref="M214">Common_InputFunctions.Utility_DisplayArrayInTable(SourceData_PastureBeef.SourceData_PastureBeef_LiveweightGainNTQLD_Data(),Table_SourceData_PastureBeef_LiveweightGainNTQLD[[#Headers],[State]],0)</f>
        <v>0.34</v>
      </c>
      <c r="N214" s="37" cm="1">
        <f t="array" ref="N214">Common_InputFunctions.Utility_DisplayArrayInTable(SourceData_PastureBeef.SourceData_PastureBeef_LiveweightGainNTQLD_Data(),Table_SourceData_PastureBeef_LiveweightGainNTQLD[[#Headers],[State]],0)</f>
        <v>0.3</v>
      </c>
      <c r="O214" s="37" cm="1">
        <f t="array" ref="O214">Common_InputFunctions.Utility_DisplayArrayInTable(SourceData_PastureBeef.SourceData_PastureBeef_LiveweightGainNTQLD_Data(),Table_SourceData_PastureBeef_LiveweightGainNTQLD[[#Headers],[State]],0)</f>
        <v>0.56999999999999995</v>
      </c>
      <c r="P214" s="37"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7" t="str" cm="1">
        <f t="array" ref="E215">Common_InputFunctions.Utility_DisplayArrayInTable(SourceData_PastureBeef.SourceData_PastureBeef_LiveweightGainNTQLD_Data(),Table_SourceData_PastureBeef_LiveweightGainNTQLD[[#Headers],[State]],0)</f>
        <v>Low</v>
      </c>
      <c r="F215" s="37" t="str" cm="1">
        <f t="array" ref="F215">Common_InputFunctions.Utility_DisplayArrayInTable(SourceData_PastureBeef.SourceData_PastureBeef_LiveweightGainNTQLD_Data(),Table_SourceData_PastureBeef_LiveweightGainNTQLD[[#Headers],[State]],0)</f>
        <v>Summer</v>
      </c>
      <c r="G215" s="37" cm="1">
        <f t="array" ref="G215">Common_InputFunctions.Utility_DisplayArrayInTable(SourceData_PastureBeef.SourceData_PastureBeef_LiveweightGainNTQLD_Data(),Table_SourceData_PastureBeef_LiveweightGainNTQLD[[#Headers],[State]],0)</f>
        <v>0.62</v>
      </c>
      <c r="H215" s="37" cm="1">
        <f t="array" ref="H215">Common_InputFunctions.Utility_DisplayArrayInTable(SourceData_PastureBeef.SourceData_PastureBeef_LiveweightGainNTQLD_Data(),Table_SourceData_PastureBeef_LiveweightGainNTQLD[[#Headers],[State]],0)</f>
        <v>0.21</v>
      </c>
      <c r="I215" s="37" cm="1">
        <f t="array" ref="I215">Common_InputFunctions.Utility_DisplayArrayInTable(SourceData_PastureBeef.SourceData_PastureBeef_LiveweightGainNTQLD_Data(),Table_SourceData_PastureBeef_LiveweightGainNTQLD[[#Headers],[State]],0)</f>
        <v>0.25</v>
      </c>
      <c r="J215" s="37" cm="1">
        <f t="array" ref="J215">Common_InputFunctions.Utility_DisplayArrayInTable(SourceData_PastureBeef.SourceData_PastureBeef_LiveweightGainNTQLD_Data(),Table_SourceData_PastureBeef_LiveweightGainNTQLD[[#Headers],[State]],0)</f>
        <v>0.32</v>
      </c>
      <c r="K215" s="37" cm="1">
        <f t="array" ref="K215">Common_InputFunctions.Utility_DisplayArrayInTable(SourceData_PastureBeef.SourceData_PastureBeef_LiveweightGainNTQLD_Data(),Table_SourceData_PastureBeef_LiveweightGainNTQLD[[#Headers],[State]],0)</f>
        <v>0.47</v>
      </c>
      <c r="L215" s="37" cm="1">
        <f t="array" ref="L215">Common_InputFunctions.Utility_DisplayArrayInTable(SourceData_PastureBeef.SourceData_PastureBeef_LiveweightGainNTQLD_Data(),Table_SourceData_PastureBeef_LiveweightGainNTQLD[[#Headers],[State]],0)</f>
        <v>0.31</v>
      </c>
      <c r="M215" s="37" cm="1">
        <f t="array" ref="M215">Common_InputFunctions.Utility_DisplayArrayInTable(SourceData_PastureBeef.SourceData_PastureBeef_LiveweightGainNTQLD_Data(),Table_SourceData_PastureBeef_LiveweightGainNTQLD[[#Headers],[State]],0)</f>
        <v>0.14000000000000001</v>
      </c>
      <c r="N215" s="37" cm="1">
        <f t="array" ref="N215">Common_InputFunctions.Utility_DisplayArrayInTable(SourceData_PastureBeef.SourceData_PastureBeef_LiveweightGainNTQLD_Data(),Table_SourceData_PastureBeef_LiveweightGainNTQLD[[#Headers],[State]],0)</f>
        <v>0.4</v>
      </c>
      <c r="O215" s="37" cm="1">
        <f t="array" ref="O215">Common_InputFunctions.Utility_DisplayArrayInTable(SourceData_PastureBeef.SourceData_PastureBeef_LiveweightGainNTQLD_Data(),Table_SourceData_PastureBeef_LiveweightGainNTQLD[[#Headers],[State]],0)</f>
        <v>0.26</v>
      </c>
      <c r="P215" s="37"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7" t="str" cm="1">
        <f t="array" ref="E216">Common_InputFunctions.Utility_DisplayArrayInTable(SourceData_PastureBeef.SourceData_PastureBeef_LiveweightGainNTQLD_Data(),Table_SourceData_PastureBeef_LiveweightGainNTQLD[[#Headers],[State]],0)</f>
        <v>Low</v>
      </c>
      <c r="F216" s="37" t="str" cm="1">
        <f t="array" ref="F216">Common_InputFunctions.Utility_DisplayArrayInTable(SourceData_PastureBeef.SourceData_PastureBeef_LiveweightGainNTQLD_Data(),Table_SourceData_PastureBeef_LiveweightGainNTQLD[[#Headers],[State]],0)</f>
        <v>Autumn</v>
      </c>
      <c r="G216" s="37" cm="1">
        <f t="array" ref="G216">Common_InputFunctions.Utility_DisplayArrayInTable(SourceData_PastureBeef.SourceData_PastureBeef_LiveweightGainNTQLD_Data(),Table_SourceData_PastureBeef_LiveweightGainNTQLD[[#Headers],[State]],0)</f>
        <v>0.4</v>
      </c>
      <c r="H216" s="37" cm="1">
        <f t="array" ref="H216">Common_InputFunctions.Utility_DisplayArrayInTable(SourceData_PastureBeef.SourceData_PastureBeef_LiveweightGainNTQLD_Data(),Table_SourceData_PastureBeef_LiveweightGainNTQLD[[#Headers],[State]],0)</f>
        <v>0.13</v>
      </c>
      <c r="I216" s="37" cm="1">
        <f t="array" ref="I216">Common_InputFunctions.Utility_DisplayArrayInTable(SourceData_PastureBeef.SourceData_PastureBeef_LiveweightGainNTQLD_Data(),Table_SourceData_PastureBeef_LiveweightGainNTQLD[[#Headers],[State]],0)</f>
        <v>0.12</v>
      </c>
      <c r="J216" s="37" cm="1">
        <f t="array" ref="J216">Common_InputFunctions.Utility_DisplayArrayInTable(SourceData_PastureBeef.SourceData_PastureBeef_LiveweightGainNTQLD_Data(),Table_SourceData_PastureBeef_LiveweightGainNTQLD[[#Headers],[State]],0)</f>
        <v>0.27</v>
      </c>
      <c r="K216" s="37" cm="1">
        <f t="array" ref="K216">Common_InputFunctions.Utility_DisplayArrayInTable(SourceData_PastureBeef.SourceData_PastureBeef_LiveweightGainNTQLD_Data(),Table_SourceData_PastureBeef_LiveweightGainNTQLD[[#Headers],[State]],0)</f>
        <v>0.3</v>
      </c>
      <c r="L216" s="37" cm="1">
        <f t="array" ref="L216">Common_InputFunctions.Utility_DisplayArrayInTable(SourceData_PastureBeef.SourceData_PastureBeef_LiveweightGainNTQLD_Data(),Table_SourceData_PastureBeef_LiveweightGainNTQLD[[#Headers],[State]],0)</f>
        <v>0.08</v>
      </c>
      <c r="M216" s="37" cm="1">
        <f t="array" ref="M216">Common_InputFunctions.Utility_DisplayArrayInTable(SourceData_PastureBeef.SourceData_PastureBeef_LiveweightGainNTQLD_Data(),Table_SourceData_PastureBeef_LiveweightGainNTQLD[[#Headers],[State]],0)</f>
        <v>0.13</v>
      </c>
      <c r="N216" s="37" cm="1">
        <f t="array" ref="N216">Common_InputFunctions.Utility_DisplayArrayInTable(SourceData_PastureBeef.SourceData_PastureBeef_LiveweightGainNTQLD_Data(),Table_SourceData_PastureBeef_LiveweightGainNTQLD[[#Headers],[State]],0)</f>
        <v>0.24</v>
      </c>
      <c r="O216" s="37" cm="1">
        <f t="array" ref="O216">Common_InputFunctions.Utility_DisplayArrayInTable(SourceData_PastureBeef.SourceData_PastureBeef_LiveweightGainNTQLD_Data(),Table_SourceData_PastureBeef_LiveweightGainNTQLD[[#Headers],[State]],0)</f>
        <v>0.15</v>
      </c>
      <c r="P216" s="37"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7" t="str" cm="1">
        <f t="array" ref="E217">Common_InputFunctions.Utility_DisplayArrayInTable(SourceData_PastureBeef.SourceData_PastureBeef_LiveweightGainNTQLD_Data(),Table_SourceData_PastureBeef_LiveweightGainNTQLD[[#Headers],[State]],0)</f>
        <v>Low</v>
      </c>
      <c r="F217" s="37" t="str" cm="1">
        <f t="array" ref="F217">Common_InputFunctions.Utility_DisplayArrayInTable(SourceData_PastureBeef.SourceData_PastureBeef_LiveweightGainNTQLD_Data(),Table_SourceData_PastureBeef_LiveweightGainNTQLD[[#Headers],[State]],0)</f>
        <v>Winter</v>
      </c>
      <c r="G217" s="37" cm="1">
        <f t="array" ref="G217">Common_InputFunctions.Utility_DisplayArrayInTable(SourceData_PastureBeef.SourceData_PastureBeef_LiveweightGainNTQLD_Data(),Table_SourceData_PastureBeef_LiveweightGainNTQLD[[#Headers],[State]],0)</f>
        <v>0.08</v>
      </c>
      <c r="H217" s="37" cm="1">
        <f t="array" ref="H217">Common_InputFunctions.Utility_DisplayArrayInTable(SourceData_PastureBeef.SourceData_PastureBeef_LiveweightGainNTQLD_Data(),Table_SourceData_PastureBeef_LiveweightGainNTQLD[[#Headers],[State]],0)</f>
        <v>0.04</v>
      </c>
      <c r="I217" s="37" cm="1">
        <f t="array" ref="I217">Common_InputFunctions.Utility_DisplayArrayInTable(SourceData_PastureBeef.SourceData_PastureBeef_LiveweightGainNTQLD_Data(),Table_SourceData_PastureBeef_LiveweightGainNTQLD[[#Headers],[State]],0)</f>
        <v>0.06</v>
      </c>
      <c r="J217" s="37" cm="1">
        <f t="array" ref="J217">Common_InputFunctions.Utility_DisplayArrayInTable(SourceData_PastureBeef.SourceData_PastureBeef_LiveweightGainNTQLD_Data(),Table_SourceData_PastureBeef_LiveweightGainNTQLD[[#Headers],[State]],0)</f>
        <v>0.18</v>
      </c>
      <c r="K217" s="37" cm="1">
        <f t="array" ref="K217">Common_InputFunctions.Utility_DisplayArrayInTable(SourceData_PastureBeef.SourceData_PastureBeef_LiveweightGainNTQLD_Data(),Table_SourceData_PastureBeef_LiveweightGainNTQLD[[#Headers],[State]],0)</f>
        <v>0.11</v>
      </c>
      <c r="L217" s="37" cm="1">
        <f t="array" ref="L217">Common_InputFunctions.Utility_DisplayArrayInTable(SourceData_PastureBeef.SourceData_PastureBeef_LiveweightGainNTQLD_Data(),Table_SourceData_PastureBeef_LiveweightGainNTQLD[[#Headers],[State]],0)</f>
        <v>-7.0000000000000007E-2</v>
      </c>
      <c r="M217" s="37" cm="1">
        <f t="array" ref="M217">Common_InputFunctions.Utility_DisplayArrayInTable(SourceData_PastureBeef.SourceData_PastureBeef_LiveweightGainNTQLD_Data(),Table_SourceData_PastureBeef_LiveweightGainNTQLD[[#Headers],[State]],0)</f>
        <v>0.13</v>
      </c>
      <c r="N217" s="37" cm="1">
        <f t="array" ref="N217">Common_InputFunctions.Utility_DisplayArrayInTable(SourceData_PastureBeef.SourceData_PastureBeef_LiveweightGainNTQLD_Data(),Table_SourceData_PastureBeef_LiveweightGainNTQLD[[#Headers],[State]],0)</f>
        <v>0.16</v>
      </c>
      <c r="O217" s="37" cm="1">
        <f t="array" ref="O217">Common_InputFunctions.Utility_DisplayArrayInTable(SourceData_PastureBeef.SourceData_PastureBeef_LiveweightGainNTQLD_Data(),Table_SourceData_PastureBeef_LiveweightGainNTQLD[[#Headers],[State]],0)</f>
        <v>0.4</v>
      </c>
      <c r="P217" s="37"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201</v>
      </c>
      <c r="M220" s="1"/>
    </row>
    <row r="221" spans="4:16" x14ac:dyDescent="0.25">
      <c r="M221" s="1"/>
    </row>
    <row r="222" spans="4:16" x14ac:dyDescent="0.25">
      <c r="D222" s="37" t="s">
        <v>8</v>
      </c>
      <c r="E222" s="37" t="s">
        <v>183</v>
      </c>
      <c r="F222" s="37" t="s">
        <v>184</v>
      </c>
      <c r="G222" s="116" t="s">
        <v>131</v>
      </c>
      <c r="H222" s="116" t="s">
        <v>130</v>
      </c>
      <c r="I222" s="116" t="s">
        <v>165</v>
      </c>
      <c r="J222" s="116" t="s">
        <v>166</v>
      </c>
      <c r="K222" s="116" t="s">
        <v>167</v>
      </c>
      <c r="L222" s="116" t="s">
        <v>168</v>
      </c>
      <c r="M222" s="116" t="s">
        <v>169</v>
      </c>
      <c r="N222" s="116" t="s">
        <v>170</v>
      </c>
      <c r="O222" s="116" t="s">
        <v>171</v>
      </c>
      <c r="P222" s="116" t="s">
        <v>172</v>
      </c>
    </row>
    <row r="223" spans="4:16" x14ac:dyDescent="0.25">
      <c r="D223" s="37" t="s">
        <v>83</v>
      </c>
      <c r="E223" s="37" t="s">
        <v>202</v>
      </c>
      <c r="F223" s="37" t="str">
        <f>F155</f>
        <v>Spring</v>
      </c>
      <c r="G223" s="37">
        <f>G155</f>
        <v>0.5</v>
      </c>
      <c r="H223" s="37">
        <f t="shared" ref="H223:J223" si="83">H155</f>
        <v>0.2</v>
      </c>
      <c r="I223" s="37">
        <f t="shared" si="83"/>
        <v>0.5</v>
      </c>
      <c r="J223" s="37">
        <f t="shared" si="83"/>
        <v>0.4</v>
      </c>
      <c r="K223" s="37">
        <f>K155</f>
        <v>0.3</v>
      </c>
      <c r="L223" s="37">
        <f>K155</f>
        <v>0.3</v>
      </c>
      <c r="M223" s="37">
        <f>L155</f>
        <v>0.5</v>
      </c>
      <c r="N223" s="37">
        <f>M155</f>
        <v>0.4</v>
      </c>
      <c r="O223" s="37">
        <f>M155</f>
        <v>0.4</v>
      </c>
      <c r="P223" s="37">
        <f>M155</f>
        <v>0.4</v>
      </c>
    </row>
    <row r="224" spans="4:16" x14ac:dyDescent="0.25">
      <c r="D224" s="37" t="s">
        <v>83</v>
      </c>
      <c r="E224" s="37" t="s">
        <v>202</v>
      </c>
      <c r="F224" s="37" t="str">
        <f t="shared" ref="F224:K226" si="84">F156</f>
        <v>Summer</v>
      </c>
      <c r="G224" s="37">
        <f t="shared" si="84"/>
        <v>1</v>
      </c>
      <c r="H224" s="37">
        <f t="shared" si="84"/>
        <v>0.4</v>
      </c>
      <c r="I224" s="37">
        <f t="shared" si="84"/>
        <v>0.9</v>
      </c>
      <c r="J224" s="37">
        <f t="shared" si="84"/>
        <v>0.7</v>
      </c>
      <c r="K224" s="37">
        <f t="shared" si="84"/>
        <v>0.3</v>
      </c>
      <c r="L224" s="37">
        <f t="shared" ref="L224:M226" si="85">K156</f>
        <v>0.3</v>
      </c>
      <c r="M224" s="37">
        <f t="shared" si="85"/>
        <v>0.9</v>
      </c>
      <c r="N224" s="37">
        <f t="shared" ref="N224:N226" si="86">M156</f>
        <v>0.4</v>
      </c>
      <c r="O224" s="37">
        <f t="shared" ref="O224:O226" si="87">M156</f>
        <v>0.4</v>
      </c>
      <c r="P224" s="37">
        <f t="shared" ref="P224:P226" si="88">M156</f>
        <v>0.4</v>
      </c>
    </row>
    <row r="225" spans="4:16" x14ac:dyDescent="0.25">
      <c r="D225" s="37" t="s">
        <v>83</v>
      </c>
      <c r="E225" s="37" t="s">
        <v>202</v>
      </c>
      <c r="F225" s="37" t="str">
        <f t="shared" si="84"/>
        <v>Autumn</v>
      </c>
      <c r="G225" s="37">
        <f t="shared" si="84"/>
        <v>0.8</v>
      </c>
      <c r="H225" s="37">
        <f t="shared" si="84"/>
        <v>0.3</v>
      </c>
      <c r="I225" s="37">
        <f t="shared" si="84"/>
        <v>0.7</v>
      </c>
      <c r="J225" s="37">
        <f t="shared" si="84"/>
        <v>0.3</v>
      </c>
      <c r="K225" s="37">
        <f t="shared" si="84"/>
        <v>0.2</v>
      </c>
      <c r="L225" s="37">
        <f t="shared" si="85"/>
        <v>0.2</v>
      </c>
      <c r="M225" s="37">
        <f t="shared" si="85"/>
        <v>0.7</v>
      </c>
      <c r="N225" s="37">
        <f t="shared" si="86"/>
        <v>0.3</v>
      </c>
      <c r="O225" s="37">
        <f t="shared" si="87"/>
        <v>0.3</v>
      </c>
      <c r="P225" s="37">
        <f t="shared" si="88"/>
        <v>0.3</v>
      </c>
    </row>
    <row r="226" spans="4:16" x14ac:dyDescent="0.25">
      <c r="D226" s="37" t="s">
        <v>83</v>
      </c>
      <c r="E226" s="37" t="s">
        <v>202</v>
      </c>
      <c r="F226" s="37" t="str">
        <f t="shared" si="84"/>
        <v>Winter</v>
      </c>
      <c r="G226" s="37">
        <f t="shared" si="84"/>
        <v>0.4</v>
      </c>
      <c r="H226" s="37">
        <f t="shared" si="84"/>
        <v>0.1</v>
      </c>
      <c r="I226" s="37">
        <f t="shared" si="84"/>
        <v>0.4</v>
      </c>
      <c r="J226" s="37">
        <f t="shared" si="84"/>
        <v>0.2</v>
      </c>
      <c r="K226" s="37">
        <f t="shared" si="84"/>
        <v>0.1</v>
      </c>
      <c r="L226" s="37">
        <f t="shared" si="85"/>
        <v>0.1</v>
      </c>
      <c r="M226" s="37">
        <f t="shared" si="85"/>
        <v>0.4</v>
      </c>
      <c r="N226" s="37">
        <f t="shared" si="86"/>
        <v>0.1</v>
      </c>
      <c r="O226" s="37">
        <f t="shared" si="87"/>
        <v>0.1</v>
      </c>
      <c r="P226" s="37">
        <f t="shared" si="88"/>
        <v>0.1</v>
      </c>
    </row>
    <row r="227" spans="4:16" x14ac:dyDescent="0.25">
      <c r="D227" s="37" t="s">
        <v>84</v>
      </c>
      <c r="E227" s="37" t="s">
        <v>202</v>
      </c>
      <c r="F227" s="37" t="str">
        <f>F155</f>
        <v>Spring</v>
      </c>
      <c r="G227" s="37">
        <f>G155</f>
        <v>0.5</v>
      </c>
      <c r="H227" s="37">
        <f t="shared" ref="H227:J227" si="89">H155</f>
        <v>0.2</v>
      </c>
      <c r="I227" s="37">
        <f t="shared" si="89"/>
        <v>0.5</v>
      </c>
      <c r="J227" s="37">
        <f t="shared" si="89"/>
        <v>0.4</v>
      </c>
      <c r="K227" s="37">
        <f>K155</f>
        <v>0.3</v>
      </c>
      <c r="L227" s="37">
        <f>K155</f>
        <v>0.3</v>
      </c>
      <c r="M227" s="37">
        <f t="shared" ref="M227" si="90">L155</f>
        <v>0.5</v>
      </c>
      <c r="N227" s="37">
        <f>M155</f>
        <v>0.4</v>
      </c>
      <c r="O227" s="37">
        <f>M155</f>
        <v>0.4</v>
      </c>
      <c r="P227" s="37">
        <f>M155</f>
        <v>0.4</v>
      </c>
    </row>
    <row r="228" spans="4:16" x14ac:dyDescent="0.25">
      <c r="D228" s="37" t="s">
        <v>84</v>
      </c>
      <c r="E228" s="37" t="s">
        <v>202</v>
      </c>
      <c r="F228" s="37" t="str">
        <f t="shared" ref="F228:K230" si="91">F156</f>
        <v>Summer</v>
      </c>
      <c r="G228" s="37">
        <f t="shared" si="91"/>
        <v>1</v>
      </c>
      <c r="H228" s="37">
        <f t="shared" si="91"/>
        <v>0.4</v>
      </c>
      <c r="I228" s="37">
        <f t="shared" si="91"/>
        <v>0.9</v>
      </c>
      <c r="J228" s="37">
        <f t="shared" si="91"/>
        <v>0.7</v>
      </c>
      <c r="K228" s="37">
        <f t="shared" si="91"/>
        <v>0.3</v>
      </c>
      <c r="L228" s="37">
        <f t="shared" ref="L228:N228" si="92">K156</f>
        <v>0.3</v>
      </c>
      <c r="M228" s="37">
        <f t="shared" si="92"/>
        <v>0.9</v>
      </c>
      <c r="N228" s="37">
        <f t="shared" si="92"/>
        <v>0.4</v>
      </c>
      <c r="O228" s="37">
        <f t="shared" ref="O228:O230" si="93">M156</f>
        <v>0.4</v>
      </c>
      <c r="P228" s="37">
        <f t="shared" ref="P228:P230" si="94">M156</f>
        <v>0.4</v>
      </c>
    </row>
    <row r="229" spans="4:16" x14ac:dyDescent="0.25">
      <c r="D229" s="37" t="s">
        <v>84</v>
      </c>
      <c r="E229" s="37" t="s">
        <v>202</v>
      </c>
      <c r="F229" s="37" t="str">
        <f t="shared" si="91"/>
        <v>Autumn</v>
      </c>
      <c r="G229" s="37">
        <f t="shared" si="91"/>
        <v>0.8</v>
      </c>
      <c r="H229" s="37">
        <f t="shared" si="91"/>
        <v>0.3</v>
      </c>
      <c r="I229" s="37">
        <f t="shared" si="91"/>
        <v>0.7</v>
      </c>
      <c r="J229" s="37">
        <f t="shared" si="91"/>
        <v>0.3</v>
      </c>
      <c r="K229" s="37">
        <f t="shared" si="91"/>
        <v>0.2</v>
      </c>
      <c r="L229" s="37">
        <f t="shared" ref="L229:N229" si="95">K157</f>
        <v>0.2</v>
      </c>
      <c r="M229" s="37">
        <f t="shared" si="95"/>
        <v>0.7</v>
      </c>
      <c r="N229" s="37">
        <f t="shared" si="95"/>
        <v>0.3</v>
      </c>
      <c r="O229" s="37">
        <f t="shared" si="93"/>
        <v>0.3</v>
      </c>
      <c r="P229" s="37">
        <f t="shared" si="94"/>
        <v>0.3</v>
      </c>
    </row>
    <row r="230" spans="4:16" x14ac:dyDescent="0.25">
      <c r="D230" s="37" t="s">
        <v>84</v>
      </c>
      <c r="E230" s="37" t="s">
        <v>202</v>
      </c>
      <c r="F230" s="37" t="str">
        <f t="shared" si="91"/>
        <v>Winter</v>
      </c>
      <c r="G230" s="37">
        <f t="shared" si="91"/>
        <v>0.4</v>
      </c>
      <c r="H230" s="37">
        <f t="shared" si="91"/>
        <v>0.1</v>
      </c>
      <c r="I230" s="37">
        <f t="shared" si="91"/>
        <v>0.4</v>
      </c>
      <c r="J230" s="37">
        <f t="shared" si="91"/>
        <v>0.2</v>
      </c>
      <c r="K230" s="37">
        <f t="shared" si="91"/>
        <v>0.1</v>
      </c>
      <c r="L230" s="37">
        <f t="shared" ref="L230:N230" si="96">K158</f>
        <v>0.1</v>
      </c>
      <c r="M230" s="37">
        <f t="shared" si="96"/>
        <v>0.4</v>
      </c>
      <c r="N230" s="37">
        <f t="shared" si="96"/>
        <v>0.1</v>
      </c>
      <c r="O230" s="37">
        <f t="shared" si="93"/>
        <v>0.1</v>
      </c>
      <c r="P230" s="37">
        <f t="shared" si="94"/>
        <v>0.1</v>
      </c>
    </row>
    <row r="231" spans="4:16" x14ac:dyDescent="0.25">
      <c r="D231" s="37" t="s">
        <v>87</v>
      </c>
      <c r="E231" s="37" t="s">
        <v>202</v>
      </c>
      <c r="F231" s="37" t="str">
        <f>F159</f>
        <v>Spring</v>
      </c>
      <c r="G231" s="37">
        <f>G159</f>
        <v>0.99</v>
      </c>
      <c r="H231" s="37">
        <f t="shared" ref="H231:J231" si="97">H159</f>
        <v>1.1000000000000001</v>
      </c>
      <c r="I231" s="37">
        <f t="shared" si="97"/>
        <v>0.88</v>
      </c>
      <c r="J231" s="37">
        <f t="shared" si="97"/>
        <v>0.55000000000000004</v>
      </c>
      <c r="K231" s="37">
        <f>K159</f>
        <v>0.55000000000000004</v>
      </c>
      <c r="L231" s="37">
        <f>K159</f>
        <v>0.55000000000000004</v>
      </c>
      <c r="M231" s="37">
        <f t="shared" ref="M231" si="98">L159</f>
        <v>0.88</v>
      </c>
      <c r="N231" s="37">
        <f>M159</f>
        <v>0.22</v>
      </c>
      <c r="O231" s="37">
        <f>M159</f>
        <v>0.22</v>
      </c>
      <c r="P231" s="37">
        <f>M159</f>
        <v>0.22</v>
      </c>
    </row>
    <row r="232" spans="4:16" x14ac:dyDescent="0.25">
      <c r="D232" s="37" t="s">
        <v>87</v>
      </c>
      <c r="E232" s="37" t="s">
        <v>202</v>
      </c>
      <c r="F232" s="37" t="str">
        <f t="shared" ref="F232:K254" si="99">F160</f>
        <v>Summer</v>
      </c>
      <c r="G232" s="37">
        <f t="shared" si="99"/>
        <v>0.77</v>
      </c>
      <c r="H232" s="37">
        <f t="shared" si="99"/>
        <v>0</v>
      </c>
      <c r="I232" s="37">
        <f t="shared" si="99"/>
        <v>0.66</v>
      </c>
      <c r="J232" s="37">
        <f t="shared" si="99"/>
        <v>0.22</v>
      </c>
      <c r="K232" s="37">
        <f t="shared" si="99"/>
        <v>0</v>
      </c>
      <c r="L232" s="37">
        <f t="shared" ref="L232:N232" si="100">K160</f>
        <v>0</v>
      </c>
      <c r="M232" s="37">
        <f t="shared" si="100"/>
        <v>0.66</v>
      </c>
      <c r="N232" s="37">
        <f t="shared" si="100"/>
        <v>0</v>
      </c>
      <c r="O232" s="37">
        <f t="shared" ref="O232:O254" si="101">M160</f>
        <v>0</v>
      </c>
      <c r="P232" s="37">
        <f t="shared" ref="P232:P254" si="102">M160</f>
        <v>0</v>
      </c>
    </row>
    <row r="233" spans="4:16" x14ac:dyDescent="0.25">
      <c r="D233" s="37" t="s">
        <v>87</v>
      </c>
      <c r="E233" s="37" t="s">
        <v>202</v>
      </c>
      <c r="F233" s="37" t="str">
        <f t="shared" si="99"/>
        <v>Autumn</v>
      </c>
      <c r="G233" s="37">
        <f t="shared" si="99"/>
        <v>0.9</v>
      </c>
      <c r="H233" s="37">
        <f t="shared" si="99"/>
        <v>-1.1000000000000001</v>
      </c>
      <c r="I233" s="37">
        <f t="shared" si="99"/>
        <v>0.7</v>
      </c>
      <c r="J233" s="37">
        <f t="shared" si="99"/>
        <v>0.22</v>
      </c>
      <c r="K233" s="37">
        <f t="shared" si="99"/>
        <v>-0.55000000000000004</v>
      </c>
      <c r="L233" s="37">
        <f t="shared" ref="L233:N233" si="103">K161</f>
        <v>-0.55000000000000004</v>
      </c>
      <c r="M233" s="37">
        <f t="shared" si="103"/>
        <v>0.8</v>
      </c>
      <c r="N233" s="37">
        <f t="shared" si="103"/>
        <v>-0.22</v>
      </c>
      <c r="O233" s="37">
        <f t="shared" si="101"/>
        <v>-0.22</v>
      </c>
      <c r="P233" s="37">
        <f t="shared" si="102"/>
        <v>-0.22</v>
      </c>
    </row>
    <row r="234" spans="4:16" x14ac:dyDescent="0.25">
      <c r="D234" s="37" t="s">
        <v>87</v>
      </c>
      <c r="E234" s="37" t="s">
        <v>202</v>
      </c>
      <c r="F234" s="37" t="str">
        <f t="shared" si="99"/>
        <v>Winter</v>
      </c>
      <c r="G234" s="37">
        <f t="shared" si="99"/>
        <v>0.88</v>
      </c>
      <c r="H234" s="37">
        <f t="shared" si="99"/>
        <v>0</v>
      </c>
      <c r="I234" s="37">
        <f t="shared" si="99"/>
        <v>0.77</v>
      </c>
      <c r="J234" s="37">
        <f t="shared" si="99"/>
        <v>0.55000000000000004</v>
      </c>
      <c r="K234" s="37">
        <f t="shared" si="99"/>
        <v>0</v>
      </c>
      <c r="L234" s="37">
        <f t="shared" ref="L234:N234" si="104">K162</f>
        <v>0</v>
      </c>
      <c r="M234" s="37">
        <f t="shared" si="104"/>
        <v>0.82</v>
      </c>
      <c r="N234" s="37">
        <f t="shared" si="104"/>
        <v>0</v>
      </c>
      <c r="O234" s="37">
        <f t="shared" si="101"/>
        <v>0</v>
      </c>
      <c r="P234" s="37">
        <f t="shared" si="102"/>
        <v>0</v>
      </c>
    </row>
    <row r="235" spans="4:16" x14ac:dyDescent="0.25">
      <c r="D235" s="37" t="s">
        <v>88</v>
      </c>
      <c r="E235" s="37" t="s">
        <v>202</v>
      </c>
      <c r="F235" s="37" t="str">
        <f t="shared" si="99"/>
        <v>Spring</v>
      </c>
      <c r="G235" s="37">
        <f t="shared" si="99"/>
        <v>1</v>
      </c>
      <c r="H235" s="37">
        <f t="shared" si="99"/>
        <v>0.5</v>
      </c>
      <c r="I235" s="37">
        <f t="shared" si="99"/>
        <v>1</v>
      </c>
      <c r="J235" s="37">
        <f t="shared" si="99"/>
        <v>1</v>
      </c>
      <c r="K235" s="37">
        <f t="shared" si="99"/>
        <v>-0.44</v>
      </c>
      <c r="L235" s="37">
        <f t="shared" ref="L235:N235" si="105">K163</f>
        <v>-0.44</v>
      </c>
      <c r="M235" s="37">
        <f t="shared" si="105"/>
        <v>1</v>
      </c>
      <c r="N235" s="37">
        <f t="shared" si="105"/>
        <v>0.5</v>
      </c>
      <c r="O235" s="37">
        <f t="shared" si="101"/>
        <v>0.5</v>
      </c>
      <c r="P235" s="37">
        <f t="shared" si="102"/>
        <v>0.5</v>
      </c>
    </row>
    <row r="236" spans="4:16" x14ac:dyDescent="0.25">
      <c r="D236" s="37" t="s">
        <v>88</v>
      </c>
      <c r="E236" s="37" t="s">
        <v>202</v>
      </c>
      <c r="F236" s="37" t="str">
        <f t="shared" si="99"/>
        <v>Summer</v>
      </c>
      <c r="G236" s="37">
        <f t="shared" si="99"/>
        <v>0.82</v>
      </c>
      <c r="H236" s="37">
        <f t="shared" si="99"/>
        <v>0.55000000000000004</v>
      </c>
      <c r="I236" s="37">
        <f t="shared" si="99"/>
        <v>0.71</v>
      </c>
      <c r="J236" s="37">
        <f t="shared" si="99"/>
        <v>0.55000000000000004</v>
      </c>
      <c r="K236" s="37">
        <f t="shared" si="99"/>
        <v>0.99</v>
      </c>
      <c r="L236" s="37">
        <f t="shared" ref="L236:N236" si="106">K164</f>
        <v>0.99</v>
      </c>
      <c r="M236" s="37">
        <f t="shared" si="106"/>
        <v>0.77</v>
      </c>
      <c r="N236" s="37">
        <f t="shared" si="106"/>
        <v>0.5</v>
      </c>
      <c r="O236" s="37">
        <f t="shared" si="101"/>
        <v>0.5</v>
      </c>
      <c r="P236" s="37">
        <f t="shared" si="102"/>
        <v>0.5</v>
      </c>
    </row>
    <row r="237" spans="4:16" x14ac:dyDescent="0.25">
      <c r="D237" s="37" t="s">
        <v>88</v>
      </c>
      <c r="E237" s="37" t="s">
        <v>202</v>
      </c>
      <c r="F237" s="37" t="str">
        <f t="shared" si="99"/>
        <v>Autumn</v>
      </c>
      <c r="G237" s="37">
        <f t="shared" si="99"/>
        <v>0.77</v>
      </c>
      <c r="H237" s="37">
        <f t="shared" si="99"/>
        <v>0.5</v>
      </c>
      <c r="I237" s="37">
        <f t="shared" si="99"/>
        <v>0.55000000000000004</v>
      </c>
      <c r="J237" s="37">
        <f t="shared" si="99"/>
        <v>0.11</v>
      </c>
      <c r="K237" s="37">
        <f t="shared" si="99"/>
        <v>-0.33</v>
      </c>
      <c r="L237" s="37">
        <f t="shared" ref="L237:N237" si="107">K165</f>
        <v>-0.33</v>
      </c>
      <c r="M237" s="37">
        <f t="shared" si="107"/>
        <v>0.6</v>
      </c>
      <c r="N237" s="37">
        <f t="shared" si="107"/>
        <v>0.33</v>
      </c>
      <c r="O237" s="37">
        <f t="shared" si="101"/>
        <v>0.33</v>
      </c>
      <c r="P237" s="37">
        <f t="shared" si="102"/>
        <v>0.33</v>
      </c>
    </row>
    <row r="238" spans="4:16" x14ac:dyDescent="0.25">
      <c r="D238" s="37" t="s">
        <v>88</v>
      </c>
      <c r="E238" s="37" t="s">
        <v>202</v>
      </c>
      <c r="F238" s="37" t="str">
        <f t="shared" si="99"/>
        <v>Winter</v>
      </c>
      <c r="G238" s="37">
        <f t="shared" si="99"/>
        <v>0.11</v>
      </c>
      <c r="H238" s="37">
        <f t="shared" si="99"/>
        <v>-0.27</v>
      </c>
      <c r="I238" s="37">
        <f t="shared" si="99"/>
        <v>0.11</v>
      </c>
      <c r="J238" s="37">
        <f t="shared" si="99"/>
        <v>0.22</v>
      </c>
      <c r="K238" s="37">
        <f t="shared" si="99"/>
        <v>-0.44</v>
      </c>
      <c r="L238" s="37">
        <f t="shared" ref="L238:N238" si="108">K166</f>
        <v>-0.44</v>
      </c>
      <c r="M238" s="37">
        <f t="shared" si="108"/>
        <v>0.16</v>
      </c>
      <c r="N238" s="37">
        <f t="shared" si="108"/>
        <v>-0.22</v>
      </c>
      <c r="O238" s="37">
        <f t="shared" si="101"/>
        <v>-0.22</v>
      </c>
      <c r="P238" s="37">
        <f t="shared" si="102"/>
        <v>-0.22</v>
      </c>
    </row>
    <row r="239" spans="4:16" x14ac:dyDescent="0.25">
      <c r="D239" s="37" t="s">
        <v>89</v>
      </c>
      <c r="E239" s="37" t="s">
        <v>202</v>
      </c>
      <c r="F239" s="37" t="str">
        <f t="shared" si="99"/>
        <v>Spring</v>
      </c>
      <c r="G239" s="37">
        <f t="shared" si="99"/>
        <v>1.1000000000000001</v>
      </c>
      <c r="H239" s="37">
        <f t="shared" si="99"/>
        <v>1.1000000000000001</v>
      </c>
      <c r="I239" s="37">
        <f t="shared" si="99"/>
        <v>1.1000000000000001</v>
      </c>
      <c r="J239" s="37">
        <f t="shared" si="99"/>
        <v>0.99</v>
      </c>
      <c r="K239" s="37">
        <f t="shared" si="99"/>
        <v>0.99</v>
      </c>
      <c r="L239" s="37">
        <f t="shared" ref="L239:N239" si="109">K167</f>
        <v>0.99</v>
      </c>
      <c r="M239" s="37">
        <f t="shared" si="109"/>
        <v>1.1000000000000001</v>
      </c>
      <c r="N239" s="37">
        <f t="shared" si="109"/>
        <v>0.77</v>
      </c>
      <c r="O239" s="37">
        <f t="shared" si="101"/>
        <v>0.77</v>
      </c>
      <c r="P239" s="37">
        <f t="shared" si="102"/>
        <v>0.77</v>
      </c>
    </row>
    <row r="240" spans="4:16" x14ac:dyDescent="0.25">
      <c r="D240" s="37" t="s">
        <v>89</v>
      </c>
      <c r="E240" s="37" t="s">
        <v>202</v>
      </c>
      <c r="F240" s="37" t="str">
        <f t="shared" si="99"/>
        <v>Summer</v>
      </c>
      <c r="G240" s="37">
        <f t="shared" si="99"/>
        <v>0.33</v>
      </c>
      <c r="H240" s="37">
        <f t="shared" si="99"/>
        <v>0.33</v>
      </c>
      <c r="I240" s="37">
        <f t="shared" si="99"/>
        <v>0.22</v>
      </c>
      <c r="J240" s="37">
        <f t="shared" si="99"/>
        <v>0.33</v>
      </c>
      <c r="K240" s="37">
        <f t="shared" si="99"/>
        <v>-0.1</v>
      </c>
      <c r="L240" s="37">
        <f t="shared" ref="L240:N240" si="110">K168</f>
        <v>-0.1</v>
      </c>
      <c r="M240" s="37">
        <f t="shared" si="110"/>
        <v>0.33</v>
      </c>
      <c r="N240" s="37">
        <f t="shared" si="110"/>
        <v>0.11</v>
      </c>
      <c r="O240" s="37">
        <f t="shared" si="101"/>
        <v>0.11</v>
      </c>
      <c r="P240" s="37">
        <f t="shared" si="102"/>
        <v>0.11</v>
      </c>
    </row>
    <row r="241" spans="4:16" x14ac:dyDescent="0.25">
      <c r="D241" s="37" t="s">
        <v>89</v>
      </c>
      <c r="E241" s="37" t="s">
        <v>202</v>
      </c>
      <c r="F241" s="37" t="str">
        <f t="shared" si="99"/>
        <v>Autumn</v>
      </c>
      <c r="G241" s="37">
        <f t="shared" si="99"/>
        <v>0.5</v>
      </c>
      <c r="H241" s="37">
        <f t="shared" si="99"/>
        <v>0.2</v>
      </c>
      <c r="I241" s="37">
        <f t="shared" si="99"/>
        <v>0.55000000000000004</v>
      </c>
      <c r="J241" s="37">
        <f t="shared" si="99"/>
        <v>0.44</v>
      </c>
      <c r="K241" s="37">
        <f t="shared" si="99"/>
        <v>0.2</v>
      </c>
      <c r="L241" s="37">
        <f t="shared" ref="L241:N241" si="111">K169</f>
        <v>0.2</v>
      </c>
      <c r="M241" s="37">
        <f t="shared" si="111"/>
        <v>0.55000000000000004</v>
      </c>
      <c r="N241" s="37">
        <f t="shared" si="111"/>
        <v>0.2</v>
      </c>
      <c r="O241" s="37">
        <f t="shared" si="101"/>
        <v>0.2</v>
      </c>
      <c r="P241" s="37">
        <f t="shared" si="102"/>
        <v>0.2</v>
      </c>
    </row>
    <row r="242" spans="4:16" x14ac:dyDescent="0.25">
      <c r="D242" s="37" t="s">
        <v>89</v>
      </c>
      <c r="E242" s="37" t="s">
        <v>202</v>
      </c>
      <c r="F242" s="37" t="str">
        <f t="shared" si="99"/>
        <v>Winter</v>
      </c>
      <c r="G242" s="37">
        <f t="shared" si="99"/>
        <v>0.55000000000000004</v>
      </c>
      <c r="H242" s="37">
        <f t="shared" si="99"/>
        <v>0.22</v>
      </c>
      <c r="I242" s="37">
        <f t="shared" si="99"/>
        <v>0.49</v>
      </c>
      <c r="J242" s="37">
        <f t="shared" si="99"/>
        <v>0.22</v>
      </c>
      <c r="K242" s="37">
        <f t="shared" si="99"/>
        <v>0.22</v>
      </c>
      <c r="L242" s="37">
        <f t="shared" ref="L242:N242" si="112">K170</f>
        <v>0.22</v>
      </c>
      <c r="M242" s="37">
        <f t="shared" si="112"/>
        <v>0.49</v>
      </c>
      <c r="N242" s="37">
        <f t="shared" si="112"/>
        <v>0.33</v>
      </c>
      <c r="O242" s="37">
        <f t="shared" si="101"/>
        <v>0.33</v>
      </c>
      <c r="P242" s="37">
        <f t="shared" si="102"/>
        <v>0.33</v>
      </c>
    </row>
    <row r="243" spans="4:16" x14ac:dyDescent="0.25">
      <c r="D243" s="37" t="s">
        <v>90</v>
      </c>
      <c r="E243" s="37" t="str">
        <f>E171</f>
        <v>South West</v>
      </c>
      <c r="F243" s="37" t="str">
        <f t="shared" si="99"/>
        <v>Spring</v>
      </c>
      <c r="G243" s="37">
        <f t="shared" si="99"/>
        <v>1.64</v>
      </c>
      <c r="H243" s="37">
        <f t="shared" si="99"/>
        <v>1.1000000000000001</v>
      </c>
      <c r="I243" s="37">
        <f t="shared" si="99"/>
        <v>1.21</v>
      </c>
      <c r="J243" s="37">
        <f t="shared" si="99"/>
        <v>0.99</v>
      </c>
      <c r="K243" s="37">
        <f t="shared" si="99"/>
        <v>0.66</v>
      </c>
      <c r="L243" s="37">
        <f t="shared" ref="L243:N243" si="113">K171</f>
        <v>0.66</v>
      </c>
      <c r="M243" s="37">
        <f t="shared" si="113"/>
        <v>1.42</v>
      </c>
      <c r="N243" s="37">
        <f t="shared" si="113"/>
        <v>1.1000000000000001</v>
      </c>
      <c r="O243" s="37">
        <f t="shared" si="101"/>
        <v>1.1000000000000001</v>
      </c>
      <c r="P243" s="37">
        <f t="shared" si="102"/>
        <v>1.1000000000000001</v>
      </c>
    </row>
    <row r="244" spans="4:16" x14ac:dyDescent="0.25">
      <c r="D244" s="37" t="s">
        <v>90</v>
      </c>
      <c r="E244" s="37" t="str">
        <f t="shared" ref="E244:E254" si="114">E172</f>
        <v>South West</v>
      </c>
      <c r="F244" s="37" t="str">
        <f t="shared" si="99"/>
        <v>Summer</v>
      </c>
      <c r="G244" s="37">
        <f t="shared" si="99"/>
        <v>0.44</v>
      </c>
      <c r="H244" s="37">
        <f t="shared" si="99"/>
        <v>-0.22</v>
      </c>
      <c r="I244" s="37">
        <f t="shared" si="99"/>
        <v>0.44</v>
      </c>
      <c r="J244" s="37">
        <f t="shared" si="99"/>
        <v>0.33</v>
      </c>
      <c r="K244" s="37">
        <f t="shared" si="99"/>
        <v>-0.22</v>
      </c>
      <c r="L244" s="37">
        <f t="shared" ref="L244:N244" si="115">K172</f>
        <v>-0.22</v>
      </c>
      <c r="M244" s="37">
        <f t="shared" si="115"/>
        <v>0.44</v>
      </c>
      <c r="N244" s="37">
        <f t="shared" si="115"/>
        <v>-0.11</v>
      </c>
      <c r="O244" s="37">
        <f t="shared" si="101"/>
        <v>-0.11</v>
      </c>
      <c r="P244" s="37">
        <f t="shared" si="102"/>
        <v>-0.11</v>
      </c>
    </row>
    <row r="245" spans="4:16" x14ac:dyDescent="0.25">
      <c r="D245" s="37" t="s">
        <v>90</v>
      </c>
      <c r="E245" s="37" t="str">
        <f t="shared" si="114"/>
        <v>South West</v>
      </c>
      <c r="F245" s="37" t="str">
        <f t="shared" si="99"/>
        <v>Autumn</v>
      </c>
      <c r="G245" s="37">
        <f t="shared" si="99"/>
        <v>0.6</v>
      </c>
      <c r="H245" s="37">
        <f t="shared" si="99"/>
        <v>0</v>
      </c>
      <c r="I245" s="37">
        <f t="shared" si="99"/>
        <v>0.6</v>
      </c>
      <c r="J245" s="37">
        <f t="shared" si="99"/>
        <v>0.22</v>
      </c>
      <c r="K245" s="37">
        <f t="shared" si="99"/>
        <v>-0.55000000000000004</v>
      </c>
      <c r="L245" s="37">
        <f t="shared" ref="L245:N245" si="116">K173</f>
        <v>-0.55000000000000004</v>
      </c>
      <c r="M245" s="37">
        <f t="shared" si="116"/>
        <v>0.6</v>
      </c>
      <c r="N245" s="37">
        <f t="shared" si="116"/>
        <v>0</v>
      </c>
      <c r="O245" s="37">
        <f t="shared" si="101"/>
        <v>0</v>
      </c>
      <c r="P245" s="37">
        <f t="shared" si="102"/>
        <v>0</v>
      </c>
    </row>
    <row r="246" spans="4:16" x14ac:dyDescent="0.25">
      <c r="D246" s="37" t="s">
        <v>90</v>
      </c>
      <c r="E246" s="37" t="str">
        <f t="shared" si="114"/>
        <v>South West</v>
      </c>
      <c r="F246" s="37" t="str">
        <f t="shared" si="99"/>
        <v>Winter</v>
      </c>
      <c r="G246" s="37">
        <f t="shared" si="99"/>
        <v>0.99</v>
      </c>
      <c r="H246" s="37">
        <f t="shared" si="99"/>
        <v>0.22</v>
      </c>
      <c r="I246" s="37">
        <f t="shared" si="99"/>
        <v>0.77</v>
      </c>
      <c r="J246" s="37">
        <f t="shared" si="99"/>
        <v>0.11</v>
      </c>
      <c r="K246" s="37">
        <f t="shared" si="99"/>
        <v>0.11</v>
      </c>
      <c r="L246" s="37">
        <f t="shared" ref="L246:N246" si="117">K174</f>
        <v>0.11</v>
      </c>
      <c r="M246" s="37">
        <f t="shared" si="117"/>
        <v>0.77</v>
      </c>
      <c r="N246" s="37">
        <f t="shared" si="117"/>
        <v>0.44</v>
      </c>
      <c r="O246" s="37">
        <f t="shared" si="101"/>
        <v>0.44</v>
      </c>
      <c r="P246" s="37">
        <f t="shared" si="102"/>
        <v>0.44</v>
      </c>
    </row>
    <row r="247" spans="4:16" x14ac:dyDescent="0.25">
      <c r="D247" s="37" t="s">
        <v>90</v>
      </c>
      <c r="E247" s="37" t="str">
        <f t="shared" si="114"/>
        <v>Pilbara</v>
      </c>
      <c r="F247" s="37" t="str">
        <f t="shared" si="99"/>
        <v>Spring</v>
      </c>
      <c r="G247" s="37">
        <f t="shared" si="99"/>
        <v>0.7</v>
      </c>
      <c r="H247" s="37">
        <f t="shared" si="99"/>
        <v>-0.55000000000000004</v>
      </c>
      <c r="I247" s="37">
        <f t="shared" si="99"/>
        <v>0.7</v>
      </c>
      <c r="J247" s="37">
        <f t="shared" si="99"/>
        <v>0.22</v>
      </c>
      <c r="K247" s="37">
        <f t="shared" si="99"/>
        <v>-0.22</v>
      </c>
      <c r="L247" s="37">
        <f t="shared" ref="L247:N247" si="118">K175</f>
        <v>-0.22</v>
      </c>
      <c r="M247" s="37">
        <f t="shared" si="118"/>
        <v>0.7</v>
      </c>
      <c r="N247" s="37">
        <f t="shared" si="118"/>
        <v>-0.22</v>
      </c>
      <c r="O247" s="37">
        <f t="shared" si="101"/>
        <v>-0.22</v>
      </c>
      <c r="P247" s="37">
        <f t="shared" si="102"/>
        <v>-0.22</v>
      </c>
    </row>
    <row r="248" spans="4:16" x14ac:dyDescent="0.25">
      <c r="D248" s="37" t="s">
        <v>90</v>
      </c>
      <c r="E248" s="37" t="str">
        <f t="shared" si="114"/>
        <v>Pilbara</v>
      </c>
      <c r="F248" s="37" t="str">
        <f t="shared" si="99"/>
        <v>Summer</v>
      </c>
      <c r="G248" s="37">
        <f t="shared" si="99"/>
        <v>0.77</v>
      </c>
      <c r="H248" s="37">
        <f t="shared" si="99"/>
        <v>0.55000000000000004</v>
      </c>
      <c r="I248" s="37">
        <f t="shared" si="99"/>
        <v>0.77</v>
      </c>
      <c r="J248" s="37">
        <f t="shared" si="99"/>
        <v>0.66</v>
      </c>
      <c r="K248" s="37">
        <f t="shared" si="99"/>
        <v>0.55000000000000004</v>
      </c>
      <c r="L248" s="37">
        <f t="shared" ref="L248:N248" si="119">K176</f>
        <v>0.55000000000000004</v>
      </c>
      <c r="M248" s="37">
        <f t="shared" si="119"/>
        <v>0.77</v>
      </c>
      <c r="N248" s="37">
        <f t="shared" si="119"/>
        <v>0.33</v>
      </c>
      <c r="O248" s="37">
        <f t="shared" si="101"/>
        <v>0.33</v>
      </c>
      <c r="P248" s="37">
        <f t="shared" si="102"/>
        <v>0.33</v>
      </c>
    </row>
    <row r="249" spans="4:16" x14ac:dyDescent="0.25">
      <c r="D249" s="37" t="s">
        <v>90</v>
      </c>
      <c r="E249" s="37" t="str">
        <f t="shared" si="114"/>
        <v>Pilbara</v>
      </c>
      <c r="F249" s="37" t="str">
        <f t="shared" si="99"/>
        <v>Autumn</v>
      </c>
      <c r="G249" s="37">
        <f t="shared" si="99"/>
        <v>0.88</v>
      </c>
      <c r="H249" s="37">
        <f t="shared" si="99"/>
        <v>0.55000000000000004</v>
      </c>
      <c r="I249" s="37">
        <f t="shared" si="99"/>
        <v>0.88</v>
      </c>
      <c r="J249" s="37">
        <f t="shared" si="99"/>
        <v>0.22</v>
      </c>
      <c r="K249" s="37">
        <f t="shared" si="99"/>
        <v>0.22</v>
      </c>
      <c r="L249" s="37">
        <f t="shared" ref="L249:N249" si="120">K177</f>
        <v>0.22</v>
      </c>
      <c r="M249" s="37">
        <f t="shared" si="120"/>
        <v>0.88</v>
      </c>
      <c r="N249" s="37">
        <f t="shared" si="120"/>
        <v>0.22</v>
      </c>
      <c r="O249" s="37">
        <f t="shared" si="101"/>
        <v>0.22</v>
      </c>
      <c r="P249" s="37">
        <f t="shared" si="102"/>
        <v>0.22</v>
      </c>
    </row>
    <row r="250" spans="4:16" x14ac:dyDescent="0.25">
      <c r="D250" s="37" t="s">
        <v>90</v>
      </c>
      <c r="E250" s="37" t="str">
        <f t="shared" si="114"/>
        <v>Pilbara</v>
      </c>
      <c r="F250" s="37" t="str">
        <f t="shared" si="99"/>
        <v>Winter</v>
      </c>
      <c r="G250" s="37">
        <f t="shared" si="99"/>
        <v>0.22</v>
      </c>
      <c r="H250" s="37">
        <f t="shared" si="99"/>
        <v>-0.55000000000000004</v>
      </c>
      <c r="I250" s="37">
        <f t="shared" si="99"/>
        <v>0.22</v>
      </c>
      <c r="J250" s="37">
        <f t="shared" si="99"/>
        <v>0.11</v>
      </c>
      <c r="K250" s="37">
        <f t="shared" si="99"/>
        <v>-0.22</v>
      </c>
      <c r="L250" s="37">
        <f t="shared" ref="L250:N250" si="121">K178</f>
        <v>-0.22</v>
      </c>
      <c r="M250" s="37">
        <f t="shared" si="121"/>
        <v>0.22</v>
      </c>
      <c r="N250" s="37">
        <f t="shared" si="121"/>
        <v>-0.33</v>
      </c>
      <c r="O250" s="37">
        <f t="shared" si="101"/>
        <v>-0.33</v>
      </c>
      <c r="P250" s="37">
        <f t="shared" si="102"/>
        <v>-0.33</v>
      </c>
    </row>
    <row r="251" spans="4:16" x14ac:dyDescent="0.25">
      <c r="D251" s="37" t="s">
        <v>90</v>
      </c>
      <c r="E251" s="37" t="str">
        <f t="shared" si="114"/>
        <v>Kimberley</v>
      </c>
      <c r="F251" s="37" t="str">
        <f t="shared" si="99"/>
        <v>Spring</v>
      </c>
      <c r="G251" s="37">
        <f t="shared" si="99"/>
        <v>0.22</v>
      </c>
      <c r="H251" s="37">
        <f t="shared" si="99"/>
        <v>-0.55000000000000004</v>
      </c>
      <c r="I251" s="37">
        <f t="shared" si="99"/>
        <v>0.33</v>
      </c>
      <c r="J251" s="37">
        <f t="shared" si="99"/>
        <v>0.22</v>
      </c>
      <c r="K251" s="37">
        <f t="shared" si="99"/>
        <v>-0.33</v>
      </c>
      <c r="L251" s="37">
        <f t="shared" ref="L251:N251" si="122">K179</f>
        <v>-0.33</v>
      </c>
      <c r="M251" s="37">
        <f t="shared" si="122"/>
        <v>0.22</v>
      </c>
      <c r="N251" s="37">
        <f t="shared" si="122"/>
        <v>-0.55000000000000004</v>
      </c>
      <c r="O251" s="37">
        <f t="shared" si="101"/>
        <v>-0.55000000000000004</v>
      </c>
      <c r="P251" s="37">
        <f t="shared" si="102"/>
        <v>-0.55000000000000004</v>
      </c>
    </row>
    <row r="252" spans="4:16" x14ac:dyDescent="0.25">
      <c r="D252" s="37" t="s">
        <v>90</v>
      </c>
      <c r="E252" s="37" t="str">
        <f t="shared" si="114"/>
        <v>Kimberley</v>
      </c>
      <c r="F252" s="37" t="str">
        <f t="shared" si="99"/>
        <v>Summer</v>
      </c>
      <c r="G252" s="37">
        <f t="shared" si="99"/>
        <v>0.8</v>
      </c>
      <c r="H252" s="37">
        <f t="shared" si="99"/>
        <v>0.55000000000000004</v>
      </c>
      <c r="I252" s="37">
        <f t="shared" si="99"/>
        <v>0.7</v>
      </c>
      <c r="J252" s="37">
        <f t="shared" si="99"/>
        <v>0.44</v>
      </c>
      <c r="K252" s="37">
        <f t="shared" si="99"/>
        <v>0.66</v>
      </c>
      <c r="L252" s="37">
        <f t="shared" ref="L252:N252" si="123">K180</f>
        <v>0.66</v>
      </c>
      <c r="M252" s="37">
        <f t="shared" si="123"/>
        <v>0.8</v>
      </c>
      <c r="N252" s="37">
        <f t="shared" si="123"/>
        <v>0.55000000000000004</v>
      </c>
      <c r="O252" s="37">
        <f t="shared" si="101"/>
        <v>0.55000000000000004</v>
      </c>
      <c r="P252" s="37">
        <f t="shared" si="102"/>
        <v>0.55000000000000004</v>
      </c>
    </row>
    <row r="253" spans="4:16" x14ac:dyDescent="0.25">
      <c r="D253" s="37" t="s">
        <v>90</v>
      </c>
      <c r="E253" s="37" t="str">
        <f t="shared" si="114"/>
        <v>Kimberley</v>
      </c>
      <c r="F253" s="37" t="str">
        <f t="shared" si="99"/>
        <v>Autumn</v>
      </c>
      <c r="G253" s="37">
        <f t="shared" si="99"/>
        <v>0.66</v>
      </c>
      <c r="H253" s="37">
        <f t="shared" si="99"/>
        <v>0.55000000000000004</v>
      </c>
      <c r="I253" s="37">
        <f t="shared" si="99"/>
        <v>0.55000000000000004</v>
      </c>
      <c r="J253" s="37">
        <f t="shared" si="99"/>
        <v>0.55000000000000004</v>
      </c>
      <c r="K253" s="37">
        <f t="shared" si="99"/>
        <v>0.11</v>
      </c>
      <c r="L253" s="37">
        <f t="shared" ref="L253:N253" si="124">K181</f>
        <v>0.11</v>
      </c>
      <c r="M253" s="37">
        <f t="shared" si="124"/>
        <v>0.66</v>
      </c>
      <c r="N253" s="37">
        <f t="shared" si="124"/>
        <v>0.55000000000000004</v>
      </c>
      <c r="O253" s="37">
        <f t="shared" si="101"/>
        <v>0.55000000000000004</v>
      </c>
      <c r="P253" s="37">
        <f t="shared" si="102"/>
        <v>0.55000000000000004</v>
      </c>
    </row>
    <row r="254" spans="4:16" x14ac:dyDescent="0.25">
      <c r="D254" s="37" t="s">
        <v>90</v>
      </c>
      <c r="E254" s="37" t="str">
        <f t="shared" si="114"/>
        <v>Kimberley</v>
      </c>
      <c r="F254" s="37" t="str">
        <f t="shared" si="99"/>
        <v>Winter</v>
      </c>
      <c r="G254" s="37">
        <f t="shared" si="99"/>
        <v>0.33</v>
      </c>
      <c r="H254" s="37">
        <f t="shared" si="99"/>
        <v>-0.55000000000000004</v>
      </c>
      <c r="I254" s="37">
        <f t="shared" si="99"/>
        <v>0.11</v>
      </c>
      <c r="J254" s="37">
        <f t="shared" si="99"/>
        <v>0.11</v>
      </c>
      <c r="K254" s="37">
        <f t="shared" si="99"/>
        <v>-0.44</v>
      </c>
      <c r="L254" s="37">
        <f t="shared" ref="L254:N254" si="125">K182</f>
        <v>-0.44</v>
      </c>
      <c r="M254" s="37">
        <f t="shared" si="125"/>
        <v>0.33</v>
      </c>
      <c r="N254" s="37">
        <f t="shared" si="125"/>
        <v>-0.55000000000000004</v>
      </c>
      <c r="O254" s="37">
        <f t="shared" si="101"/>
        <v>-0.55000000000000004</v>
      </c>
      <c r="P254" s="37">
        <f t="shared" si="102"/>
        <v>-0.55000000000000004</v>
      </c>
    </row>
    <row r="255" spans="4:16" x14ac:dyDescent="0.25">
      <c r="D255" s="37" t="s">
        <v>85</v>
      </c>
      <c r="E255" s="37" t="str">
        <f>E190</f>
        <v>Alice Springs</v>
      </c>
      <c r="F255" s="37" t="str">
        <f>F190</f>
        <v>Spring</v>
      </c>
      <c r="G255" s="37">
        <f>G190</f>
        <v>0.22</v>
      </c>
      <c r="H255" s="37">
        <f t="shared" ref="H255:P255" si="126">H190</f>
        <v>-0.23</v>
      </c>
      <c r="I255" s="37">
        <f t="shared" si="126"/>
        <v>0.25</v>
      </c>
      <c r="J255" s="37">
        <f t="shared" si="126"/>
        <v>0.17</v>
      </c>
      <c r="K255" s="37">
        <f t="shared" si="126"/>
        <v>0.18</v>
      </c>
      <c r="L255" s="37">
        <f t="shared" si="126"/>
        <v>-0.28000000000000003</v>
      </c>
      <c r="M255" s="37">
        <f t="shared" si="126"/>
        <v>0.32</v>
      </c>
      <c r="N255" s="37">
        <f t="shared" si="126"/>
        <v>0.24</v>
      </c>
      <c r="O255" s="37">
        <f t="shared" si="126"/>
        <v>0.25</v>
      </c>
      <c r="P255" s="37">
        <f t="shared" si="126"/>
        <v>-0.05</v>
      </c>
    </row>
    <row r="256" spans="4:16" x14ac:dyDescent="0.25">
      <c r="D256" s="37" t="s">
        <v>85</v>
      </c>
      <c r="E256" s="37" t="str">
        <f t="shared" ref="E256:P282" si="127">E191</f>
        <v>Alice Springs</v>
      </c>
      <c r="F256" s="37" t="str">
        <f t="shared" si="127"/>
        <v>Summer</v>
      </c>
      <c r="G256" s="37">
        <f t="shared" si="127"/>
        <v>0.66</v>
      </c>
      <c r="H256" s="37">
        <f t="shared" si="127"/>
        <v>0.2</v>
      </c>
      <c r="I256" s="37">
        <f t="shared" si="127"/>
        <v>0.62</v>
      </c>
      <c r="J256" s="37">
        <f t="shared" si="127"/>
        <v>0.54</v>
      </c>
      <c r="K256" s="37">
        <f t="shared" si="127"/>
        <v>0.38</v>
      </c>
      <c r="L256" s="37">
        <f t="shared" si="127"/>
        <v>0.27</v>
      </c>
      <c r="M256" s="37">
        <f t="shared" si="127"/>
        <v>0.75</v>
      </c>
      <c r="N256" s="37">
        <f t="shared" si="127"/>
        <v>0.64</v>
      </c>
      <c r="O256" s="37">
        <f t="shared" si="127"/>
        <v>0.55000000000000004</v>
      </c>
      <c r="P256" s="37">
        <f t="shared" si="127"/>
        <v>0.48</v>
      </c>
    </row>
    <row r="257" spans="4:16" x14ac:dyDescent="0.25">
      <c r="D257" s="37" t="s">
        <v>85</v>
      </c>
      <c r="E257" s="37" t="str">
        <f t="shared" si="127"/>
        <v>Alice Springs</v>
      </c>
      <c r="F257" s="37" t="str">
        <f t="shared" si="127"/>
        <v>Autumn</v>
      </c>
      <c r="G257" s="37">
        <f t="shared" si="127"/>
        <v>0.49</v>
      </c>
      <c r="H257" s="37">
        <f t="shared" si="127"/>
        <v>0.13</v>
      </c>
      <c r="I257" s="37">
        <f t="shared" si="127"/>
        <v>0.54</v>
      </c>
      <c r="J257" s="37">
        <f t="shared" si="127"/>
        <v>0.45</v>
      </c>
      <c r="K257" s="37">
        <f t="shared" si="127"/>
        <v>0.35</v>
      </c>
      <c r="L257" s="37">
        <f t="shared" si="127"/>
        <v>0.15</v>
      </c>
      <c r="M257" s="37">
        <f t="shared" si="127"/>
        <v>0.63</v>
      </c>
      <c r="N257" s="37">
        <f t="shared" si="127"/>
        <v>0.54</v>
      </c>
      <c r="O257" s="37">
        <f t="shared" si="127"/>
        <v>0.42</v>
      </c>
      <c r="P257" s="37">
        <f t="shared" si="127"/>
        <v>0.26</v>
      </c>
    </row>
    <row r="258" spans="4:16" x14ac:dyDescent="0.25">
      <c r="D258" s="37" t="s">
        <v>85</v>
      </c>
      <c r="E258" s="37" t="str">
        <f t="shared" si="127"/>
        <v>Alice Springs</v>
      </c>
      <c r="F258" s="37" t="str">
        <f t="shared" si="127"/>
        <v>Winter</v>
      </c>
      <c r="G258" s="37">
        <f t="shared" si="127"/>
        <v>0.27</v>
      </c>
      <c r="H258" s="37">
        <f t="shared" si="127"/>
        <v>-0.8</v>
      </c>
      <c r="I258" s="37">
        <f t="shared" si="127"/>
        <v>0.22</v>
      </c>
      <c r="J258" s="37">
        <f t="shared" si="127"/>
        <v>0.09</v>
      </c>
      <c r="K258" s="37">
        <f t="shared" si="127"/>
        <v>0.12</v>
      </c>
      <c r="L258" s="37">
        <f t="shared" si="127"/>
        <v>0.02</v>
      </c>
      <c r="M258" s="37">
        <f t="shared" si="127"/>
        <v>0.25</v>
      </c>
      <c r="N258" s="37">
        <f t="shared" si="127"/>
        <v>0.18</v>
      </c>
      <c r="O258" s="37">
        <f t="shared" si="127"/>
        <v>0.12</v>
      </c>
      <c r="P258" s="37">
        <f t="shared" si="127"/>
        <v>0.03</v>
      </c>
    </row>
    <row r="259" spans="4:16" x14ac:dyDescent="0.25">
      <c r="D259" s="37" t="s">
        <v>85</v>
      </c>
      <c r="E259" s="37" t="str">
        <f t="shared" si="127"/>
        <v>Barkly</v>
      </c>
      <c r="F259" s="37" t="str">
        <f t="shared" si="127"/>
        <v>Spring</v>
      </c>
      <c r="G259" s="37">
        <f t="shared" si="127"/>
        <v>0.22</v>
      </c>
      <c r="H259" s="37">
        <f t="shared" si="127"/>
        <v>-0.44</v>
      </c>
      <c r="I259" s="37">
        <f t="shared" si="127"/>
        <v>0.2</v>
      </c>
      <c r="J259" s="37">
        <f t="shared" si="127"/>
        <v>0.21</v>
      </c>
      <c r="K259" s="37">
        <f t="shared" si="127"/>
        <v>0.18</v>
      </c>
      <c r="L259" s="37">
        <f t="shared" si="127"/>
        <v>0.01</v>
      </c>
      <c r="M259" s="37">
        <f t="shared" si="127"/>
        <v>0.12</v>
      </c>
      <c r="N259" s="37">
        <f t="shared" si="127"/>
        <v>0.09</v>
      </c>
      <c r="O259" s="37" t="str">
        <f t="shared" si="127"/>
        <v>NO</v>
      </c>
      <c r="P259" s="37" t="str">
        <f t="shared" si="127"/>
        <v>NO</v>
      </c>
    </row>
    <row r="260" spans="4:16" x14ac:dyDescent="0.25">
      <c r="D260" s="37" t="s">
        <v>85</v>
      </c>
      <c r="E260" s="37" t="str">
        <f t="shared" si="127"/>
        <v>Barkly</v>
      </c>
      <c r="F260" s="37" t="str">
        <f t="shared" si="127"/>
        <v>Summer</v>
      </c>
      <c r="G260" s="37">
        <f t="shared" si="127"/>
        <v>0.66</v>
      </c>
      <c r="H260" s="37">
        <f t="shared" si="127"/>
        <v>0.22</v>
      </c>
      <c r="I260" s="37">
        <f t="shared" si="127"/>
        <v>0.68</v>
      </c>
      <c r="J260" s="37">
        <f t="shared" si="127"/>
        <v>0.22</v>
      </c>
      <c r="K260" s="37">
        <f t="shared" si="127"/>
        <v>0.24</v>
      </c>
      <c r="L260" s="37">
        <f t="shared" si="127"/>
        <v>0.25</v>
      </c>
      <c r="M260" s="37">
        <f t="shared" si="127"/>
        <v>0.64</v>
      </c>
      <c r="N260" s="37">
        <f t="shared" si="127"/>
        <v>0.37</v>
      </c>
      <c r="O260" s="37" t="str">
        <f t="shared" si="127"/>
        <v>NO</v>
      </c>
      <c r="P260" s="37" t="str">
        <f t="shared" si="127"/>
        <v>NO</v>
      </c>
    </row>
    <row r="261" spans="4:16" x14ac:dyDescent="0.25">
      <c r="D261" s="37" t="s">
        <v>85</v>
      </c>
      <c r="E261" s="37" t="str">
        <f t="shared" si="127"/>
        <v>Barkly</v>
      </c>
      <c r="F261" s="37" t="str">
        <f t="shared" si="127"/>
        <v>Autumn</v>
      </c>
      <c r="G261" s="37">
        <f t="shared" si="127"/>
        <v>0.49</v>
      </c>
      <c r="H261" s="37">
        <f t="shared" si="127"/>
        <v>0.05</v>
      </c>
      <c r="I261" s="37">
        <f t="shared" si="127"/>
        <v>0.64</v>
      </c>
      <c r="J261" s="37">
        <f t="shared" si="127"/>
        <v>0.25</v>
      </c>
      <c r="K261" s="37">
        <f t="shared" si="127"/>
        <v>0.28999999999999998</v>
      </c>
      <c r="L261" s="37">
        <f t="shared" si="127"/>
        <v>0.12</v>
      </c>
      <c r="M261" s="37">
        <f t="shared" si="127"/>
        <v>0.56999999999999995</v>
      </c>
      <c r="N261" s="37">
        <f t="shared" si="127"/>
        <v>0.49</v>
      </c>
      <c r="O261" s="37" t="str">
        <f t="shared" si="127"/>
        <v>NO</v>
      </c>
      <c r="P261" s="37" t="str">
        <f t="shared" si="127"/>
        <v>NO</v>
      </c>
    </row>
    <row r="262" spans="4:16" x14ac:dyDescent="0.25">
      <c r="D262" s="37" t="s">
        <v>85</v>
      </c>
      <c r="E262" s="37" t="str">
        <f t="shared" si="127"/>
        <v>Barkly</v>
      </c>
      <c r="F262" s="37" t="str">
        <f t="shared" si="127"/>
        <v>Winter</v>
      </c>
      <c r="G262" s="37">
        <f t="shared" si="127"/>
        <v>0.27</v>
      </c>
      <c r="H262" s="37">
        <f t="shared" si="127"/>
        <v>-0.27</v>
      </c>
      <c r="I262" s="37">
        <f t="shared" si="127"/>
        <v>0.31</v>
      </c>
      <c r="J262" s="37">
        <f t="shared" si="127"/>
        <v>0.28999999999999998</v>
      </c>
      <c r="K262" s="37">
        <f t="shared" si="127"/>
        <v>0.19</v>
      </c>
      <c r="L262" s="37">
        <f t="shared" si="127"/>
        <v>0.04</v>
      </c>
      <c r="M262" s="37">
        <f t="shared" si="127"/>
        <v>0.26</v>
      </c>
      <c r="N262" s="37">
        <f t="shared" si="127"/>
        <v>0.28000000000000003</v>
      </c>
      <c r="O262" s="37" t="str">
        <f t="shared" si="127"/>
        <v>NO</v>
      </c>
      <c r="P262" s="37" t="str">
        <f t="shared" si="127"/>
        <v>NO</v>
      </c>
    </row>
    <row r="263" spans="4:16" x14ac:dyDescent="0.25">
      <c r="D263" s="37" t="s">
        <v>85</v>
      </c>
      <c r="E263" s="37" t="str">
        <f t="shared" si="127"/>
        <v>Northern</v>
      </c>
      <c r="F263" s="37" t="str">
        <f t="shared" si="127"/>
        <v>Spring</v>
      </c>
      <c r="G263" s="37">
        <f t="shared" si="127"/>
        <v>0.22</v>
      </c>
      <c r="H263" s="37">
        <f t="shared" si="127"/>
        <v>-0.44</v>
      </c>
      <c r="I263" s="37">
        <f t="shared" si="127"/>
        <v>0</v>
      </c>
      <c r="J263" s="37">
        <f t="shared" si="127"/>
        <v>0.15</v>
      </c>
      <c r="K263" s="37">
        <f t="shared" si="127"/>
        <v>0.08</v>
      </c>
      <c r="L263" s="37">
        <f t="shared" si="127"/>
        <v>0.17</v>
      </c>
      <c r="M263" s="37">
        <f t="shared" si="127"/>
        <v>0.06</v>
      </c>
      <c r="N263" s="37">
        <f t="shared" si="127"/>
        <v>0.02</v>
      </c>
      <c r="O263" s="37">
        <f t="shared" si="127"/>
        <v>-0.14000000000000001</v>
      </c>
      <c r="P263" s="37" t="str">
        <f t="shared" si="127"/>
        <v>NO</v>
      </c>
    </row>
    <row r="264" spans="4:16" x14ac:dyDescent="0.25">
      <c r="D264" s="37" t="s">
        <v>85</v>
      </c>
      <c r="E264" s="37" t="str">
        <f t="shared" si="127"/>
        <v>Northern</v>
      </c>
      <c r="F264" s="37" t="str">
        <f t="shared" si="127"/>
        <v>Summer</v>
      </c>
      <c r="G264" s="37">
        <f t="shared" si="127"/>
        <v>0.66</v>
      </c>
      <c r="H264" s="37">
        <f t="shared" si="127"/>
        <v>0.22</v>
      </c>
      <c r="I264" s="37">
        <f t="shared" si="127"/>
        <v>0.79</v>
      </c>
      <c r="J264" s="37">
        <f t="shared" si="127"/>
        <v>0.4</v>
      </c>
      <c r="K264" s="37">
        <f t="shared" si="127"/>
        <v>0.38</v>
      </c>
      <c r="L264" s="37">
        <f t="shared" si="127"/>
        <v>0.27</v>
      </c>
      <c r="M264" s="37">
        <f t="shared" si="127"/>
        <v>0.8</v>
      </c>
      <c r="N264" s="37">
        <f t="shared" si="127"/>
        <v>0.16</v>
      </c>
      <c r="O264" s="37">
        <f t="shared" si="127"/>
        <v>0.3</v>
      </c>
      <c r="P264" s="37" t="str">
        <f t="shared" si="127"/>
        <v>NO</v>
      </c>
    </row>
    <row r="265" spans="4:16" x14ac:dyDescent="0.25">
      <c r="D265" s="37" t="s">
        <v>85</v>
      </c>
      <c r="E265" s="37" t="str">
        <f t="shared" si="127"/>
        <v>Northern</v>
      </c>
      <c r="F265" s="37" t="str">
        <f t="shared" si="127"/>
        <v>Autumn</v>
      </c>
      <c r="G265" s="37">
        <f t="shared" si="127"/>
        <v>0.49</v>
      </c>
      <c r="H265" s="37">
        <f t="shared" si="127"/>
        <v>0.05</v>
      </c>
      <c r="I265" s="37">
        <f t="shared" si="127"/>
        <v>0.55000000000000004</v>
      </c>
      <c r="J265" s="37">
        <f t="shared" si="127"/>
        <v>0.38</v>
      </c>
      <c r="K265" s="37">
        <f t="shared" si="127"/>
        <v>0.36</v>
      </c>
      <c r="L265" s="37">
        <f t="shared" si="127"/>
        <v>0.06</v>
      </c>
      <c r="M265" s="37">
        <f t="shared" si="127"/>
        <v>0.57999999999999996</v>
      </c>
      <c r="N265" s="37">
        <f t="shared" si="127"/>
        <v>0.23</v>
      </c>
      <c r="O265" s="37">
        <f t="shared" si="127"/>
        <v>0.4</v>
      </c>
      <c r="P265" s="37" t="str">
        <f t="shared" si="127"/>
        <v>NO</v>
      </c>
    </row>
    <row r="266" spans="4:16" x14ac:dyDescent="0.25">
      <c r="D266" s="37" t="s">
        <v>85</v>
      </c>
      <c r="E266" s="37" t="str">
        <f t="shared" si="127"/>
        <v>Northern</v>
      </c>
      <c r="F266" s="37" t="str">
        <f t="shared" si="127"/>
        <v>Winter</v>
      </c>
      <c r="G266" s="37">
        <f t="shared" si="127"/>
        <v>0.27</v>
      </c>
      <c r="H266" s="37">
        <f t="shared" si="127"/>
        <v>-0.27</v>
      </c>
      <c r="I266" s="37">
        <f t="shared" si="127"/>
        <v>0.02</v>
      </c>
      <c r="J266" s="37">
        <f t="shared" si="127"/>
        <v>0.09</v>
      </c>
      <c r="K266" s="37">
        <f t="shared" si="127"/>
        <v>0.16</v>
      </c>
      <c r="L266" s="37">
        <f t="shared" si="127"/>
        <v>-0.04</v>
      </c>
      <c r="M266" s="37">
        <f t="shared" si="127"/>
        <v>0.21</v>
      </c>
      <c r="N266" s="37">
        <f t="shared" si="127"/>
        <v>0.03</v>
      </c>
      <c r="O266" s="37">
        <f t="shared" si="127"/>
        <v>0.11</v>
      </c>
      <c r="P266" s="37" t="str">
        <f t="shared" si="127"/>
        <v>NO</v>
      </c>
    </row>
    <row r="267" spans="4:16" x14ac:dyDescent="0.25">
      <c r="D267" s="37" t="s">
        <v>86</v>
      </c>
      <c r="E267" s="37" t="str">
        <f t="shared" si="127"/>
        <v>High</v>
      </c>
      <c r="F267" s="37" t="str">
        <f t="shared" si="127"/>
        <v>Spring</v>
      </c>
      <c r="G267" s="37">
        <f t="shared" si="127"/>
        <v>0.27</v>
      </c>
      <c r="H267" s="37">
        <f t="shared" si="127"/>
        <v>-0.19</v>
      </c>
      <c r="I267" s="37">
        <f t="shared" si="127"/>
        <v>0.38</v>
      </c>
      <c r="J267" s="37">
        <f t="shared" si="127"/>
        <v>0.25</v>
      </c>
      <c r="K267" s="37">
        <f t="shared" si="127"/>
        <v>7.0000000000000007E-2</v>
      </c>
      <c r="L267" s="37">
        <f t="shared" si="127"/>
        <v>0.05</v>
      </c>
      <c r="M267" s="37">
        <f t="shared" si="127"/>
        <v>0.52</v>
      </c>
      <c r="N267" s="37">
        <f t="shared" si="127"/>
        <v>0.55000000000000004</v>
      </c>
      <c r="O267" s="37">
        <f t="shared" si="127"/>
        <v>0.19</v>
      </c>
      <c r="P267" s="37">
        <f t="shared" si="127"/>
        <v>0.6</v>
      </c>
    </row>
    <row r="268" spans="4:16" x14ac:dyDescent="0.25">
      <c r="D268" s="37" t="s">
        <v>86</v>
      </c>
      <c r="E268" s="37" t="str">
        <f t="shared" si="127"/>
        <v>High</v>
      </c>
      <c r="F268" s="37" t="str">
        <f t="shared" si="127"/>
        <v>Summer</v>
      </c>
      <c r="G268" s="37">
        <f t="shared" si="127"/>
        <v>0.16</v>
      </c>
      <c r="H268" s="37">
        <f t="shared" si="127"/>
        <v>0.16</v>
      </c>
      <c r="I268" s="37">
        <f t="shared" si="127"/>
        <v>0.8</v>
      </c>
      <c r="J268" s="37">
        <f t="shared" si="127"/>
        <v>0.56999999999999995</v>
      </c>
      <c r="K268" s="37">
        <f t="shared" si="127"/>
        <v>0.76</v>
      </c>
      <c r="L268" s="37">
        <f t="shared" si="127"/>
        <v>0.49</v>
      </c>
      <c r="M268" s="37">
        <f t="shared" si="127"/>
        <v>0.84</v>
      </c>
      <c r="N268" s="37">
        <f t="shared" si="127"/>
        <v>0.51</v>
      </c>
      <c r="O268" s="37">
        <f t="shared" si="127"/>
        <v>0.36</v>
      </c>
      <c r="P268" s="37">
        <f t="shared" si="127"/>
        <v>0.17</v>
      </c>
    </row>
    <row r="269" spans="4:16" x14ac:dyDescent="0.25">
      <c r="D269" s="37" t="s">
        <v>86</v>
      </c>
      <c r="E269" s="37" t="str">
        <f t="shared" si="127"/>
        <v>High</v>
      </c>
      <c r="F269" s="37" t="str">
        <f t="shared" si="127"/>
        <v>Autumn</v>
      </c>
      <c r="G269" s="37">
        <f t="shared" si="127"/>
        <v>0.45</v>
      </c>
      <c r="H269" s="37">
        <f t="shared" si="127"/>
        <v>0.1</v>
      </c>
      <c r="I269" s="37">
        <f t="shared" si="127"/>
        <v>0.49</v>
      </c>
      <c r="J269" s="37">
        <f t="shared" si="127"/>
        <v>0.41</v>
      </c>
      <c r="K269" s="37">
        <f t="shared" si="127"/>
        <v>0.4</v>
      </c>
      <c r="L269" s="37">
        <f t="shared" si="127"/>
        <v>0.17</v>
      </c>
      <c r="M269" s="37">
        <f t="shared" si="127"/>
        <v>0.54</v>
      </c>
      <c r="N269" s="37">
        <f t="shared" si="127"/>
        <v>0.64</v>
      </c>
      <c r="O269" s="37">
        <f t="shared" si="127"/>
        <v>-0.05</v>
      </c>
      <c r="P269" s="37">
        <f t="shared" si="127"/>
        <v>0.32</v>
      </c>
    </row>
    <row r="270" spans="4:16" x14ac:dyDescent="0.25">
      <c r="D270" s="37" t="s">
        <v>86</v>
      </c>
      <c r="E270" s="37" t="str">
        <f t="shared" si="127"/>
        <v>High</v>
      </c>
      <c r="F270" s="37" t="str">
        <f t="shared" si="127"/>
        <v>Winter</v>
      </c>
      <c r="G270" s="37">
        <f t="shared" si="127"/>
        <v>0.51</v>
      </c>
      <c r="H270" s="37">
        <f t="shared" si="127"/>
        <v>-7.0000000000000007E-2</v>
      </c>
      <c r="I270" s="37">
        <f t="shared" si="127"/>
        <v>0.13</v>
      </c>
      <c r="J270" s="37">
        <f t="shared" si="127"/>
        <v>-0.09</v>
      </c>
      <c r="K270" s="37">
        <f t="shared" si="127"/>
        <v>-0.13</v>
      </c>
      <c r="L270" s="37">
        <f t="shared" si="127"/>
        <v>7.0000000000000007E-2</v>
      </c>
      <c r="M270" s="37">
        <f t="shared" si="127"/>
        <v>0.25</v>
      </c>
      <c r="N270" s="37">
        <f t="shared" si="127"/>
        <v>0.71</v>
      </c>
      <c r="O270" s="37">
        <f t="shared" si="127"/>
        <v>0.17</v>
      </c>
      <c r="P270" s="37">
        <f t="shared" si="127"/>
        <v>0.43</v>
      </c>
    </row>
    <row r="271" spans="4:16" x14ac:dyDescent="0.25">
      <c r="D271" s="37" t="s">
        <v>86</v>
      </c>
      <c r="E271" s="37" t="str">
        <f t="shared" si="127"/>
        <v>Moderate/High</v>
      </c>
      <c r="F271" s="37" t="str">
        <f t="shared" si="127"/>
        <v>Spring</v>
      </c>
      <c r="G271" s="37">
        <f t="shared" si="127"/>
        <v>-0.12</v>
      </c>
      <c r="H271" s="37">
        <f t="shared" si="127"/>
        <v>-0.19</v>
      </c>
      <c r="I271" s="37">
        <f t="shared" si="127"/>
        <v>0.41</v>
      </c>
      <c r="J271" s="37">
        <f t="shared" si="127"/>
        <v>0.09</v>
      </c>
      <c r="K271" s="37">
        <f t="shared" si="127"/>
        <v>0.41</v>
      </c>
      <c r="L271" s="37">
        <f t="shared" si="127"/>
        <v>-0.19</v>
      </c>
      <c r="M271" s="37">
        <f t="shared" si="127"/>
        <v>7.0000000000000007E-2</v>
      </c>
      <c r="N271" s="37">
        <f t="shared" si="127"/>
        <v>1.07</v>
      </c>
      <c r="O271" s="37">
        <f t="shared" si="127"/>
        <v>-0.08</v>
      </c>
      <c r="P271" s="37">
        <f t="shared" si="127"/>
        <v>0</v>
      </c>
    </row>
    <row r="272" spans="4:16" x14ac:dyDescent="0.25">
      <c r="D272" s="37" t="s">
        <v>86</v>
      </c>
      <c r="E272" s="37" t="str">
        <f t="shared" si="127"/>
        <v>Moderate/High</v>
      </c>
      <c r="F272" s="37" t="str">
        <f t="shared" si="127"/>
        <v>Summer</v>
      </c>
      <c r="G272" s="37">
        <f t="shared" si="127"/>
        <v>0.65</v>
      </c>
      <c r="H272" s="37">
        <f t="shared" si="127"/>
        <v>0.19</v>
      </c>
      <c r="I272" s="37">
        <f t="shared" si="127"/>
        <v>0.65</v>
      </c>
      <c r="J272" s="37">
        <f t="shared" si="127"/>
        <v>0.51</v>
      </c>
      <c r="K272" s="37">
        <f t="shared" si="127"/>
        <v>0.18</v>
      </c>
      <c r="L272" s="37">
        <f t="shared" si="127"/>
        <v>0.63</v>
      </c>
      <c r="M272" s="37">
        <f t="shared" si="127"/>
        <v>1.3</v>
      </c>
      <c r="N272" s="37">
        <f t="shared" si="127"/>
        <v>0.48</v>
      </c>
      <c r="O272" s="37">
        <f t="shared" si="127"/>
        <v>1.1200000000000001</v>
      </c>
      <c r="P272" s="37">
        <f t="shared" si="127"/>
        <v>0.38</v>
      </c>
    </row>
    <row r="273" spans="4:16" x14ac:dyDescent="0.25">
      <c r="D273" s="37" t="s">
        <v>86</v>
      </c>
      <c r="E273" s="37" t="str">
        <f t="shared" si="127"/>
        <v>Moderate/High</v>
      </c>
      <c r="F273" s="37" t="str">
        <f t="shared" si="127"/>
        <v>Autumn</v>
      </c>
      <c r="G273" s="37">
        <f t="shared" si="127"/>
        <v>0.7</v>
      </c>
      <c r="H273" s="37">
        <f t="shared" si="127"/>
        <v>0.13</v>
      </c>
      <c r="I273" s="37">
        <f t="shared" si="127"/>
        <v>0.52</v>
      </c>
      <c r="J273" s="37">
        <f t="shared" si="127"/>
        <v>0.34</v>
      </c>
      <c r="K273" s="37">
        <f t="shared" si="127"/>
        <v>0.02</v>
      </c>
      <c r="L273" s="37">
        <f t="shared" si="127"/>
        <v>0.04</v>
      </c>
      <c r="M273" s="37">
        <f t="shared" si="127"/>
        <v>0.77</v>
      </c>
      <c r="N273" s="37">
        <f t="shared" si="127"/>
        <v>0.42</v>
      </c>
      <c r="O273" s="37">
        <f t="shared" si="127"/>
        <v>0.12</v>
      </c>
      <c r="P273" s="37">
        <f t="shared" si="127"/>
        <v>0.74</v>
      </c>
    </row>
    <row r="274" spans="4:16" x14ac:dyDescent="0.25">
      <c r="D274" s="37" t="s">
        <v>86</v>
      </c>
      <c r="E274" s="37" t="str">
        <f t="shared" si="127"/>
        <v>Moderate/High</v>
      </c>
      <c r="F274" s="37" t="str">
        <f t="shared" si="127"/>
        <v>Winter</v>
      </c>
      <c r="G274" s="37">
        <f t="shared" si="127"/>
        <v>0.32</v>
      </c>
      <c r="H274" s="37">
        <f t="shared" si="127"/>
        <v>-0.06</v>
      </c>
      <c r="I274" s="37">
        <f t="shared" si="127"/>
        <v>0.25</v>
      </c>
      <c r="J274" s="37">
        <f t="shared" si="127"/>
        <v>0.19</v>
      </c>
      <c r="K274" s="37">
        <f t="shared" si="127"/>
        <v>-0.1</v>
      </c>
      <c r="L274" s="37">
        <f t="shared" si="127"/>
        <v>-0.02</v>
      </c>
      <c r="M274" s="37">
        <f t="shared" si="127"/>
        <v>0.02</v>
      </c>
      <c r="N274" s="37">
        <f t="shared" si="127"/>
        <v>0.23</v>
      </c>
      <c r="O274" s="37">
        <f t="shared" si="127"/>
        <v>-0.13</v>
      </c>
      <c r="P274" s="37">
        <f t="shared" si="127"/>
        <v>0</v>
      </c>
    </row>
    <row r="275" spans="4:16" x14ac:dyDescent="0.25">
      <c r="D275" s="37" t="s">
        <v>86</v>
      </c>
      <c r="E275" s="37" t="str">
        <f t="shared" si="127"/>
        <v>Moderate/Low</v>
      </c>
      <c r="F275" s="37" t="str">
        <f t="shared" si="127"/>
        <v>Spring</v>
      </c>
      <c r="G275" s="37">
        <f t="shared" si="127"/>
        <v>0.62</v>
      </c>
      <c r="H275" s="37">
        <f t="shared" si="127"/>
        <v>-0.19</v>
      </c>
      <c r="I275" s="37">
        <f t="shared" si="127"/>
        <v>0.37</v>
      </c>
      <c r="J275" s="37">
        <f t="shared" si="127"/>
        <v>0.41</v>
      </c>
      <c r="K275" s="37">
        <f t="shared" si="127"/>
        <v>0.06</v>
      </c>
      <c r="L275" s="37">
        <f t="shared" si="127"/>
        <v>-0.02</v>
      </c>
      <c r="M275" s="37">
        <f t="shared" si="127"/>
        <v>0.47</v>
      </c>
      <c r="N275" s="37">
        <f t="shared" si="127"/>
        <v>0.44</v>
      </c>
      <c r="O275" s="37">
        <f t="shared" si="127"/>
        <v>0.3</v>
      </c>
      <c r="P275" s="37">
        <f t="shared" si="127"/>
        <v>0.13</v>
      </c>
    </row>
    <row r="276" spans="4:16" x14ac:dyDescent="0.25">
      <c r="D276" s="37" t="s">
        <v>86</v>
      </c>
      <c r="E276" s="37" t="str">
        <f t="shared" si="127"/>
        <v>Moderate/Low</v>
      </c>
      <c r="F276" s="37" t="str">
        <f t="shared" si="127"/>
        <v>Summer</v>
      </c>
      <c r="G276" s="37">
        <f t="shared" si="127"/>
        <v>0.05</v>
      </c>
      <c r="H276" s="37">
        <f t="shared" ref="H276:P276" si="128">H211</f>
        <v>0.19</v>
      </c>
      <c r="I276" s="37">
        <f t="shared" si="128"/>
        <v>0.31</v>
      </c>
      <c r="J276" s="37">
        <f t="shared" si="128"/>
        <v>0.54</v>
      </c>
      <c r="K276" s="37">
        <f t="shared" si="128"/>
        <v>0.53</v>
      </c>
      <c r="L276" s="37">
        <f t="shared" si="128"/>
        <v>0.15</v>
      </c>
      <c r="M276" s="37">
        <f t="shared" si="128"/>
        <v>0.28000000000000003</v>
      </c>
      <c r="N276" s="37">
        <f t="shared" si="128"/>
        <v>0.56999999999999995</v>
      </c>
      <c r="O276" s="37">
        <f t="shared" si="128"/>
        <v>0.42</v>
      </c>
      <c r="P276" s="37">
        <f t="shared" si="128"/>
        <v>0.4</v>
      </c>
    </row>
    <row r="277" spans="4:16" x14ac:dyDescent="0.25">
      <c r="D277" s="37" t="s">
        <v>86</v>
      </c>
      <c r="E277" s="37" t="str">
        <f t="shared" si="127"/>
        <v>Moderate/Low</v>
      </c>
      <c r="F277" s="37" t="str">
        <f t="shared" si="127"/>
        <v>Autumn</v>
      </c>
      <c r="G277" s="37">
        <f t="shared" ref="G277:P277" si="129">G212</f>
        <v>0.33</v>
      </c>
      <c r="H277" s="37">
        <f t="shared" si="129"/>
        <v>0.13</v>
      </c>
      <c r="I277" s="37">
        <f t="shared" si="129"/>
        <v>0.39</v>
      </c>
      <c r="J277" s="37">
        <f t="shared" si="129"/>
        <v>0.36</v>
      </c>
      <c r="K277" s="37">
        <f t="shared" si="129"/>
        <v>0.26</v>
      </c>
      <c r="L277" s="37">
        <f t="shared" si="129"/>
        <v>0.11</v>
      </c>
      <c r="M277" s="37">
        <f t="shared" si="129"/>
        <v>0.4</v>
      </c>
      <c r="N277" s="37">
        <f t="shared" si="129"/>
        <v>0.44</v>
      </c>
      <c r="O277" s="37">
        <f t="shared" si="129"/>
        <v>0.37</v>
      </c>
      <c r="P277" s="37">
        <f t="shared" si="129"/>
        <v>-0.01</v>
      </c>
    </row>
    <row r="278" spans="4:16" x14ac:dyDescent="0.25">
      <c r="D278" s="37" t="s">
        <v>86</v>
      </c>
      <c r="E278" s="37" t="str">
        <f t="shared" si="127"/>
        <v>Moderate/Low</v>
      </c>
      <c r="F278" s="37" t="str">
        <f t="shared" si="127"/>
        <v>Winter</v>
      </c>
      <c r="G278" s="37">
        <f t="shared" ref="G278:P278" si="130">G213</f>
        <v>0.61</v>
      </c>
      <c r="H278" s="37">
        <f t="shared" si="130"/>
        <v>-0.06</v>
      </c>
      <c r="I278" s="37">
        <f t="shared" si="130"/>
        <v>0.21</v>
      </c>
      <c r="J278" s="37">
        <f t="shared" si="130"/>
        <v>0.18</v>
      </c>
      <c r="K278" s="37">
        <f t="shared" si="130"/>
        <v>0.12</v>
      </c>
      <c r="L278" s="37">
        <f t="shared" si="130"/>
        <v>0.06</v>
      </c>
      <c r="M278" s="37">
        <f t="shared" si="130"/>
        <v>0.28999999999999998</v>
      </c>
      <c r="N278" s="37">
        <f t="shared" si="130"/>
        <v>0.41</v>
      </c>
      <c r="O278" s="37">
        <f t="shared" si="130"/>
        <v>0.41</v>
      </c>
      <c r="P278" s="37">
        <f t="shared" si="130"/>
        <v>-0.15</v>
      </c>
    </row>
    <row r="279" spans="4:16" x14ac:dyDescent="0.25">
      <c r="D279" s="37" t="s">
        <v>86</v>
      </c>
      <c r="E279" s="37" t="str">
        <f t="shared" si="127"/>
        <v>Low</v>
      </c>
      <c r="F279" s="37" t="str">
        <f t="shared" si="127"/>
        <v>Spring</v>
      </c>
      <c r="G279" s="37">
        <f t="shared" ref="G279:P279" si="131">G214</f>
        <v>-0.2</v>
      </c>
      <c r="H279" s="37">
        <f t="shared" si="131"/>
        <v>0.02</v>
      </c>
      <c r="I279" s="37">
        <f t="shared" si="131"/>
        <v>0.24</v>
      </c>
      <c r="J279" s="37">
        <f t="shared" si="131"/>
        <v>0.3</v>
      </c>
      <c r="K279" s="37">
        <f t="shared" si="131"/>
        <v>0.23</v>
      </c>
      <c r="L279" s="37">
        <f t="shared" si="131"/>
        <v>-0.05</v>
      </c>
      <c r="M279" s="37">
        <f t="shared" si="131"/>
        <v>0.34</v>
      </c>
      <c r="N279" s="37">
        <f t="shared" si="131"/>
        <v>0.3</v>
      </c>
      <c r="O279" s="37">
        <f t="shared" si="131"/>
        <v>0.56999999999999995</v>
      </c>
      <c r="P279" s="37">
        <f t="shared" si="131"/>
        <v>0.52</v>
      </c>
    </row>
    <row r="280" spans="4:16" x14ac:dyDescent="0.25">
      <c r="D280" s="37" t="s">
        <v>86</v>
      </c>
      <c r="E280" s="37" t="str">
        <f t="shared" si="127"/>
        <v>Low</v>
      </c>
      <c r="F280" s="37" t="str">
        <f t="shared" si="127"/>
        <v>Summer</v>
      </c>
      <c r="G280" s="37">
        <f t="shared" ref="G280:P280" si="132">G215</f>
        <v>0.62</v>
      </c>
      <c r="H280" s="37">
        <f t="shared" si="132"/>
        <v>0.21</v>
      </c>
      <c r="I280" s="37">
        <f t="shared" si="132"/>
        <v>0.25</v>
      </c>
      <c r="J280" s="37">
        <f t="shared" si="132"/>
        <v>0.32</v>
      </c>
      <c r="K280" s="37">
        <f t="shared" si="132"/>
        <v>0.47</v>
      </c>
      <c r="L280" s="37">
        <f t="shared" si="132"/>
        <v>0.31</v>
      </c>
      <c r="M280" s="37">
        <f t="shared" si="132"/>
        <v>0.14000000000000001</v>
      </c>
      <c r="N280" s="37">
        <f t="shared" si="132"/>
        <v>0.4</v>
      </c>
      <c r="O280" s="37">
        <f t="shared" si="132"/>
        <v>0.26</v>
      </c>
      <c r="P280" s="37">
        <f t="shared" si="132"/>
        <v>0.43</v>
      </c>
    </row>
    <row r="281" spans="4:16" x14ac:dyDescent="0.25">
      <c r="D281" s="37" t="s">
        <v>86</v>
      </c>
      <c r="E281" s="37" t="str">
        <f t="shared" si="127"/>
        <v>Low</v>
      </c>
      <c r="F281" s="37" t="str">
        <f t="shared" si="127"/>
        <v>Autumn</v>
      </c>
      <c r="G281" s="37">
        <f t="shared" ref="G281:P281" si="133">G216</f>
        <v>0.4</v>
      </c>
      <c r="H281" s="37">
        <f t="shared" si="133"/>
        <v>0.13</v>
      </c>
      <c r="I281" s="37">
        <f t="shared" si="133"/>
        <v>0.12</v>
      </c>
      <c r="J281" s="37">
        <f t="shared" si="133"/>
        <v>0.27</v>
      </c>
      <c r="K281" s="37">
        <f t="shared" si="133"/>
        <v>0.3</v>
      </c>
      <c r="L281" s="37">
        <f t="shared" si="133"/>
        <v>0.08</v>
      </c>
      <c r="M281" s="37">
        <f t="shared" si="133"/>
        <v>0.13</v>
      </c>
      <c r="N281" s="37">
        <f t="shared" si="133"/>
        <v>0.24</v>
      </c>
      <c r="O281" s="37">
        <f t="shared" si="133"/>
        <v>0.15</v>
      </c>
      <c r="P281" s="37">
        <f t="shared" si="133"/>
        <v>0.21</v>
      </c>
    </row>
    <row r="282" spans="4:16" x14ac:dyDescent="0.25">
      <c r="D282" s="37" t="s">
        <v>86</v>
      </c>
      <c r="E282" s="37" t="str">
        <f t="shared" si="127"/>
        <v>Low</v>
      </c>
      <c r="F282" s="37" t="str">
        <f t="shared" si="127"/>
        <v>Winter</v>
      </c>
      <c r="G282" s="37">
        <f t="shared" ref="G282:P282" si="134">G217</f>
        <v>0.08</v>
      </c>
      <c r="H282" s="37">
        <f t="shared" si="134"/>
        <v>0.04</v>
      </c>
      <c r="I282" s="37">
        <f t="shared" si="134"/>
        <v>0.06</v>
      </c>
      <c r="J282" s="37">
        <f t="shared" si="134"/>
        <v>0.18</v>
      </c>
      <c r="K282" s="37">
        <f t="shared" si="134"/>
        <v>0.11</v>
      </c>
      <c r="L282" s="37">
        <f t="shared" si="134"/>
        <v>-7.0000000000000007E-2</v>
      </c>
      <c r="M282" s="37">
        <f t="shared" si="134"/>
        <v>0.13</v>
      </c>
      <c r="N282" s="37">
        <f t="shared" si="134"/>
        <v>0.16</v>
      </c>
      <c r="O282" s="37">
        <f t="shared" si="134"/>
        <v>0.4</v>
      </c>
      <c r="P282" s="37">
        <f t="shared" si="134"/>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4" t="str" cm="1">
        <f t="array" ref="D288">SourceData_PastureBeef.SourceData_PastureBeef_DryMatterDigestibility_Unit()</f>
        <v>fraction</v>
      </c>
      <c r="M288" s="22"/>
    </row>
    <row r="289" spans="4:13" x14ac:dyDescent="0.25">
      <c r="D289" s="55"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7" t="s">
        <v>8</v>
      </c>
      <c r="E290" s="37" t="s">
        <v>183</v>
      </c>
      <c r="F290" s="37" t="s">
        <v>173</v>
      </c>
      <c r="G290" s="37" t="s">
        <v>174</v>
      </c>
      <c r="H290" s="37" t="s">
        <v>175</v>
      </c>
      <c r="I290" s="37" t="s">
        <v>176</v>
      </c>
      <c r="M290" s="22"/>
    </row>
    <row r="291" spans="4:13" x14ac:dyDescent="0.25">
      <c r="D291" s="37" t="str" cm="1">
        <f t="array" ref="D291">Common_InputFunctions.Utility_DisplayArrayInTable(SourceData_PastureBeef.SourceData_PastureBeef_DryMatterDigestibility_Data(), Table_SourceData_PastureBeef_DryMatterDigestibility[[#Headers],[State]], 0)</f>
        <v>ACT</v>
      </c>
      <c r="E291" s="37" t="str" cm="1">
        <f t="array" ref="E291">Common_InputFunctions.Utility_DisplayArrayInTable(SourceData_PastureBeef.SourceData_PastureBeef_DryMatterDigestibility_Data(), Table_SourceData_PastureBeef_DryMatterDigestibility[[#Headers],[State]], 0)</f>
        <v>n/a</v>
      </c>
      <c r="F291" s="37" cm="1">
        <f t="array" ref="F291">Common_InputFunctions.Utility_DisplayArrayInTable(SourceData_PastureBeef.SourceData_PastureBeef_DryMatterDigestibility_Data(), Table_SourceData_PastureBeef_DryMatterDigestibility[[#Headers],[State]], 0)</f>
        <v>0.55000000000000004</v>
      </c>
      <c r="G291" s="37" cm="1">
        <f t="array" ref="G291">Common_InputFunctions.Utility_DisplayArrayInTable(SourceData_PastureBeef.SourceData_PastureBeef_DryMatterDigestibility_Data(), Table_SourceData_PastureBeef_DryMatterDigestibility[[#Headers],[State]], 0)</f>
        <v>0.65</v>
      </c>
      <c r="H291" s="37" cm="1">
        <f t="array" ref="H291">Common_InputFunctions.Utility_DisplayArrayInTable(SourceData_PastureBeef.SourceData_PastureBeef_DryMatterDigestibility_Data(), Table_SourceData_PastureBeef_DryMatterDigestibility[[#Headers],[State]], 0)</f>
        <v>0.6</v>
      </c>
      <c r="I291" s="37"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7" t="str" cm="1">
        <f t="array" ref="E292">Common_InputFunctions.Utility_DisplayArrayInTable(SourceData_PastureBeef.SourceData_PastureBeef_DryMatterDigestibility_Data(), Table_SourceData_PastureBeef_DryMatterDigestibility[[#Headers],[State]], 0)</f>
        <v>n/a</v>
      </c>
      <c r="F292" s="37" cm="1">
        <f t="array" ref="F292">Common_InputFunctions.Utility_DisplayArrayInTable(SourceData_PastureBeef.SourceData_PastureBeef_DryMatterDigestibility_Data(), Table_SourceData_PastureBeef_DryMatterDigestibility[[#Headers],[State]], 0)</f>
        <v>0.55000000000000004</v>
      </c>
      <c r="G292" s="37" cm="1">
        <f t="array" ref="G292">Common_InputFunctions.Utility_DisplayArrayInTable(SourceData_PastureBeef.SourceData_PastureBeef_DryMatterDigestibility_Data(), Table_SourceData_PastureBeef_DryMatterDigestibility[[#Headers],[State]], 0)</f>
        <v>0.65</v>
      </c>
      <c r="H292" s="37" cm="1">
        <f t="array" ref="H292">Common_InputFunctions.Utility_DisplayArrayInTable(SourceData_PastureBeef.SourceData_PastureBeef_DryMatterDigestibility_Data(), Table_SourceData_PastureBeef_DryMatterDigestibility[[#Headers],[State]], 0)</f>
        <v>0.6</v>
      </c>
      <c r="I292" s="37"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7" t="str" cm="1">
        <f t="array" ref="E293">Common_InputFunctions.Utility_DisplayArrayInTable(SourceData_PastureBeef.SourceData_PastureBeef_DryMatterDigestibility_Data(), Table_SourceData_PastureBeef_DryMatterDigestibility[[#Headers],[State]], 0)</f>
        <v>Alice Springs</v>
      </c>
      <c r="F293" s="37" cm="1">
        <f t="array" ref="F293">Common_InputFunctions.Utility_DisplayArrayInTable(SourceData_PastureBeef.SourceData_PastureBeef_DryMatterDigestibility_Data(), Table_SourceData_PastureBeef_DryMatterDigestibility[[#Headers],[State]], 0)</f>
        <v>0.55000000000000004</v>
      </c>
      <c r="G293" s="37" cm="1">
        <f t="array" ref="G293">Common_InputFunctions.Utility_DisplayArrayInTable(SourceData_PastureBeef.SourceData_PastureBeef_DryMatterDigestibility_Data(), Table_SourceData_PastureBeef_DryMatterDigestibility[[#Headers],[State]], 0)</f>
        <v>0.61</v>
      </c>
      <c r="H293" s="37" cm="1">
        <f t="array" ref="H293">Common_InputFunctions.Utility_DisplayArrayInTable(SourceData_PastureBeef.SourceData_PastureBeef_DryMatterDigestibility_Data(), Table_SourceData_PastureBeef_DryMatterDigestibility[[#Headers],[State]], 0)</f>
        <v>0.56999999999999995</v>
      </c>
      <c r="I293" s="37"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7" t="str" cm="1">
        <f t="array" ref="E294">Common_InputFunctions.Utility_DisplayArrayInTable(SourceData_PastureBeef.SourceData_PastureBeef_DryMatterDigestibility_Data(), Table_SourceData_PastureBeef_DryMatterDigestibility[[#Headers],[State]], 0)</f>
        <v>Barkly</v>
      </c>
      <c r="F294" s="37" cm="1">
        <f t="array" ref="F294">Common_InputFunctions.Utility_DisplayArrayInTable(SourceData_PastureBeef.SourceData_PastureBeef_DryMatterDigestibility_Data(), Table_SourceData_PastureBeef_DryMatterDigestibility[[#Headers],[State]], 0)</f>
        <v>0.55000000000000004</v>
      </c>
      <c r="G294" s="37" cm="1">
        <f t="array" ref="G294">Common_InputFunctions.Utility_DisplayArrayInTable(SourceData_PastureBeef.SourceData_PastureBeef_DryMatterDigestibility_Data(), Table_SourceData_PastureBeef_DryMatterDigestibility[[#Headers],[State]], 0)</f>
        <v>0.61</v>
      </c>
      <c r="H294" s="37" cm="1">
        <f t="array" ref="H294">Common_InputFunctions.Utility_DisplayArrayInTable(SourceData_PastureBeef.SourceData_PastureBeef_DryMatterDigestibility_Data(), Table_SourceData_PastureBeef_DryMatterDigestibility[[#Headers],[State]], 0)</f>
        <v>0.56999999999999995</v>
      </c>
      <c r="I294" s="37"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7" t="str" cm="1">
        <f t="array" ref="E295">Common_InputFunctions.Utility_DisplayArrayInTable(SourceData_PastureBeef.SourceData_PastureBeef_DryMatterDigestibility_Data(), Table_SourceData_PastureBeef_DryMatterDigestibility[[#Headers],[State]], 0)</f>
        <v>Northern</v>
      </c>
      <c r="F295" s="37" cm="1">
        <f t="array" ref="F295">Common_InputFunctions.Utility_DisplayArrayInTable(SourceData_PastureBeef.SourceData_PastureBeef_DryMatterDigestibility_Data(), Table_SourceData_PastureBeef_DryMatterDigestibility[[#Headers],[State]], 0)</f>
        <v>0.55000000000000004</v>
      </c>
      <c r="G295" s="37" cm="1">
        <f t="array" ref="G295">Common_InputFunctions.Utility_DisplayArrayInTable(SourceData_PastureBeef.SourceData_PastureBeef_DryMatterDigestibility_Data(), Table_SourceData_PastureBeef_DryMatterDigestibility[[#Headers],[State]], 0)</f>
        <v>0.61</v>
      </c>
      <c r="H295" s="37" cm="1">
        <f t="array" ref="H295">Common_InputFunctions.Utility_DisplayArrayInTable(SourceData_PastureBeef.SourceData_PastureBeef_DryMatterDigestibility_Data(), Table_SourceData_PastureBeef_DryMatterDigestibility[[#Headers],[State]], 0)</f>
        <v>0.56999999999999995</v>
      </c>
      <c r="I295" s="37"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7" t="str" cm="1">
        <f t="array" ref="E296">Common_InputFunctions.Utility_DisplayArrayInTable(SourceData_PastureBeef.SourceData_PastureBeef_DryMatterDigestibility_Data(), Table_SourceData_PastureBeef_DryMatterDigestibility[[#Headers],[State]], 0)</f>
        <v>High</v>
      </c>
      <c r="F296" s="37" cm="1">
        <f t="array" ref="F296">Common_InputFunctions.Utility_DisplayArrayInTable(SourceData_PastureBeef.SourceData_PastureBeef_DryMatterDigestibility_Data(), Table_SourceData_PastureBeef_DryMatterDigestibility[[#Headers],[State]], 0)</f>
        <v>0.53</v>
      </c>
      <c r="G296" s="37" cm="1">
        <f t="array" ref="G296">Common_InputFunctions.Utility_DisplayArrayInTable(SourceData_PastureBeef.SourceData_PastureBeef_DryMatterDigestibility_Data(), Table_SourceData_PastureBeef_DryMatterDigestibility[[#Headers],[State]], 0)</f>
        <v>0.56999999999999995</v>
      </c>
      <c r="H296" s="37" cm="1">
        <f t="array" ref="H296">Common_InputFunctions.Utility_DisplayArrayInTable(SourceData_PastureBeef.SourceData_PastureBeef_DryMatterDigestibility_Data(), Table_SourceData_PastureBeef_DryMatterDigestibility[[#Headers],[State]], 0)</f>
        <v>0.55000000000000004</v>
      </c>
      <c r="I296" s="37"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7" t="str" cm="1">
        <f t="array" ref="E297">Common_InputFunctions.Utility_DisplayArrayInTable(SourceData_PastureBeef.SourceData_PastureBeef_DryMatterDigestibility_Data(), Table_SourceData_PastureBeef_DryMatterDigestibility[[#Headers],[State]], 0)</f>
        <v>Moderate/High</v>
      </c>
      <c r="F297" s="37" cm="1">
        <f t="array" ref="F297">Common_InputFunctions.Utility_DisplayArrayInTable(SourceData_PastureBeef.SourceData_PastureBeef_DryMatterDigestibility_Data(), Table_SourceData_PastureBeef_DryMatterDigestibility[[#Headers],[State]], 0)</f>
        <v>0.53</v>
      </c>
      <c r="G297" s="37" cm="1">
        <f t="array" ref="G297">Common_InputFunctions.Utility_DisplayArrayInTable(SourceData_PastureBeef.SourceData_PastureBeef_DryMatterDigestibility_Data(), Table_SourceData_PastureBeef_DryMatterDigestibility[[#Headers],[State]], 0)</f>
        <v>0.56999999999999995</v>
      </c>
      <c r="H297" s="37" cm="1">
        <f t="array" ref="H297">Common_InputFunctions.Utility_DisplayArrayInTable(SourceData_PastureBeef.SourceData_PastureBeef_DryMatterDigestibility_Data(), Table_SourceData_PastureBeef_DryMatterDigestibility[[#Headers],[State]], 0)</f>
        <v>0.55000000000000004</v>
      </c>
      <c r="I297" s="37"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7" t="str" cm="1">
        <f t="array" ref="E298">Common_InputFunctions.Utility_DisplayArrayInTable(SourceData_PastureBeef.SourceData_PastureBeef_DryMatterDigestibility_Data(), Table_SourceData_PastureBeef_DryMatterDigestibility[[#Headers],[State]], 0)</f>
        <v>Moderate/Low</v>
      </c>
      <c r="F298" s="37" cm="1">
        <f t="array" ref="F298">Common_InputFunctions.Utility_DisplayArrayInTable(SourceData_PastureBeef.SourceData_PastureBeef_DryMatterDigestibility_Data(), Table_SourceData_PastureBeef_DryMatterDigestibility[[#Headers],[State]], 0)</f>
        <v>0.53</v>
      </c>
      <c r="G298" s="37" cm="1">
        <f t="array" ref="G298">Common_InputFunctions.Utility_DisplayArrayInTable(SourceData_PastureBeef.SourceData_PastureBeef_DryMatterDigestibility_Data(), Table_SourceData_PastureBeef_DryMatterDigestibility[[#Headers],[State]], 0)</f>
        <v>0.56999999999999995</v>
      </c>
      <c r="H298" s="37" cm="1">
        <f t="array" ref="H298">Common_InputFunctions.Utility_DisplayArrayInTable(SourceData_PastureBeef.SourceData_PastureBeef_DryMatterDigestibility_Data(), Table_SourceData_PastureBeef_DryMatterDigestibility[[#Headers],[State]], 0)</f>
        <v>0.55000000000000004</v>
      </c>
      <c r="I298" s="37"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7" t="str" cm="1">
        <f t="array" ref="E299">Common_InputFunctions.Utility_DisplayArrayInTable(SourceData_PastureBeef.SourceData_PastureBeef_DryMatterDigestibility_Data(), Table_SourceData_PastureBeef_DryMatterDigestibility[[#Headers],[State]], 0)</f>
        <v>Low</v>
      </c>
      <c r="F299" s="37" cm="1">
        <f t="array" ref="F299">Common_InputFunctions.Utility_DisplayArrayInTable(SourceData_PastureBeef.SourceData_PastureBeef_DryMatterDigestibility_Data(), Table_SourceData_PastureBeef_DryMatterDigestibility[[#Headers],[State]], 0)</f>
        <v>0.53</v>
      </c>
      <c r="G299" s="37" cm="1">
        <f t="array" ref="G299">Common_InputFunctions.Utility_DisplayArrayInTable(SourceData_PastureBeef.SourceData_PastureBeef_DryMatterDigestibility_Data(), Table_SourceData_PastureBeef_DryMatterDigestibility[[#Headers],[State]], 0)</f>
        <v>0.56999999999999995</v>
      </c>
      <c r="H299" s="37" cm="1">
        <f t="array" ref="H299">Common_InputFunctions.Utility_DisplayArrayInTable(SourceData_PastureBeef.SourceData_PastureBeef_DryMatterDigestibility_Data(), Table_SourceData_PastureBeef_DryMatterDigestibility[[#Headers],[State]], 0)</f>
        <v>0.55000000000000004</v>
      </c>
      <c r="I299" s="37"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7" t="str" cm="1">
        <f t="array" ref="E300">Common_InputFunctions.Utility_DisplayArrayInTable(SourceData_PastureBeef.SourceData_PastureBeef_DryMatterDigestibility_Data(), Table_SourceData_PastureBeef_DryMatterDigestibility[[#Headers],[State]], 0)</f>
        <v>n/a</v>
      </c>
      <c r="F300" s="37" cm="1">
        <f t="array" ref="F300">Common_InputFunctions.Utility_DisplayArrayInTable(SourceData_PastureBeef.SourceData_PastureBeef_DryMatterDigestibility_Data(), Table_SourceData_PastureBeef_DryMatterDigestibility[[#Headers],[State]], 0)</f>
        <v>0.7</v>
      </c>
      <c r="G300" s="37" cm="1">
        <f t="array" ref="G300">Common_InputFunctions.Utility_DisplayArrayInTable(SourceData_PastureBeef.SourceData_PastureBeef_DryMatterDigestibility_Data(), Table_SourceData_PastureBeef_DryMatterDigestibility[[#Headers],[State]], 0)</f>
        <v>0.55000000000000004</v>
      </c>
      <c r="H300" s="37" cm="1">
        <f t="array" ref="H300">Common_InputFunctions.Utility_DisplayArrayInTable(SourceData_PastureBeef.SourceData_PastureBeef_DryMatterDigestibility_Data(), Table_SourceData_PastureBeef_DryMatterDigestibility[[#Headers],[State]], 0)</f>
        <v>0.55000000000000004</v>
      </c>
      <c r="I300" s="37"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7" t="str" cm="1">
        <f t="array" ref="E301">Common_InputFunctions.Utility_DisplayArrayInTable(SourceData_PastureBeef.SourceData_PastureBeef_DryMatterDigestibility_Data(), Table_SourceData_PastureBeef_DryMatterDigestibility[[#Headers],[State]], 0)</f>
        <v>n/a</v>
      </c>
      <c r="F301" s="37" cm="1">
        <f t="array" ref="F301">Common_InputFunctions.Utility_DisplayArrayInTable(SourceData_PastureBeef.SourceData_PastureBeef_DryMatterDigestibility_Data(), Table_SourceData_PastureBeef_DryMatterDigestibility[[#Headers],[State]], 0)</f>
        <v>0.75</v>
      </c>
      <c r="G301" s="37" cm="1">
        <f t="array" ref="G301">Common_InputFunctions.Utility_DisplayArrayInTable(SourceData_PastureBeef.SourceData_PastureBeef_DryMatterDigestibility_Data(), Table_SourceData_PastureBeef_DryMatterDigestibility[[#Headers],[State]], 0)</f>
        <v>0.6</v>
      </c>
      <c r="H301" s="37" cm="1">
        <f t="array" ref="H301">Common_InputFunctions.Utility_DisplayArrayInTable(SourceData_PastureBeef.SourceData_PastureBeef_DryMatterDigestibility_Data(), Table_SourceData_PastureBeef_DryMatterDigestibility[[#Headers],[State]], 0)</f>
        <v>0.7</v>
      </c>
      <c r="I301" s="37"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7" t="str" cm="1">
        <f t="array" ref="E302">Common_InputFunctions.Utility_DisplayArrayInTable(SourceData_PastureBeef.SourceData_PastureBeef_DryMatterDigestibility_Data(), Table_SourceData_PastureBeef_DryMatterDigestibility[[#Headers],[State]], 0)</f>
        <v>n/a</v>
      </c>
      <c r="F302" s="37" cm="1">
        <f t="array" ref="F302">Common_InputFunctions.Utility_DisplayArrayInTable(SourceData_PastureBeef.SourceData_PastureBeef_DryMatterDigestibility_Data(), Table_SourceData_PastureBeef_DryMatterDigestibility[[#Headers],[State]], 0)</f>
        <v>0.8</v>
      </c>
      <c r="G302" s="37" cm="1">
        <f t="array" ref="G302">Common_InputFunctions.Utility_DisplayArrayInTable(SourceData_PastureBeef.SourceData_PastureBeef_DryMatterDigestibility_Data(), Table_SourceData_PastureBeef_DryMatterDigestibility[[#Headers],[State]], 0)</f>
        <v>0.55000000000000004</v>
      </c>
      <c r="H302" s="37" cm="1">
        <f t="array" ref="H302">Common_InputFunctions.Utility_DisplayArrayInTable(SourceData_PastureBeef.SourceData_PastureBeef_DryMatterDigestibility_Data(), Table_SourceData_PastureBeef_DryMatterDigestibility[[#Headers],[State]], 0)</f>
        <v>0.6</v>
      </c>
      <c r="I302" s="37"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7" t="str" cm="1">
        <f t="array" ref="E303">Common_InputFunctions.Utility_DisplayArrayInTable(SourceData_PastureBeef.SourceData_PastureBeef_DryMatterDigestibility_Data(), Table_SourceData_PastureBeef_DryMatterDigestibility[[#Headers],[State]], 0)</f>
        <v>South West</v>
      </c>
      <c r="F303" s="37" cm="1">
        <f t="array" ref="F303">Common_InputFunctions.Utility_DisplayArrayInTable(SourceData_PastureBeef.SourceData_PastureBeef_DryMatterDigestibility_Data(), Table_SourceData_PastureBeef_DryMatterDigestibility[[#Headers],[State]], 0)</f>
        <v>0.8</v>
      </c>
      <c r="G303" s="37" cm="1">
        <f t="array" ref="G303">Common_InputFunctions.Utility_DisplayArrayInTable(SourceData_PastureBeef.SourceData_PastureBeef_DryMatterDigestibility_Data(), Table_SourceData_PastureBeef_DryMatterDigestibility[[#Headers],[State]], 0)</f>
        <v>0.57999999999999996</v>
      </c>
      <c r="H303" s="37" cm="1">
        <f t="array" ref="H303">Common_InputFunctions.Utility_DisplayArrayInTable(SourceData_PastureBeef.SourceData_PastureBeef_DryMatterDigestibility_Data(), Table_SourceData_PastureBeef_DryMatterDigestibility[[#Headers],[State]], 0)</f>
        <v>0.5</v>
      </c>
      <c r="I303" s="37"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7" t="str" cm="1">
        <f t="array" ref="E304">Common_InputFunctions.Utility_DisplayArrayInTable(SourceData_PastureBeef.SourceData_PastureBeef_DryMatterDigestibility_Data(), Table_SourceData_PastureBeef_DryMatterDigestibility[[#Headers],[State]], 0)</f>
        <v>Pilbara</v>
      </c>
      <c r="F304" s="37" cm="1">
        <f t="array" ref="F304">Common_InputFunctions.Utility_DisplayArrayInTable(SourceData_PastureBeef.SourceData_PastureBeef_DryMatterDigestibility_Data(), Table_SourceData_PastureBeef_DryMatterDigestibility[[#Headers],[State]], 0)</f>
        <v>0.4</v>
      </c>
      <c r="G304" s="37" cm="1">
        <f t="array" ref="G304">Common_InputFunctions.Utility_DisplayArrayInTable(SourceData_PastureBeef.SourceData_PastureBeef_DryMatterDigestibility_Data(), Table_SourceData_PastureBeef_DryMatterDigestibility[[#Headers],[State]], 0)</f>
        <v>0.65</v>
      </c>
      <c r="H304" s="37" cm="1">
        <f t="array" ref="H304">Common_InputFunctions.Utility_DisplayArrayInTable(SourceData_PastureBeef.SourceData_PastureBeef_DryMatterDigestibility_Data(), Table_SourceData_PastureBeef_DryMatterDigestibility[[#Headers],[State]], 0)</f>
        <v>0.55000000000000004</v>
      </c>
      <c r="I304" s="37"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7" t="str" cm="1">
        <f t="array" ref="E305">Common_InputFunctions.Utility_DisplayArrayInTable(SourceData_PastureBeef.SourceData_PastureBeef_DryMatterDigestibility_Data(), Table_SourceData_PastureBeef_DryMatterDigestibility[[#Headers],[State]], 0)</f>
        <v>Kimberley</v>
      </c>
      <c r="F305" s="37" cm="1">
        <f t="array" ref="F305">Common_InputFunctions.Utility_DisplayArrayInTable(SourceData_PastureBeef.SourceData_PastureBeef_DryMatterDigestibility_Data(), Table_SourceData_PastureBeef_DryMatterDigestibility[[#Headers],[State]], 0)</f>
        <v>0.4</v>
      </c>
      <c r="G305" s="37" cm="1">
        <f t="array" ref="G305">Common_InputFunctions.Utility_DisplayArrayInTable(SourceData_PastureBeef.SourceData_PastureBeef_DryMatterDigestibility_Data(), Table_SourceData_PastureBeef_DryMatterDigestibility[[#Headers],[State]], 0)</f>
        <v>0.65</v>
      </c>
      <c r="H305" s="37" cm="1">
        <f t="array" ref="H305">Common_InputFunctions.Utility_DisplayArrayInTable(SourceData_PastureBeef.SourceData_PastureBeef_DryMatterDigestibility_Data(), Table_SourceData_PastureBeef_DryMatterDigestibility[[#Headers],[State]], 0)</f>
        <v>0.55000000000000004</v>
      </c>
      <c r="I305" s="37"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4" t="str" cm="1">
        <f t="array" ref="D311">SourceData_PastureBeef.SourceData_PastureBeef_CrudeProteinContent_Unit()</f>
        <v>fraction</v>
      </c>
      <c r="M311" s="22"/>
    </row>
    <row r="312" spans="4:13" x14ac:dyDescent="0.25">
      <c r="D312" s="55"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7" t="s">
        <v>8</v>
      </c>
      <c r="E313" s="37" t="s">
        <v>183</v>
      </c>
      <c r="F313" s="37" t="s">
        <v>173</v>
      </c>
      <c r="G313" s="37" t="s">
        <v>174</v>
      </c>
      <c r="H313" s="37" t="s">
        <v>175</v>
      </c>
      <c r="I313" s="37" t="s">
        <v>176</v>
      </c>
      <c r="M313" s="22"/>
    </row>
    <row r="314" spans="4:13" x14ac:dyDescent="0.25">
      <c r="D314" s="37" t="str" cm="1">
        <f t="array" ref="D314">Common_InputFunctions.Utility_DisplayArrayInTable(SourceData_PastureBeef.SourceData_PastureBeef_CrudeProteinContent_Data(), Table_SourceData_PastureBeef_CrudeProtein[[#Headers],[State]], 0)</f>
        <v>ACT</v>
      </c>
      <c r="E314" s="37" t="str" cm="1">
        <f t="array" ref="E314">Common_InputFunctions.Utility_DisplayArrayInTable(SourceData_PastureBeef.SourceData_PastureBeef_CrudeProteinContent_Data(), Table_SourceData_PastureBeef_CrudeProtein[[#Headers],[State]], 0)</f>
        <v>n/a</v>
      </c>
      <c r="F314" s="37" cm="1">
        <f t="array" ref="F314">Common_InputFunctions.Utility_DisplayArrayInTable(SourceData_PastureBeef.SourceData_PastureBeef_CrudeProteinContent_Data(), Table_SourceData_PastureBeef_CrudeProtein[[#Headers],[State]], 0)</f>
        <v>7.0000000000000007E-2</v>
      </c>
      <c r="G314" s="37" cm="1">
        <f t="array" ref="G314">Common_InputFunctions.Utility_DisplayArrayInTable(SourceData_PastureBeef.SourceData_PastureBeef_CrudeProteinContent_Data(), Table_SourceData_PastureBeef_CrudeProtein[[#Headers],[State]], 0)</f>
        <v>0.13</v>
      </c>
      <c r="H314" s="37" cm="1">
        <f t="array" ref="H314">Common_InputFunctions.Utility_DisplayArrayInTable(SourceData_PastureBeef.SourceData_PastureBeef_CrudeProteinContent_Data(), Table_SourceData_PastureBeef_CrudeProtein[[#Headers],[State]], 0)</f>
        <v>0.1</v>
      </c>
      <c r="I314" s="37" cm="1">
        <f t="array" ref="I314">Common_InputFunctions.Utility_DisplayArrayInTable(SourceData_PastureBeef.SourceData_PastureBeef_CrudeProteinContent_Data(), Table_SourceData_PastureBeef_CrudeProtein[[#Headers],[State]], 0)</f>
        <v>0.06</v>
      </c>
      <c r="M314" s="22"/>
    </row>
    <row r="315" spans="4:13" x14ac:dyDescent="0.25">
      <c r="D315" s="37" t="str" cm="1">
        <f t="array" ref="D315">Common_InputFunctions.Utility_DisplayArrayInTable(SourceData_PastureBeef.SourceData_PastureBeef_CrudeProteinContent_Data(), Table_SourceData_PastureBeef_CrudeProtein[[#Headers],[State]], 0)</f>
        <v>NSW</v>
      </c>
      <c r="E315" s="37" t="str" cm="1">
        <f t="array" ref="E315">Common_InputFunctions.Utility_DisplayArrayInTable(SourceData_PastureBeef.SourceData_PastureBeef_CrudeProteinContent_Data(), Table_SourceData_PastureBeef_CrudeProtein[[#Headers],[State]], 0)</f>
        <v>n/a</v>
      </c>
      <c r="F315" s="37" cm="1">
        <f t="array" ref="F315">Common_InputFunctions.Utility_DisplayArrayInTable(SourceData_PastureBeef.SourceData_PastureBeef_CrudeProteinContent_Data(), Table_SourceData_PastureBeef_CrudeProtein[[#Headers],[State]], 0)</f>
        <v>7.0000000000000007E-2</v>
      </c>
      <c r="G315" s="37" cm="1">
        <f t="array" ref="G315">Common_InputFunctions.Utility_DisplayArrayInTable(SourceData_PastureBeef.SourceData_PastureBeef_CrudeProteinContent_Data(), Table_SourceData_PastureBeef_CrudeProtein[[#Headers],[State]], 0)</f>
        <v>0.13</v>
      </c>
      <c r="H315" s="37" cm="1">
        <f t="array" ref="H315">Common_InputFunctions.Utility_DisplayArrayInTable(SourceData_PastureBeef.SourceData_PastureBeef_CrudeProteinContent_Data(), Table_SourceData_PastureBeef_CrudeProtein[[#Headers],[State]], 0)</f>
        <v>0.1</v>
      </c>
      <c r="I315" s="37" cm="1">
        <f t="array" ref="I315">Common_InputFunctions.Utility_DisplayArrayInTable(SourceData_PastureBeef.SourceData_PastureBeef_CrudeProteinContent_Data(), Table_SourceData_PastureBeef_CrudeProtein[[#Headers],[State]], 0)</f>
        <v>0.06</v>
      </c>
      <c r="M315" s="22"/>
    </row>
    <row r="316" spans="4:13" x14ac:dyDescent="0.25">
      <c r="D316" s="37" t="str" cm="1">
        <f t="array" ref="D316">Common_InputFunctions.Utility_DisplayArrayInTable(SourceData_PastureBeef.SourceData_PastureBeef_CrudeProteinContent_Data(), Table_SourceData_PastureBeef_CrudeProtein[[#Headers],[State]], 0)</f>
        <v>NT</v>
      </c>
      <c r="E316" s="37" t="str" cm="1">
        <f t="array" ref="E316">Common_InputFunctions.Utility_DisplayArrayInTable(SourceData_PastureBeef.SourceData_PastureBeef_CrudeProteinContent_Data(), Table_SourceData_PastureBeef_CrudeProtein[[#Headers],[State]], 0)</f>
        <v>Alice Springs</v>
      </c>
      <c r="F316" s="37" cm="1">
        <f t="array" ref="F316">Common_InputFunctions.Utility_DisplayArrayInTable(SourceData_PastureBeef.SourceData_PastureBeef_CrudeProteinContent_Data(), Table_SourceData_PastureBeef_CrudeProtein[[#Headers],[State]], 0)</f>
        <v>5.8000000000000003E-2</v>
      </c>
      <c r="G316" s="37" cm="1">
        <f t="array" ref="G316">Common_InputFunctions.Utility_DisplayArrayInTable(SourceData_PastureBeef.SourceData_PastureBeef_CrudeProteinContent_Data(), Table_SourceData_PastureBeef_CrudeProtein[[#Headers],[State]], 0)</f>
        <v>9.1999999999999998E-2</v>
      </c>
      <c r="H316" s="37" cm="1">
        <f t="array" ref="H316">Common_InputFunctions.Utility_DisplayArrayInTable(SourceData_PastureBeef.SourceData_PastureBeef_CrudeProteinContent_Data(), Table_SourceData_PastureBeef_CrudeProtein[[#Headers],[State]], 0)</f>
        <v>7.4999999999999997E-2</v>
      </c>
      <c r="I316" s="37"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7" t="str" cm="1">
        <f t="array" ref="D317">Common_InputFunctions.Utility_DisplayArrayInTable(SourceData_PastureBeef.SourceData_PastureBeef_CrudeProteinContent_Data(), Table_SourceData_PastureBeef_CrudeProtein[[#Headers],[State]], 0)</f>
        <v>NT</v>
      </c>
      <c r="E317" s="37" t="str" cm="1">
        <f t="array" ref="E317">Common_InputFunctions.Utility_DisplayArrayInTable(SourceData_PastureBeef.SourceData_PastureBeef_CrudeProteinContent_Data(), Table_SourceData_PastureBeef_CrudeProtein[[#Headers],[State]], 0)</f>
        <v>Barkly</v>
      </c>
      <c r="F317" s="37" cm="1">
        <f t="array" ref="F317">Common_InputFunctions.Utility_DisplayArrayInTable(SourceData_PastureBeef.SourceData_PastureBeef_CrudeProteinContent_Data(), Table_SourceData_PastureBeef_CrudeProtein[[#Headers],[State]], 0)</f>
        <v>5.8000000000000003E-2</v>
      </c>
      <c r="G317" s="37" cm="1">
        <f t="array" ref="G317">Common_InputFunctions.Utility_DisplayArrayInTable(SourceData_PastureBeef.SourceData_PastureBeef_CrudeProteinContent_Data(), Table_SourceData_PastureBeef_CrudeProtein[[#Headers],[State]], 0)</f>
        <v>9.1999999999999998E-2</v>
      </c>
      <c r="H317" s="37" cm="1">
        <f t="array" ref="H317">Common_InputFunctions.Utility_DisplayArrayInTable(SourceData_PastureBeef.SourceData_PastureBeef_CrudeProteinContent_Data(), Table_SourceData_PastureBeef_CrudeProtein[[#Headers],[State]], 0)</f>
        <v>7.4999999999999997E-2</v>
      </c>
      <c r="I317" s="37"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7" t="str" cm="1">
        <f t="array" ref="D318">Common_InputFunctions.Utility_DisplayArrayInTable(SourceData_PastureBeef.SourceData_PastureBeef_CrudeProteinContent_Data(), Table_SourceData_PastureBeef_CrudeProtein[[#Headers],[State]], 0)</f>
        <v>NT</v>
      </c>
      <c r="E318" s="37" t="str" cm="1">
        <f t="array" ref="E318">Common_InputFunctions.Utility_DisplayArrayInTable(SourceData_PastureBeef.SourceData_PastureBeef_CrudeProteinContent_Data(), Table_SourceData_PastureBeef_CrudeProtein[[#Headers],[State]], 0)</f>
        <v>Northern</v>
      </c>
      <c r="F318" s="37" cm="1">
        <f t="array" ref="F318">Common_InputFunctions.Utility_DisplayArrayInTable(SourceData_PastureBeef.SourceData_PastureBeef_CrudeProteinContent_Data(), Table_SourceData_PastureBeef_CrudeProtein[[#Headers],[State]], 0)</f>
        <v>5.8000000000000003E-2</v>
      </c>
      <c r="G318" s="37" cm="1">
        <f t="array" ref="G318">Common_InputFunctions.Utility_DisplayArrayInTable(SourceData_PastureBeef.SourceData_PastureBeef_CrudeProteinContent_Data(), Table_SourceData_PastureBeef_CrudeProtein[[#Headers],[State]], 0)</f>
        <v>9.1999999999999998E-2</v>
      </c>
      <c r="H318" s="37" cm="1">
        <f t="array" ref="H318">Common_InputFunctions.Utility_DisplayArrayInTable(SourceData_PastureBeef.SourceData_PastureBeef_CrudeProteinContent_Data(), Table_SourceData_PastureBeef_CrudeProtein[[#Headers],[State]], 0)</f>
        <v>7.4999999999999997E-2</v>
      </c>
      <c r="I318" s="37"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7" t="str" cm="1">
        <f t="array" ref="D319">Common_InputFunctions.Utility_DisplayArrayInTable(SourceData_PastureBeef.SourceData_PastureBeef_CrudeProteinContent_Data(), Table_SourceData_PastureBeef_CrudeProtein[[#Headers],[State]], 0)</f>
        <v>QLD</v>
      </c>
      <c r="E319" s="37" t="str" cm="1">
        <f t="array" ref="E319">Common_InputFunctions.Utility_DisplayArrayInTable(SourceData_PastureBeef.SourceData_PastureBeef_CrudeProteinContent_Data(), Table_SourceData_PastureBeef_CrudeProtein[[#Headers],[State]], 0)</f>
        <v>High</v>
      </c>
      <c r="F319" s="37" cm="1">
        <f t="array" ref="F319">Common_InputFunctions.Utility_DisplayArrayInTable(SourceData_PastureBeef.SourceData_PastureBeef_CrudeProteinContent_Data(), Table_SourceData_PastureBeef_CrudeProtein[[#Headers],[State]], 0)</f>
        <v>7.1999999999999995E-2</v>
      </c>
      <c r="G319" s="37" cm="1">
        <f t="array" ref="G319">Common_InputFunctions.Utility_DisplayArrayInTable(SourceData_PastureBeef.SourceData_PastureBeef_CrudeProteinContent_Data(), Table_SourceData_PastureBeef_CrudeProtein[[#Headers],[State]], 0)</f>
        <v>9.9000000000000005E-2</v>
      </c>
      <c r="H319" s="37" cm="1">
        <f t="array" ref="H319">Common_InputFunctions.Utility_DisplayArrayInTable(SourceData_PastureBeef.SourceData_PastureBeef_CrudeProteinContent_Data(), Table_SourceData_PastureBeef_CrudeProtein[[#Headers],[State]], 0)</f>
        <v>7.8E-2</v>
      </c>
      <c r="I319" s="37"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7" t="str" cm="1">
        <f t="array" ref="D320">Common_InputFunctions.Utility_DisplayArrayInTable(SourceData_PastureBeef.SourceData_PastureBeef_CrudeProteinContent_Data(), Table_SourceData_PastureBeef_CrudeProtein[[#Headers],[State]], 0)</f>
        <v>QLD</v>
      </c>
      <c r="E320" s="37" t="str" cm="1">
        <f t="array" ref="E320">Common_InputFunctions.Utility_DisplayArrayInTable(SourceData_PastureBeef.SourceData_PastureBeef_CrudeProteinContent_Data(), Table_SourceData_PastureBeef_CrudeProtein[[#Headers],[State]], 0)</f>
        <v>Moderate/High</v>
      </c>
      <c r="F320" s="37" cm="1">
        <f t="array" ref="F320">Common_InputFunctions.Utility_DisplayArrayInTable(SourceData_PastureBeef.SourceData_PastureBeef_CrudeProteinContent_Data(), Table_SourceData_PastureBeef_CrudeProtein[[#Headers],[State]], 0)</f>
        <v>7.1999999999999995E-2</v>
      </c>
      <c r="G320" s="37" cm="1">
        <f t="array" ref="G320">Common_InputFunctions.Utility_DisplayArrayInTable(SourceData_PastureBeef.SourceData_PastureBeef_CrudeProteinContent_Data(), Table_SourceData_PastureBeef_CrudeProtein[[#Headers],[State]], 0)</f>
        <v>9.9000000000000005E-2</v>
      </c>
      <c r="H320" s="37" cm="1">
        <f t="array" ref="H320">Common_InputFunctions.Utility_DisplayArrayInTable(SourceData_PastureBeef.SourceData_PastureBeef_CrudeProteinContent_Data(), Table_SourceData_PastureBeef_CrudeProtein[[#Headers],[State]], 0)</f>
        <v>7.8E-2</v>
      </c>
      <c r="I320" s="37"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7" t="str" cm="1">
        <f t="array" ref="D321">Common_InputFunctions.Utility_DisplayArrayInTable(SourceData_PastureBeef.SourceData_PastureBeef_CrudeProteinContent_Data(), Table_SourceData_PastureBeef_CrudeProtein[[#Headers],[State]], 0)</f>
        <v>QLD</v>
      </c>
      <c r="E321" s="37" t="str" cm="1">
        <f t="array" ref="E321">Common_InputFunctions.Utility_DisplayArrayInTable(SourceData_PastureBeef.SourceData_PastureBeef_CrudeProteinContent_Data(), Table_SourceData_PastureBeef_CrudeProtein[[#Headers],[State]], 0)</f>
        <v>Moderate/Low</v>
      </c>
      <c r="F321" s="37" cm="1">
        <f t="array" ref="F321">Common_InputFunctions.Utility_DisplayArrayInTable(SourceData_PastureBeef.SourceData_PastureBeef_CrudeProteinContent_Data(), Table_SourceData_PastureBeef_CrudeProtein[[#Headers],[State]], 0)</f>
        <v>7.1999999999999995E-2</v>
      </c>
      <c r="G321" s="37" cm="1">
        <f t="array" ref="G321">Common_InputFunctions.Utility_DisplayArrayInTable(SourceData_PastureBeef.SourceData_PastureBeef_CrudeProteinContent_Data(), Table_SourceData_PastureBeef_CrudeProtein[[#Headers],[State]], 0)</f>
        <v>9.9000000000000005E-2</v>
      </c>
      <c r="H321" s="37" cm="1">
        <f t="array" ref="H321">Common_InputFunctions.Utility_DisplayArrayInTable(SourceData_PastureBeef.SourceData_PastureBeef_CrudeProteinContent_Data(), Table_SourceData_PastureBeef_CrudeProtein[[#Headers],[State]], 0)</f>
        <v>7.8E-2</v>
      </c>
      <c r="I321" s="37"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7" t="str" cm="1">
        <f t="array" ref="D322">Common_InputFunctions.Utility_DisplayArrayInTable(SourceData_PastureBeef.SourceData_PastureBeef_CrudeProteinContent_Data(), Table_SourceData_PastureBeef_CrudeProtein[[#Headers],[State]], 0)</f>
        <v>QLD</v>
      </c>
      <c r="E322" s="37" t="str" cm="1">
        <f t="array" ref="E322">Common_InputFunctions.Utility_DisplayArrayInTable(SourceData_PastureBeef.SourceData_PastureBeef_CrudeProteinContent_Data(), Table_SourceData_PastureBeef_CrudeProtein[[#Headers],[State]], 0)</f>
        <v>Low</v>
      </c>
      <c r="F322" s="37" cm="1">
        <f t="array" ref="F322">Common_InputFunctions.Utility_DisplayArrayInTable(SourceData_PastureBeef.SourceData_PastureBeef_CrudeProteinContent_Data(), Table_SourceData_PastureBeef_CrudeProtein[[#Headers],[State]], 0)</f>
        <v>7.1999999999999995E-2</v>
      </c>
      <c r="G322" s="37" cm="1">
        <f t="array" ref="G322">Common_InputFunctions.Utility_DisplayArrayInTable(SourceData_PastureBeef.SourceData_PastureBeef_CrudeProteinContent_Data(), Table_SourceData_PastureBeef_CrudeProtein[[#Headers],[State]], 0)</f>
        <v>9.9000000000000005E-2</v>
      </c>
      <c r="H322" s="37" cm="1">
        <f t="array" ref="H322">Common_InputFunctions.Utility_DisplayArrayInTable(SourceData_PastureBeef.SourceData_PastureBeef_CrudeProteinContent_Data(), Table_SourceData_PastureBeef_CrudeProtein[[#Headers],[State]], 0)</f>
        <v>7.8E-2</v>
      </c>
      <c r="I322" s="37"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7" t="str" cm="1">
        <f t="array" ref="D323">Common_InputFunctions.Utility_DisplayArrayInTable(SourceData_PastureBeef.SourceData_PastureBeef_CrudeProteinContent_Data(), Table_SourceData_PastureBeef_CrudeProtein[[#Headers],[State]], 0)</f>
        <v>SA</v>
      </c>
      <c r="E323" s="37" t="str" cm="1">
        <f t="array" ref="E323">Common_InputFunctions.Utility_DisplayArrayInTable(SourceData_PastureBeef.SourceData_PastureBeef_CrudeProteinContent_Data(), Table_SourceData_PastureBeef_CrudeProtein[[#Headers],[State]], 0)</f>
        <v>n/a</v>
      </c>
      <c r="F323" s="37" cm="1">
        <f t="array" ref="F323">Common_InputFunctions.Utility_DisplayArrayInTable(SourceData_PastureBeef.SourceData_PastureBeef_CrudeProteinContent_Data(), Table_SourceData_PastureBeef_CrudeProtein[[#Headers],[State]], 0)</f>
        <v>0.16</v>
      </c>
      <c r="G323" s="37" cm="1">
        <f t="array" ref="G323">Common_InputFunctions.Utility_DisplayArrayInTable(SourceData_PastureBeef.SourceData_PastureBeef_CrudeProteinContent_Data(), Table_SourceData_PastureBeef_CrudeProtein[[#Headers],[State]], 0)</f>
        <v>7.0000000000000007E-2</v>
      </c>
      <c r="H323" s="37" cm="1">
        <f t="array" ref="H323">Common_InputFunctions.Utility_DisplayArrayInTable(SourceData_PastureBeef.SourceData_PastureBeef_CrudeProteinContent_Data(), Table_SourceData_PastureBeef_CrudeProtein[[#Headers],[State]], 0)</f>
        <v>0.09</v>
      </c>
      <c r="I323" s="37" cm="1">
        <f t="array" ref="I323">Common_InputFunctions.Utility_DisplayArrayInTable(SourceData_PastureBeef.SourceData_PastureBeef_CrudeProteinContent_Data(), Table_SourceData_PastureBeef_CrudeProtein[[#Headers],[State]], 0)</f>
        <v>0.2</v>
      </c>
      <c r="M323" s="1"/>
    </row>
    <row r="324" spans="4:13" x14ac:dyDescent="0.25">
      <c r="D324" s="37" t="str" cm="1">
        <f t="array" ref="D324">Common_InputFunctions.Utility_DisplayArrayInTable(SourceData_PastureBeef.SourceData_PastureBeef_CrudeProteinContent_Data(), Table_SourceData_PastureBeef_CrudeProtein[[#Headers],[State]], 0)</f>
        <v>TAS</v>
      </c>
      <c r="E324" s="37" t="str" cm="1">
        <f t="array" ref="E324">Common_InputFunctions.Utility_DisplayArrayInTable(SourceData_PastureBeef.SourceData_PastureBeef_CrudeProteinContent_Data(), Table_SourceData_PastureBeef_CrudeProtein[[#Headers],[State]], 0)</f>
        <v>n/a</v>
      </c>
      <c r="F324" s="37" cm="1">
        <f t="array" ref="F324">Common_InputFunctions.Utility_DisplayArrayInTable(SourceData_PastureBeef.SourceData_PastureBeef_CrudeProteinContent_Data(), Table_SourceData_PastureBeef_CrudeProtein[[#Headers],[State]], 0)</f>
        <v>0.2</v>
      </c>
      <c r="G324" s="37" cm="1">
        <f t="array" ref="G324">Common_InputFunctions.Utility_DisplayArrayInTable(SourceData_PastureBeef.SourceData_PastureBeef_CrudeProteinContent_Data(), Table_SourceData_PastureBeef_CrudeProtein[[#Headers],[State]], 0)</f>
        <v>0.1</v>
      </c>
      <c r="H324" s="37" cm="1">
        <f t="array" ref="H324">Common_InputFunctions.Utility_DisplayArrayInTable(SourceData_PastureBeef.SourceData_PastureBeef_CrudeProteinContent_Data(), Table_SourceData_PastureBeef_CrudeProtein[[#Headers],[State]], 0)</f>
        <v>0.16</v>
      </c>
      <c r="I324" s="37" cm="1">
        <f t="array" ref="I324">Common_InputFunctions.Utility_DisplayArrayInTable(SourceData_PastureBeef.SourceData_PastureBeef_CrudeProteinContent_Data(), Table_SourceData_PastureBeef_CrudeProtein[[#Headers],[State]], 0)</f>
        <v>0.2</v>
      </c>
      <c r="M324" s="1"/>
    </row>
    <row r="325" spans="4:13" x14ac:dyDescent="0.25">
      <c r="D325" s="37" t="str" cm="1">
        <f t="array" ref="D325">Common_InputFunctions.Utility_DisplayArrayInTable(SourceData_PastureBeef.SourceData_PastureBeef_CrudeProteinContent_Data(), Table_SourceData_PastureBeef_CrudeProtein[[#Headers],[State]], 0)</f>
        <v>VIC</v>
      </c>
      <c r="E325" s="37" t="str" cm="1">
        <f t="array" ref="E325">Common_InputFunctions.Utility_DisplayArrayInTable(SourceData_PastureBeef.SourceData_PastureBeef_CrudeProteinContent_Data(), Table_SourceData_PastureBeef_CrudeProtein[[#Headers],[State]], 0)</f>
        <v>n/a</v>
      </c>
      <c r="F325" s="37" cm="1">
        <f t="array" ref="F325">Common_InputFunctions.Utility_DisplayArrayInTable(SourceData_PastureBeef.SourceData_PastureBeef_CrudeProteinContent_Data(), Table_SourceData_PastureBeef_CrudeProtein[[#Headers],[State]], 0)</f>
        <v>0.25</v>
      </c>
      <c r="G325" s="37" cm="1">
        <f t="array" ref="G325">Common_InputFunctions.Utility_DisplayArrayInTable(SourceData_PastureBeef.SourceData_PastureBeef_CrudeProteinContent_Data(), Table_SourceData_PastureBeef_CrudeProtein[[#Headers],[State]], 0)</f>
        <v>7.0000000000000007E-2</v>
      </c>
      <c r="H325" s="37" cm="1">
        <f t="array" ref="H325">Common_InputFunctions.Utility_DisplayArrayInTable(SourceData_PastureBeef.SourceData_PastureBeef_CrudeProteinContent_Data(), Table_SourceData_PastureBeef_CrudeProtein[[#Headers],[State]], 0)</f>
        <v>0.1</v>
      </c>
      <c r="I325" s="37" cm="1">
        <f t="array" ref="I325">Common_InputFunctions.Utility_DisplayArrayInTable(SourceData_PastureBeef.SourceData_PastureBeef_CrudeProteinContent_Data(), Table_SourceData_PastureBeef_CrudeProtein[[#Headers],[State]], 0)</f>
        <v>0.21</v>
      </c>
      <c r="M325" s="1"/>
    </row>
    <row r="326" spans="4:13" x14ac:dyDescent="0.25">
      <c r="D326" s="37" t="str" cm="1">
        <f t="array" ref="D326">Common_InputFunctions.Utility_DisplayArrayInTable(SourceData_PastureBeef.SourceData_PastureBeef_CrudeProteinContent_Data(), Table_SourceData_PastureBeef_CrudeProtein[[#Headers],[State]], 0)</f>
        <v>WA</v>
      </c>
      <c r="E326" s="37" t="str" cm="1">
        <f t="array" ref="E326">Common_InputFunctions.Utility_DisplayArrayInTable(SourceData_PastureBeef.SourceData_PastureBeef_CrudeProteinContent_Data(), Table_SourceData_PastureBeef_CrudeProtein[[#Headers],[State]], 0)</f>
        <v>South West</v>
      </c>
      <c r="F326" s="37" cm="1">
        <f t="array" ref="F326">Common_InputFunctions.Utility_DisplayArrayInTable(SourceData_PastureBeef.SourceData_PastureBeef_CrudeProteinContent_Data(), Table_SourceData_PastureBeef_CrudeProtein[[#Headers],[State]], 0)</f>
        <v>0.2</v>
      </c>
      <c r="G326" s="37" cm="1">
        <f t="array" ref="G326">Common_InputFunctions.Utility_DisplayArrayInTable(SourceData_PastureBeef.SourceData_PastureBeef_CrudeProteinContent_Data(), Table_SourceData_PastureBeef_CrudeProtein[[#Headers],[State]], 0)</f>
        <v>0.09</v>
      </c>
      <c r="H326" s="37" cm="1">
        <f t="array" ref="H326">Common_InputFunctions.Utility_DisplayArrayInTable(SourceData_PastureBeef.SourceData_PastureBeef_CrudeProteinContent_Data(), Table_SourceData_PastureBeef_CrudeProtein[[#Headers],[State]], 0)</f>
        <v>0.06</v>
      </c>
      <c r="I326" s="37" cm="1">
        <f t="array" ref="I326">Common_InputFunctions.Utility_DisplayArrayInTable(SourceData_PastureBeef.SourceData_PastureBeef_CrudeProteinContent_Data(), Table_SourceData_PastureBeef_CrudeProtein[[#Headers],[State]], 0)</f>
        <v>0.2</v>
      </c>
      <c r="M326" s="1"/>
    </row>
    <row r="327" spans="4:13" x14ac:dyDescent="0.25">
      <c r="D327" s="37" t="str" cm="1">
        <f t="array" ref="D327">Common_InputFunctions.Utility_DisplayArrayInTable(SourceData_PastureBeef.SourceData_PastureBeef_CrudeProteinContent_Data(), Table_SourceData_PastureBeef_CrudeProtein[[#Headers],[State]], 0)</f>
        <v>WA</v>
      </c>
      <c r="E327" s="37" t="str" cm="1">
        <f t="array" ref="E327">Common_InputFunctions.Utility_DisplayArrayInTable(SourceData_PastureBeef.SourceData_PastureBeef_CrudeProteinContent_Data(), Table_SourceData_PastureBeef_CrudeProtein[[#Headers],[State]], 0)</f>
        <v>Pilbara</v>
      </c>
      <c r="F327" s="37" cm="1">
        <f t="array" ref="F327">Common_InputFunctions.Utility_DisplayArrayInTable(SourceData_PastureBeef.SourceData_PastureBeef_CrudeProteinContent_Data(), Table_SourceData_PastureBeef_CrudeProtein[[#Headers],[State]], 0)</f>
        <v>0.04</v>
      </c>
      <c r="G327" s="37" cm="1">
        <f t="array" ref="G327">Common_InputFunctions.Utility_DisplayArrayInTable(SourceData_PastureBeef.SourceData_PastureBeef_CrudeProteinContent_Data(), Table_SourceData_PastureBeef_CrudeProtein[[#Headers],[State]], 0)</f>
        <v>0.12</v>
      </c>
      <c r="H327" s="37" cm="1">
        <f t="array" ref="H327">Common_InputFunctions.Utility_DisplayArrayInTable(SourceData_PastureBeef.SourceData_PastureBeef_CrudeProteinContent_Data(), Table_SourceData_PastureBeef_CrudeProtein[[#Headers],[State]], 0)</f>
        <v>0.09</v>
      </c>
      <c r="I327" s="37" cm="1">
        <f t="array" ref="I327">Common_InputFunctions.Utility_DisplayArrayInTable(SourceData_PastureBeef.SourceData_PastureBeef_CrudeProteinContent_Data(), Table_SourceData_PastureBeef_CrudeProtein[[#Headers],[State]], 0)</f>
        <v>0.06</v>
      </c>
      <c r="M327" s="1"/>
    </row>
    <row r="328" spans="4:13" x14ac:dyDescent="0.25">
      <c r="D328" s="37" t="str" cm="1">
        <f t="array" ref="D328">Common_InputFunctions.Utility_DisplayArrayInTable(SourceData_PastureBeef.SourceData_PastureBeef_CrudeProteinContent_Data(), Table_SourceData_PastureBeef_CrudeProtein[[#Headers],[State]], 0)</f>
        <v>WA</v>
      </c>
      <c r="E328" s="37" t="str" cm="1">
        <f t="array" ref="E328">Common_InputFunctions.Utility_DisplayArrayInTable(SourceData_PastureBeef.SourceData_PastureBeef_CrudeProteinContent_Data(), Table_SourceData_PastureBeef_CrudeProtein[[#Headers],[State]], 0)</f>
        <v>Kimberley</v>
      </c>
      <c r="F328" s="37" cm="1">
        <f t="array" ref="F328">Common_InputFunctions.Utility_DisplayArrayInTable(SourceData_PastureBeef.SourceData_PastureBeef_CrudeProteinContent_Data(), Table_SourceData_PastureBeef_CrudeProtein[[#Headers],[State]], 0)</f>
        <v>0.04</v>
      </c>
      <c r="G328" s="37" cm="1">
        <f t="array" ref="G328">Common_InputFunctions.Utility_DisplayArrayInTable(SourceData_PastureBeef.SourceData_PastureBeef_CrudeProteinContent_Data(), Table_SourceData_PastureBeef_CrudeProtein[[#Headers],[State]], 0)</f>
        <v>0.12</v>
      </c>
      <c r="H328" s="37" cm="1">
        <f t="array" ref="H328">Common_InputFunctions.Utility_DisplayArrayInTable(SourceData_PastureBeef.SourceData_PastureBeef_CrudeProteinContent_Data(), Table_SourceData_PastureBeef_CrudeProtein[[#Headers],[State]], 0)</f>
        <v>0.09</v>
      </c>
      <c r="I328" s="37"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5" t="s">
        <v>248</v>
      </c>
      <c r="M333" s="1"/>
    </row>
    <row r="334" spans="4:13" x14ac:dyDescent="0.25">
      <c r="D334" s="37" t="s">
        <v>129</v>
      </c>
      <c r="E334" s="37" t="s">
        <v>184</v>
      </c>
      <c r="F334" s="37" t="s">
        <v>232</v>
      </c>
      <c r="G334" s="37" t="s">
        <v>233</v>
      </c>
      <c r="I334" s="37" t="s">
        <v>129</v>
      </c>
      <c r="J334" s="37" t="s">
        <v>184</v>
      </c>
      <c r="K334" s="37" t="s">
        <v>232</v>
      </c>
      <c r="L334" s="37" t="s">
        <v>233</v>
      </c>
      <c r="M334" s="1"/>
    </row>
    <row r="335" spans="4:13" x14ac:dyDescent="0.25">
      <c r="D335" s="37" t="str" cm="1">
        <f t="array" ref="D335">Common_InputFunctions.Utility_DisplayArrayInTable(SourceData_PastureBeef.SourceData_PastureBeef_FeedAdjustmentAndMilkProduction_Data(), Table_SourceData_PastureBeef_FeedIntakeAdjustment[[#Headers],[Breed]], 0)</f>
        <v>Hereford or Shorthorn breeds</v>
      </c>
      <c r="E335" s="37" t="str" cm="1">
        <f t="array" ref="E335">Common_InputFunctions.Utility_DisplayArrayInTable(SourceData_PastureBeef.SourceData_PastureBeef_FeedAdjustmentAndMilkProduction_Data(), Table_SourceData_PastureBeef_FeedIntakeAdjustment[[#Headers],[Breed]], 0)</f>
        <v>Spring</v>
      </c>
      <c r="F335" s="37" cm="1">
        <f t="array" ref="F335">Common_InputFunctions.Utility_DisplayArrayInTable(SourceData_PastureBeef.SourceData_PastureBeef_FeedAdjustmentAndMilkProduction_Data(), Table_SourceData_PastureBeef_FeedIntakeAdjustment[[#Headers],[Breed]], 0)</f>
        <v>1.3</v>
      </c>
      <c r="G335" s="37" cm="1">
        <f t="array" ref="G335">Common_InputFunctions.Utility_DisplayArrayInTable(SourceData_PastureBeef.SourceData_PastureBeef_FeedAdjustmentAndMilkProduction_Data(), Table_SourceData_PastureBeef_FeedIntakeAdjustment[[#Headers],[Breed]], 0)</f>
        <v>6</v>
      </c>
      <c r="I335" s="37" t="str">
        <f>Table_SourceData_PastureBeef_FeedIntakeAdjustment[[#This Row],[Breed]]</f>
        <v>Hereford or Shorthorn breeds</v>
      </c>
      <c r="J335" s="37" t="s">
        <v>246</v>
      </c>
      <c r="K335" s="37">
        <f>Table_SourceData_PastureBeef_FeedIntakeAdjustment[[#This Row],[Feed adjustment]]</f>
        <v>1.3</v>
      </c>
      <c r="L335" s="37">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7" t="str" cm="1">
        <f t="array" ref="E336">Common_InputFunctions.Utility_DisplayArrayInTable(SourceData_PastureBeef.SourceData_PastureBeef_FeedAdjustmentAndMilkProduction_Data(), Table_SourceData_PastureBeef_FeedIntakeAdjustment[[#Headers],[Breed]], 0)</f>
        <v>Summer</v>
      </c>
      <c r="F336" s="37" cm="1">
        <f t="array" ref="F336">Common_InputFunctions.Utility_DisplayArrayInTable(SourceData_PastureBeef.SourceData_PastureBeef_FeedAdjustmentAndMilkProduction_Data(), Table_SourceData_PastureBeef_FeedIntakeAdjustment[[#Headers],[Breed]], 0)</f>
        <v>1.1000000000000001</v>
      </c>
      <c r="G336" s="37"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7" t="s">
        <v>247</v>
      </c>
      <c r="K336" s="37">
        <f>Table_SourceData_PastureBeef_FeedIntakeAdjustment[[#This Row],[Feed adjustment]]</f>
        <v>1.1000000000000001</v>
      </c>
      <c r="L336" s="37">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7" t="str" cm="1">
        <f t="array" ref="E337">Common_InputFunctions.Utility_DisplayArrayInTable(SourceData_PastureBeef.SourceData_PastureBeef_FeedAdjustmentAndMilkProduction_Data(), Table_SourceData_PastureBeef_FeedIntakeAdjustment[[#Headers],[Breed]], 0)</f>
        <v>Autumn</v>
      </c>
      <c r="F337" s="37" cm="1">
        <f t="array" ref="F337">Common_InputFunctions.Utility_DisplayArrayInTable(SourceData_PastureBeef.SourceData_PastureBeef_FeedAdjustmentAndMilkProduction_Data(), Table_SourceData_PastureBeef_FeedIntakeAdjustment[[#Headers],[Breed]], 0)</f>
        <v>0</v>
      </c>
      <c r="G337" s="37"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7" t="s">
        <v>246</v>
      </c>
      <c r="K337" s="37">
        <f>F340</f>
        <v>1.3</v>
      </c>
      <c r="L337" s="37">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7" t="str" cm="1">
        <f t="array" ref="E338">Common_InputFunctions.Utility_DisplayArrayInTable(SourceData_PastureBeef.SourceData_PastureBeef_FeedAdjustmentAndMilkProduction_Data(), Table_SourceData_PastureBeef_FeedIntakeAdjustment[[#Headers],[Breed]], 0)</f>
        <v>Winter</v>
      </c>
      <c r="F338" s="37" cm="1">
        <f t="array" ref="F338">Common_InputFunctions.Utility_DisplayArrayInTable(SourceData_PastureBeef.SourceData_PastureBeef_FeedAdjustmentAndMilkProduction_Data(), Table_SourceData_PastureBeef_FeedIntakeAdjustment[[#Headers],[Breed]], 0)</f>
        <v>0</v>
      </c>
      <c r="G338" s="37"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7" t="s">
        <v>247</v>
      </c>
      <c r="K338" s="37">
        <f t="shared" ref="K338" si="136">F341</f>
        <v>1.1000000000000001</v>
      </c>
      <c r="L338" s="37">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7" t="str" cm="1">
        <f t="array" ref="E339">Common_InputFunctions.Utility_DisplayArrayInTable(SourceData_PastureBeef.SourceData_PastureBeef_FeedAdjustmentAndMilkProduction_Data(), Table_SourceData_PastureBeef_FeedIntakeAdjustment[[#Headers],[Breed]], 0)</f>
        <v>Spring</v>
      </c>
      <c r="F339" s="37" cm="1">
        <f t="array" ref="F339">Common_InputFunctions.Utility_DisplayArrayInTable(SourceData_PastureBeef.SourceData_PastureBeef_FeedAdjustmentAndMilkProduction_Data(), Table_SourceData_PastureBeef_FeedIntakeAdjustment[[#Headers],[Breed]], 0)</f>
        <v>0</v>
      </c>
      <c r="G339" s="37"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7" t="str" cm="1">
        <f t="array" ref="E340">Common_InputFunctions.Utility_DisplayArrayInTable(SourceData_PastureBeef.SourceData_PastureBeef_FeedAdjustmentAndMilkProduction_Data(), Table_SourceData_PastureBeef_FeedIntakeAdjustment[[#Headers],[Breed]], 0)</f>
        <v>Summer</v>
      </c>
      <c r="F340" s="37" cm="1">
        <f t="array" ref="F340">Common_InputFunctions.Utility_DisplayArrayInTable(SourceData_PastureBeef.SourceData_PastureBeef_FeedAdjustmentAndMilkProduction_Data(), Table_SourceData_PastureBeef_FeedIntakeAdjustment[[#Headers],[Breed]], 0)</f>
        <v>1.3</v>
      </c>
      <c r="G340" s="37"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7" t="str" cm="1">
        <f t="array" ref="E341">Common_InputFunctions.Utility_DisplayArrayInTable(SourceData_PastureBeef.SourceData_PastureBeef_FeedAdjustmentAndMilkProduction_Data(), Table_SourceData_PastureBeef_FeedIntakeAdjustment[[#Headers],[Breed]], 0)</f>
        <v>Autumn</v>
      </c>
      <c r="F341" s="37" cm="1">
        <f t="array" ref="F341">Common_InputFunctions.Utility_DisplayArrayInTable(SourceData_PastureBeef.SourceData_PastureBeef_FeedAdjustmentAndMilkProduction_Data(), Table_SourceData_PastureBeef_FeedIntakeAdjustment[[#Headers],[Breed]], 0)</f>
        <v>1.1000000000000001</v>
      </c>
      <c r="G341" s="37"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7" t="str" cm="1">
        <f t="array" ref="E342">Common_InputFunctions.Utility_DisplayArrayInTable(SourceData_PastureBeef.SourceData_PastureBeef_FeedAdjustmentAndMilkProduction_Data(), Table_SourceData_PastureBeef_FeedIntakeAdjustment[[#Headers],[Breed]], 0)</f>
        <v>Winter</v>
      </c>
      <c r="F342" s="37" cm="1">
        <f t="array" ref="F342">Common_InputFunctions.Utility_DisplayArrayInTable(SourceData_PastureBeef.SourceData_PastureBeef_FeedAdjustmentAndMilkProduction_Data(), Table_SourceData_PastureBeef_FeedIntakeAdjustment[[#Headers],[Breed]], 0)</f>
        <v>0</v>
      </c>
      <c r="G342" s="37"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4" t="str" cm="1">
        <f t="array" ref="D348">SourceData_PastureBeef.SourceData_PastureBeef_StandardReferenceWeights_Unit()</f>
        <v>kg</v>
      </c>
      <c r="M348" s="1"/>
    </row>
    <row r="349" spans="4:13" x14ac:dyDescent="0.25">
      <c r="D349" s="55" t="str" cm="1">
        <f t="array" ref="D349">SourceData_PastureBeef.SourceData_PastureBeef_StandardReferenceWeights_Variation()</f>
        <v>VARIATION ON SOURCE: Split ACT and NSW into separate rows. Added 'State abbreviation' column to aid lookup.</v>
      </c>
      <c r="M349" s="1"/>
    </row>
    <row r="350" spans="4:13" x14ac:dyDescent="0.25">
      <c r="D350" s="37" t="s">
        <v>8</v>
      </c>
      <c r="E350" s="37" t="s">
        <v>234</v>
      </c>
      <c r="F350" s="37" t="s">
        <v>235</v>
      </c>
      <c r="G350" s="37" t="s">
        <v>193</v>
      </c>
      <c r="H350" s="37" t="s">
        <v>194</v>
      </c>
      <c r="I350" s="37" t="s">
        <v>236</v>
      </c>
      <c r="J350" s="37" t="s">
        <v>197</v>
      </c>
      <c r="K350" s="37" t="s">
        <v>226</v>
      </c>
      <c r="L350" s="37" t="s">
        <v>237</v>
      </c>
      <c r="M350" s="1"/>
    </row>
    <row r="351" spans="4:13" x14ac:dyDescent="0.25">
      <c r="D351" s="37" t="str" cm="1">
        <f t="array" ref="D351">Common_InputFunctions.Utility_DisplayArrayInTable(SourceData_PastureBeef.SourceData_PastureBeef_StandardReferenceWeights_Data(), Table_SourceData_PastureBeef_StandardReferenceWeights[[#Headers],[State]], 0)</f>
        <v>ACT</v>
      </c>
      <c r="E351" s="37" cm="1">
        <f t="array" ref="E351">Common_InputFunctions.Utility_DisplayArrayInTable(SourceData_PastureBeef.SourceData_PastureBeef_StandardReferenceWeights_Data(), Table_SourceData_PastureBeef_StandardReferenceWeights[[#Headers],[State]], 0)</f>
        <v>700</v>
      </c>
      <c r="F351" s="37" cm="1">
        <f t="array" ref="F351">Common_InputFunctions.Utility_DisplayArrayInTable(SourceData_PastureBeef.SourceData_PastureBeef_StandardReferenceWeights_Data(), Table_SourceData_PastureBeef_StandardReferenceWeights[[#Headers],[State]], 0)</f>
        <v>700</v>
      </c>
      <c r="G351" s="37" cm="1">
        <f t="array" ref="G351">Common_InputFunctions.Utility_DisplayArrayInTable(SourceData_PastureBeef.SourceData_PastureBeef_StandardReferenceWeights_Data(), Table_SourceData_PastureBeef_StandardReferenceWeights[[#Headers],[State]], 0)</f>
        <v>500</v>
      </c>
      <c r="H351" s="37" cm="1">
        <f t="array" ref="H351">Common_InputFunctions.Utility_DisplayArrayInTable(SourceData_PastureBeef.SourceData_PastureBeef_StandardReferenceWeights_Data(), Table_SourceData_PastureBeef_StandardReferenceWeights[[#Headers],[State]], 0)</f>
        <v>500</v>
      </c>
      <c r="I351" s="37" cm="1">
        <f t="array" ref="I351">Common_InputFunctions.Utility_DisplayArrayInTable(SourceData_PastureBeef.SourceData_PastureBeef_StandardReferenceWeights_Data(), Table_SourceData_PastureBeef_StandardReferenceWeights[[#Headers],[State]], 0)</f>
        <v>500</v>
      </c>
      <c r="J351" s="37" cm="1">
        <f t="array" ref="J351">Common_InputFunctions.Utility_DisplayArrayInTable(SourceData_PastureBeef.SourceData_PastureBeef_StandardReferenceWeights_Data(), Table_SourceData_PastureBeef_StandardReferenceWeights[[#Headers],[State]], 0)</f>
        <v>600</v>
      </c>
      <c r="K351" s="37" cm="1">
        <f t="array" ref="K351">Common_InputFunctions.Utility_DisplayArrayInTable(SourceData_PastureBeef.SourceData_PastureBeef_StandardReferenceWeights_Data(), Table_SourceData_PastureBeef_StandardReferenceWeights[[#Headers],[State]], 0)</f>
        <v>600</v>
      </c>
      <c r="L351" s="37"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7" cm="1">
        <f t="array" ref="E352">Common_InputFunctions.Utility_DisplayArrayInTable(SourceData_PastureBeef.SourceData_PastureBeef_StandardReferenceWeights_Data(), Table_SourceData_PastureBeef_StandardReferenceWeights[[#Headers],[State]], 0)</f>
        <v>700</v>
      </c>
      <c r="F352" s="37" cm="1">
        <f t="array" ref="F352">Common_InputFunctions.Utility_DisplayArrayInTable(SourceData_PastureBeef.SourceData_PastureBeef_StandardReferenceWeights_Data(), Table_SourceData_PastureBeef_StandardReferenceWeights[[#Headers],[State]], 0)</f>
        <v>700</v>
      </c>
      <c r="G352" s="37" cm="1">
        <f t="array" ref="G352">Common_InputFunctions.Utility_DisplayArrayInTable(SourceData_PastureBeef.SourceData_PastureBeef_StandardReferenceWeights_Data(), Table_SourceData_PastureBeef_StandardReferenceWeights[[#Headers],[State]], 0)</f>
        <v>500</v>
      </c>
      <c r="H352" s="37" cm="1">
        <f t="array" ref="H352">Common_InputFunctions.Utility_DisplayArrayInTable(SourceData_PastureBeef.SourceData_PastureBeef_StandardReferenceWeights_Data(), Table_SourceData_PastureBeef_StandardReferenceWeights[[#Headers],[State]], 0)</f>
        <v>500</v>
      </c>
      <c r="I352" s="37" cm="1">
        <f t="array" ref="I352">Common_InputFunctions.Utility_DisplayArrayInTable(SourceData_PastureBeef.SourceData_PastureBeef_StandardReferenceWeights_Data(), Table_SourceData_PastureBeef_StandardReferenceWeights[[#Headers],[State]], 0)</f>
        <v>500</v>
      </c>
      <c r="J352" s="37" cm="1">
        <f t="array" ref="J352">Common_InputFunctions.Utility_DisplayArrayInTable(SourceData_PastureBeef.SourceData_PastureBeef_StandardReferenceWeights_Data(), Table_SourceData_PastureBeef_StandardReferenceWeights[[#Headers],[State]], 0)</f>
        <v>600</v>
      </c>
      <c r="K352" s="37" cm="1">
        <f t="array" ref="K352">Common_InputFunctions.Utility_DisplayArrayInTable(SourceData_PastureBeef.SourceData_PastureBeef_StandardReferenceWeights_Data(), Table_SourceData_PastureBeef_StandardReferenceWeights[[#Headers],[State]], 0)</f>
        <v>600</v>
      </c>
      <c r="L352" s="37"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7" cm="1">
        <f t="array" ref="E353">Common_InputFunctions.Utility_DisplayArrayInTable(SourceData_PastureBeef.SourceData_PastureBeef_StandardReferenceWeights_Data(), Table_SourceData_PastureBeef_StandardReferenceWeights[[#Headers],[State]], 0)</f>
        <v>770</v>
      </c>
      <c r="F353" s="37" cm="1">
        <f t="array" ref="F353">Common_InputFunctions.Utility_DisplayArrayInTable(SourceData_PastureBeef.SourceData_PastureBeef_StandardReferenceWeights_Data(), Table_SourceData_PastureBeef_StandardReferenceWeights[[#Headers],[State]], 0)</f>
        <v>770</v>
      </c>
      <c r="G353" s="37" cm="1">
        <f t="array" ref="G353">Common_InputFunctions.Utility_DisplayArrayInTable(SourceData_PastureBeef.SourceData_PastureBeef_StandardReferenceWeights_Data(), Table_SourceData_PastureBeef_StandardReferenceWeights[[#Headers],[State]], 0)</f>
        <v>550</v>
      </c>
      <c r="H353" s="37" cm="1">
        <f t="array" ref="H353">Common_InputFunctions.Utility_DisplayArrayInTable(SourceData_PastureBeef.SourceData_PastureBeef_StandardReferenceWeights_Data(), Table_SourceData_PastureBeef_StandardReferenceWeights[[#Headers],[State]], 0)</f>
        <v>550</v>
      </c>
      <c r="I353" s="37" cm="1">
        <f t="array" ref="I353">Common_InputFunctions.Utility_DisplayArrayInTable(SourceData_PastureBeef.SourceData_PastureBeef_StandardReferenceWeights_Data(), Table_SourceData_PastureBeef_StandardReferenceWeights[[#Headers],[State]], 0)</f>
        <v>550</v>
      </c>
      <c r="J353" s="37" cm="1">
        <f t="array" ref="J353">Common_InputFunctions.Utility_DisplayArrayInTable(SourceData_PastureBeef.SourceData_PastureBeef_StandardReferenceWeights_Data(), Table_SourceData_PastureBeef_StandardReferenceWeights[[#Headers],[State]], 0)</f>
        <v>660</v>
      </c>
      <c r="K353" s="37" cm="1">
        <f t="array" ref="K353">Common_InputFunctions.Utility_DisplayArrayInTable(SourceData_PastureBeef.SourceData_PastureBeef_StandardReferenceWeights_Data(), Table_SourceData_PastureBeef_StandardReferenceWeights[[#Headers],[State]], 0)</f>
        <v>660</v>
      </c>
      <c r="L353" s="37"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7" cm="1">
        <f t="array" ref="E354">Common_InputFunctions.Utility_DisplayArrayInTable(SourceData_PastureBeef.SourceData_PastureBeef_StandardReferenceWeights_Data(), Table_SourceData_PastureBeef_StandardReferenceWeights[[#Headers],[State]], 0)</f>
        <v>770</v>
      </c>
      <c r="F354" s="37" cm="1">
        <f t="array" ref="F354">Common_InputFunctions.Utility_DisplayArrayInTable(SourceData_PastureBeef.SourceData_PastureBeef_StandardReferenceWeights_Data(), Table_SourceData_PastureBeef_StandardReferenceWeights[[#Headers],[State]], 0)</f>
        <v>770</v>
      </c>
      <c r="G354" s="37" cm="1">
        <f t="array" ref="G354">Common_InputFunctions.Utility_DisplayArrayInTable(SourceData_PastureBeef.SourceData_PastureBeef_StandardReferenceWeights_Data(), Table_SourceData_PastureBeef_StandardReferenceWeights[[#Headers],[State]], 0)</f>
        <v>550</v>
      </c>
      <c r="H354" s="37" cm="1">
        <f t="array" ref="H354">Common_InputFunctions.Utility_DisplayArrayInTable(SourceData_PastureBeef.SourceData_PastureBeef_StandardReferenceWeights_Data(), Table_SourceData_PastureBeef_StandardReferenceWeights[[#Headers],[State]], 0)</f>
        <v>550</v>
      </c>
      <c r="I354" s="37" cm="1">
        <f t="array" ref="I354">Common_InputFunctions.Utility_DisplayArrayInTable(SourceData_PastureBeef.SourceData_PastureBeef_StandardReferenceWeights_Data(), Table_SourceData_PastureBeef_StandardReferenceWeights[[#Headers],[State]], 0)</f>
        <v>550</v>
      </c>
      <c r="J354" s="37" cm="1">
        <f t="array" ref="J354">Common_InputFunctions.Utility_DisplayArrayInTable(SourceData_PastureBeef.SourceData_PastureBeef_StandardReferenceWeights_Data(), Table_SourceData_PastureBeef_StandardReferenceWeights[[#Headers],[State]], 0)</f>
        <v>660</v>
      </c>
      <c r="K354" s="37" cm="1">
        <f t="array" ref="K354">Common_InputFunctions.Utility_DisplayArrayInTable(SourceData_PastureBeef.SourceData_PastureBeef_StandardReferenceWeights_Data(), Table_SourceData_PastureBeef_StandardReferenceWeights[[#Headers],[State]], 0)</f>
        <v>660</v>
      </c>
      <c r="L354" s="37"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7" cm="1">
        <f t="array" ref="E355">Common_InputFunctions.Utility_DisplayArrayInTable(SourceData_PastureBeef.SourceData_PastureBeef_StandardReferenceWeights_Data(), Table_SourceData_PastureBeef_StandardReferenceWeights[[#Headers],[State]], 0)</f>
        <v>770</v>
      </c>
      <c r="F355" s="37" cm="1">
        <f t="array" ref="F355">Common_InputFunctions.Utility_DisplayArrayInTable(SourceData_PastureBeef.SourceData_PastureBeef_StandardReferenceWeights_Data(), Table_SourceData_PastureBeef_StandardReferenceWeights[[#Headers],[State]], 0)</f>
        <v>770</v>
      </c>
      <c r="G355" s="37" cm="1">
        <f t="array" ref="G355">Common_InputFunctions.Utility_DisplayArrayInTable(SourceData_PastureBeef.SourceData_PastureBeef_StandardReferenceWeights_Data(), Table_SourceData_PastureBeef_StandardReferenceWeights[[#Headers],[State]], 0)</f>
        <v>550</v>
      </c>
      <c r="H355" s="37" cm="1">
        <f t="array" ref="H355">Common_InputFunctions.Utility_DisplayArrayInTable(SourceData_PastureBeef.SourceData_PastureBeef_StandardReferenceWeights_Data(), Table_SourceData_PastureBeef_StandardReferenceWeights[[#Headers],[State]], 0)</f>
        <v>550</v>
      </c>
      <c r="I355" s="37" cm="1">
        <f t="array" ref="I355">Common_InputFunctions.Utility_DisplayArrayInTable(SourceData_PastureBeef.SourceData_PastureBeef_StandardReferenceWeights_Data(), Table_SourceData_PastureBeef_StandardReferenceWeights[[#Headers],[State]], 0)</f>
        <v>550</v>
      </c>
      <c r="J355" s="37" cm="1">
        <f t="array" ref="J355">Common_InputFunctions.Utility_DisplayArrayInTable(SourceData_PastureBeef.SourceData_PastureBeef_StandardReferenceWeights_Data(), Table_SourceData_PastureBeef_StandardReferenceWeights[[#Headers],[State]], 0)</f>
        <v>660</v>
      </c>
      <c r="K355" s="37" cm="1">
        <f t="array" ref="K355">Common_InputFunctions.Utility_DisplayArrayInTable(SourceData_PastureBeef.SourceData_PastureBeef_StandardReferenceWeights_Data(), Table_SourceData_PastureBeef_StandardReferenceWeights[[#Headers],[State]], 0)</f>
        <v>660</v>
      </c>
      <c r="L355" s="37"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7" cm="1">
        <f t="array" ref="E356">Common_InputFunctions.Utility_DisplayArrayInTable(SourceData_PastureBeef.SourceData_PastureBeef_StandardReferenceWeights_Data(), Table_SourceData_PastureBeef_StandardReferenceWeights[[#Headers],[State]], 0)</f>
        <v>770</v>
      </c>
      <c r="F356" s="37" cm="1">
        <f t="array" ref="F356">Common_InputFunctions.Utility_DisplayArrayInTable(SourceData_PastureBeef.SourceData_PastureBeef_StandardReferenceWeights_Data(), Table_SourceData_PastureBeef_StandardReferenceWeights[[#Headers],[State]], 0)</f>
        <v>770</v>
      </c>
      <c r="G356" s="37" cm="1">
        <f t="array" ref="G356">Common_InputFunctions.Utility_DisplayArrayInTable(SourceData_PastureBeef.SourceData_PastureBeef_StandardReferenceWeights_Data(), Table_SourceData_PastureBeef_StandardReferenceWeights[[#Headers],[State]], 0)</f>
        <v>550</v>
      </c>
      <c r="H356" s="37" cm="1">
        <f t="array" ref="H356">Common_InputFunctions.Utility_DisplayArrayInTable(SourceData_PastureBeef.SourceData_PastureBeef_StandardReferenceWeights_Data(), Table_SourceData_PastureBeef_StandardReferenceWeights[[#Headers],[State]], 0)</f>
        <v>550</v>
      </c>
      <c r="I356" s="37" cm="1">
        <f t="array" ref="I356">Common_InputFunctions.Utility_DisplayArrayInTable(SourceData_PastureBeef.SourceData_PastureBeef_StandardReferenceWeights_Data(), Table_SourceData_PastureBeef_StandardReferenceWeights[[#Headers],[State]], 0)</f>
        <v>550</v>
      </c>
      <c r="J356" s="37" cm="1">
        <f t="array" ref="J356">Common_InputFunctions.Utility_DisplayArrayInTable(SourceData_PastureBeef.SourceData_PastureBeef_StandardReferenceWeights_Data(), Table_SourceData_PastureBeef_StandardReferenceWeights[[#Headers],[State]], 0)</f>
        <v>660</v>
      </c>
      <c r="K356" s="37" cm="1">
        <f t="array" ref="K356">Common_InputFunctions.Utility_DisplayArrayInTable(SourceData_PastureBeef.SourceData_PastureBeef_StandardReferenceWeights_Data(), Table_SourceData_PastureBeef_StandardReferenceWeights[[#Headers],[State]], 0)</f>
        <v>660</v>
      </c>
      <c r="L356" s="37"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7" cm="1">
        <f t="array" ref="E357">Common_InputFunctions.Utility_DisplayArrayInTable(SourceData_PastureBeef.SourceData_PastureBeef_StandardReferenceWeights_Data(), Table_SourceData_PastureBeef_StandardReferenceWeights[[#Headers],[State]], 0)</f>
        <v>770</v>
      </c>
      <c r="F357" s="37" cm="1">
        <f t="array" ref="F357">Common_InputFunctions.Utility_DisplayArrayInTable(SourceData_PastureBeef.SourceData_PastureBeef_StandardReferenceWeights_Data(), Table_SourceData_PastureBeef_StandardReferenceWeights[[#Headers],[State]], 0)</f>
        <v>770</v>
      </c>
      <c r="G357" s="37" cm="1">
        <f t="array" ref="G357">Common_InputFunctions.Utility_DisplayArrayInTable(SourceData_PastureBeef.SourceData_PastureBeef_StandardReferenceWeights_Data(), Table_SourceData_PastureBeef_StandardReferenceWeights[[#Headers],[State]], 0)</f>
        <v>550</v>
      </c>
      <c r="H357" s="37" cm="1">
        <f t="array" ref="H357">Common_InputFunctions.Utility_DisplayArrayInTable(SourceData_PastureBeef.SourceData_PastureBeef_StandardReferenceWeights_Data(), Table_SourceData_PastureBeef_StandardReferenceWeights[[#Headers],[State]], 0)</f>
        <v>550</v>
      </c>
      <c r="I357" s="37" cm="1">
        <f t="array" ref="I357">Common_InputFunctions.Utility_DisplayArrayInTable(SourceData_PastureBeef.SourceData_PastureBeef_StandardReferenceWeights_Data(), Table_SourceData_PastureBeef_StandardReferenceWeights[[#Headers],[State]], 0)</f>
        <v>550</v>
      </c>
      <c r="J357" s="37" cm="1">
        <f t="array" ref="J357">Common_InputFunctions.Utility_DisplayArrayInTable(SourceData_PastureBeef.SourceData_PastureBeef_StandardReferenceWeights_Data(), Table_SourceData_PastureBeef_StandardReferenceWeights[[#Headers],[State]], 0)</f>
        <v>660</v>
      </c>
      <c r="K357" s="37" cm="1">
        <f t="array" ref="K357">Common_InputFunctions.Utility_DisplayArrayInTable(SourceData_PastureBeef.SourceData_PastureBeef_StandardReferenceWeights_Data(), Table_SourceData_PastureBeef_StandardReferenceWeights[[#Headers],[State]], 0)</f>
        <v>660</v>
      </c>
      <c r="L357" s="37"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7" cm="1">
        <f t="array" ref="E358">Common_InputFunctions.Utility_DisplayArrayInTable(SourceData_PastureBeef.SourceData_PastureBeef_StandardReferenceWeights_Data(), Table_SourceData_PastureBeef_StandardReferenceWeights[[#Headers],[State]], 0)</f>
        <v>770</v>
      </c>
      <c r="F358" s="37" cm="1">
        <f t="array" ref="F358">Common_InputFunctions.Utility_DisplayArrayInTable(SourceData_PastureBeef.SourceData_PastureBeef_StandardReferenceWeights_Data(), Table_SourceData_PastureBeef_StandardReferenceWeights[[#Headers],[State]], 0)</f>
        <v>770</v>
      </c>
      <c r="G358" s="37" cm="1">
        <f t="array" ref="G358">Common_InputFunctions.Utility_DisplayArrayInTable(SourceData_PastureBeef.SourceData_PastureBeef_StandardReferenceWeights_Data(), Table_SourceData_PastureBeef_StandardReferenceWeights[[#Headers],[State]], 0)</f>
        <v>550</v>
      </c>
      <c r="H358" s="37" cm="1">
        <f t="array" ref="H358">Common_InputFunctions.Utility_DisplayArrayInTable(SourceData_PastureBeef.SourceData_PastureBeef_StandardReferenceWeights_Data(), Table_SourceData_PastureBeef_StandardReferenceWeights[[#Headers],[State]], 0)</f>
        <v>550</v>
      </c>
      <c r="I358" s="37" cm="1">
        <f t="array" ref="I358">Common_InputFunctions.Utility_DisplayArrayInTable(SourceData_PastureBeef.SourceData_PastureBeef_StandardReferenceWeights_Data(), Table_SourceData_PastureBeef_StandardReferenceWeights[[#Headers],[State]], 0)</f>
        <v>550</v>
      </c>
      <c r="J358" s="37" cm="1">
        <f t="array" ref="J358">Common_InputFunctions.Utility_DisplayArrayInTable(SourceData_PastureBeef.SourceData_PastureBeef_StandardReferenceWeights_Data(), Table_SourceData_PastureBeef_StandardReferenceWeights[[#Headers],[State]], 0)</f>
        <v>660</v>
      </c>
      <c r="K358" s="37" cm="1">
        <f t="array" ref="K358">Common_InputFunctions.Utility_DisplayArrayInTable(SourceData_PastureBeef.SourceData_PastureBeef_StandardReferenceWeights_Data(), Table_SourceData_PastureBeef_StandardReferenceWeights[[#Headers],[State]], 0)</f>
        <v>660</v>
      </c>
      <c r="L358" s="37"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7" t="s">
        <v>8</v>
      </c>
      <c r="E361" s="116" t="s">
        <v>131</v>
      </c>
      <c r="F361" s="116" t="s">
        <v>130</v>
      </c>
      <c r="G361" s="116" t="s">
        <v>165</v>
      </c>
      <c r="H361" s="116" t="s">
        <v>166</v>
      </c>
      <c r="I361" s="116" t="s">
        <v>167</v>
      </c>
      <c r="J361" s="116" t="s">
        <v>168</v>
      </c>
      <c r="K361" s="116" t="s">
        <v>169</v>
      </c>
      <c r="L361" s="116" t="s">
        <v>170</v>
      </c>
      <c r="M361" s="116" t="s">
        <v>171</v>
      </c>
      <c r="N361" s="116" t="s">
        <v>172</v>
      </c>
      <c r="O361" s="37" t="s">
        <v>237</v>
      </c>
    </row>
    <row r="362" spans="4:15" x14ac:dyDescent="0.25">
      <c r="D362" s="37" t="str">
        <f>D351</f>
        <v>ACT</v>
      </c>
      <c r="E362" s="37">
        <f t="shared" ref="E362:H362" si="137">E351</f>
        <v>700</v>
      </c>
      <c r="F362" s="37">
        <f t="shared" si="137"/>
        <v>700</v>
      </c>
      <c r="G362" s="37">
        <f t="shared" si="137"/>
        <v>500</v>
      </c>
      <c r="H362" s="37">
        <f t="shared" si="137"/>
        <v>500</v>
      </c>
      <c r="I362" s="37">
        <f>I351</f>
        <v>500</v>
      </c>
      <c r="J362" s="37">
        <f>I351</f>
        <v>500</v>
      </c>
      <c r="K362" s="37">
        <f t="shared" ref="K362" si="138">J351</f>
        <v>600</v>
      </c>
      <c r="L362" s="37">
        <f>K351</f>
        <v>600</v>
      </c>
      <c r="M362" s="37">
        <f>K351</f>
        <v>600</v>
      </c>
      <c r="N362" s="37">
        <f>K351</f>
        <v>600</v>
      </c>
      <c r="O362" s="37" t="str">
        <f>L351</f>
        <v>ACT</v>
      </c>
    </row>
    <row r="363" spans="4:15" x14ac:dyDescent="0.25">
      <c r="D363" s="37" t="str">
        <f t="shared" ref="D363:I363" si="139">D352</f>
        <v>NSW</v>
      </c>
      <c r="E363" s="37">
        <f t="shared" si="139"/>
        <v>700</v>
      </c>
      <c r="F363" s="37">
        <f t="shared" si="139"/>
        <v>700</v>
      </c>
      <c r="G363" s="37">
        <f t="shared" si="139"/>
        <v>500</v>
      </c>
      <c r="H363" s="37">
        <f t="shared" si="139"/>
        <v>500</v>
      </c>
      <c r="I363" s="37">
        <f t="shared" si="139"/>
        <v>500</v>
      </c>
      <c r="J363" s="37">
        <f t="shared" ref="J363:L363" si="140">I352</f>
        <v>500</v>
      </c>
      <c r="K363" s="37">
        <f t="shared" si="140"/>
        <v>600</v>
      </c>
      <c r="L363" s="37">
        <f t="shared" si="140"/>
        <v>600</v>
      </c>
      <c r="M363" s="37">
        <f t="shared" ref="M363:M369" si="141">K352</f>
        <v>600</v>
      </c>
      <c r="N363" s="37">
        <f t="shared" ref="N363:N369" si="142">K352</f>
        <v>600</v>
      </c>
      <c r="O363" s="37" t="str">
        <f t="shared" ref="O363:O369" si="143">L352</f>
        <v>NSW</v>
      </c>
    </row>
    <row r="364" spans="4:15" x14ac:dyDescent="0.25">
      <c r="D364" s="37" t="str">
        <f t="shared" ref="D364:I364" si="144">D353</f>
        <v>Northern Territory</v>
      </c>
      <c r="E364" s="37">
        <f t="shared" si="144"/>
        <v>770</v>
      </c>
      <c r="F364" s="37">
        <f t="shared" si="144"/>
        <v>770</v>
      </c>
      <c r="G364" s="37">
        <f t="shared" si="144"/>
        <v>550</v>
      </c>
      <c r="H364" s="37">
        <f t="shared" si="144"/>
        <v>550</v>
      </c>
      <c r="I364" s="37">
        <f t="shared" si="144"/>
        <v>550</v>
      </c>
      <c r="J364" s="37">
        <f t="shared" ref="J364:L364" si="145">I353</f>
        <v>550</v>
      </c>
      <c r="K364" s="37">
        <f t="shared" si="145"/>
        <v>660</v>
      </c>
      <c r="L364" s="37">
        <f t="shared" si="145"/>
        <v>660</v>
      </c>
      <c r="M364" s="37">
        <f t="shared" si="141"/>
        <v>660</v>
      </c>
      <c r="N364" s="37">
        <f t="shared" si="142"/>
        <v>660</v>
      </c>
      <c r="O364" s="37" t="str">
        <f t="shared" si="143"/>
        <v>NT</v>
      </c>
    </row>
    <row r="365" spans="4:15" x14ac:dyDescent="0.25">
      <c r="D365" s="37" t="str">
        <f t="shared" ref="D365:I365" si="146">D354</f>
        <v>Queensland</v>
      </c>
      <c r="E365" s="37">
        <f t="shared" si="146"/>
        <v>770</v>
      </c>
      <c r="F365" s="37">
        <f t="shared" si="146"/>
        <v>770</v>
      </c>
      <c r="G365" s="37">
        <f t="shared" si="146"/>
        <v>550</v>
      </c>
      <c r="H365" s="37">
        <f t="shared" si="146"/>
        <v>550</v>
      </c>
      <c r="I365" s="37">
        <f t="shared" si="146"/>
        <v>550</v>
      </c>
      <c r="J365" s="37">
        <f t="shared" ref="J365:L365" si="147">I354</f>
        <v>550</v>
      </c>
      <c r="K365" s="37">
        <f t="shared" si="147"/>
        <v>660</v>
      </c>
      <c r="L365" s="37">
        <f t="shared" si="147"/>
        <v>660</v>
      </c>
      <c r="M365" s="37">
        <f t="shared" si="141"/>
        <v>660</v>
      </c>
      <c r="N365" s="37">
        <f t="shared" si="142"/>
        <v>660</v>
      </c>
      <c r="O365" s="37" t="str">
        <f t="shared" si="143"/>
        <v>QLD</v>
      </c>
    </row>
    <row r="366" spans="4:15" x14ac:dyDescent="0.25">
      <c r="D366" s="37" t="str">
        <f t="shared" ref="D366:I366" si="148">D355</f>
        <v>South Australia</v>
      </c>
      <c r="E366" s="37">
        <f t="shared" si="148"/>
        <v>770</v>
      </c>
      <c r="F366" s="37">
        <f t="shared" si="148"/>
        <v>770</v>
      </c>
      <c r="G366" s="37">
        <f t="shared" si="148"/>
        <v>550</v>
      </c>
      <c r="H366" s="37">
        <f t="shared" si="148"/>
        <v>550</v>
      </c>
      <c r="I366" s="37">
        <f t="shared" si="148"/>
        <v>550</v>
      </c>
      <c r="J366" s="37">
        <f t="shared" ref="J366:L366" si="149">I355</f>
        <v>550</v>
      </c>
      <c r="K366" s="37">
        <f t="shared" si="149"/>
        <v>660</v>
      </c>
      <c r="L366" s="37">
        <f t="shared" si="149"/>
        <v>660</v>
      </c>
      <c r="M366" s="37">
        <f t="shared" si="141"/>
        <v>660</v>
      </c>
      <c r="N366" s="37">
        <f t="shared" si="142"/>
        <v>660</v>
      </c>
      <c r="O366" s="37" t="str">
        <f t="shared" si="143"/>
        <v>SA</v>
      </c>
    </row>
    <row r="367" spans="4:15" x14ac:dyDescent="0.25">
      <c r="D367" s="37" t="str">
        <f t="shared" ref="D367:I367" si="150">D356</f>
        <v>Tasmania</v>
      </c>
      <c r="E367" s="37">
        <f t="shared" si="150"/>
        <v>770</v>
      </c>
      <c r="F367" s="37">
        <f t="shared" si="150"/>
        <v>770</v>
      </c>
      <c r="G367" s="37">
        <f t="shared" si="150"/>
        <v>550</v>
      </c>
      <c r="H367" s="37">
        <f t="shared" si="150"/>
        <v>550</v>
      </c>
      <c r="I367" s="37">
        <f t="shared" si="150"/>
        <v>550</v>
      </c>
      <c r="J367" s="37">
        <f t="shared" ref="J367:L367" si="151">I356</f>
        <v>550</v>
      </c>
      <c r="K367" s="37">
        <f t="shared" si="151"/>
        <v>660</v>
      </c>
      <c r="L367" s="37">
        <f t="shared" si="151"/>
        <v>660</v>
      </c>
      <c r="M367" s="37">
        <f t="shared" si="141"/>
        <v>660</v>
      </c>
      <c r="N367" s="37">
        <f t="shared" si="142"/>
        <v>660</v>
      </c>
      <c r="O367" s="37" t="str">
        <f t="shared" si="143"/>
        <v>TAS</v>
      </c>
    </row>
    <row r="368" spans="4:15" x14ac:dyDescent="0.25">
      <c r="D368" s="37" t="str">
        <f t="shared" ref="D368:I368" si="152">D357</f>
        <v>Victoria</v>
      </c>
      <c r="E368" s="37">
        <f t="shared" si="152"/>
        <v>770</v>
      </c>
      <c r="F368" s="37">
        <f t="shared" si="152"/>
        <v>770</v>
      </c>
      <c r="G368" s="37">
        <f t="shared" si="152"/>
        <v>550</v>
      </c>
      <c r="H368" s="37">
        <f t="shared" si="152"/>
        <v>550</v>
      </c>
      <c r="I368" s="37">
        <f t="shared" si="152"/>
        <v>550</v>
      </c>
      <c r="J368" s="37">
        <f t="shared" ref="J368:L368" si="153">I357</f>
        <v>550</v>
      </c>
      <c r="K368" s="37">
        <f t="shared" si="153"/>
        <v>660</v>
      </c>
      <c r="L368" s="37">
        <f t="shared" si="153"/>
        <v>660</v>
      </c>
      <c r="M368" s="37">
        <f t="shared" si="141"/>
        <v>660</v>
      </c>
      <c r="N368" s="37">
        <f t="shared" si="142"/>
        <v>660</v>
      </c>
      <c r="O368" s="37" t="str">
        <f t="shared" si="143"/>
        <v>VIC</v>
      </c>
    </row>
    <row r="369" spans="4:15" x14ac:dyDescent="0.25">
      <c r="D369" s="37" t="str">
        <f t="shared" ref="D369:I369" si="154">D358</f>
        <v>Western Australia</v>
      </c>
      <c r="E369" s="37">
        <f t="shared" si="154"/>
        <v>770</v>
      </c>
      <c r="F369" s="37">
        <f t="shared" si="154"/>
        <v>770</v>
      </c>
      <c r="G369" s="37">
        <f t="shared" si="154"/>
        <v>550</v>
      </c>
      <c r="H369" s="37">
        <f t="shared" si="154"/>
        <v>550</v>
      </c>
      <c r="I369" s="37">
        <f t="shared" si="154"/>
        <v>550</v>
      </c>
      <c r="J369" s="37">
        <f t="shared" ref="J369:L369" si="155">I358</f>
        <v>550</v>
      </c>
      <c r="K369" s="37">
        <f t="shared" si="155"/>
        <v>660</v>
      </c>
      <c r="L369" s="37">
        <f t="shared" si="155"/>
        <v>660</v>
      </c>
      <c r="M369" s="37">
        <f t="shared" si="141"/>
        <v>660</v>
      </c>
      <c r="N369" s="37">
        <f t="shared" si="142"/>
        <v>660</v>
      </c>
      <c r="O369" s="37"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4" t="str" cm="1">
        <f t="array" ref="D375">SourceData_PastureBeef.SourceData_PastureBeef_FractionOfManureToMMS_Unit()</f>
        <v>fraction</v>
      </c>
      <c r="E375" s="105" t="s">
        <v>267</v>
      </c>
      <c r="M375" s="1"/>
    </row>
    <row r="376" spans="4:15" x14ac:dyDescent="0.25">
      <c r="D376" s="55" t="str" cm="1">
        <f t="array" ref="D376">SourceData_PastureBeef.SourceData_PastureBeef_FractionOfManureToMMS_Variation()</f>
        <v>VARIATION ON SOURCE: Removed comma from 'Pasture range and paddock' to aid lookup</v>
      </c>
      <c r="M376" s="1"/>
    </row>
    <row r="377" spans="4:15" x14ac:dyDescent="0.25">
      <c r="D377" s="37" t="s">
        <v>8</v>
      </c>
      <c r="E377" s="37" t="s">
        <v>183</v>
      </c>
      <c r="F377" s="37" t="s">
        <v>138</v>
      </c>
      <c r="G377" s="37" t="s">
        <v>238</v>
      </c>
      <c r="M377" s="1"/>
    </row>
    <row r="378" spans="4:15" x14ac:dyDescent="0.25">
      <c r="D378" s="37" t="str" cm="1">
        <f t="array" ref="D378">Common_InputFunctions.Utility_DisplayArrayInTable(SourceData_PastureBeef.SourceData_PastureBeef_FractionOfManureToMMS_Data(),Table_SourceData_PastureBeef_FractionManureToMMS[[#Headers],[State]], 0)</f>
        <v>ACT</v>
      </c>
      <c r="E378" s="37" t="str" cm="1">
        <f t="array" ref="E378">Common_InputFunctions.Utility_DisplayArrayInTable(SourceData_PastureBeef.SourceData_PastureBeef_FractionOfManureToMMS_Data(),Table_SourceData_PastureBeef_FractionManureToMMS[[#Headers],[State]], 0)</f>
        <v>n/a</v>
      </c>
      <c r="F378" s="37" cm="1">
        <f t="array" ref="F378">Common_InputFunctions.Utility_DisplayArrayInTable(SourceData_PastureBeef.SourceData_PastureBeef_FractionOfManureToMMS_Data(),Table_SourceData_PastureBeef_FractionManureToMMS[[#Headers],[State]], 0)</f>
        <v>99.191999999999993</v>
      </c>
      <c r="G378" s="37"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7" t="str" cm="1">
        <f t="array" ref="E379">Common_InputFunctions.Utility_DisplayArrayInTable(SourceData_PastureBeef.SourceData_PastureBeef_FractionOfManureToMMS_Data(),Table_SourceData_PastureBeef_FractionManureToMMS[[#Headers],[State]], 0)</f>
        <v>n/a</v>
      </c>
      <c r="F379" s="37" cm="1">
        <f t="array" ref="F379">Common_InputFunctions.Utility_DisplayArrayInTable(SourceData_PastureBeef.SourceData_PastureBeef_FractionOfManureToMMS_Data(),Table_SourceData_PastureBeef_FractionManureToMMS[[#Headers],[State]], 0)</f>
        <v>99.451999999999998</v>
      </c>
      <c r="G379" s="37"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7" t="str" cm="1">
        <f t="array" ref="E380">Common_InputFunctions.Utility_DisplayArrayInTable(SourceData_PastureBeef.SourceData_PastureBeef_FractionOfManureToMMS_Data(),Table_SourceData_PastureBeef_FractionManureToMMS[[#Headers],[State]], 0)</f>
        <v>n/a</v>
      </c>
      <c r="F380" s="37" cm="1">
        <f t="array" ref="F380">Common_InputFunctions.Utility_DisplayArrayInTable(SourceData_PastureBeef.SourceData_PastureBeef_FractionOfManureToMMS_Data(),Table_SourceData_PastureBeef_FractionManureToMMS[[#Headers],[State]], 0)</f>
        <v>99.759</v>
      </c>
      <c r="G380" s="37"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7" t="str" cm="1">
        <f t="array" ref="E381">Common_InputFunctions.Utility_DisplayArrayInTable(SourceData_PastureBeef.SourceData_PastureBeef_FractionOfManureToMMS_Data(),Table_SourceData_PastureBeef_FractionManureToMMS[[#Headers],[State]], 0)</f>
        <v>n/a</v>
      </c>
      <c r="F381" s="37" cm="1">
        <f t="array" ref="F381">Common_InputFunctions.Utility_DisplayArrayInTable(SourceData_PastureBeef.SourceData_PastureBeef_FractionOfManureToMMS_Data(),Table_SourceData_PastureBeef_FractionManureToMMS[[#Headers],[State]], 0)</f>
        <v>99.122</v>
      </c>
      <c r="G381" s="37"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7" t="str" cm="1">
        <f t="array" ref="E382">Common_InputFunctions.Utility_DisplayArrayInTable(SourceData_PastureBeef.SourceData_PastureBeef_FractionOfManureToMMS_Data(),Table_SourceData_PastureBeef_FractionManureToMMS[[#Headers],[State]], 0)</f>
        <v>n/a</v>
      </c>
      <c r="F382" s="37" cm="1">
        <f t="array" ref="F382">Common_InputFunctions.Utility_DisplayArrayInTable(SourceData_PastureBeef.SourceData_PastureBeef_FractionOfManureToMMS_Data(),Table_SourceData_PastureBeef_FractionManureToMMS[[#Headers],[State]], 0)</f>
        <v>98.894000000000005</v>
      </c>
      <c r="G382" s="37"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7" t="str" cm="1">
        <f t="array" ref="E383">Common_InputFunctions.Utility_DisplayArrayInTable(SourceData_PastureBeef.SourceData_PastureBeef_FractionOfManureToMMS_Data(),Table_SourceData_PastureBeef_FractionManureToMMS[[#Headers],[State]], 0)</f>
        <v>South West</v>
      </c>
      <c r="F383" s="37" cm="1">
        <f t="array" ref="F383">Common_InputFunctions.Utility_DisplayArrayInTable(SourceData_PastureBeef.SourceData_PastureBeef_FractionOfManureToMMS_Data(),Table_SourceData_PastureBeef_FractionManureToMMS[[#Headers],[State]], 0)</f>
        <v>99.622</v>
      </c>
      <c r="G383" s="37"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7" t="str" cm="1">
        <f t="array" ref="E384">Common_InputFunctions.Utility_DisplayArrayInTable(SourceData_PastureBeef.SourceData_PastureBeef_FractionOfManureToMMS_Data(),Table_SourceData_PastureBeef_FractionManureToMMS[[#Headers],[State]], 0)</f>
        <v>Pilbara</v>
      </c>
      <c r="F384" s="37" cm="1">
        <f t="array" ref="F384">Common_InputFunctions.Utility_DisplayArrayInTable(SourceData_PastureBeef.SourceData_PastureBeef_FractionOfManureToMMS_Data(),Table_SourceData_PastureBeef_FractionManureToMMS[[#Headers],[State]], 0)</f>
        <v>99.998999999999995</v>
      </c>
      <c r="G384" s="37"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7" t="str" cm="1">
        <f t="array" ref="E385">Common_InputFunctions.Utility_DisplayArrayInTable(SourceData_PastureBeef.SourceData_PastureBeef_FractionOfManureToMMS_Data(),Table_SourceData_PastureBeef_FractionManureToMMS[[#Headers],[State]], 0)</f>
        <v>Kimberley</v>
      </c>
      <c r="F385" s="37" cm="1">
        <f t="array" ref="F385">Common_InputFunctions.Utility_DisplayArrayInTable(SourceData_PastureBeef.SourceData_PastureBeef_FractionOfManureToMMS_Data(),Table_SourceData_PastureBeef_FractionManureToMMS[[#Headers],[State]], 0)</f>
        <v>99.998999999999995</v>
      </c>
      <c r="G385" s="37"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7" t="str" cm="1">
        <f t="array" ref="E386">Common_InputFunctions.Utility_DisplayArrayInTable(SourceData_PastureBeef.SourceData_PastureBeef_FractionOfManureToMMS_Data(),Table_SourceData_PastureBeef_FractionManureToMMS[[#Headers],[State]], 0)</f>
        <v>Alice Springs</v>
      </c>
      <c r="F386" s="37" cm="1">
        <f t="array" ref="F386">Common_InputFunctions.Utility_DisplayArrayInTable(SourceData_PastureBeef.SourceData_PastureBeef_FractionOfManureToMMS_Data(),Table_SourceData_PastureBeef_FractionManureToMMS[[#Headers],[State]], 0)</f>
        <v>99.998999999999995</v>
      </c>
      <c r="G386" s="37"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7" t="str" cm="1">
        <f t="array" ref="E387">Common_InputFunctions.Utility_DisplayArrayInTable(SourceData_PastureBeef.SourceData_PastureBeef_FractionOfManureToMMS_Data(),Table_SourceData_PastureBeef_FractionManureToMMS[[#Headers],[State]], 0)</f>
        <v>Barkly</v>
      </c>
      <c r="F387" s="37" cm="1">
        <f t="array" ref="F387">Common_InputFunctions.Utility_DisplayArrayInTable(SourceData_PastureBeef.SourceData_PastureBeef_FractionOfManureToMMS_Data(),Table_SourceData_PastureBeef_FractionManureToMMS[[#Headers],[State]], 0)</f>
        <v>99.994</v>
      </c>
      <c r="G387" s="37"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7" t="str" cm="1">
        <f t="array" ref="E388">Common_InputFunctions.Utility_DisplayArrayInTable(SourceData_PastureBeef.SourceData_PastureBeef_FractionOfManureToMMS_Data(),Table_SourceData_PastureBeef_FractionManureToMMS[[#Headers],[State]], 0)</f>
        <v>Northern</v>
      </c>
      <c r="F388" s="37" cm="1">
        <f t="array" ref="F388">Common_InputFunctions.Utility_DisplayArrayInTable(SourceData_PastureBeef.SourceData_PastureBeef_FractionOfManureToMMS_Data(),Table_SourceData_PastureBeef_FractionManureToMMS[[#Headers],[State]], 0)</f>
        <v>99.998999999999995</v>
      </c>
      <c r="G388" s="37"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7" t="str" cm="1">
        <f t="array" ref="E389">Common_InputFunctions.Utility_DisplayArrayInTable(SourceData_PastureBeef.SourceData_PastureBeef_FractionOfManureToMMS_Data(),Table_SourceData_PastureBeef_FractionManureToMMS[[#Headers],[State]], 0)</f>
        <v>High</v>
      </c>
      <c r="F389" s="37" cm="1">
        <f t="array" ref="F389">Common_InputFunctions.Utility_DisplayArrayInTable(SourceData_PastureBeef.SourceData_PastureBeef_FractionOfManureToMMS_Data(),Table_SourceData_PastureBeef_FractionManureToMMS[[#Headers],[State]], 0)</f>
        <v>99.772999999999996</v>
      </c>
      <c r="G389" s="37"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7" t="str" cm="1">
        <f t="array" ref="E390">Common_InputFunctions.Utility_DisplayArrayInTable(SourceData_PastureBeef.SourceData_PastureBeef_FractionOfManureToMMS_Data(),Table_SourceData_PastureBeef_FractionManureToMMS[[#Headers],[State]], 0)</f>
        <v>Moderate/High</v>
      </c>
      <c r="F390" s="37" cm="1">
        <f t="array" ref="F390">Common_InputFunctions.Utility_DisplayArrayInTable(SourceData_PastureBeef.SourceData_PastureBeef_FractionOfManureToMMS_Data(),Table_SourceData_PastureBeef_FractionManureToMMS[[#Headers],[State]], 0)</f>
        <v>99.897999999999996</v>
      </c>
      <c r="G390" s="37"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7" t="str" cm="1">
        <f t="array" ref="E391">Common_InputFunctions.Utility_DisplayArrayInTable(SourceData_PastureBeef.SourceData_PastureBeef_FractionOfManureToMMS_Data(),Table_SourceData_PastureBeef_FractionManureToMMS[[#Headers],[State]], 0)</f>
        <v>Moderate/Low</v>
      </c>
      <c r="F391" s="37" cm="1">
        <f t="array" ref="F391">Common_InputFunctions.Utility_DisplayArrayInTable(SourceData_PastureBeef.SourceData_PastureBeef_FractionOfManureToMMS_Data(),Table_SourceData_PastureBeef_FractionManureToMMS[[#Headers],[State]], 0)</f>
        <v>99.978999999999999</v>
      </c>
      <c r="G391" s="37"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7" t="str" cm="1">
        <f t="array" ref="E392">Common_InputFunctions.Utility_DisplayArrayInTable(SourceData_PastureBeef.SourceData_PastureBeef_FractionOfManureToMMS_Data(),Table_SourceData_PastureBeef_FractionManureToMMS[[#Headers],[State]], 0)</f>
        <v>Low</v>
      </c>
      <c r="F392" s="37" cm="1">
        <f t="array" ref="F392">Common_InputFunctions.Utility_DisplayArrayInTable(SourceData_PastureBeef.SourceData_PastureBeef_FractionOfManureToMMS_Data(),Table_SourceData_PastureBeef_FractionManureToMMS[[#Headers],[State]], 0)</f>
        <v>99.977000000000004</v>
      </c>
      <c r="G392" s="37"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4" t="str" cm="1">
        <f t="array" ref="D398">SourceData_PastureBeef.SourceData_PastureBeef_MethaneConversionFactorPerRegion_Unit()</f>
        <v>fraction</v>
      </c>
      <c r="M398" s="1"/>
    </row>
    <row r="399" spans="4:13" x14ac:dyDescent="0.25">
      <c r="D399" s="55" t="str" cm="1">
        <f t="array" ref="D399">SourceData_PastureBeef.SourceData_PastureBeef_MethaneConversionFactorPerRegion_Variation()</f>
        <v>VARIATION ON SOURCE: Removed comma from 'Pasture range and paddock' to aid lookup</v>
      </c>
      <c r="M399" s="1"/>
    </row>
    <row r="400" spans="4:13" x14ac:dyDescent="0.25">
      <c r="D400" s="37" t="s">
        <v>8</v>
      </c>
      <c r="E400" s="37" t="s">
        <v>183</v>
      </c>
      <c r="F400" s="37" t="s">
        <v>138</v>
      </c>
      <c r="G400" s="37" t="s">
        <v>238</v>
      </c>
      <c r="M400" s="1"/>
    </row>
    <row r="401" spans="4:13" x14ac:dyDescent="0.25">
      <c r="D401" s="37" t="str" cm="1">
        <f t="array" ref="D401">Common_InputFunctions.Utility_DisplayArrayInTable(SourceData_PastureBeef.SourceData_PastureBeef_MethaneConversionFactorPerRegion_Data(), Table_SourceData_PastureBeef_MethaneConversionFactor[[#Headers],[State]], 0)</f>
        <v>ACT</v>
      </c>
      <c r="E401" s="37" t="str" cm="1">
        <f t="array" ref="E401">Common_InputFunctions.Utility_DisplayArrayInTable(SourceData_PastureBeef.SourceData_PastureBeef_MethaneConversionFactorPerRegion_Data(), Table_SourceData_PastureBeef_MethaneConversionFactor[[#Headers],[State]], 0)</f>
        <v>n/a</v>
      </c>
      <c r="F401" s="37" cm="1">
        <f t="array" ref="F401">Common_InputFunctions.Utility_DisplayArrayInTable(SourceData_PastureBeef.SourceData_PastureBeef_MethaneConversionFactorPerRegion_Data(), Table_SourceData_PastureBeef_MethaneConversionFactor[[#Headers],[State]], 0)</f>
        <v>4.7000000000000002E-3</v>
      </c>
      <c r="G401" s="37"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7" t="str" cm="1">
        <f t="array" ref="D402">Common_InputFunctions.Utility_DisplayArrayInTable(SourceData_PastureBeef.SourceData_PastureBeef_MethaneConversionFactorPerRegion_Data(), Table_SourceData_PastureBeef_MethaneConversionFactor[[#Headers],[State]], 0)</f>
        <v>NSW</v>
      </c>
      <c r="E402" s="37" t="str" cm="1">
        <f t="array" ref="E402">Common_InputFunctions.Utility_DisplayArrayInTable(SourceData_PastureBeef.SourceData_PastureBeef_MethaneConversionFactorPerRegion_Data(), Table_SourceData_PastureBeef_MethaneConversionFactor[[#Headers],[State]], 0)</f>
        <v>n/a</v>
      </c>
      <c r="F402" s="37" cm="1">
        <f t="array" ref="F402">Common_InputFunctions.Utility_DisplayArrayInTable(SourceData_PastureBeef.SourceData_PastureBeef_MethaneConversionFactorPerRegion_Data(), Table_SourceData_PastureBeef_MethaneConversionFactor[[#Headers],[State]], 0)</f>
        <v>4.7000000000000002E-3</v>
      </c>
      <c r="G402" s="37"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7" t="str" cm="1">
        <f t="array" ref="D403">Common_InputFunctions.Utility_DisplayArrayInTable(SourceData_PastureBeef.SourceData_PastureBeef_MethaneConversionFactorPerRegion_Data(), Table_SourceData_PastureBeef_MethaneConversionFactor[[#Headers],[State]], 0)</f>
        <v>SA</v>
      </c>
      <c r="E403" s="37" t="str" cm="1">
        <f t="array" ref="E403">Common_InputFunctions.Utility_DisplayArrayInTable(SourceData_PastureBeef.SourceData_PastureBeef_MethaneConversionFactorPerRegion_Data(), Table_SourceData_PastureBeef_MethaneConversionFactor[[#Headers],[State]], 0)</f>
        <v>n/a</v>
      </c>
      <c r="F403" s="37" cm="1">
        <f t="array" ref="F403">Common_InputFunctions.Utility_DisplayArrayInTable(SourceData_PastureBeef.SourceData_PastureBeef_MethaneConversionFactorPerRegion_Data(), Table_SourceData_PastureBeef_MethaneConversionFactor[[#Headers],[State]], 0)</f>
        <v>4.7000000000000002E-3</v>
      </c>
      <c r="G403" s="37"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7" t="str" cm="1">
        <f t="array" ref="D404">Common_InputFunctions.Utility_DisplayArrayInTable(SourceData_PastureBeef.SourceData_PastureBeef_MethaneConversionFactorPerRegion_Data(), Table_SourceData_PastureBeef_MethaneConversionFactor[[#Headers],[State]], 0)</f>
        <v>TAS</v>
      </c>
      <c r="E404" s="37" t="str" cm="1">
        <f t="array" ref="E404">Common_InputFunctions.Utility_DisplayArrayInTable(SourceData_PastureBeef.SourceData_PastureBeef_MethaneConversionFactorPerRegion_Data(), Table_SourceData_PastureBeef_MethaneConversionFactor[[#Headers],[State]], 0)</f>
        <v>n/a</v>
      </c>
      <c r="F404" s="37" cm="1">
        <f t="array" ref="F404">Common_InputFunctions.Utility_DisplayArrayInTable(SourceData_PastureBeef.SourceData_PastureBeef_MethaneConversionFactorPerRegion_Data(), Table_SourceData_PastureBeef_MethaneConversionFactor[[#Headers],[State]], 0)</f>
        <v>4.7000000000000002E-3</v>
      </c>
      <c r="G404" s="37"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7" t="str" cm="1">
        <f t="array" ref="D405">Common_InputFunctions.Utility_DisplayArrayInTable(SourceData_PastureBeef.SourceData_PastureBeef_MethaneConversionFactorPerRegion_Data(), Table_SourceData_PastureBeef_MethaneConversionFactor[[#Headers],[State]], 0)</f>
        <v>VIC</v>
      </c>
      <c r="E405" s="37" t="str" cm="1">
        <f t="array" ref="E405">Common_InputFunctions.Utility_DisplayArrayInTable(SourceData_PastureBeef.SourceData_PastureBeef_MethaneConversionFactorPerRegion_Data(), Table_SourceData_PastureBeef_MethaneConversionFactor[[#Headers],[State]], 0)</f>
        <v>n/a</v>
      </c>
      <c r="F405" s="37" cm="1">
        <f t="array" ref="F405">Common_InputFunctions.Utility_DisplayArrayInTable(SourceData_PastureBeef.SourceData_PastureBeef_MethaneConversionFactorPerRegion_Data(), Table_SourceData_PastureBeef_MethaneConversionFactor[[#Headers],[State]], 0)</f>
        <v>4.7000000000000002E-3</v>
      </c>
      <c r="G405" s="37"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7" t="str" cm="1">
        <f t="array" ref="D406">Common_InputFunctions.Utility_DisplayArrayInTable(SourceData_PastureBeef.SourceData_PastureBeef_MethaneConversionFactorPerRegion_Data(), Table_SourceData_PastureBeef_MethaneConversionFactor[[#Headers],[State]], 0)</f>
        <v>WA</v>
      </c>
      <c r="E406" s="37" t="str" cm="1">
        <f t="array" ref="E406">Common_InputFunctions.Utility_DisplayArrayInTable(SourceData_PastureBeef.SourceData_PastureBeef_MethaneConversionFactorPerRegion_Data(), Table_SourceData_PastureBeef_MethaneConversionFactor[[#Headers],[State]], 0)</f>
        <v>South West</v>
      </c>
      <c r="F406" s="37" cm="1">
        <f t="array" ref="F406">Common_InputFunctions.Utility_DisplayArrayInTable(SourceData_PastureBeef.SourceData_PastureBeef_MethaneConversionFactorPerRegion_Data(), Table_SourceData_PastureBeef_MethaneConversionFactor[[#Headers],[State]], 0)</f>
        <v>4.7000000000000002E-3</v>
      </c>
      <c r="G406" s="37"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7" t="str" cm="1">
        <f t="array" ref="D407">Common_InputFunctions.Utility_DisplayArrayInTable(SourceData_PastureBeef.SourceData_PastureBeef_MethaneConversionFactorPerRegion_Data(), Table_SourceData_PastureBeef_MethaneConversionFactor[[#Headers],[State]], 0)</f>
        <v>WA</v>
      </c>
      <c r="E407" s="37" t="str" cm="1">
        <f t="array" ref="E407">Common_InputFunctions.Utility_DisplayArrayInTable(SourceData_PastureBeef.SourceData_PastureBeef_MethaneConversionFactorPerRegion_Data(), Table_SourceData_PastureBeef_MethaneConversionFactor[[#Headers],[State]], 0)</f>
        <v>Pilbara</v>
      </c>
      <c r="F407" s="37" cm="1">
        <f t="array" ref="F407">Common_InputFunctions.Utility_DisplayArrayInTable(SourceData_PastureBeef.SourceData_PastureBeef_MethaneConversionFactorPerRegion_Data(), Table_SourceData_PastureBeef_MethaneConversionFactor[[#Headers],[State]], 0)</f>
        <v>4.7000000000000002E-3</v>
      </c>
      <c r="G407" s="37"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7" t="str" cm="1">
        <f t="array" ref="D408">Common_InputFunctions.Utility_DisplayArrayInTable(SourceData_PastureBeef.SourceData_PastureBeef_MethaneConversionFactorPerRegion_Data(), Table_SourceData_PastureBeef_MethaneConversionFactor[[#Headers],[State]], 0)</f>
        <v>WA</v>
      </c>
      <c r="E408" s="37" t="str" cm="1">
        <f t="array" ref="E408">Common_InputFunctions.Utility_DisplayArrayInTable(SourceData_PastureBeef.SourceData_PastureBeef_MethaneConversionFactorPerRegion_Data(), Table_SourceData_PastureBeef_MethaneConversionFactor[[#Headers],[State]], 0)</f>
        <v>Kimberley</v>
      </c>
      <c r="F408" s="37" cm="1">
        <f t="array" ref="F408">Common_InputFunctions.Utility_DisplayArrayInTable(SourceData_PastureBeef.SourceData_PastureBeef_MethaneConversionFactorPerRegion_Data(), Table_SourceData_PastureBeef_MethaneConversionFactor[[#Headers],[State]], 0)</f>
        <v>4.7000000000000002E-3</v>
      </c>
      <c r="G408" s="37"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7" t="str" cm="1">
        <f t="array" ref="D409">Common_InputFunctions.Utility_DisplayArrayInTable(SourceData_PastureBeef.SourceData_PastureBeef_MethaneConversionFactorPerRegion_Data(), Table_SourceData_PastureBeef_MethaneConversionFactor[[#Headers],[State]], 0)</f>
        <v>NT</v>
      </c>
      <c r="E409" s="37" t="str" cm="1">
        <f t="array" ref="E409">Common_InputFunctions.Utility_DisplayArrayInTable(SourceData_PastureBeef.SourceData_PastureBeef_MethaneConversionFactorPerRegion_Data(), Table_SourceData_PastureBeef_MethaneConversionFactor[[#Headers],[State]], 0)</f>
        <v>Alice Springs</v>
      </c>
      <c r="F409" s="37" cm="1">
        <f t="array" ref="F409">Common_InputFunctions.Utility_DisplayArrayInTable(SourceData_PastureBeef.SourceData_PastureBeef_MethaneConversionFactorPerRegion_Data(), Table_SourceData_PastureBeef_MethaneConversionFactor[[#Headers],[State]], 0)</f>
        <v>4.7000000000000002E-3</v>
      </c>
      <c r="G409" s="37"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7" t="str" cm="1">
        <f t="array" ref="D410">Common_InputFunctions.Utility_DisplayArrayInTable(SourceData_PastureBeef.SourceData_PastureBeef_MethaneConversionFactorPerRegion_Data(), Table_SourceData_PastureBeef_MethaneConversionFactor[[#Headers],[State]], 0)</f>
        <v>NT</v>
      </c>
      <c r="E410" s="37" t="str" cm="1">
        <f t="array" ref="E410">Common_InputFunctions.Utility_DisplayArrayInTable(SourceData_PastureBeef.SourceData_PastureBeef_MethaneConversionFactorPerRegion_Data(), Table_SourceData_PastureBeef_MethaneConversionFactor[[#Headers],[State]], 0)</f>
        <v>Barkly</v>
      </c>
      <c r="F410" s="37" cm="1">
        <f t="array" ref="F410">Common_InputFunctions.Utility_DisplayArrayInTable(SourceData_PastureBeef.SourceData_PastureBeef_MethaneConversionFactorPerRegion_Data(), Table_SourceData_PastureBeef_MethaneConversionFactor[[#Headers],[State]], 0)</f>
        <v>4.7000000000000002E-3</v>
      </c>
      <c r="G410" s="37"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7" t="str" cm="1">
        <f t="array" ref="D411">Common_InputFunctions.Utility_DisplayArrayInTable(SourceData_PastureBeef.SourceData_PastureBeef_MethaneConversionFactorPerRegion_Data(), Table_SourceData_PastureBeef_MethaneConversionFactor[[#Headers],[State]], 0)</f>
        <v>NT</v>
      </c>
      <c r="E411" s="37" t="str" cm="1">
        <f t="array" ref="E411">Common_InputFunctions.Utility_DisplayArrayInTable(SourceData_PastureBeef.SourceData_PastureBeef_MethaneConversionFactorPerRegion_Data(), Table_SourceData_PastureBeef_MethaneConversionFactor[[#Headers],[State]], 0)</f>
        <v>Northern</v>
      </c>
      <c r="F411" s="37" cm="1">
        <f t="array" ref="F411">Common_InputFunctions.Utility_DisplayArrayInTable(SourceData_PastureBeef.SourceData_PastureBeef_MethaneConversionFactorPerRegion_Data(), Table_SourceData_PastureBeef_MethaneConversionFactor[[#Headers],[State]], 0)</f>
        <v>4.7000000000000002E-3</v>
      </c>
      <c r="G411" s="37"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7" t="str" cm="1">
        <f t="array" ref="D412">Common_InputFunctions.Utility_DisplayArrayInTable(SourceData_PastureBeef.SourceData_PastureBeef_MethaneConversionFactorPerRegion_Data(), Table_SourceData_PastureBeef_MethaneConversionFactor[[#Headers],[State]], 0)</f>
        <v>QLD</v>
      </c>
      <c r="E412" s="37" t="str" cm="1">
        <f t="array" ref="E412">Common_InputFunctions.Utility_DisplayArrayInTable(SourceData_PastureBeef.SourceData_PastureBeef_MethaneConversionFactorPerRegion_Data(), Table_SourceData_PastureBeef_MethaneConversionFactor[[#Headers],[State]], 0)</f>
        <v>High</v>
      </c>
      <c r="F412" s="37" cm="1">
        <f t="array" ref="F412">Common_InputFunctions.Utility_DisplayArrayInTable(SourceData_PastureBeef.SourceData_PastureBeef_MethaneConversionFactorPerRegion_Data(), Table_SourceData_PastureBeef_MethaneConversionFactor[[#Headers],[State]], 0)</f>
        <v>4.7000000000000002E-3</v>
      </c>
      <c r="G412" s="37"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7" t="str" cm="1">
        <f t="array" ref="D413">Common_InputFunctions.Utility_DisplayArrayInTable(SourceData_PastureBeef.SourceData_PastureBeef_MethaneConversionFactorPerRegion_Data(), Table_SourceData_PastureBeef_MethaneConversionFactor[[#Headers],[State]], 0)</f>
        <v>QLD</v>
      </c>
      <c r="E413" s="37" t="str" cm="1">
        <f t="array" ref="E413">Common_InputFunctions.Utility_DisplayArrayInTable(SourceData_PastureBeef.SourceData_PastureBeef_MethaneConversionFactorPerRegion_Data(), Table_SourceData_PastureBeef_MethaneConversionFactor[[#Headers],[State]], 0)</f>
        <v>Moderate/High</v>
      </c>
      <c r="F413" s="37" cm="1">
        <f t="array" ref="F413">Common_InputFunctions.Utility_DisplayArrayInTable(SourceData_PastureBeef.SourceData_PastureBeef_MethaneConversionFactorPerRegion_Data(), Table_SourceData_PastureBeef_MethaneConversionFactor[[#Headers],[State]], 0)</f>
        <v>4.7000000000000002E-3</v>
      </c>
      <c r="G413" s="37"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7" t="str" cm="1">
        <f t="array" ref="D414">Common_InputFunctions.Utility_DisplayArrayInTable(SourceData_PastureBeef.SourceData_PastureBeef_MethaneConversionFactorPerRegion_Data(), Table_SourceData_PastureBeef_MethaneConversionFactor[[#Headers],[State]], 0)</f>
        <v>QLD</v>
      </c>
      <c r="E414" s="37" t="str" cm="1">
        <f t="array" ref="E414">Common_InputFunctions.Utility_DisplayArrayInTable(SourceData_PastureBeef.SourceData_PastureBeef_MethaneConversionFactorPerRegion_Data(), Table_SourceData_PastureBeef_MethaneConversionFactor[[#Headers],[State]], 0)</f>
        <v>Moderate/Low</v>
      </c>
      <c r="F414" s="37" cm="1">
        <f t="array" ref="F414">Common_InputFunctions.Utility_DisplayArrayInTable(SourceData_PastureBeef.SourceData_PastureBeef_MethaneConversionFactorPerRegion_Data(), Table_SourceData_PastureBeef_MethaneConversionFactor[[#Headers],[State]], 0)</f>
        <v>4.7000000000000002E-3</v>
      </c>
      <c r="G414" s="37"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7" t="str" cm="1">
        <f t="array" ref="D415">Common_InputFunctions.Utility_DisplayArrayInTable(SourceData_PastureBeef.SourceData_PastureBeef_MethaneConversionFactorPerRegion_Data(), Table_SourceData_PastureBeef_MethaneConversionFactor[[#Headers],[State]], 0)</f>
        <v>QLD</v>
      </c>
      <c r="E415" s="37" t="str" cm="1">
        <f t="array" ref="E415">Common_InputFunctions.Utility_DisplayArrayInTable(SourceData_PastureBeef.SourceData_PastureBeef_MethaneConversionFactorPerRegion_Data(), Table_SourceData_PastureBeef_MethaneConversionFactor[[#Headers],[State]], 0)</f>
        <v>Low</v>
      </c>
      <c r="F415" s="37" cm="1">
        <f t="array" ref="F415">Common_InputFunctions.Utility_DisplayArrayInTable(SourceData_PastureBeef.SourceData_PastureBeef_MethaneConversionFactorPerRegion_Data(), Table_SourceData_PastureBeef_MethaneConversionFactor[[#Headers],[State]], 0)</f>
        <v>4.7000000000000002E-3</v>
      </c>
      <c r="G415" s="37"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4" t="str" cm="1">
        <f t="array" ref="D421">SourceData_PastureBeef.SourceData_PastureBeef_AshContentOfFeedIntake_Unit()</f>
        <v>fraction</v>
      </c>
      <c r="M421" s="1"/>
    </row>
    <row r="422" spans="4:13" x14ac:dyDescent="0.25">
      <c r="D422" s="53"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4" t="str" cm="1">
        <f t="array" ref="D427">SourceData_PastureBeef.SourceData_PastureBeef_MethaneEmissionsPotential_Unit()</f>
        <v>m3 CH4 / kg VS</v>
      </c>
      <c r="M427" s="1"/>
    </row>
    <row r="428" spans="4:13" x14ac:dyDescent="0.25">
      <c r="D428" s="53"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4" t="str" cm="1">
        <f t="array" ref="D433">SourceData_PastureBeef.SourceData_PastureBeef_FracGASMSoil_Unit()</f>
        <v>fraction</v>
      </c>
      <c r="M433" s="1"/>
    </row>
    <row r="434" spans="4:13" x14ac:dyDescent="0.25">
      <c r="D434" s="53"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4" t="str" cm="1">
        <f t="array" ref="D439">SourceData_PastureBeef.SourceData_PastureBeef_FracLEACH_Unit()</f>
        <v>fraction</v>
      </c>
      <c r="M439" s="1"/>
    </row>
    <row r="440" spans="4:13" x14ac:dyDescent="0.25">
      <c r="D440" s="53" cm="1">
        <f t="array" ref="D440">SourceData_PastureBeef.SourceData_PastureBeef_FracLEACH_Data()</f>
        <v>0.24</v>
      </c>
      <c r="M440" s="1"/>
    </row>
    <row r="441" spans="4:13" x14ac:dyDescent="0.25">
      <c r="M441" s="1"/>
    </row>
    <row r="442" spans="4:13" x14ac:dyDescent="0.25">
      <c r="M442" s="1"/>
    </row>
    <row r="443" spans="4:13" x14ac:dyDescent="0.25">
      <c r="M443" s="1"/>
    </row>
    <row r="444" spans="4:13" x14ac:dyDescent="0.25">
      <c r="M444" s="1"/>
    </row>
    <row r="445" spans="4:13" x14ac:dyDescent="0.25">
      <c r="M445" s="1"/>
    </row>
    <row r="446" spans="4:13" x14ac:dyDescent="0.25">
      <c r="M446" s="1"/>
    </row>
    <row r="447" spans="4:13" x14ac:dyDescent="0.25">
      <c r="M447" s="1"/>
    </row>
    <row r="448" spans="4:13" x14ac:dyDescent="0.25">
      <c r="M448" s="1"/>
    </row>
    <row r="449" spans="13:13" x14ac:dyDescent="0.25">
      <c r="M449" s="1"/>
    </row>
    <row r="450" spans="13:13" x14ac:dyDescent="0.25">
      <c r="M450" s="1"/>
    </row>
    <row r="451" spans="13:13" x14ac:dyDescent="0.25">
      <c r="M451" s="1"/>
    </row>
    <row r="452" spans="13:13" x14ac:dyDescent="0.25">
      <c r="M452" s="1"/>
    </row>
    <row r="453" spans="13:13" x14ac:dyDescent="0.25">
      <c r="M453" s="1"/>
    </row>
    <row r="454" spans="13:13" x14ac:dyDescent="0.25">
      <c r="M454" s="1"/>
    </row>
  </sheetData>
  <pageMargins left="0.7" right="0.7" top="0.75" bottom="0.75" header="0.3" footer="0.3"/>
  <ignoredErrors>
    <ignoredError sqref="E223:P282" calculatedColumn="1"/>
  </ignoredErrors>
  <tableParts count="2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3CD98-0B55-48F2-82C8-D14A48986042}">
  <dimension ref="A1:BY259"/>
  <sheetViews>
    <sheetView showGridLines="0" topLeftCell="A219"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78</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22</v>
      </c>
      <c r="E6" s="37" t="s">
        <v>23</v>
      </c>
      <c r="F6" s="37" t="s">
        <v>24</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25</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28</v>
      </c>
      <c r="E36" s="37" t="s">
        <v>29</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28</v>
      </c>
      <c r="E47" s="37" t="s">
        <v>31</v>
      </c>
      <c r="F47" s="37" t="s">
        <v>32</v>
      </c>
      <c r="G47" s="37" t="s">
        <v>33</v>
      </c>
      <c r="H47" s="37" t="s">
        <v>34</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5" t="str" cm="1">
        <f t="array" ref="D59:D61">"⚠️" &amp; Common_SourceData.Common_SourceData_WetAndDryZones_Variation()</f>
        <v>⚠️VARIATION OF SOURCE DATA:</v>
      </c>
    </row>
    <row r="60" spans="4:8" ht="20.100000000000001" customHeight="1" x14ac:dyDescent="0.25">
      <c r="D60" s="55" t="str">
        <v>⚠️Added warm / cool temperate moist / dry - low frost and high temp classes to accommodate climate scenarios excluded by VEERG criteria.</v>
      </c>
    </row>
    <row r="61" spans="4:8" ht="20.100000000000001" customHeight="1" x14ac:dyDescent="0.25">
      <c r="D61" s="55" t="str">
        <v>⚠️Fixed typo - Changed 'Fry' to 'Dry'.</v>
      </c>
    </row>
    <row r="62" spans="4:8" ht="20.100000000000001" customHeight="1" x14ac:dyDescent="0.25"/>
    <row r="63" spans="4:8" ht="20.100000000000001" customHeight="1" x14ac:dyDescent="0.25">
      <c r="D63" s="37" t="s">
        <v>10</v>
      </c>
      <c r="E63" s="37" t="s">
        <v>49</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5" t="str" cm="1">
        <f t="array" ref="D83:D87">"⚠️" &amp; Common_SourceData.Common_SourceData_ClimateZones_Variation()</f>
        <v>⚠️VARIATION OF SOURCE DATA:</v>
      </c>
    </row>
    <row r="84" spans="4:20" ht="20.100000000000001" customHeight="1" x14ac:dyDescent="0.25">
      <c r="D84" s="55" t="str">
        <v>⚠️Added warm / cool temperate moist / dry - low frost and high temp classes to accommodate climate scenarios excluded by VEERG criteria.</v>
      </c>
    </row>
    <row r="85" spans="4:20" ht="20.100000000000001" customHeight="1" x14ac:dyDescent="0.25">
      <c r="D85" s="55" t="str">
        <v>⚠️Fixed typo in MAT value for warm temperate dry - changed 10 to 11.</v>
      </c>
    </row>
    <row r="86" spans="4:20" ht="20.100000000000001" customHeight="1" x14ac:dyDescent="0.25">
      <c r="D86" s="55" t="str">
        <v>⚠️Added min and max columns for MAT, MAP, frost days per year, elevation, MAP:PET to calculate zones from real climate data.</v>
      </c>
    </row>
    <row r="87" spans="4:20" ht="20.100000000000001" customHeight="1" x14ac:dyDescent="0.25">
      <c r="D87" s="55" t="str">
        <v>⚠️GAF accepts rainfall as a proxy for precipitation.</v>
      </c>
    </row>
    <row r="88" spans="4:20" ht="20.100000000000001" customHeight="1" x14ac:dyDescent="0.25"/>
    <row r="89" spans="4:20" ht="20.100000000000001" customHeight="1" x14ac:dyDescent="0.25">
      <c r="D89" s="37" t="s">
        <v>10</v>
      </c>
      <c r="E89" s="37" t="s">
        <v>37</v>
      </c>
      <c r="F89" s="37" t="s">
        <v>38</v>
      </c>
      <c r="G89" s="37" t="s">
        <v>39</v>
      </c>
      <c r="H89" s="37" t="s">
        <v>40</v>
      </c>
      <c r="I89" s="37" t="s">
        <v>41</v>
      </c>
      <c r="J89" s="37" t="s">
        <v>42</v>
      </c>
      <c r="K89" s="37" t="s">
        <v>43</v>
      </c>
      <c r="L89" s="37" t="s">
        <v>44</v>
      </c>
      <c r="M89" s="37" t="s">
        <v>45</v>
      </c>
      <c r="N89" s="37" t="s">
        <v>46</v>
      </c>
      <c r="O89" s="37" t="s">
        <v>50</v>
      </c>
      <c r="P89" s="37" t="s">
        <v>47</v>
      </c>
      <c r="Q89" s="37" t="s">
        <v>51</v>
      </c>
      <c r="R89" s="37" t="s">
        <v>48</v>
      </c>
      <c r="S89" s="37" t="s">
        <v>52</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4" t="str" cm="1">
        <f t="array" ref="D99:D102">Common_SourceData.Common_SourceData_ClimateZones_Appendices()</f>
        <v>Note:</v>
      </c>
    </row>
    <row r="100" spans="4:20" ht="20.100000000000001" customHeight="1" x14ac:dyDescent="0.25">
      <c r="D100" s="54" t="str">
        <v>MAT = mean annual temperature</v>
      </c>
    </row>
    <row r="101" spans="4:20" ht="20.100000000000001" customHeight="1" x14ac:dyDescent="0.25">
      <c r="D101" s="54" t="str">
        <v>MAP = mean annual precipitation</v>
      </c>
    </row>
    <row r="102" spans="4:20" ht="20.100000000000001" customHeight="1" x14ac:dyDescent="0.25">
      <c r="D102" s="54" t="str">
        <v>PET = potential evapotranspiration</v>
      </c>
    </row>
    <row r="103" spans="4:20" ht="20.100000000000001" customHeight="1" x14ac:dyDescent="0.25">
      <c r="D103" s="54"/>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5"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56</v>
      </c>
      <c r="E109" s="37" t="s">
        <v>37</v>
      </c>
      <c r="F109" s="37" t="s">
        <v>57</v>
      </c>
      <c r="G109" s="37" t="s">
        <v>58</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5"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59</v>
      </c>
      <c r="E119" s="37" t="s">
        <v>60</v>
      </c>
      <c r="F119" s="37" t="s">
        <v>44</v>
      </c>
      <c r="G119" s="37" t="s">
        <v>45</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66</v>
      </c>
      <c r="E127" s="37" t="s">
        <v>67</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94</v>
      </c>
      <c r="E134" t="s">
        <v>95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5"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152</v>
      </c>
      <c r="E142" s="37" t="s">
        <v>95</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69</v>
      </c>
      <c r="E153" s="37" t="s">
        <v>70</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4"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4" t="str" cm="1">
        <f t="array" ref="D180">Common_SourceData.Common_SourceData_EFN2O_Unit()</f>
        <v>(kg N2O-N / kg N</v>
      </c>
    </row>
    <row r="181" spans="4:68" ht="20.100000000000001" customHeight="1" x14ac:dyDescent="0.25">
      <c r="D181" s="55" t="str" cm="1">
        <f t="array" ref="D181:D185">Common_SourceData.Common_SourceData_EFN2O_Variation()</f>
        <v>VARIATION OF SOURCE DATA:</v>
      </c>
    </row>
    <row r="182" spans="4:68" ht="20.100000000000001" customHeight="1" x14ac:dyDescent="0.25">
      <c r="D182" s="55" t="str">
        <v>Removed duplicate 'Aquaculture' row.</v>
      </c>
    </row>
    <row r="183" spans="4:68" ht="20.100000000000001" customHeight="1" x14ac:dyDescent="0.25">
      <c r="D183" s="55" t="str">
        <v>Removed asterisks to aid lookup.</v>
      </c>
    </row>
    <row r="184" spans="4:68" ht="20.100000000000001" customHeight="1" x14ac:dyDescent="0.25">
      <c r="D184" s="55" t="str">
        <v>Added 'production system only', 'rainfall zone' and 'irrigation method' columns to aid lookup.</v>
      </c>
    </row>
    <row r="185" spans="4:68" ht="20.100000000000001" customHeight="1" x14ac:dyDescent="0.25">
      <c r="D185" s="55" t="str">
        <v>Duplicated 'non-irrigated pasture' row with same EF for low and high rainfall zones to aid lookup.</v>
      </c>
    </row>
    <row r="186" spans="4:68" ht="20.100000000000001" customHeight="1" x14ac:dyDescent="0.25">
      <c r="D186" s="37" t="s">
        <v>115</v>
      </c>
      <c r="E186" s="37" t="s">
        <v>116</v>
      </c>
      <c r="F186" s="37" t="s">
        <v>117</v>
      </c>
      <c r="G186" s="37" t="s">
        <v>118</v>
      </c>
      <c r="H186" s="37" t="s">
        <v>36</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5" t="str" cm="1">
        <f t="array" ref="D204">Common_SourceData.Common_SourceData_EFPastureRangeAndPaddock_Variation()</f>
        <v>VARIATION FROM SOURCE DATA: Changed 'Dry climate zones' to singular 'Dry climate zone' to aid lookup.</v>
      </c>
    </row>
    <row r="205" spans="4:8" x14ac:dyDescent="0.25">
      <c r="D205" s="54" t="str" cm="1">
        <f t="array" ref="D205">Common_SourceData.Common_SourceData_EFPastureRangeAndPaddock_Unit()</f>
        <v>kg N2O - N / kg N</v>
      </c>
    </row>
    <row r="206" spans="4:8" x14ac:dyDescent="0.25">
      <c r="D206" s="37" t="s">
        <v>10</v>
      </c>
      <c r="E206" s="37" t="s">
        <v>154</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132</v>
      </c>
      <c r="E212" s="37" t="s">
        <v>184</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5"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53</v>
      </c>
      <c r="E231" s="37" t="s">
        <v>326</v>
      </c>
      <c r="F231" s="36" t="s">
        <v>266</v>
      </c>
      <c r="G231" s="37" t="s">
        <v>327</v>
      </c>
      <c r="H231" s="37" t="s">
        <v>328</v>
      </c>
      <c r="I231" s="37" t="s">
        <v>329</v>
      </c>
      <c r="J231" s="37" t="s">
        <v>330</v>
      </c>
      <c r="K231" s="37" t="s">
        <v>331</v>
      </c>
      <c r="L231" s="37" t="s">
        <v>332</v>
      </c>
      <c r="M231" s="37" t="s">
        <v>333</v>
      </c>
      <c r="N231" s="37" t="s">
        <v>334</v>
      </c>
      <c r="O231" s="37" t="s">
        <v>335</v>
      </c>
      <c r="P231" s="37" t="s">
        <v>336</v>
      </c>
      <c r="Q231" s="37" t="s">
        <v>337</v>
      </c>
      <c r="R231" s="37" t="s">
        <v>138</v>
      </c>
      <c r="S231" s="37" t="s">
        <v>338</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4" t="str" cm="1">
        <f t="array" ref="D256">Common_SourceData.Common_SourceData_EFOrganicFertiliserAndCropResidues_Unit()</f>
        <v>kg N2O - N / kg N</v>
      </c>
    </row>
    <row r="257" spans="4:5" x14ac:dyDescent="0.25">
      <c r="D257" s="37" t="s">
        <v>362</v>
      </c>
      <c r="E257" s="37" t="s">
        <v>363</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24" sqref="A2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4" t="e" vm="1">
        <v>#VALUE!</v>
      </c>
      <c r="C1" s="8" t="s">
        <v>80</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3</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6" t="s">
        <v>81</v>
      </c>
      <c r="E9" s="37" t="s">
        <v>21</v>
      </c>
      <c r="F9" s="37" t="s">
        <v>82</v>
      </c>
      <c r="G9" s="3"/>
    </row>
    <row r="10" spans="1:13" ht="20.100000000000001" customHeight="1" x14ac:dyDescent="0.25">
      <c r="A10" s="19" t="s">
        <v>77</v>
      </c>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HYPERLINK("#'4.2.1.1-2 Methane'!A1", "4.2.1.1-2 Methane")</f>
        <v>4.2.1.1-2 Methane</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HYPERLINK("#'4.2.1.3-4 Soil direct N2O'!A1", "4.2.1.3-4 Soil direct N2O")</f>
        <v>4.2.1.3-4 Soil direct N2O</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HYPERLINK("#'4.2.1.5-6 Soil Atmos Dep'!A1", "4.2.1.5-6 Soil atm. deposition")</f>
        <v>4.2.1.5-6 Soil atm. deposition</v>
      </c>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HYPERLINK("#'4.2.1.7-8 Soil leach runoff'!A1", "4.2.1.7-8 Soil leach &amp; runoff")</f>
        <v>4.2.1.7-8 Soil leach &amp; runoff</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8" t="s">
        <v>4</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Pasture Beef'!A1", "Constants - Pasture Beef")</f>
        <v>Constants - Pasture Beef</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HYPERLINK("#'Constants - Livestock'!A1", "Constants - Livestock")</f>
        <v>Constants - Livestock</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HYPERLINK("#'Constants - Common'!A1", "Constants - Common")</f>
        <v>Constants - Common</v>
      </c>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t="str">
        <f>HYPERLINK("#'Acknowledgements'!A1", "Acknowledgements")</f>
        <v>Acknowledgements</v>
      </c>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324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6" t="s">
        <v>79</v>
      </c>
    </row>
    <row r="17" spans="1:1" ht="20.100000000000001" customHeight="1" x14ac:dyDescent="0.25">
      <c r="A17" s="66" t="s">
        <v>75</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77</v>
      </c>
    </row>
    <row r="22" spans="1:1" ht="20.100000000000001" customHeight="1" x14ac:dyDescent="0.25">
      <c r="A22" s="66" t="s">
        <v>1</v>
      </c>
    </row>
    <row r="23" spans="1:1" ht="20.100000000000001" customHeight="1" x14ac:dyDescent="0.25">
      <c r="A23" s="66" t="s">
        <v>76</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6" t="s">
        <v>79</v>
      </c>
    </row>
    <row r="32" spans="1:1" ht="20.100000000000001" customHeight="1" x14ac:dyDescent="0.25">
      <c r="A32" s="66" t="s">
        <v>75</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6"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JgAgAFwAIgAgAFwAIgAgACYAIABUAGkAdABsAGUAQwBlAGwAbABcAG4AKQA7ACIAfQAsAHsAIgBwAGEAdABoACIAOgAiAC8AcAByAG8AagBlAGMAdABzAC8AQwBvAG0AbQBvAG4AQwByAG8AcABwAGkAbgBnAF8ASQBuAHAAdQB0AEYAdQBuAGMAdABpAG8AbgBzACIALAAiAHQAZQB4AHQAIgA6ACI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A+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0ATQBTAF8AUABhAHMAdAB1AHIAZQBCAGUAZQBm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EAIABNAGUAdABoAG8AZAAgADEAIAAtACAATQBhAG4AdQByAGUAIABNAGUAdABoAGEAbgBl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xAF8AXwAxAF8AVABvAHQAYQBsAEEAbgBuAHUAYQBsAE0AZQB0AGgAYQBuAGUAUAByAG8AZAB1AGMAdABpAG8AbgBGAHIAbwBtAE0AYQBuAHUAcgBlAE0AYQBuAGEAZwBlAG0AZQBuAHQAXABuAFQAbwB0AGEAbAAgAGEAbgBuAHUAYQBsACAAbQBlAHQAaABhAG4AZQAgAHAAcgBvAGQAdQBjAHQAaQBvAG4AIABmAHIAbwBtACAAbQBhAG4AdQByAGUAIABtAGEAbgBhAGcAZQBtAGUAbgB0ACAAZgBvAHIAIABnAHIAYQB6AGkAbgBnACAAYgBlAGUAZgAgAGMAYQB0AHQAbABlAFwAbgBFAF8AQwBIADQAXABuAHQAIABDAEgANABcAG4ARQBfAHsAQwBIADQAfQA9AFwAXABzAHUAbQBfAHsAagB9AFwAXABzAHUAbQBfAHsAawB9AFwAXABzAHUAbQBfAHsAbAB9AFwAXABzAHUAbQBfAHsAbQB9ACgATgBfAHsAagBrAGwAfQBcAFwAdABpAG0AZQBzACAATQBfAHsAagBrAGwAbQB9AFwAXAB0AGkAbQBlAHMAIABEAF8AagApAFwAXAB0AGkAbQBlAHMAIAAxADAAXgB7AC0AMwB9AFwAbgBOAF8AagBrAGwAIAA9ACAAbgB1AG0AYgBlAHIAIABvAGYAIABiAGUAZQBmACAAYwBhAHQAdABsAGUAIABpAG4AIABlAGEAYwBoACAAdABpAG0AZQAtAHAAZQByAGkAbwBkACwAIABjAGwAYQBzAHMAIABhAG4AZAAgAHMAdQBiAGMAbABhAHMAcwAgACgAaABlAGEAZAApAFwAbgBNAF8AagBrAGwAbQAgAD0AIABtAGUAdABoAGEAbgBlACAAcAByAG8AZAB1AGMAdABpAG8AbgAgAGYAcgBvAG0AIABtAGEAbgB1AHIAZQAgAGkAbgAgAGUAYQBjAGgAIAB0AGkAbQBlAC0AcABlAHIAaQBvAGQALAAgAGMAbABhAHMAcwAsACAAcwB1AGIAYwBsAGEAcwBzACAAYQBuAGQAIABNAE0AUwAgACgAawBnAC8AaABlAGEAZAAvAGQAYQB5ACkAXABuAEQAXwBqACAAPQAgAG4AdQBtAGIAZQByACAAbwBmACAAZABhAHkAcwAgAGkAbgAgAGUAYQBjAGgAIAB0AGkAbQBlAC0AcABlAHIAaQBvAGQAIABmAG8AcgAgAGUAYQBjAGgAIABpAG4AcAB1AHQAIABjAGwAYQBzAHMAIAAoAGQAYQB5AHMAKQBcAG4ALQAtAC0ALQAtAC0ALQAtAC0ALQAtAC0ALQAtAC0ALQAtAC0ALQAtAC0ALQAtAC0ALQAtAC0ALQAtAC0ALQAtAC0ALQAtAC0ALQAtAFwAbgAqAC8AXABuAFwAbgBWAEUARQBSAEcAXwA0AF8AMgBfADEAXwAxAF8AXwAxAF8AVABvAHQAYQBsAEEAbgBuAHUAYQBsAE0AZQB0AGgAYQBuAGUAUAByAG8AZAB1AGMAdABpAG8AbgBGAHIAbwBtAE0AYQBuAHUAcgBlAE0AYQBuAGEAZwBlAG0AZQBuAHQAXABuACAAIAA9AEwAQQBNAEIARABBACgAXABuACAAIAAgACAATgBfAGoAawBsACwAIABNAF8AagBrAGwAbQAsACAARABfAGoALABcAG4AIAAgACAAIAAoAE4AXwBqAGsAbAAgACoAIABNAF8AagBrAGwAbQAgACoAIABEAF8AagApACAAKgAgADEAMAAgAF4AIAAtADMAXABuACAAIAApADsAXABuAFwAbgBWAEUARQBSAEcAXwA0AF8AMgBfADEAXwAxAF8AXwAxAF8AVABvAHQAYQBsAEEAbgBuAHUAYQBsAE0AZQB0AGgAYQBuAGUAUAByAG8AZAB1AGMAdABpAG8AbgBGAHIAbwBtAE0AYQBuAHUAcgBlAE0AYQBuAGEAZwBlAG0AZQBuAHQAXwBUAGkAdABsAGUAXABuACAAIAA9AEwAQQBNAEIARABBACgAXAAiAFQAbwB0AGEAbAAgAGEAbgBuAHUAYQBsACAAbQBlAHQAaABhAG4AZQAgAHAAcgBvAGQAdQBjAHQAaQBvAG4AIABmAHIAbwBtACAAbQBhAG4AdQByAGUAIABtAGEAbgBhAGcAZQBtAGUAbgB0ACAAZgBvAHIAIABnAHIAYQB6AGkAbgBnACAAYgBlAGUAZgAgAGMAYQB0AHQAbABlAFwAIgApADsAXABuAFwAbgBWAEUARQBSAEcAXwA0AF8AMgBfADEAXwAxAF8AXwAxAF8AVABvAHQAYQBsAEEAbgBuAHUAYQBsAE0AZQB0AGgAYQBuAGUAUAByAG8AZAB1AGMAdABpAG8AbgBGAHIAbwBtAE0AYQBuAHUAcgBlAE0AYQBuAGEAZwBlAG0AZQBuAHQAXwBWAGEAcgBpAGEAYgBsAGUAXABuACAAIAA9AEwAQQBNAEIARABBACgAXAAiAEUAXwBDAEgANABcACIAKQA7AFwAbgBcAG4AVgBFAEUAUgBHAF8ANABfADIAXwAxAF8AMQBfAF8AMQBfAFQAbwB0AGEAbABBAG4AbgB1AGEAbABNAGUAdABoAGEAbgBlAFAAcgBvAGQAdQBjAHQAaQBvAG4ARgByAG8AbQBNAGEAbgB1AHIAZQBNAGEAbgBhAGcAZQBtAGUAbgB0AF8AVQBuAGkAdABcAG4AIAAgAD0ATABBAE0AQgBEAEEAKABcACIAdAAgAEMASAA0AFwAIgApADsAXABuAFwAbgBWAEUARQBSAEcAXwA0AF8AMgBfADEAXwAxAF8AXwAxAF8AVABvAHQAYQBsAEEAbgBuAHUAYQBsAE0AZQB0AGgAYQBuAGUAUAByAG8AZAB1AGMAdABpAG8AbgBGAHIAbwBtAE0AYQBuAHUAcgBlAE0AYQBuAGEAZwBlAG0AZQBuAHQAXwBTAG8AdQByAGMAZQBcAG4AIAAgAD0ATABBAE0AQgBEAEEAKABcACIAVgBFAEUAUgBHACAAMgAwADIANgA6ACAANAAuADIALgAxAC4AMQAsACAARQBxAHUAYQB0AGkAbwBuACAAKAAxACkAXAAiACkAOwBcAG4AXABuAFYARQBFAFIARwBfADQAXwAyAF8AMQBfADEAXwBfADEAXwBUAG8AdABhAGwAQQBuAG4AdQBhAGwATQBlAHQAaABhAG4AZQBQAHIAbwBkAHUAYwB0AGkAbwBuAEYAcgBvAG0ATQBhAG4AdQByAGUATQBhAG4AYQBnAGUAbQBlAG4AdABfAE4ASQBSAFIAZQBmAGUAcgBlAG4AYwBlAFwAbgAgACAAPQBMAEEATQBCAEQAQQAoAFwAIgBcACIAKQA7AFwAbgBcAG4AVgBFAEUAUgBHAF8ANABfADIAXwAxAF8AMQBfAF8AMQBfAFQAbwB0AGEAbABBAG4AbgB1AGEAbABNAGUAdABoAGEAbgBlAFAAcgBvAGQAdQBjAHQAaQBvAG4ARgByAG8AbQBNAGEAbgB1AHIAZQBNAGEAbgBhAGcAZQBtAGUAbgB0AF8ATABhAHQAZQB4AEUAcQB1AGEAdABpAG8AbgBcAG4AIAAgAD0ATABBAE0AQgBEAEEAKABcACIARQBfAHsAQwBIADQAfQA9AFwAXABzAHUAbQBfAHsAagB9AFwAXABzAHUAbQBfAHsAawB9AFwAXABzAHUAbQBfAHsAbAB9AFwAXABzAHUAbQBfAHsAbQB9ACgATgBfAHsAagBrAGwAfQBcAFwAdABpAG0AZQBzACAATQBfAHsAagBrAGwAbQB9AFwAXAB0AGkAbQBlAHMAIABEAF8AagApAFwAXAB0AGkAbQBlAHMAIAAxADAAXgB7AC0AMwB9AFwAIgApADsAXABuAFwAbgBWAEUARQBSAEcAXwA0AF8AMgBfADEAXwAxAF8AXwAxAF8AVABvAHQAYQBsAEEAbgBuAHUAYQBsAE0AZQB0AGgAYQBuAGUAUAByAG8AZAB1AGMAdABpAG8AbgBGAHIAbwBtAE0AYQBuAHUAcgBlAE0AYQBuAGEAZwBlAG0AZQBuAHQ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DsAXABuACAAIAAgACAAIAAgACAAIAAgACAAXAAiAE0AXwBqAGsAbABtAFwAIgAsACAAXAAiAG0AZQB0AGgAYQBuAGUAIABwAHIAbwBkAHUAYwB0AGkAbwBuACAAZgByAG8AbQAgAG0AYQBuAHUAcgBlACAAaQBuACAAZQBhAGMAaAAgAHQAaQBtAGUALQBwAGUAcgBpAG8AZAAsACAAYwBsAGEAcwBzACwAIABzAHUAYgBjAGwAYQBzAHMAIABhAG4AZAAgAE0ATQBTAFwAIgAsACAAXAAiAGsAZwAvAGgAZQBhAGQALwBkAGEAeQBcACIALAAgAFwAIgBDAGEAbABjAHUAbABhAHQAZQBkACAAZgByAG8AbQAgADQALgAyAC4AMQAuADEAIAAoADIAKQBcACIAOwBcAG4AIAAgACAAIAAgACAAIAAgACAAIABcACIARABfAGoAXAAiACwAIABcACIAbgB1AG0AYgBlAHIAIABvAGYAIABkAGEAeQBzACAAaQBuACAAZQBhAGMAaAAgAHQAaQBtAGUALQBwAGUAcgBpAG8AZAAgAGYAbwByACAAZQBhAGMAaAAgAGkAbgBwAHUAdAAg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w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pAFwAIgAsACAAXAAiAHMAdABhAHQAZQBcACIALAAgAFwAIgBcACIALAAgAFwAIgBJAG4AcAB1AHQAXAAiADsAXABuACAAIAAgACAAIAAgACAAIAAgACAAXAAiAGkAXAAiACwAIABcACIAcgBlAGcAaQBvAG4AXAAiACwAIABcACIAXAAiACwAIABcACIASQBuAHAAdQB0AFwAIgBcAG4AIAAgACAAIAAgACAAIAAgAH0ALAAgAHIALAAgAGMAKQBcAG4AIAAgACAAIAAgACAAKQBcAG4AIAAgACAAIAApAFwAbgAgACAAKQA7AFwAbgBcAG4AXABuAFYARQBFAFIARwBfADQAXwAyAF8AMQBfADEAXwBfADIAXwBNAGUAdABoAGEAbgBlAFAAcgBvAGQAdQBjAHQAaQBvAG4ARgByAG8AbQBNAGEAbgB1AHIAZQBfAEEAcgBnAHUAbQBlAG4AdABzAF8ATQBlAHQAaABvAGQAMgBcAG4AIAAgAD0ATABBAE0AQgBEAEEAKABcAG4AIAAgACAAIABNAEEASwBFAEEAUgBSAEEAWQAoADY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TQBBAFQAXAAiACwAXAAiAE0AZQBhAG4AIABhAG4AbgB1AGEAbAAgAHQAZQBtAHAAZQByAGEAdAB1AHIAZQBcACIALAAgAFwAIgCwAEMAXAAiACwAIABcACIASQBuAHAAdQB0AFwAIgBcAG4AIAAgACAAIAAgACAAIAAgAH0ALAAgAHIALAAgAGMAKQBcAG4AIAAgACAAIAAgACAAKQBcAG4AIAAgACAAIAApAFwAbgAgACAAKQA7AFwAbgBcAG4AXABuAC8AKgBcAG4ALQAtAC0ALQAtAC0ALQAtAC0ALQAtAC0ALQAtAC0ALQAtAC0ALQAtAC0ALQAtAC0ALQAtAC0ALQAtAC0ALQAtAC0ALQAtAC0ALQAtAFwAbgBWAEUARQBSAEcAXwA0AF8AMgBfADEAXwAxAF8AXwAzAF8AVgBvAGwAYQB0AGkAbABlAFMAbwBsAGkAZABQAHIAbwBkAHUAYwB0AGkAbwBuAEYAcgBvAG0ARwByAGEAegBpAG4AZwBCAGUAZQBmAFwAbgBWAG8AbABhAHQAaQBsAGUAIABzAG8AbABpAGQAIABwAHIAbwBkAHUAYwB0AGkAbwBuACAAZgByAG8AbQAgAGcAcgBhAHoAaQBuAGcAIABiAGUAZQBmAFwAbgBWAFMAXwBqAGsAbABcAG4AawBnAC8AaABlAGEAZAAvAGQAYQB5AFwAbgBWAFMAXwB7AGoAawBsAH0APQAoAEkAXwB7AGoAawBsAH0AXABcAHQAaQBtAGUAcwAgACgAMQAtAEQATQBEAF8AewBqAGsAbAB9ACkAKwAoADAALgAwADQAXABcAHQAaQBtAGUAcwAgAEkAXwB7AGoAawBsAH0AKQApAFwAXAB0AGkAbQBlAHMAIAAoADEALQBBACkAXABuAEkAXwBqAGsAbAAgAD0AIABkAHIAeQAgAG0AYQB0AHQAZQByACAAaQBuAHQAYQBrAGUAIABhAHMAIABjAGEAbABjAHUAbABhAHQAZQBkACAAaQBuACAAQwBoAGEAcAB0AGUAcgAgADMAIABTAGUAYwB0AGkAbwBuACAAMwAuADIALgAxACAAKABrAGcALwBoAGUAYQBkAC8AZABhAHkAKQBcAG4ARABNAEQAXwBqAGsAbAAgAD0AIABkAHIAeQAgAG0AYQB0AHQAZQByACAAZABpAGcAZQBzAHQAaQBiAGkAbABpAHQAeQAgAGUAeABwAHIAZQBzAHMAZQBkACAAYQBzACAAYQAgAGYAcgBhAGMAdABpAG8AbgBcAG4AQQAgAD0AIABhAHMAaAAgAGMAbwBuAHQAZQBuAHQAIABvAGYAIABmAGUAZQBkACAAaQBuAHQAYQBrAGUAIABlAHgAcAByAGUAcwBzAGUAZAAgAGEAcwAgAGEAIABmAHIAYQBjAHQAaQBvAG4AXABuAC0ALQAtAC0ALQAtAC0ALQAtAC0ALQAtAC0ALQAtAC0ALQAtAC0ALQAtAC0ALQAtAC0ALQAtAC0ALQAtAC0ALQAtAC0ALQAtAC0ALQBcAG4AKgAvAFwAbgBcAG4AVgBFAEUAUgBHAF8ANABfADIAXwAxAF8AMQBfAF8AMwBfAFYAbwBsAGEAdABpAGwAZQBTAG8AbABpAGQAUAByAG8AZAB1AGMAdABpAG8AbgBGAHIAbwBtAEcAcgBhAHoAaQBuAGcAQgBlAGUAZgBcAG4AIAAgAD0ATABBAE0AQgBEAEEAKABcAG4AIAAgACAAIABJAF8AagBrAGwALAAgAEQATQBEAF8AagBrAGwALAAgAEEALABcAG4AIAAgACAAIAAoAEkAXwBqAGsAbAAgACoAIAAoADEAIAAtACAARABNAEQAXwBqAGsAbAApACAAKwAgACgAMAAuADAANAAgACoAIABJAF8AagBrAGwAKQApACAAKgAgACgAMQAgAC0AIABBACkAXABuACAAIAApADsAXABuAFwAbgBWAEUARQBSAEcAXwA0AF8AMgBfADEAXwAxAF8AXwAzAF8AVgBvAGwAYQB0AGkAbABlAFMAbwBsAGkAZABQAHIAbwBkAHUAYwB0AGkAbwBuAEYAcgBvAG0ARwByAGEAegBpAG4AZwBCAGUAZQBmAF8AVABpAHQAbABlAFwAbgAgACAAPQBMAEEATQBCAEQAQQAoAFwAIgBWAG8AbABhAHQAaQBsAGUAIABzAG8AbABpAGQAIABwAHIAbwBkAHUAYwB0AGkAbwBuACAAZgByAG8AbQAgAGcAcgBhAHoAaQBuAGcAIABiAGUAZQBmAFwAIgApADsAXABuAFwAbgBWAEUARQBSAEcAXwA0AF8AMgBfADEAXwAxAF8AXwAzAF8AVgBvAGwAYQB0AGkAbABlAFMAbwBsAGkAZABQAHIAbwBkAHUAYwB0AGkAbwBuAEYAcgBvAG0ARwByAGEAegBpAG4AZwBCAGUAZQBmAF8AVgBhAHIAaQBhAGIAbABlAFwAbgAgACAAPQBMAEEATQBCAEQAQQAoAFwAIgBWAFMAXwBqAGsAbABcACIAKQA7AFwAbgBcAG4AVgBFAEUAUgBHAF8ANABfADIAXwAxAF8AMQBfAF8AMwBfAFYAbwBsAGEAdABpAGwAZQBTAG8AbABpAGQAUAByAG8AZAB1AGMAdABpAG8AbgBGAHIAbwBtAEcAcgBhAHoAaQBuAGcAQgBlAGUAZgBfAFUAbgBpAHQAXABuACAAIAA9AEwAQQBNAEIARABBACgAXAAiAGsAZwAvAGgAZQBhAGQALwBkAGEAeQBcACIAKQA7AFwAbgBcAG4AVgBFAEUAUgBHAF8ANABfADIAXwAxAF8AMQBfAF8AMwBfAFYAbwBsAGEAdABpAGwAZQBTAG8AbABpAGQAUAByAG8AZAB1AGMAdABpAG8AbgBGAHIAbwBtAEcAcgBhAHoAaQBuAGcAQgBlAGUAZgBfAFMAbwB1AHIAYwBlAFwAbgAgACAAPQBMAEEATQBCAEQAQQAoAFwAIgBWAEUARQBSAEcAIAAyADAAMgA2ADoAIAA0AC4AMgAuADEALgAxACwAIABFAHEAdQBhAHQAaQBvAG4AIAAoADMAKQBcACIAKQA7AFwAbgBcAG4AVgBFAEUAUgBHAF8ANABfADIAXwAxAF8AMQBfAF8AMwBfAFYAbwBsAGEAdABpAGwAZQBTAG8AbABpAGQAUAByAG8AZAB1AGMAdABpAG8AbgBGAHIAbwBtAEcAcgBhAHoAaQBuAGcAQgBlAGUAZgBfAE4ASQBSAFIAZQBmAGUAcgBlAG4AYwBlAFwAbgAgACAAPQBMAEEATQBCAEQAQQAoAFwAIgBcACIAKQA7AFwAbgBcAG4AVgBFAEUAUgBHAF8ANABfADIAXwAxAF8AMQBfAF8AMwBfAFYAbwBsAGEAdABpAGwAZQBTAG8AbABpAGQAUAByAG8AZAB1AGMAdABpAG8AbgBGAHIAbwBtAEcAcgBhAHoAaQBuAGcAQgBlAGUAZgBfAEwAYQB0AGUAeABFAHEAdQBhAHQAaQBvAG4AXABuACAAIAA9AEwAQQBNAEIARABBACgAXAAiAFYAUwBfAHsAagBrAGwAfQA9ACgASQBfAHsAagBrAGwAfQBcAFwAdABpAG0AZQBzACAAKAAxAC0ARABNAEQAXwB7AGoAawBsAH0AKQArACgAMAAuADAANABcAFwAdABpAG0AZQBzACAASQBfAHsAagBrAGwAfQApACkAXABcAHQAaQBtAGUAcwAgACgAMQAtAEEAKQBcACIAKQA7AFwAbgBcAG4AVgBFAEUAUgBHAF8ANABfADIAXwAxAF8AMQBfAF8AMwBfAFYAbwBsAGEAdABpAGwAZQBTAG8AbABpAGQAUAByAG8AZAB1AGMAdABpAG8AbgBGAHIAbwBtAEcAcgBhAHoAaQBuAGcAQgBlAGUAZgBfAEEAcgBnAHUAbQBlAG4AdABzAFwAbgAgACAAPQBMAEEATQBCAEQAQQAoAFwAbgAgACAAIAAgAE0AQQBLAEUAQQBSAFIAQQBZACgAM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BcACIALAAgAFwAIgBrAGcALwBoAGUAYQBkAC8AZABhAHkAXAAiACwAIABcACIAQwBhAGwAYwB1AGwAYQB0AGUAZAAgAGYAcgBvAG0AIAAzAC4AMgAuADEALgAxACwAIAAoADMAKQBcACIAOwBcAG4AIAAgACAAIAAgACAAIAAgACAAIABcACIARABNAEQAXwBqAGsAbABcACIALAAgAFwAIgBkAHIAeQAgAG0AYQB0AHQAZQByACAAZABpAGcAZQBzAHQAaQBiAGkAbABpAHQAeQAgAGUAeABwAHIAZQBzAHMAZQBkACAAYQBzACAAYQAgAGYAcgBhAGMAdABpAG8AbgBcACIALAAgAFwAIgBmAHIAYQBjAHQAaQBvAG4AXAAiACwAIABcACIASQBuAHAAdQB0AFwAIgA7AFwAbgAgACAAIAAgACAAIAAgACAAIAAgAFwAIgBBAFwAIgAsACAAXAAiAGEAcwBoACAAYwBvAG4AdABlAG4AdAAgAG8AZgAgAGYAZQBlAGQAIABpAG4AdABhAGsAZQAgAGUAeABwAHIAZQBzAHMAZQBkACAAYQBzACAAYQAgAGYAcgBhAGMAdABpAG8AbgBcACIALAAgAFwAIgBmAHIAYQBjAHQAaQBvAG4AXAAiACwAIABcACIAQwBvAG4AcwB0AGEAbgB0AFwAIgBcAG4AIAAgACAAIAAgACAAIAAgAH0ALAAgAHIALAAgAGMAKQBcAG4AIAAgACAAIAAgACAAKQBcAG4AIAAgACAAIAApAFwAbgAgACAAKQA7AFwAbg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FwAIgAsACAAXAAiAGQAYQB5AHMAXAAiACwAIABcACIASQBuAHAAdQB0AFwAIgA7AFwAbgAgACAAIAAgACAAIAAgACAAIAAgAFwAIgBNAF8AagBrAGwAXAAiACwAIABcACIAZABhAGkAbAB5ACAAcAByAG8AZAB1AGMAdABpAG8AbgAgAG8AZgAgAGUAbgB0AGUAcgBpAGMAIABtAGUAdABoAGEAbgBlACAAaQBuACAAZQBhAGMAaAAgAHQAaQBtAGUALQBwAGUAcgBpAG8AZAAsACAAYwBsAGEAcwBzACAAYQBuAGQAIABzAHUAYgBjAGwAYQBzAHMAXAAiACwAIABcACIAawBnACAAQwBIADQALwBoAGUAYQBkAC8AZABhAHkAXAAiACwAIABcACIAQwBhAGwAYwB1AGwAYQB0AGUAZAAgAGYAcgBvAG0AIAAzAC4AMgAuADEALgAxACwAIAAoADIAKQBcACIAO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gBfAEQAYQBpAGwAeQBFAG4AdABlAHIAaQBjAE0AZQB0AGgAYQBuAGUAUAByAG8AZAB1AGMAdABpAG8AbgBcAG4ARABhAGkAbAB5ACAAcAByAG8AZAB1AGMAdABpAG8AbgAgAG8AZgAgAGUAbgB0AGUAcgBpAGMAIABtAGUAdABoAGEAbgBlAFwAbgBNAF8AagBrAGwAXABuAGsAZwAgAEMASAA0AC8AaABlAGEAZAAvAGQAYQB5AFwAbgBNAF8AewBqAGsAbAB9AD0AMgAwAC4ANwBcAFwAdABpAG0AZQBzACAASQBfAHsAagBrAGwAfQBcAFwAdABpAG0AZQBzACAAMQAwAF4AewAtADMAfQBcAG4ASQBfAGoAawBsACAAPQAgAGQAcgB5ACAAbQBhAHQAdABlAHIAIABpAG4AdABhAGsAZQAgACgAawBnACAARABNAC8AaABlAGEAZAAvAGQAYQB5ACkAXABuAC0ALQAtAC0ALQAtAC0ALQAtAC0ALQAtAC0ALQAtAC0ALQAtAC0ALQAtAC0ALQAtAC0ALQAtAC0ALQAtAC0ALQAtAC0ALQAtAC0ALQBcAG4AKgAvAFwAbgBcAG4AVgBFAEUAUgBHAF8AMwBfADIAXwAxAF8AMQBfAF8AMgBfAEQAYQBpAGwAeQBFAG4AdABlAHIAaQBjAE0AZQB0AGgAYQBuAGUAUAByAG8AZAB1AGMAdABpAG8AbgBcAG4AIAAgAD0ATABBAE0AQgBEAEEAKABcAG4AIAAgACAAIABJAF8AagBrAGwALABcAG4AIAAgACAAIAAyADAALgA3ACAAKgAgAEkAXwBqAGsAbAAgACoAIAAxADAAIABeACAALQAzAFwAbgAgACAAKQA7AFwAbgBcAG4AVgBFAEUAUgBHAF8AMwBfADI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gBfADEAXwAxAF8AXwAyAF8ARABhAGkAbAB5AEUAbgB0AGUAcgBpAGMATQBlAHQAaABhAG4AZQBQAHIAbwBkAHUAYwB0AGkAbwBuAF8AVgBhAHIAaQBhAGIAbABlAFwAbgAgACAAPQBMAEEATQBCAEQAQQAoAFwAIgBNAF8AagBrAGwAXAAiACkAOwBcAG4AXABuAFYARQBFAFIARwBfADMAXwAyAF8AMQBfADEAXwBfADIAXwBEAGEAaQBsAHkARQBuAHQAZQByAGkAYwBNAGUAdABoAGEAbgBlAFAAcgBvAGQAdQBjAHQAaQBvAG4AXwBVAG4AaQB0AFwAbgAgACAAPQBMAEEATQBCAEQAQQAoAFwAIgBrAGcAIABDAEgANAAvAGgAZQBhAGQALwBkAGEAeQBcACIAKQA7AFwAbgBcAG4AVgBFAEUAUgBHAF8AMwBfADIAXwAxAF8AMQBfAF8AMgBfAEQAYQBpAGwAeQBFAG4AdABlAHIAaQBjAE0AZQB0AGgAYQBuAGUAUAByAG8AZAB1AGMAdABpAG8AbgBfAFMAbwB1AHIAYwBlAFwAbgAgACAAPQBMAEEATQBCAEQAQQAoAFwAIgBWAEUARQBSAEcAIAAyADAAMgA2ADoAIAAzAC4AMgAuADEALgAxACwAIABFAHEAdQBhAHQAaQBvAG4AIAAoADIAKQBcACIAKQA7AFwAbgBcAG4AVgBFAEUAUgBHAF8AMwBfADIAXwAxAF8AMQBfAF8AMgBfAEQAYQBpAGwAeQBFAG4AdABlAHIAaQBjAE0AZQB0AGgAYQBuAGUAUAByAG8AZAB1AGMAdABpAG8AbgBfAE4ASQBSAFIAZQBmAGUAcgBlAG4AYwBlAFwAbgAgACAAPQBMAEEATQBCAEQAQQAoAFwAIgBDAGgAYQByAG0AbABlAHkAIABlAHQAIABhAGwALgAgACgAMgAwADEANQApAFwAIgApADsAXABuAFwAbgBWAEUARQBSAEcAXwAzAF8AMgBfADEAXwAxAF8AXwAyAF8ARABhAGkAbAB5AEUAbgB0AGUAcgBpAGMATQBlAHQAaABhAG4AZQBQAHIAbwBkAHUAYwB0AGkAbwBuAF8ATABhAHQAZQB4AEUAcQB1AGEAdABpAG8AbgBcAG4AIAAgAD0ATABBAE0AQgBEAEEAKABcACIATQBfAHsAagBrAGwAfQA9ADIAMAAuADcAXABcAHQAaQBtAGUAcwAgAEkAXwB7AGoAawBsAH0AXABcAHQAaQBtAGUAcwAgADEAMABeAHsALQAzAH0AXAAiACkAOwBcAG4AXABuAFYARQBFAFIARwBfADMAXwAy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awBsAFwAIgAsACAAXAAiAGQAcgB5ACAAbQBhAHQAdABlAHIAIABpAG4AdABhAGsAZQBcACIALAAgAFwAIgBrAGcAIABEAE0ALwBoAGUAYQBkAC8AZABhAHkAXAAiACwAIABcACIAQwBhAGwAYwB1AGwAYQB0AGUAZAAgAGYAcgBvAG0AIAAzAC4AMgAuADEALgAxACwAIAAoADM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EwAVwBHAF8AagBrAGwAXAAiACwAIABcACIAbABpAHYAZQAgAHcAZQBpAGcAaAB0ACAAZwBhAGkAbgAgACgAawBnAC8AaABlAGEAZAAvAGQAYQB5ACkAXAAiACwAIABcACIAawBnAC8AaABlAGEAZAAvAGQAYQB5AFwAIgAsACAAXAAiAEkAbgBwAHUAdABcACIAOwBcAG4AIAAgACAAIAAgACAAIAAgACAAIABcACIATQBBAF8AagBrADQANQBcACIALAAgAFwAIgBhAGQAZABpAHQAaQBvAG4AYQBsACAAaQBuAHQAYQBrAGUAIABmAG8AcgAgAG0AaQBsAGsAIABwAHIAbwBkAHUAYwB0AGkAbwBuACAAaQBuACAAYwBvAHcAcwAgAGcAcgBlAGEAdABlAHIAIAB0AGgAYQBuACAAMgAgAHkAZQBhAHIAcwBcACIALAAgAFwAIgBrAGcALwBoAGUAYQBkAC8AZABhAHkAXAAiACwAIABcACIAQwBhAGwAYwB1AGwAYQB0AGUAZAAgAGYAcgBvAG0AIAAzAC4AMgAuADEALgAxACwAIAAoAD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hAGwAdgAsACAATABDAF8AagBrADQANQBwAHIAZQB2ACwAIABGAEEAXwBqAGsANAA1AGMAYQBsAHYALAAgAEYAQQBfAGoAawA0ADUAYQBmAHQAZQByACwAXABuACAAIAAgACAAKAAoAEwAQwBfAGoAawA0ADUAYwBhAGwAdgAgACoAIABGAEEAXwBqAGsANAA1AGMAYQBsAHYAKQAgACsAIAAoAEwAQwBfAGoAawA0ADUAcAByAGUAdgAgACoAIABGAEEAXwBqAGsANAA1AGEAZgB0AGUAcgApACkAIAArACAAKAAxACAALQAgACgATABDAF8AagBrADQANQBjAGEAbAB2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hAGwAdgB9AFwAXAB0AGkAbQBlAHMAIABGAEEAXwB7AGoAawA9ADQALAA1ACwAYwBhAGwAdgB9ACkAKwAoAEwAQwBfAHsAagBrAD0ANAAsADUALABwAHIAZQB2AH0AXABcAHQAaQBtAGUAcwAgAEYAQQBfAHsAagBrAD0ANAAsADUALABhAGYAdABlAHIAfQApACkAKwAoADEALQAoAEwAQwBfAHsAagBrAD0ANAAsADUALABjAGEAbAB2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EEAcgBnAHUAbQBlAG4AdABzAFYAYQByAGkAYQB0AGkAbwBuAFwAbgAgACAAPQBMAEEATQBCAEQAQQAoAFwAbgAgACAAIAAgAE0AQQBLAEUAQQBSAFIAQQBZACgANA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GMAYQBsAHYAXAAiACwAIABcACIAZgBlAGUAZAAgAGEAZABqAHUAcwB0AG0AZQBuAHQAIAB2AGEAbAB1AGUAIABmAG8AcgAgAGwAYQBjAHQAYQB0AGkAbgBnACAAYwBvAHcAcwAgAGkAbgAgAHQAaABlACAAcwBlAGEAcwBvAG4AIABvAGYAIABjAGEAbAB2AGkAbgBnACAAZQB4AHAAcgBlAHMAcwBlAGQAIABhAHMAIABhACAAZgByAGEAYwB0AGkAbwBuAFwAIgAsACAAXAAiAGYAcgBhAGMAdABpAG8AbgBcACIALAAgAFwAIgBDAG8AbgBzAHQAYQBuAHQAXAAiADsAXABuACAAIAAgACAAIAAgACAAIAAgACAAXAAiAEYAQQBfAGoAawA0ADUAYQBmAHQAZQByAFwAIgAsACAAXAAiAGYAZQBlAGQAIABhAGQAagB1AHMAdABtAGUAbgB0ACAAdgBhAGwAdQBlACAAZgBvAHIAIABsAGEAYwB0AGEAdABpAG4AZwAgAGMAbwB3AHMAIABpAG4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FYAYQByAGkAYQB0AGkAbwBuAFwAbgA9AEwAQQBNAEIARABBACgAXAAiAFYAQQBSAEkAQQBUAEkATwBOACAATwBOACAAUwBPAFUAUgBDAEUAOgAgAEUAeABwAGEAbgBkAGUAZAAgAGUAcQB1AGEAdABpAG8AbgAgAHQAbwAgAGEAYwBjAG8AdQBuAHQAIABmAG8AcgAgAHMAZQBhAHMAbwBuACAAYQBmAHQAZQByACAAYwBhAGwAdgBpAG4AZwAsACAAcgBhAHQAaABlAHIAIAB0AGgAYQBuACAAZABvAGkAbgBnACAAdABoAGUAIABzAGEAbQBlACAAZQBxAHUAYQB0AGkAbwBuACAAdAB3AGkAYwBlACAAZgBvAHIAIABiAG8AdABoACAAcwBlAGEAcwBvAG4AcwBcACIAKQ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A8ACAAMQBcACIALAAgAFwAIgBCAHUAbABsACAAPgAgADEAXAAiACwAIABcACIAQwBvAHcAIAA8ACAAMQBcACIALAAgAFwAIgBDAG8AdwAgADEALQAyAFwAIgAsACAAXAAiAEMAbwB3ACAAPgAgADIAXAAiACwAIABcACIAUwB0AGUAZQByACAAPAAgADEAXAAiACwAIABcACIAUwB0AGUAZQByACAAPg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A8ADEAXAAiACwAIABcACIAQgB1AGwAbAAgAD4AMQBcACIALAAgAFwAIgBDAG8AdwBzACAAPAAxAFwAIgAsACAAXAAiAEMAbwB3AHMAIAAxAC0AMgBcACIALAAgAFwAIgBDAG8AdwBzACAAMgAtADMAXAAiACwAIABcACIAQwBvAHcAcwAgAD4AMwBcACIALAAgAFwAIgBTAHQAZQBlAHIAIAA8ADEAXAAiACwAIABcACIAUwB0AGUAZQByACAAMQAtADIAXAAiACwAIABcACIAUwB0AGUAZQByACAAMgAtADMAXAAiACwAIABcACIAUwB0AGUAZQByACAAPg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JwBuAC8AYQAnACAAdwBpAHQAaAAgACcAUwBvAHUAdABoACAAVwBlAHMAdAAnACAAZgBvAHIAIABmAGkAcgBzAHQAIABmAG8AdQByACAAcgBvAHcAcwAgAG8AZgAgAFcAZQBzAHQAZQByAG4AIABBAHUAcwB0AHIAYQBsAGkAYQAgAHQAbwAgAGIAZQAgAGMAbwBuAHMAaQBzAHQAZQBuAHQAIAB3AGkAdABoACAAdABhAGIAbABlACAAQQAuADEALgAyAC4AMQBcACIAKQA7AFwAbgBcAG4AUwBvAHUAcgBjAGUARABhAHQAYQBfAFAAYQBzAHQAdQByAGUAQgBlAGUAZgBfAEwAaQB2AGUAdwBlAGkAZwBoAHQARwBhAGkAbg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DwAMQBcACIALAAgAFwAIgBCAHUAbABsACAAPgAxAFwAIgAsACAAXAAiAEMAbwB3ACAAPAAxAFwAIgAsACAAXAAiAEMAbwB3ACAAMQAtADIAXAAiACwAIABcACIAQwBvAHcAIAA+ADIAXAAiACwAIABcACIAUwB0AGUAZQByACAAPAAxAFwAIgAsACAAXAAiAFMAdABlAGUAcgAgAD4AMQBcACIAOwBcAG4AIAAgACAAIAAgACAAIAAgACAAIABcACIAQQBDAFQALwBOAFMAVwBcACIALAAgAFwAIgBuAC8AYQBcACIALAAgAFwAIgBTAHAAcgBpAG4AZwBcACIALAAgADAALgA1ACwAIAAwAC4AMgAsACAAMAAuADUALAAgADAALgA0ACwAIAAwAC4AMwAsACAAMAAuADUALAAgADAALgA0ADsAXABuACAAIAAgACAAIAAgACAAIAAgACAAXAAiAEEAQwBUAC8ATgBTAFcAXAAiACwAIABcACIAbgAvAGEAXAAiACwAIABcACIAUwB1AG0AbQBlAHIAXAAiACwAIAAxAC4AMAAsACAAMAAuADQALAAgADAALgA5ACwAIAAwAC4ANwAsACAAMAAuADMALAAgADAALgA5ACwAIAAwAC4ANAA7AFwAbgAgACAAIAAgACAAIAAgACAAIAAgAFwAIgBBAEMAVAAvAE4AUwBXAFwAIgAsACAAXAAiAG4ALwBhAFwAIgAsACAAXAAiAEEAdQB0AHUAbQBuAFwAIgAsACAAMAAuADgALAAgADAALgAzACwAIAAwAC4ANwAsACAAMAAuADMALAAgADAALgAyACwAIAAwAC4ANwAsACAAMAAuADMAOwBcAG4AIAAgACAAIAAgACAAIAAgACAAIABcACIAQQBDAFQALwBOAFMAVwBcACIALAAgAFwAIgBuAC8AYQBcACIALAAgAFwAIgBXAGkAbgB0AGUAcgBcACIALAAgADAALgA0ACwAIAAwAC4AMQAsACAAMAAuADQALAAgADAALgAyACwAIAAwAC4AMQAsACAAMAAuADQALAAgADAALgAxADsAXABuACAAIAAgACAAIAAgACAAIAAgACAAXAAiAFMAbwB1AHQAaAAgAEEAdQBzAHQAcgBhAGwAaQBhAFwAIgAsACAAXAAiAG4ALwBhAFwAIgAsACAAXAAiAFMAcAByAGkAbgBnAFwAIgAsACAAMAAuADkAOQAsACAAMQAuADEALAAgADAALgA4ADgALAAgADAALgA1ADUALAAgADAALgA1ADUALAAgADAALgA4ADgALAAgADAALgAyADIAOwBcAG4AIAAgACAAIAAgACAAIAAgACAAIABcACIAUwBvAHUAdABoACAAQQB1AHMAdAByAGEAbABpAGEAXAAiACwAIABcACIAbgAvAGEAXAAiACwAIABcACIAUwB1AG0AbQBlAHIAXAAiACwAIAAwAC4ANwA3ACwAIAAwAC4AMAAsACAAMAAuADYANgAsACAAMAAuADIAMgAsACAAMAAuADAALAAgADAALgA2ADYALAAgADAALgAwADsAXABuACAAIAAgACAAIAAgACAAIAAgACAAXAAiAFMAbwB1AHQAaAAgAEEAdQBzAHQAcgBhAGwAaQBhAFwAIgAsACAAXAAiAG4ALwBhAFwAIgAsACAAXAAiAEEAdQB0AHUAbQBuAFwAIgAsACAAMAAuADkALAAgAC0AMQAuADEALAAgADAALgA3ACwAIAAwAC4AMgAyACwAIAAtADAALgA1ADUALAAgADAALgA4ACwAIAAtADAALgAyADIAOwBcAG4AIAAgACAAIAAgACAAIAAgACAAIABcACIAUwBvAHUAdABoACAAQQB1AHMAdAByAGEAbABpAGEAXAAiACwAIABcACIAbgAvAGEAXAAiACwAIABcACIAVwBpAG4AdABlAHIAXAAiACwAIAAwAC4AOAA4ACwAIAAwAC4AMAAsACAAMAAuADcANwAsACAAMAAuADUANQAsACAAMAAuADAALAAgADAALgA4ADIALAAgADAALgAwADsAXABuACAAIAAgACAAIAAgACAAIAAgACAAXAAiAFQAYQBzAG0AYQBuAGkAYQBcACIALAAgAFwAIgBuAC8AYQBcACIALAAgAFwAIgBTAHAAcgBpAG4AZwBcACIALAAgADEALgAwACwAIAAwAC4ANQAwACwAIAAxAC4AMAAsACAAMQAuADAALAAgAC0AMAAuADQANAAsACAAMQAuADAALAAgADAALgA1ADsAXABuACAAIAAgACAAIAAgACAAIAAgACAAXAAiAFQAYQBzAG0AYQBuAGkAYQBcACIALAAgAFwAIgBuAC8AYQBcACIALAAgAFwAIgBTAHUAbQBtAGUAcgBcACIALAAgADAALgA4ADIALAAgADAALgA1ADUALAAgADAALgA3ADEALAAgADAALgA1ADUALAAgADAALgA5ADkALAAgADAALgA3ADcALAAgADAALgA1ADsAXABuACAAIAAgACAAIAAgACAAIAAgACAAXAAiAFQAYQBzAG0AYQBuAGkAYQBcACIALAAgAFwAIgBuAC8AYQBcACIALAAgAFwAIgBBAHUAdAB1AG0AbgBcACIALAAgADAALgA3ADcALAAgADAALgA1ADAALAAgADAALgA1ADUALAAgADAALgAxADEALAAgAC0AMAAuADMAMwAsACAAMAAuADYALAAgADAALgAzADMAOwBcAG4AIAAgACAAIAAgACAAIAAgACAAIABcACIAVABhAHMAbQBhAG4AaQBhAFwAIgAsACAAXAAiAG4ALwBhAFwAIgAsACAAXAAiAFcAaQBuAHQAZQByAFwAIgAsACAAMAAuADEAMQAsACAALQAwAC4AMgA3ACwAIAAwAC4AMQAxACwAIAAwAC4AMgAyACwAIAAtADAALgA0ADQALAAgADAALgAxADYALAAgAC0AMAAuADIAMgA7AFwAbgAgACAAIAAgACAAIAAgACAAIAAgAFwAIgBWAGkAYwB0AG8AcgBpAGEAXAAiACwAIABcACIAbgAvAGEAXAAiACwAIABcACIAUwBwAHIAaQBuAGcAXAAiACwAIAAxAC4AMQAwACwAIAAxAC4AMQAwACwAIAAxAC4AMQAwACwAIAAwAC4AOQA5ACwAIAAwAC4AOQA5ACwAIAAxAC4AMQAwACwAIAAwAC4ANwA3ADsAXABuACAAIAAgACAAIAAgACAAIAAgACAAXAAiAFYAaQBjAHQAbwByAGkAYQBcACIALAAgAFwAIgBuAC8AYQBcACIALAAgAFwAIgBTAHUAbQBtAGUAcgBcACIALAAgADAALgAzADMALAAgADAALgAzADMALAAgADAALgAyADIALAAgADAALgAzADMALAAgAC0AMAAuADEAMAAsACAAMAAuADMAMwAsACAAMAAuADEAMQA7AFwAbgAgACAAIAAgACAAIAAgACAAIAAgAFwAIgBWAGkAYwB0AG8AcgBpAGEAXAAiACwAIABcACIAbgAvAGEAXAAiACwAIABcACIAQQB1AHQAdQBtAG4AXAAiACwAIAAwAC4ANQAwACwAIAAwAC4AMgAwACwAIAAwAC4ANQA1ACwAIAAwAC4ANAA0ACwAIAAwAC4AMgAwACwAIAAwAC4ANQA1ACwAIAAwAC4AMgAwADsAXABuACAAIAAgACAAIAAgACAAIAAgACAAXAAiAFYAaQBjAHQAbwByAGkAYQBcACIALAAgAFwAIgBuAC8AYQBcACIALAAgAFwAIgBXAGkAbgB0AGUAcgBcACIALAAgADAALgA1ADUALAAgADAALgAyADIALAAgADAALgA0ADkALAAgADAALgAyADIALAAgADAALgAyADIALAAgADAALgA0ADkALAAgADAALgAzADMAOwBcAG4AIAAgACAAIAAgACAAIAAgACAAIABcACIAVwBlAHMAdABlAHIAbgAgAEEAdQBzAHQAcgBhAGwAaQBhAFwAIgAsACAAXAAiAFMAbwB1AHQAaAAgAFcAZQBzAHQAXAAiACwAIABcACIAUwBwAHIAaQBuAGcAXAAiACwAIAAxAC4ANgA0ACwAIAAxAC4AMQAwACwAIAAxAC4AMgAxACwAIAAwAC4AOQA5ACwAIAAwAC4ANgA2ACwAIAAxAC4ANAAyACwAIAAxAC4AMQAwADsAXABuACAAIAAgACAAIAAgACAAIAAgACAAXAAiAFcAZQBzAHQAZQByAG4AIABBAHUAcwB0AHIAYQBsAGkAYQBcACIALAAgAFwAIgBTAG8AdQB0AGgAIABXAGUAcwB0AFwAIgAsACAAXAAiAFMAdQBtAG0AZQByAFwAIgAsACAAMAAuADQANAAsACAALQAwAC4AMgAyACwAIAAwAC4ANAA0ACwAIAAwAC4AMwAzACwAIAAtADAALgAyADIALAAgADAALgA0ADQALAAgAC0AMAAuADEAMQA7AFwAbgAgACAAIAAgACAAIAAgACAAIAAgAFwAIgBXAGUAcwB0AGUAcgBuACAAQQB1AHMAdAByAGEAbABpAGEAXAAiACwAIABcACIAUwBvAHUAdABoACAAVwBlAHMAdABcACIALAAgAFwAIgBBAHUAdAB1AG0AbgBcACIALAAgADAALgA2ADAALAAgADAALgAwADAALAAgADAALgA2ADAALAAgADAALgAyADIALAAgAC0AMAAuADUANQAsACAAMAAuADYAMAAsACAAMAAuADAAMAA7AFwAbgAgACAAIAAgACAAIAAgACAAIAAgAFwAIgBXAGUAcwB0AGUAcgBuACAAQQB1AHMAdAByAGEAbABpAGEAXAAiACwAIABcACIAUwBvAHUAdABoACAAVwBlAHMAdABcACIALAAgAFwAIgBXAGkAbgB0AGUAcgBcACIALAAgADAALgA5ADkALAAgADAALgAyADIALAAgADAALgA3ADcALAAgADAALgAxADEALAAgADAALgAxADEALAAgADAALgA3ADcALAAgADAALgA0ADQAOwBcAG4AIAAgACAAIAAgACAAIAAgACAAIABcACIAVwBlAHMAdABlAHIAbgAgAEEAdQBzAHQAcgBhAGwAaQBhAFwAIgAsACAAXAAiAFAAaQBsAGIAYQByAGEAXAAiACwAIABcACIAUwBwAHIAaQBuAGcAXAAiACwAIAAwAC4ANwAwACwAIAAtADAALgA1ADUALAAgADAALgA3ADAALAAgADAALgAyADIALAAgAC0AMAAuADIAMgAsACAAMAAuADcAMAAsACAALQAwAC4AMgAyADsAXABuACAAIAAgACAAIAAgACAAIAAgACAAXAAiAFcAZQBzAHQAZQByAG4AIABBAHUAcwB0AHIAYQBsAGkAYQBcACIALAAgAFwAIgBQAGkAbABiAGEAcgBhAFwAIgAsACAAXAAiAFMAdQBtAG0AZQByAFwAIgAsACAAMAAuADcANwAsACAAMAAuADUANQAsACAAMAAuADcANwAsACAAMAAuADYANgAsACAAMAAuADUANQAsACAAMAAuADcANwAsACAAMAAuADMAMwA7AFwAbgAgACAAIAAgACAAIAAgACAAIAAgAFwAIgBXAGUAcwB0AGUAcgBuACAAQQB1AHMAdAByAGEAbABpAGEAXAAiACwAIABcACIAUABpAGwAYgBhAHIAYQBcACIALAAgAFwAIgBBAHUAdAB1AG0AbgBcACIALAAgADAALgA4ADgALAAgADAALgA1ADUALAAgADAALgA4ADgALAAgADAALgAyADIALAAgADAALgAyADIALAAgADAALgA4ADgALAAgADAALgAyADIAOwBcAG4AIAAgACAAIAAgACAAIAAgACAAIABcACIAVwBlAHMAdABlAHIAbgAgAEEAdQBzAHQAcgBhAGwAaQBhAFwAIgAsACAAXAAiAFAAaQBsAGIAYQByAGEAXAAiACwAIABcACIAVwBpAG4AdABlAHIAXAAiACwAIAAwAC4AMgAyACwAIAAtADAALgA1ADUALAAgADAALgAyADIALAAgADAALgAxADEALAAgAC0AMAAuADIAMgAsACAAMAAuADIAMgAsACAALQAwAC4AMwAzADsAXABuACAAIAAgACAAIAAgACAAIAAgACAAXAAiAFcAZQBzAHQAZQByAG4AIABBAHUAcwB0AHIAYQBsAGkAYQBcACIALAAgAFwAIgBLAGkAbQBiAGUAcgBsAGUAeQBcACIALAAgAFwAIgBTAHAAcgBpAG4AZwBcACIALAAgADAALgAyADIALAAgAC0AMAAuADUANQAsACAAMAAuADMAMwAsACAAMAAuADIAMgAsACAALQAwAC4AMwAzACwAIAAwAC4AMgAyACwAIAAtADAALgA1ADUAOwBcAG4AIAAgACAAIAAgACAAIAAgACAAIABcACIAVwBlAHMAdABlAHIAbgAgAEEAdQBzAHQAcgBhAGwAaQBhAFwAIgAsACAAXAAiAEsAaQBtAGIAZQByAGwAZQB5AFwAIgAsACAAXAAiAFMAdQBtAG0AZQByAFwAIgAsACAAMAAuADgAMAAsACAAMAAuADUANQAsACAAMAAuADcAMAAsACAAMAAuADQANAAsACAAMAAuADYANgAsACAAMAAuADgAMAAsACAAMAAuADUANQA7AFwAbgAgACAAIAAgACAAIAAgACAAIAAgAFwAIgBXAGUAcwB0AGUAcgBuACAAQQB1AHMAdAByAGEAbABpAGEAXAAiACwAIABcACIASwBpAG0AYgBlAHIAbABlAHkAXAAiACwAIABcACIAQQB1AHQAdQBtAG4AXAAiACwAIAAwAC4ANgA2ACwAIAAwAC4ANQA1ACwAIAAwAC4ANQA1ACwAIAAwAC4ANQA1ACwAIAAwAC4AMQAxACwAIAAwAC4ANgA2ACwAIAAwAC4ANQA1ADsAXABuACAAIAAgACAAIAAgACAAIAAgACAAXAAiAFcAZQBzAHQAZQByAG4AIABBAHUAcwB0AHIAYQBsAGkAYQBcACIALAAgAFwAIgBLAGkAbQBiAGUAcgBsAGUAeQBcACIALAAgAFwAIgBXAGkAbgB0AGUAcgBcACIALAAgADAALgAzADMALAAgAC0AMAAuADUANQAsACAAMAAuADEAMQAsACAAMAAuADEAMQAsACAALQAwAC4ANAA0ACwAIAAwAC4AMwAzACwAIAAtADAALgA1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cAYQBpAG4ATgBUAFEATABEAFwAbgBUAGEAYgBsAGUAIABBAC4AMQAuADIALgA0ADoAIABCAGUAZQBmACAAcABhAHMAdAB1AHIAZQAgAGMAYQB0AHQAbABlACAALQAgAEwAaQB2AGUAdwBlAGkAZwBoAHQAIABnAGEAaQBuACAAKABrAGcAKQAgACgATABXAEcAagBrAGwAKQAgAGYAbwByACAATgBUACAAYQBuAGQAIABRAEwARABcAG4ALQAtAC0ALQAtAC0ALQAtAC0ALQAtAC0ALQAtAC0ALQAtAC0ALQAtAC0ALQAtAC0ALQAtAC0ALQAtAC0ALQAtAC0ALQAtAC0ALQAtAFwAbgAqAC8AXABuAFwAbgBTAG8AdQByAGMAZQBEAGEAdABhAF8AUABhAHMAdAB1AHIAZQBCAGUAZQBmAF8ATABpAHYAZQB3AGUAaQBnAGgAdABHAGEAaQBuAE4AVABRAEwARABfAFQAaQB0AGwAZQBcAG4AIAAgAD0ATABBAE0AQgBEAEEAKABcACIAQgBlAGUAZgAgAHAAYQBzAHQAdQByAGUAIABjAGEAdAB0AGwAZQAgAC0AIABMAGkAdgBlAHcAZQBpAGcAaAB0ACAAZwBhAGkAbgAgACgAawBnACkAIAAoAEwAVwBHAGoAawBsACkAIABmAG8AcgAgAE4AVAAgAGEAbgBkACAAUQBMAEQAXAAiACkAOwBcAG4AXABuAFMAbwB1AHIAYwBlAEQAYQB0AGEAXwBQAGEAcwB0AHUAcgBlAEIAZQBlAGYAXwBMAGkAdgBlAHcAZQBpAGcAaAB0AEcAYQBpAG4ATgBUAFEATABEAF8AVgBhAHIAaQBhAGIAbABlAFwAbgAgACAAPQBMAEEATQBCAEQAQQAoAFwAIgBMAFcARwBqAGsAbABcACIAKQA7AFwAbgBcAG4AUwBvAHUAcgBjAGUARABhAHQAYQBfAFAAYQBzAHQAdQByAGUAQgBlAGUAZgBfAEwAaQB2AGUAdwBlAGkAZwBoAHQARwBhAGkAbgBOAFQAUQBMAEQAXwBVAG4AaQB0AFwAbgAgACAAPQBMAEEATQBCAEQAQQAoAFwAIgBrAGcAXAAiACkAOwBcAG4AXABuAFMAbwB1AHIAYwBlAEQAYQB0AGEAXwBQAGEAcwB0AHUAcgBlAEIAZQBlAGYAXwBMAGkAdgBlAHcAZQBpAGcAaAB0AEcAYQBpAG4ATgBUAFEATABEAF8AUwBvAHUAcgBjAGUAXABuACAAIAA9AEwAQQBNAEIARABBACgAXAAiAFYARQBFAFIARwAgADIAMAAyADYAOgAgAFQAYQBiAGwAZQAgAEEALgAxAC4AMgAuADQAXAAiACkAOwBcAG4AXABuAFMAbwB1AHIAYwBlAEQAYQB0AGEAXwBQAGEAcwB0AHUAcgBlAEIAZQBlAGYAXwBMAGkAdgBlAHcAZQBpAGcAaAB0AEcAYQBpAG4ATgBUAFEATABEAF8AVgBhAHIAaQBhAHQAaQBvAG4AXABuACAAIAA9AEwAQQBNAEIARABBACgAXAAiAFwAIgApADsAXABuAFwAbgBTAG8AdQByAGMAZQBEAGEAdABhAF8AUABhAHMAdAB1AHIAZQBCAGUAZQBmAF8ATABpAHYAZQB3AGUAaQBnAGgAdABHAGEAaQBu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DwAMQBcACIALAAgAFwAIgBCAHUAbABsACAAPgAxAFwAIgAsACAAXAAiAEMAbwB3ACAAPAAxAFwAIgAsACAAXAAiAEMAbwB3ACAAMQAtADIAXAAiACwAIABcACIAQwBvAHcAIAAyAC0AMwBcACIALAAgAFwAIgBDAG8AdwAgAD4AMwBcACIALAAgAFwAIgBTAHQAZQBlAHIAIAA8ADEAXAAiACwAIABcACIAUwB0AGUAZQByACAAMQAtADIAXAAiACwAIABcACIAUwB0AGUAZQByACAAMgAtADMAXAAiACwAIABcACIAUwB0AGUAZQByACAAPgAzAFwAIgA7AFwAbgAgACAAIAAgACAAIAAgACAAIAAgAFwAIgBOAG8AcgB0AGgAZQByAG4AIABUAGUAcgByAGkAdABvAHIAeQBcACIALAAgAFwAIgBBAGwAaQBjAGUAIABTAHAAcgBpAG4AZwBzAFwAIgAsACAAXAAiAFMAcAByAGkAbgBnAFwAIgAsACAAMAAuADIAMgAsACAALQAwAC4AMgAzACwAIAAwAC4AMgA1ACwAIAAwAC4AMQA3ACwAIAAwAC4AMQA4ACwAIAAtADAALgAyADgALAAgADAALgAzADIALAAgADAALgAyADQALAAgADAALgAyADUALAAgAC0AMAAuADAANQA7AFwAbgAgACAAIAAgACAAIAAgACAAIAAgAFwAIgBOAG8AcgB0AGgAZQByAG4AIABUAGUAcgByAGkAdABvAHIAeQBcACIALAAgAFwAIgBBAGwAaQBjAGUAIABTAHAAcgBpAG4AZwBzAFwAIgAsACAAXAAiAFMAdQBtAG0AZQByAFwAIgAsACAAMAAuADYANgAsACAAMAAuADIAMAAsACAAMAAuADYAMgAsACAAMAAuADUANAAsACAAMAAuADMAOAAsACAAMAAuADIANwAsACAAMAAuADcANQAsACAAMAAuADYANAAsACAAMAAuADUANQAsACAAMAAuADQAOAA7AFwAbgAgACAAIAAgACAAIAAgACAAIAAgAFwAIgBOAG8AcgB0AGgAZQByAG4AIABUAGUAcgByAGkAdABvAHIAeQBcACIALAAgAFwAIgBBAGwAaQBjAGUAIABTAHAAcgBpAG4AZwBzAFwAIgAsACAAXAAiAEEAdQB0AHUAbQBuAFwAIgAsACAAMAAuADQAOQAsACAAMAAuADEAMwAsACAAMAAuADUANAAsACAAMAAuADQANQAsACAAMAAuADMANQAsACAAMAAuADEANQAsACAAMAAuADYAMwAsACAAMAAuADUANAAsACAAMAAuADQAMgAsACAAMAAuADIANgA7AFwAbgAgACAAIAAgACAAIAAgACAAIAAgAFwAIgBOAG8AcgB0AGgAZQByAG4AIABUAGUAcgByAGkAdABvAHIAeQBcACIALAAgAFwAIgBBAGwAaQBjAGUAIABTAHAAcgBpAG4AZwBzAFwAIgAsACAAXAAiAFcAaQBuAHQAZQByAFwAIgAsACAAMAAuADIANwAsACAALQAwAC4AOAAwACwAIAAwAC4AMgAyACwAIAAwAC4AMAA5ACwAIAAwAC4AMQAyACwAIAAwAC4AMAAyACwAIAAwAC4AMgA1ACwAIAAwAC4AMQA4ACwAIAAwAC4AMQAyACwAIAAwAC4AMAAzADsAXABuACAAIAAgACAAIAAgACAAIAAgACAAXAAiAE4AbwByAHQAaABlAHIAbgAgAFQAZQByAHIAaQB0AG8AcgB5AFwAIgAsACAAXAAiAEIAYQByAGsAbAB5AFwAIgAsACAAXAAiAFMAcAByAGkAbgBnAFwAIgAsACAAMAAuADIAMgAsACAALQAwAC4ANAA0ACwAIAAwAC4AMgAwACwAIAAwAC4AMgAxACwAIAAwAC4AMQA4ACwAIAAwAC4AMAAxACwAIAAwAC4AMQAyACwAIAAwAC4AMAA5ACwAIABcACIATgBPAFwAIgAsACAAXAAiAE4ATwBcACIAOwBcAG4AIAAgACAAIAAgACAAIAAgACAAIABcACIATgBvAHIAdABoAGUAcgBuACAAVABlAHIAcgBpAHQAbwByAHkAXAAiACwAIABcACIAQgBhAHIAawBsAHkAXAAiACwAIABcACIAUwB1AG0AbQBlAHIAXAAiACwAIAAwAC4ANgA2ACwAIAAwAC4AMgAyACwAIAAwAC4ANgA4ACwAIAAwAC4AMgAyACwAIAAwAC4AMgA0ACwAIAAwAC4AMgA1ACwAIAAwAC4ANgA0ACwAIAAwAC4AMwA3ACwAIABcACIATgBPAFwAIgAsACAAXAAiAE4ATwBcACIAOwBcAG4AIAAgACAAIAAgACAAIAAgACAAIABcACIATgBvAHIAdABoAGUAcgBuACAAVABlAHIAcgBpAHQAbwByAHkAXAAiACwAIABcACIAQgBhAHIAawBsAHkAXAAiACwAIABcACIAQQB1AHQAdQBtAG4AXAAiACwAIAAwAC4ANAA5ACwAIAAwAC4AMAA1ACwAIAAwAC4ANgA0ACwAIAAwAC4AMgA1ACwAIAAwAC4AMgA5ACwAIAAwAC4AMQAyACwAIAAwAC4ANQA3ACwAIAAwAC4ANAA5ACwAIABcACIATgBPAFwAIgAsACAAXAAiAE4ATwBcACIAOwBcAG4AIAAgACAAIAAgACAAIAAgACAAIABcACIATgBvAHIAdABoAGUAcgBuACAAVABlAHIAcgBpAHQAbwByAHkAXAAiACwAIABcACIAQgBhAHIAawBsAHkAXAAiACwAIABcACIAVwBpAG4AdABlAHIAXAAiACwAIAAwAC4AMgA3ACwAIAAtADAALgAyADcALAAgADAALgAzADEALAAgADAALgAyADkALAAgADAALgAxADkALAAgADAALgAwADQALAAgADAALgAyADYALAAgADAALgAyADgALAAgAFwAIgBOAE8AXAAiACwAIABcACIATgBPAFwAIgA7AFwAbgAgACAAIAAgACAAIAAgACAAIAAgAFwAIgBOAG8AcgB0AGgAZQByAG4AIABUAGUAcgByAGkAdABvAHIAeQBcACIALAAgAFwAIgBOAG8AcgB0AGgAZQByAG4AXAAiACwAIABcACIAUwBwAHIAaQBuAGcAXAAiACwAIAAwAC4AMgAyACwAIAAtADAALgA0ADQALAAgADAALgAwADAALAAgADAALgAxADUALAAgADAALgAwADgALAAgADAALgAxADcALAAgADAALgAwADYALAAgADAALgAwADIALAAgAC0AMAAuADEANAAsACAAXAAiAE4ATwBcACIAOwBcAG4AIAAgACAAIAAgACAAIAAgACAAIABcACIATgBvAHIAdABoAGUAcgBuACAAVABlAHIAcgBpAHQAbwByAHkAXAAiACwAIABcACIATgBvAHIAdABoAGUAcgBuAFwAIgAsACAAXAAiAFMAdQBtAG0AZQByAFwAIgAsACAAMAAuADYANgAsACAAMAAuADIAMgAsACAAMAAuADcAOQAsACAAMAAuADQAMAAsACAAMAAuADMAOAAsACAAMAAuADIANwAsACAAMAAuADgAMAAsACAAMAAuADEANgAsACAAMAAuADMAMAAsACAAXAAiAE4ATwBcACIAOwBcAG4AIAAgACAAIAAgACAAIAAgACAAIABcACIATgBvAHIAdABoAGUAcgBuACAAVABlAHIAcgBpAHQAbwByAHkAXAAiACwAIABcACIATgBvAHIAdABoAGUAcgBuAFwAIgAsACAAXAAiAEEAdQB0AHUAbQBuAFwAIgAsACAAMAAuADQAOQAsACAAMAAuADAANQAsACAAMAAuADUANQAsACAAMAAuADMAOAAsACAAMAAuADMANgAsACAAMAAuADAANgAsACAAMAAuADUAOAAsACAAMAAuADIAMwAsACAAMAAuADQAMAAsACAAXAAiAE4ATwBcACIAOwBcAG4AIAAgACAAIAAgACAAIAAgACAAIABcACIATgBvAHIAdABoAGUAcgBuACAAVABlAHIAcgBpAHQAbwByAHkAXAAiACwAIABcACIATgBvAHIAdABoAGUAcgBuAFwAIgAsACAAXAAiAFcAaQBuAHQAZQByAFwAIgAsACAAMAAuADIANwAsACAALQAwAC4AMgA3ACwAIAAwAC4AMAAyACwAIAAwAC4AMAA5ACwAIAAwAC4AMQA2ACwAIAAtADAALgAwADQALAAgADAALgAyADEALAAgADAALgAwADMALAAgADAALgAxADEALAAgAFwAIgBOAE8AXAAiADsAXABuACAAIAAgACAAIAAgACAAIAAgACAAXAAiAFEAdQBlAGUAbgBzAGwAYQBuAGQAXAAiACwAIABcACIASABpAGcAaABcACIALAAgAFwAIgBTAHAAcgBpAG4AZwBcACIALAAgADAALgAyADcALAAgAC0AMAAuADEAOQAsACAAMAAuADMAOAAsACAAMAAuADIANQAsACAAMAAuADAANwAsACAAMAAuADAANQAsACAAMAAuADUAMgAsACAAMAAuADUANQAsACAAMAAuADEAOQAsACAAMAAuADYAMAA7AFwAbgAgACAAIAAgACAAIAAgACAAIAAgAFwAIgBRAHUAZQBlAG4AcwBsAGEAbgBkAFwAIgAsACAAXAAiAEgAaQBnAGgAXAAiACwAIABcACIAUwB1AG0AbQBlAHIAXAAiACwAIAAwAC4AMQA2ACwAIAAwAC4AMQA2ACwAIAAwAC4AOAAwACwAIAAwAC4ANQA3ACwAIAAwAC4ANwA2ACwAIAAwAC4ANAA5ACwAIAAwAC4AOAA0ACwAIAAwAC4ANQAxACwAIAAwAC4AMwA2ACwAIAAwAC4AMQA3ADsAXABuACAAIAAgACAAIAAgACAAIAAgACAAXAAiAFEAdQBlAGUAbgBzAGwAYQBuAGQAXAAiACwAIABcACIASABpAGcAaABcACIALAAgAFwAIgBBAHUAdAB1AG0AbgBcACIALAAgADAALgA0ADUALAAgADAALgAxADAALAAgADAALgA0ADkALAAgADAALgA0ADEALAAgADAALgA0ADAALAAgADAALgAxADcALAAgADAALgA1ADQALAAgADAALgA2ADQALAAgAC0AMAAuADAANQAsACAAMAAuADMAMgA7AFwAbgAgACAAIAAgACAAIAAgACAAIAAgAFwAIgBRAHUAZQBlAG4AcwBsAGEAbgBkAFwAIgAsACAAXAAiAEgAaQBnAGgAXAAiACwAIABcACIAVwBpAG4AdABlAHIAXAAiACwAIAAwAC4ANQAxACwAIAAtADAALgAwADcALAAgADAALgAxADMALAAgAC0AMAAuADAAOQAsACAALQAwAC4AMQAzACwAIAAwAC4AMAA3ACwAIAAwAC4AMgA1ACwAIAAwAC4ANwAxACwAIAAwAC4AMQA3ACwAIAAwAC4ANAAzADsAXABuACAAIAAgACAAIAAgACAAIAAgACAAXAAiAFEAdQBlAGUAbgBzAGwAYQBuAGQAXAAiACwAIABcACIATQBvAGQAZQByAGEAdABlAC8ASABpAGcAaABcACIALAAgAFwAIgBTAHAAcgBpAG4AZwBcACIALAAgAC0AMAAuADEAMgAsACAALQAwAC4AMQA5ACwAIAAwAC4ANAAxACwAIAAwAC4AMAA5ACwAIAAwAC4ANAAxACwAIAAtADAALgAxADkALAAgADAALgAwADcALAAgADEALgAwADcALAAgAC0AMAAuADAAOAAsACAAMAAuADAAMAA7AFwAbgAgACAAIAAgACAAIAAgACAAIAAgAFwAIgBRAHUAZQBlAG4AcwBsAGEAbgBkAFwAIgAsACAAXAAiAE0AbwBkAGUAcgBhAHQAZQAvAEgAaQBnAGgAXAAiACwAIABcACIAUwB1AG0AbQBlAHIAXAAiACwAIAAwAC4ANgA1ACwAIAAwAC4AMQA5ACwAIAAwAC4ANgA1ACwAIAAwAC4ANQAxACwAIAAwAC4AMQA4ACwAIAAwAC4ANgAzACwAIAAxAC4AMwAwACwAIAAwAC4ANAA4ACwAIAAxAC4AMQAyACwAIAAwAC4AMwA4ADsAXABuACAAIAAgACAAIAAgACAAIAAgACAAXAAiAFEAdQBlAGUAbgBzAGwAYQBuAGQAXAAiACwAIABcACIATQBvAGQAZQByAGEAdABlAC8ASABpAGcAaABcACIALAAgAFwAIgBBAHUAdAB1AG0AbgBcACIALAAgADAALgA3ADAALAAgADAALgAxADMALAAgADAALgA1ADIALAAgADAALgAzADQALAAgADAALgAwADIALAAgADAALgAwADQALAAgADAALgA3ADcALAAgADAALgA0ADIALAAgADAALgAxADIALAAgADAALgA3ADQAOwBcAG4AIAAgACAAIAAgACAAIAAgACAAIABcACIAUQB1AGUAZQBuAHMAbABhAG4AZABcACIALAAgAFwAIgBNAG8AZABlAHIAYQB0AGUALwBIAGkAZwBoAFwAIgAsACAAXAAiAFcAaQBuAHQAZQByAFwAIgAsACAAMAAuADMAMgAsACAALQAwAC4AMAA2ACwAIAAwAC4AMgA1ACwAIAAwAC4AMQA5ACwAIAAtADAALgAxADAALAAgAC0AMAAuADAAMgAsACAAMAAuADAAMgAsACAAMAAuADIAMwAsACAALQAwAC4AMQAzACwAIAAwAC4AMAAwADsAXABuACAAIAAgACAAIAAgACAAIAAgACAAXAAiAFEAdQBlAGUAbgBzAGwAYQBuAGQAXAAiACwAIABcACIATQBvAGQAZQByAGEAdABlAC8ATABvAHcAXAAiACwAIABcACIAUwBwAHIAaQBuAGcAXAAiACwAIAAwAC4ANgAyACwAIAAtADAALgAxADkALAAgADAALgAzADcALAAgADAALgA0ADEALAAgADAALgAwADYALAAgAC0AMAAuADAAMgAsACAAMAAuADQANwAsACAAMAAuADQANAAsACAAMAAuADMAMAAsACAAMAAuADEAMwA7AFwAbgAgACAAIAAgACAAIAAgACAAIAAgAFwAIgBRAHUAZQBlAG4AcwBsAGEAbgBkAFwAIgAsACAAXAAiAE0AbwBkAGUAcgBhAHQAZQAvAEwAbwB3AFwAIgAsACAAXAAiAFMAdQBtAG0AZQByAFwAIgAsACAAMAAuADAANQAsACAAMAAuADEAOQAsACAAMAAuADMAMQAsACAAMAAuADUANAAsACAAMAAuADUAMwAsACAAMAAuADEANQAsACAAMAAuADIAOAAsACAAMAAuADUANwAsACAAMAAuADQAMgAsACAAMAAuADQAMAA7AFwAbgAgACAAIAAgACAAIAAgACAAIAAgAFwAIgBRAHUAZQBlAG4AcwBsAGEAbgBkAFwAIgAsACAAXAAiAE0AbwBkAGUAcgBhAHQAZQAvAEwAbwB3AFwAIgAsACAAXAAiAEEAdQB0AHUAbQBuAFwAIgAsACAAMAAuADMAMwAsACAAMAAuADEAMwAsACAAMAAuADMAOQAsACAAMAAuADMANgAsACAAMAAuADIANgAsACAAMAAuADEAMQAsACAAMAAuADQAMAAsACAAMAAuADQANAAsACAAMAAuADMANwAsACAALQAwAC4AMAAxADsAXABuACAAIAAgACAAIAAgACAAIAAgACAAXAAiAFEAdQBlAGUAbgBzAGwAYQBuAGQAXAAiACwAIABcACIATQBvAGQAZQByAGEAdABlAC8ATABvAHcAXAAiACwAIABcACIAVwBpAG4AdABlAHIAXAAiACwAIAAwAC4ANgAxACwAIAAtADAALgAwADYALAAgADAALgAyADEALAAgADAALgAxADgALAAgADAALgAxADIALAAgADAALgAwADYALAAgADAALgAyADkALAAgADAALgA0ADEALAAgADAALgA0ADEALAAgAC0AMAAuADEANQA7AFwAbgAgACAAIAAgACAAIAAgACAAIAAgAFwAIgBRAHUAZQBlAG4AcwBsAGEAbgBkAFwAIgAsACAAXAAiAEwAbwB3AFwAIgAsACAAXAAiAFMAcAByAGkAbgBnAFwAIgAsACAALQAwAC4AMgAwACwAIAAwAC4AMAAyACwAIAAwAC4AMgA0ACwAIAAwAC4AMwAwACwAIAAwAC4AMgAzACwAIAAtADAALgAwADUALAAgADAALgAzADQALAAgADAALgAzADAALAAgADAALgA1ADcALAAgADAALgA1ADIAOwBcAG4AIAAgACAAIAAgACAAIAAgACAAIABcACIAUQB1AGUAZQBuAHMAbABhAG4AZABcACIALAAgAFwAIgBMAG8AdwBcACIALAAgAFwAIgBTAHUAbQBtAGUAcgBcACIALAAgADAALgA2ADIALAAgADAALgAyADEALAAgADAALgAyADUALAAgADAALgAzADIALAAgADAALgA0ADcALAAgADAALgAzADEALAAgADAALgAxADQALAAgADAALgA0ADAALAAgADAALgAyADYALAAgADAALgA0ADMAOwBcAG4AIAAgACAAIAAgACAAIAAgACAAIABcACIAUQB1AGUAZQBuAHMAbABhAG4AZABcACIALAAgAFwAIgBMAG8AdwBcACIALAAgAFwAIgBBAHUAdAB1AG0AbgBcACIALAAgADAALgA0ADAALAAgADAALgAxADMALAAgADAALgAxADIALAAgADAALgAyADcALAAgADAALgAzADAALAAgADAALgAwADgALAAgADAALgAxADMALAAgADAALgAyADQALAAgADAALgAxADUALAAgADAALgAyADEAOwBcAG4AIAAgACAAIAAgACAAIAAgACAAIABcACIAUQB1AGUAZQBuAHMAbABhAG4AZABcACIALAAgAFwAIgBMAG8AdwBcACIALAAgAFwAIgBXAGkAbgB0AGUAcgBcACIALAAgADAALgAwADgALAAgADAALgAwADQALAAgADAALgAwADYALAAgADAALgAxADgALAAgADAALgAxADEALAAgAC0AMAAuADAANwAsACAAMAAuADEAMwAsACAAMAAuADEANgAsACAAMAAuADQAMAAsACAAMAAuADMAMw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EAHIAeQBNAGEAdAB0AGUAcgBEAGkAZwBlAHMAdABpAGIAaQBsAGkAdAB5AFwAbgBUAGEAYgBsAGUAIABBAC4AMQAuADIALgA1ADoAIABCAGUAZQBmACAAcABhAHMAdAB1AHIAZQAgAGMAYQB0AHQAbABlACAALQAgAEQAcgB5ACAAbQBhAHQAdABlAHIAIABkAGkAZwBlAHMAdABpAGIAaQBsAGkAdAB5ACAAbwBmACAAZgBlAGUAZAAgAGkAbgB0AGEAawBlACAAKABmAHIAYQBjAHQAaQBvAG4AKQAgACgARABNAEQAagApAFwAbgAtAC0ALQAtAC0ALQAtAC0ALQAtAC0ALQAtAC0ALQAtAC0ALQAtAC0ALQAtAC0ALQAtAC0ALQAtAC0ALQAtAC0ALQAtAC0ALQAtAC0AXABuACoALwBcAG4AXABuAFMAbwB1AHIAYwBlAEQAYQB0AGEAXwBQAGEAcwB0AHUAcgBlAEIAZQBlAGYAXwBEAHIAeQBNAGEAdAB0AGUAcgBEAGkAZwBlAHMAdABpAGIAaQBsAGkAdAB5AF8AVABpAHQAbABlAFwAbgAgACAAPQBMAEEATQBCAEQAQQAoAFwAIgBCAGUAZQBmACAAcABhAHMAdAB1AHIAZQAgAGMAYQB0AHQAbABlACAALQAgAEQAcgB5ACAAbQBhAHQAdABlAHIAIABkAGkAZwBlAHMAdABpAGIAaQBsAGkAdAB5ACAAbwBmACAAZgBlAGUAZAAgAGkAbgB0AGEAawBlACAAKABmAHIAYQBjAHQAaQBvAG4AKQAgACgARABNAEQAagApAFwAIgApADsAXABuAFwAbgBTAG8AdQByAGMAZQBEAGEAdABhAF8AUABhAHMAdAB1AHIAZQBCAGUAZQBmAF8ARAByAHkATQBhAHQAdABlAHIARABpAGcAZQBzAHQAaQBiAGkAbABpAHQAeQBfAFYAYQByAGkAYQBiAGwAZQBcAG4AIAAgAD0ATABBAE0AQgBEAEEAKABcACIARABNAEQAagBcACIAKQA7AFwAbgBcAG4AUwBvAHUAcgBjAGUARABhAHQAYQBfAFAAYQBzAHQAdQByAGUAQgBlAGUAZgBfAEQAcgB5AE0AYQB0AHQAZQByAEQAaQBnAGUAcwB0AGkAYgBpAGwAaQB0AHkAXwBVAG4AaQB0AFwAbgAgACAAPQBMAEEATQBCAEQAQQAoAFwAIgBmAHIAYQBjAHQAaQBvAG4AXAAiACkAOwBcAG4AXABuAFMAbwB1AHIAYwBlAEQAYQB0AGEAXwBQAGEAcwB0AHUAcgBlAEIAZQBlAGYAXwBEAHIAeQBNAGEAdAB0AGUAcgBEAGkAZwBlAHMAdABpAGIAaQBsAGkAdAB5AF8AUwBvAHUAcgBjAGUAXABuACAAIAA9AEwAQQBNAEIARABBACgAXAAiAFYARQBFAFIARwAgADIAMAAyADYAOgAgAFQAYQBiAGwAZQAgAEEALgAxAC4AMgAuADUAXAAiACkAOwBcAG4AXABuAFMAbwB1AHIAYwBlAEQAYQB0AGEAXwBQAGEAcwB0AHUAcgBlAEIAZQBlAGYAXwBEAHIAeQBNAGEAdAB0AGUAcgBEAGkAZwBlAHMAdABpAGIAaQBsAGkAdAB5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QAcgB5AE0AYQB0AHQAZQByAEQAaQBnAGUAcwB0AGkAYgBpAGwAaQB0AHk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NQA1ACwAIAAwAC4ANgA1ACwAIAAwAC4ANgAwACwAIAAwAC4ANQAwADsAXABuACAAIAAgACAAIAAgACAAIAAgACAAXAAiAE4AUwBXAFwAIgAsACAAXAAiAG4ALwBhAFwAIgAsACAAMAAuADUANQAsACAAMAAuADYANQAsACAAMAAuADYAMAAsACAAMAAuADUAMAA7AFwAbgAgACAAIAAgACAAIAAgACAAIAAgAFwAIgBOAFQAXAAiACwAIABcACIAQQBsAGkAYwBlACAAUwBwAHIAaQBuAGcAcwBcACIALAAgADAALgA1ADUALAAgADAALgA2ADEALAAgADAALgA1ADcALAAgADAALgA1ADQAOwBcAG4AIAAgACAAIAAgACAAIAAgACAAIABcACIATgBUAFwAIgAsACAAXAAiAEIAYQByAGsAbAB5AFwAIgAsACAAMAAuADUANQAsACAAMAAuADYAMQAsACAAMAAuADUANwAsACAAMAAuADUANAA7AFwAbgAgACAAIAAgACAAIAAgACAAIAAgAFwAIgBOAFQAXAAiACwAIABcACIATgBvAHIAdABoAGUAcgBuAFwAIgAsACAAMAAuADUANQAsACAAMAAuADYAMQAsACAAMAAuADUANwAsACAAMAAuADUANAA7AFwAbgAgACAAIAAgACAAIAAgACAAIAAgAFwAIgBRAEwARABcACIALAAgAFwAIgBIAGkAZwBoAFwAIgAsACAAMAAuADUAMwAsACAAMAAuADUANwAsACAAMAAuADUANQAsACAAMAAuADUAMQA7AFwAbgAgACAAIAAgACAAIAAgACAAIAAgAFwAIgBRAEwARABcACIALAAgAFwAIgBNAG8AZABlAHIAYQB0AGUALwBIAGkAZwBoAFwAIgAsACAAMAAuADUAMwAsACAAMAAuADUANwAsACAAMAAuADUANQAsACAAMAAuADUAMQA7AFwAbgAgACAAIAAgACAAIAAgACAAIAAgAFwAIgBRAEwARABcACIALAAgAFwAIgBNAG8AZABlAHIAYQB0AGUALwBMAG8AdwBcACIALAAgADAALgA1ADMALAAgADAALgA1ADcALAAgADAALgA1ADUALAAgADAALgA1ADEAOwBcAG4AIAAgACAAIAAgACAAIAAgACAAIABcACIAUQBMAEQAXAAiACwAIABcACIATABvAHcAXAAiACwAIAAwAC4ANQAzACwAIAAwAC4ANQA3ACwAIAAwAC4ANQA1ACwAIAAwAC4ANQAxADsAXABuACAAIAAgACAAIAAgACAAIAAgACAAXAAiAFMAQQBcACIALAAgAFwAIgBuAC8AYQBcACIALAAgADAALgA3ADAALAAgADAALgA1ADUALAAgADAALgA1ADUALAAgADAALgA3ADUAOwBcAG4AIAAgACAAIAAgACAAIAAgACAAIABcACIAVABBAFMAXAAiACwAIABcACIAbgAvAGEAXAAiACwAIAAwAC4ANwA1ACwAIAAwAC4ANgAwACwAIAAwAC4ANwAwACwAIAAwAC4ANwA1ADsAXABuACAAIAAgACAAIAAgACAAIAAgACAAXAAiAFYASQBDAFwAIgAsACAAXAAiAG4ALwBhAFwAIgAsACAAMAAuADgAMAAsACAAMAAuADUANQAsACAAMAAuADYAMAAsACAAMAAuADcANgA7AFwAbgAgACAAIAAgACAAIAAgACAAIAAgAFwAIgBXAEEAXAAiACwAIABcACIAUwBvAHUAdABoACAAVwBlAHMAdABcACIALAAgADAALgA4ADAALAAgADAALgA1ADgALAAgADAALgA1ADAALAAgADAALgA3ADUAOwBcAG4AIAAgACAAIAAgACAAIAAgACAAIABcACIAVwBBAFwAIgAsACAAXAAiAFAAaQBsAGIAYQByAGEAXAAiACwAIAAwAC4ANAAwACwAIAAwAC4ANgA1ACwAIAAwAC4ANQA1ACwAIAAwAC4ANAA1ADsAXABuACAAIAAgACAAIAAgACAAIAAgACAAXAAiAFcAQQBcACIALAAgAFwAIgBLAGkAbQBiAGUAcgBsAGUAeQBcACIALAAgADAALgA0ADAALAAgADAALgA2ADUALAAgADAALgA1ADUALAAgADAALgA0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DAHIAdQBkAGUAUAByAG8AdABlAGkAbgBDAG8AbgB0AGUAbgB0AFwAbgBUAGEAYgBsAGUAIABBAC4AMQAuADIALgA2ADoAIABCAGUAZQBmACAAcABhAHMAdAB1AHIAZQAgAGMAYQB0AHQAbABlACAALQAgAEMAcgB1AGQAZQAgAHAAcgBvAHQAZQBpAG4AIABjAG8AbgB0AGUAbgB0ACAAbwBmACAAZgBlAGUAZAAgAGkAbgB0AGEAawBlACAAKABmAHIAYQBjAHQAaQBvAG4AKQAgACgAQwBQAGoAKQBcAG4ALQAtAC0ALQAtAC0ALQAtAC0ALQAtAC0ALQAtAC0ALQAtAC0ALQAtAC0ALQAtAC0ALQAtAC0ALQAtAC0ALQAtAC0ALQAtAC0ALQAtAFwAbgAqAC8AXABuAFwAbgBTAG8AdQByAGMAZQBEAGEAdABhAF8AUABhAHMAdAB1AHIAZQBCAGUAZQBmAF8AQwByAHUAZABlAFAAcgBvAHQAZQBpAG4AQwBvAG4AdABlAG4AdABfAFQAaQB0AGwAZQBcAG4AIAAgAD0ATABBAE0AQgBEAEEAKABcACIAQgBlAGUAZgAgAHAAYQBzAHQAdQByAGUAIABjAGEAdAB0AGwAZQAgAC0AIABDAHIAdQBkAGUAIABwAHIAbwB0AGUAaQBuACAAYwBvAG4AdABlAG4AdAAgAG8AZgAgAGYAZQBlAGQAIABpAG4AdABhAGsAZQAgACgAZgByAGEAYwB0AGkAbwBuACkAIAAoAEMAUABqACkAXAAiACkAOwBcAG4AXABuAFMAbwB1AHIAYwBlAEQAYQB0AGEAXwBQAGEAcwB0AHUAcgBlAEIAZQBlAGYAXwBDAHIAdQBkAGUAUAByAG8AdABlAGkAbgBDAG8AbgB0AGUAbgB0AF8AVgBhAHIAaQBhAGIAbABlAFwAbgAgACAAPQBMAEEATQBCAEQAQQAoAFwAIgBDAFAAagBcACIAKQA7AFwAbgBcAG4AUwBvAHUAcgBjAGUARABhAHQAYQBfAFAAYQBzAHQAdQByAGUAQgBlAGUAZgBfAEMAcgB1AGQAZQBQAHIAbwB0AGUAaQBuAEMAbwBuAHQAZQBuAHQAXwBVAG4AaQB0AFwAbgAgACAAPQBMAEEATQBCAEQAQQAoAFwAIgBmAHIAYQBjAHQAaQBvAG4AXAAiACkAOwBcAG4AXABuAFMAbwB1AHIAYwBlAEQAYQB0AGEAXwBQAGEAcwB0AHUAcgBlAEIAZQBlAGYAXwBDAHIAdQBkAGUAUAByAG8AdABlAGkAbgBDAG8AbgB0AGUAbgB0AF8AUwBvAHUAcgBjAGUAXABuACAAIAA9AEwAQQBNAEIARABBACgAXAAiAFYARQBFAFIARwAgADIAMAAyADYAOgAgAFQAYQBiAGwAZQAgAEEALgAxAC4AMgAuADYAXAAiACkAOwBcAG4AXABuAFMAbwB1AHIAYwBlAEQAYQB0AGEAXwBQAGEAcwB0AHUAcgBlAEIAZQBlAGYAXwBDAHIAdQBkAGUAUAByAG8AdABlAGkAbgBDAG8AbgB0AGUAbgB0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MAcgB1AGQAZQBQAHIAbwB0AGUAaQBuAEMAbwBuAHQAZQBuAHQ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MAA3ACwAIAAwAC4AMQAzACwAIAAwAC4AMQAsACAAMAAuADAANgA7AFwAbgAgACAAIAAgACAAIAAgACAAIAAgAFwAIgBOAFMAVwBcACIALAAgAFwAIgBuAC8AYQBcACIALAAgADAALgAwADcALAAgADAALgAxADMALAAgADAALgAxACwAIAAwAC4AMAA2ADsAXABuACAAIAAgACAAIAAgACAAIAAgACAAXAAiAE4AVABcACIALAAgAFwAIgBBAGwAaQBjAGUAIABTAHAAcgBpAG4AZwBzAFwAIgAsACAAMAAuADAANQA4ACwAIAAwAC4AMAA5ADIALAAgADAALgAwADcANQAsACAAMAAuADAANQAzADsAXABuACAAIAAgACAAIAAgACAAIAAgACAAXAAiAE4AVABcACIALAAgAFwAIgBCAGEAcgBrAGwAeQBcACIALAAgADAALgAwADUAOAAsACAAMAAuADAAOQAyACwAIAAwAC4AMAA3ADUALAAgADAALgAwADUAMwA7AFwAbgAgACAAIAAgACAAIAAgACAAIAAgAFwAIgBOAFQAXAAiACwAIABcACIATgBvAHIAdABoAGUAcgBuAFwAIgAsACAAMAAuADAANQA4ACwAIAAwAC4AMAA5ADIALAAgADAALgAwADcANQAsACAAMAAuADAANQAzADsAXABuACAAIAAgACAAIAAgACAAIAAgACAAXAAiAFEATABEAFwAIgAsACAAXAAiAEgAaQBnAGgAXAAiACwAIAAwAC4AMAA3ADIALAAgADAALgAwADkAOQAsACAAMAAuADAANwA4ACwAIAAwAC4AMAA1ADkAOwBcAG4AIAAgACAAIAAgACAAIAAgACAAIABcACIAUQBMAEQAXAAiACwAIABcACIATQBvAGQAZQByAGEAdABlAC8ASABpAGcAaABcACIALAAgADAALgAwADcAMgAsACAAMAAuADAAOQA5ACwAIAAwAC4AMAA3ADgALAAgADAALgAwADUAOQA7AFwAbgAgACAAIAAgACAAIAAgACAAIAAgAFwAIgBRAEwARABcACIALAAgAFwAIgBNAG8AZABlAHIAYQB0AGUALwBMAG8AdwBcACIALAAgADAALgAwADcAMgAsACAAMAAuADAAOQA5ACwAIAAwAC4AMAA3ADgALAAgADAALgAwADUAOQA7AFwAbgAgACAAIAAgACAAIAAgACAAIAAgAFwAIgBRAEwARABcACIALAAgAFwAIgBMAG8AdwBcACIALAAgADAALgAwADcAMgAsACAAMAAuADAAOQA5ACwAIAAwAC4AMAA3ADgALAAgADAALgAwADUAOQA7AFwAbgAgACAAIAAgACAAIAAgACAAIAAgAFwAIgBTAEEAXAAiACwAIABcACIAbgAvAGEAXAAiACwAIAAwAC4AMQA2ACwAIAAwAC4AMAA3ACwAIAAwAC4AMAA5ACwAIAAwAC4AMgA7AFwAbgAgACAAIAAgACAAIAAgACAAIAAgAFwAIgBUAEEAUwBcACIALAAgAFwAIgBuAC8AYQBcACIALAAgADAALgAyACwAIAAwAC4AMQAsACAAMAAuADEANgAsACAAMAAuADIAOwBcAG4AIAAgACAAIAAgACAAIAAgACAAIABcACIAVgBJAEMAXAAiACwAIABcACIAbgAvAGEAXAAiACwAIAAwAC4AMgA1ACwAIAAwAC4AMAA3ACwAIAAwAC4AMQAsACAAMAAuADIAMQA7AFwAbgAgACAAIAAgACAAIAAgACAAIAAgAFwAIgBXAEEAXAAiACwAIABcACIAUwBvAHUAdABoACAAVwBlAHMAdABcACIALAAgADAALgAyACwAIAAwAC4AMAA5ACwAIAAwAC4AMAA2ACwAIAAwAC4AMgA7AFwAbgAgACAAIAAgACAAIAAgACAAIAAgAFwAIgBXAEEAXAAiACwAIABcACIAUABpAGwAYgBhAHIAYQBcACIALAAgADAALgAwADQALAAgADAALgAxADIALAAgADAALgAwADkALAAgADAALgAwADYAOwBcAG4AIAAgACAAIAAgACAAIAAgACAAIABcACIAVwBBAFwAIgAsACAAXAAiAEsAaQBtAGIAZQByAGwAZQB5AFwAIgAsACAAMAAuADAANAAsACAAMAAuADEAMgAsACAAMAAuADAAOQAsACAAMAAuADAANg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GAGUAZQBkAEEAZABqAHUAcwB0AG0AZQBuAHQAQQBuAGQATQBpAGwAawBQAHIAbwBkAHUAYwB0AGkAbwBuAFwAbgBUAGEAYgBsAGUAIABBAC4AMQAuADIALgA3ADoAIABCAGUAZQBmACAAcABhAHMAdAB1AHIAZQAgAGMAYQB0AHQAbABlACAALQAgAEYAZQBlAGQAIABpAG4AdABhAGsAZQAgAGEAZABqAHUAcwB0AG0AZQBuAHQAIABhAG4AZAAgAG0AaQBsAGsAIABwAHIAbwBkAHUAYwB0AGkAbwBuACAAKABrAGcALwBoAGUAYQBkAC8AZABhAHkAKQBcAG4ALQAtAC0ALQAtAC0ALQAtAC0ALQAtAC0ALQAtAC0ALQAtAC0ALQAtAC0ALQAtAC0ALQAtAC0ALQAtAC0ALQAtAC0ALQAtAC0ALQAtAFwAbgAqAC8AXABuAFwAbgBTAG8AdQByAGMAZQBEAGEAdABhAF8AUABhAHMAdAB1AHIAZQBCAGUAZQBmAF8ARgBlAGUAZABBAGQAagB1AHMAdABtAGUAbgB0AEEAbgBkAE0AaQBsAGsAUAByAG8AZAB1AGMAdABpAG8AbgBfAFQAaQB0AGwAZQBcAG4AIAAgAD0ATABBAE0AQgBEAEEAKABcACIAQgBlAGUAZgAgAHAAYQBzAHQAdQByAGUAIABjAGEAdAB0AGwAZQAgAC0AIABGAGUAZQBkACAAaQBuAHQAYQBrAGUAIABhAGQAagB1AHMAdABtAGUAbgB0ACAAYQBuAGQAIABtAGkAbABrACAAcAByAG8AZAB1AGMAdABpAG8AbgAgACgAawBnAC8AaABlAGEAZAAvAGQAYQB5ACkAXAAiACkAOwBcAG4AXABuAFMAbwB1AHIAYwBlAEQAYQB0AGEAXwBQAGEAcwB0AHUAcgBlAEIAZQBlAGYAXwBGAGUAZQBkAEEAZABqAHUAcwB0AG0AZQBuAHQAQQBuAGQATQBpAGwAawBQAHIAbwBkAHUAYwB0AGkAbwBuAF8AVgBhAHIAaQBhAGIAbABlAFwAbgAgACAAPQBMAEEATQBCAEQAQQAoAFwAIgBNAEMAagBrAD0AMQAsADMALAA2ADsAIABEAE0AUABqAGsAPQA1AFwAIgApADsAXABuAFwAbgBTAG8AdQByAGMAZQBEAGEAdABhAF8AUABhAHMAdAB1AHIAZQBCAGUAZQBmAF8ARgBlAGUAZABBAGQAagB1AHMAdABtAGUAbgB0AEEAbgBkAE0AaQBsAGsAUAByAG8AZAB1AGMAdABpAG8AbgBfAFUAbgBpAHQAXABuACAAIAA9AEwAQQBNAEIARABBACgAXAAiAFwAIgApADsAXABuAFwAbgBTAG8AdQByAGMAZQBEAGEAdABhAF8AUABhAHMAdAB1AHIAZQBCAGUAZQBmAF8ARgBlAGUAZABBAGQAagB1AHMAdABtAGUAbgB0AEEAbgBkAE0AaQBsAGsAUAByAG8AZAB1AGMAdABpAG8AbgBfAFMAbwB1AHIAYwBlAFwAbgAgACAAPQBMAEEATQBCAEQAQQAoAFwAIgBWAEUARQBSAEcAIAAyADAAMgA2ADoAIABUAGEAYgBsAGUAIABBAC4AMQAuADIALgA3AFwAIgApADsAXABuAFwAbgBTAG8AdQByAGMAZQBEAGEAdABhAF8AUABhAHMAdAB1AHIAZQBCAGUAZQBmAF8ARgBlAGUAZABBAGQAagB1AHMAdABtAGUAbgB0AEEAbgBkAE0AaQBsAGsAUAByAG8AZAB1AGMAdABpAG8AbgBfAFYAYQByAGkAYQB0AGkAbwBuAFwAbgAgACAAPQBMAEEATQBCAEQAQQAoAFwAIgBcACIAKQA7AFwAbgBcAG4AUwBvAHUAcgBjAGUARABhAHQAYQBfAFAAYQBzAHQAdQByAGUAQgBlAGUAZgBfAEYAZQBlAGQAQQBkAGoAdQBzAHQAbQBlAG4AdABBAG4AZABNAGkAbABrAFAAcgBvAGQAdQBjAHQAaQBvAG4AXwBEAGEAdABhAFwAbgAgACAAPQBMAEEATQBCAEQAQQAoAFwAbgAgACAAIAAgAE0AQQBLAEUAQQBSAFIAQQBZACgAOQAsACAANAAsAFwAbgAgACAAIAAgACAAIABMAEEATQBCAEQAQQAoAHIALABjACwAXABuACAAIAAgACAAIAAgACAAIABJAE4ARABFAFgAKAB7AFwAbgAgACAAIAAgACAAIAAgACAAIAAgAFwAIgBCAHIAZQBlAGQAXAAiACwAIABcACIAUwBlAGEAcwBvAG4AXAAiACwAIABcACIARgBlAGUAZAAgAGEAZABqAHUAcwB0AG0AZQBuAHQAIAAoAE0AQwBqAGsAPQAxACwAMwAsADYAKQBcACIALAAgAFwAIgBNAGkAbABrACAAaQBuAHQAYQBrAGUAIAAvACAAcAByAG8AZAB1AGMAdABpAG8AbgAgACgARABNAFAAagBrAD0ANQApAFwAIgA7AFwAbgAgACAAIAAgACAAIAAgACAAIAAgAFwAIgBIAGUAcgBlAGYAbwByAGQAIABvAHIAIABTAGgAbwByAHQAaABvAHIAbgAgAGIAcgBlAGUAZABzAFwAIgAsACAAXAAiAFMAcAByAGkAbgBnAFwAIgAsACAAMQAuADMALAAgADYAOwBcAG4AIAAgACAAIAAgACAAIAAgACAAIABcACIASABlAHIAZQBmAG8AcgBkACAAbwByACAAUwBoAG8AcgB0AGgAbwByAG4AIABiAHIAZQBlAGQAcwBcACIALAAgAFwAIgBTAHUAbQBtAGUAcgBcACIALAAgADEALgAxACwAIAA0ADsAXABuACAAIAAgACAAIAAgACAAIAAgACAAXAAiAEgAZQByAGUAZgBvAHIAZAAgAG8AcgAgAFMAaABvAHIAdABoAG8AcgBuACAAYgByAGUAZQBkAHMAXAAiACwAIABcACIAQQB1AHQAdQBtAG4AXAAiACwAIAAwACwAIAAwADsAXABuACAAIAAgACAAIAAgACAAIAAgACAAXAAiAEgAZQByAGUAZgBvAHIAZAAgAG8AcgAgAFMAaABvAHIAdABoAG8AcgBuACAAYgByAGUAZQBkAHMAXAAiACwAIABcACIAVwBpAG4AdABlAHIAXAAiACwAIAAwACwAIAAwADsAXABuACAAIAAgACAAIAAgACAAIAAgACAAXAAiAE4AbwByAHQAaABlAHIAbgAgAEIAcgBhAGgAbQBhAG4AIABjAHIAbwBzAHMAIABiAHIAZQBlAGQAXAAiACwAIABcACIAUwBwAHIAaQBuAGcAXAAiACwAIAAwACwAIAAwADsAXABuACAAIAAgACAAIAAgACAAIAAgACAAXAAiAE4AbwByAHQAaABlAHIAbgAgAEIAcgBhAGgAbQBhAG4AIABjAHIAbwBzAHMAIABiAHIAZQBlAGQAXAAiACwAIABcACIAUwB1AG0AbQBlAHIAXAAiACwAIAAxAC4AMwAsACAANAA7AFwAbgAgACAAIAAgACAAIAAgACAAIAAgAFwAIgBOAG8AcgB0AGgAZQByAG4AIABCAHIAYQBoAG0AYQBuACAAYwByAG8AcwBzACAAYgByAGUAZQBkAFwAIgAsACAAXAAiAEEAdQB0AHUAbQBuAFwAIgAsACAAMQAuADEALAAgADMAOwBcAG4AIAAgACAAIAAgACAAIAAgACAAIABcACIATgBvAHIAdABoAGUAcgBuACAAQgByAGEAaABtAGEAbgAgAGMAcgBvAHMAcwAgAGIAcgBlAGUAZABcACIALAAgAFwAIgBXAGkAbgB0AGUAcgBcACIALAAgADAALAAg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TAHQAYQBuAGQAYQByAGQAUgBlAGYAZQByAGUAbgBjAGUAVwBlAGkAZwBoAHQAcwBcAG4AVABhAGIAbABlACAAQQAuADEALgAyAC4AOAA6ACAAQgBlAGUAZgAgAHAAYQBzAHQAdQByAGUAIABjAGEAdAB0AGwAZQAgAC0AIABTAHQAYQBuAGQAYQByAGQAIAByAGUAZgBlAHIAZQBuAGMAZQAgAHcAZQBpAGcAaAB0AHMAIAAoAGsAZwApACAAKABTAFIAVwBrACkAXABuAC0ALQAtAC0ALQAtAC0ALQAtAC0ALQAtAC0ALQAtAC0ALQAtAC0ALQAtAC0ALQAtAC0ALQAtAC0ALQAtAC0ALQAtAC0ALQAtAC0ALQBcAG4AKgAvAFwAbgBcAG4AUwBvAHUAcgBjAGUARABhAHQAYQBfAFAAYQBzAHQAdQByAGUAQgBlAGUAZgBfAFMAdABhAG4AZABhAHIAZABSAGUAZgBlAHIAZQBuAGMAZQBXAGUAaQBnAGgAdABzAF8AVABpAHQAbABlAFwAbgAgACAAPQBMAEEATQBCAEQAQQAoAFwAIgBCAGUAZQBmACAAcABhAHMAdAB1AHIAZQAgAGMAYQB0AHQAbABlACAALQAgAFMAdABhAG4AZABhAHIAZAAgAHIAZQBmAGUAcgBlAG4AYwBlACAAdwBlAGkAZwBoAHQAcwAgACgAawBnACkAIAAoAFMAUgBXAGsAKQBcACIAKQA7AFwAbgBcAG4AUwBvAHUAcgBjAGUARABhAHQAYQBfAFAAYQBzAHQAdQByAGUAQgBlAGUAZgBfAFMAdABhAG4AZABhAHIAZABSAGUAZgBlAHIAZQBuAGMAZQBXAGUAaQBnAGgAdABzAF8AVgBhAHIAaQBhAGIAbABlAFwAbgAgACAAPQBMAEEATQBCAEQAQQAoAFwAIgBTAFIAVwBrAFwAIgApADsAXABuAFwAbgBTAG8AdQByAGMAZQBEAGEAdABhAF8AUABhAHMAdAB1AHIAZQBCAGUAZQBmAF8AUwB0AGEAbgBkAGEAcgBkAFIAZQBmAGUAcgBlAG4AYwBlAFcAZQBpAGcAaAB0AHMAXwBVAG4AaQB0AFwAbgAgACAAPQBMAEEATQBCAEQAQQAoAFwAIgBrAGcAXAAiACkAOwBcAG4AXABuAFMAbwB1AHIAYwBlAEQAYQB0AGEAXwBQAGEAcwB0AHUAcgBlAEIAZQBlAGYAXwBTAHQAYQBuAGQAYQByAGQAUgBlAGYAZQByAGUAbgBjAGUAVwBlAGkAZwBoAHQAcwBfAFMAbwB1AHIAYwBlAFwAbgAgACAAPQBMAEEATQBCAEQAQQAoAFwAIgBWAEUARQBSAEcAIAAyADAAMgA2ADoAIABUAGEAYgBsAGUAIABBAC4AMQAuADIALgA4AFwAIgApADsAXABuAFwAbgBTAG8AdQByAGMAZQBEAGEAdABhAF8AUABhAHMAdAB1AHIAZQBCAGUAZQBmAF8AUwB0AGEAbgBkAGEAcgBkAFIAZQBmAGUAcgBlAG4AYwBlAFcAZQBpAGcAaAB0AHMAXwBWAGEAcgBpAGEAdABpAG8AbgBcAG4AIAAgAD0ATABBAE0AQgBEAEEAKABcACIAVgBBAFIASQBBAFQASQBPAE4AIABPAE4AIABTAE8AVQBSAEMARQA6ACAAUwBwAGwAaQB0ACAAQQBDAFQAIABhAG4AZAAgAE4AUwBXACAAaQBuAHQAbwAgAHMAZQBwAGEAcgBhAHQAZQAgAHIAbwB3AHMALgAgAEEAZABkAGUAZAAgACcAUwB0AGEAdABlACAAYQBiAGIAcgBlAHYAaQBhAHQAaQBvAG4AJ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PAAxAFwAIgAsACAAXAAiAEIAdQBsAGwAcwAgAD4AMQBcACIALAAgAFwAIgBDAG8AdwBzACAAPAAxAFwAIgAsACAAXAAiAEMAbwB3AHMAIAAxAC0AMgBcACIALAAgAFwAIgBDAG8AdwBzACAAPgAyAFwAIgAsACAAXAAiAFMAdABlAGUAcgAgADwAMQBcACIALAAgAFwAIgBTAHQAZQBlAHIAIAA+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WAEEAUgBJAEEAVABJAE8ATgAgAE8ATgAgAFMATwBVAFIAQwBFADoAIABSAGUAbQBvAHYAZQBkACAAYwBvAG0AbQBhACAAZgByAG8AbQAgACcAUABhAHMAdAB1AHIAZQAgAHIAYQBuAGcAZQAgAGEAbgBkACAAcABhAGQAZABvAGMAawAnACAAdABvACAAYQBpAGQAIABsAG8AbwBrAHUAcABcACIAKQA7AFwAbgBcAG4AUwBvAHUAcgBjAGUARABhAHQAYQBfAFAAYQBzAHQAdQByAGUAQgBlAGUAZgBfAEYAcgBhAGMAdABpAG8AbgBPAGYATQBhAG4AdQByAGUAVABvAE0ATQBT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OQA5AC4AMQA5ADIALAAgADAALgA4ADAAOAA7AFwAbgAgACAAIAAgACAAIAAgACAAIAAgAFwAIgBOAFMAVwBcACIALAAgAFwAIgBuAC8AYQBcACIALAAgADkAOQAuADQANQAyACwAIAAwAC4ANQA0ADgAOwBcAG4AIAAgACAAIAAgACAAIAAgACAAIABcACIAUwBBAFwAIgAsACAAXAAiAG4ALwBhAFwAIgAsACAAOQA5AC4ANwA1ADkALAAgADAALgAyADQAMQA7AFwAbgAgACAAIAAgACAAIAAgACAAIAAgAFwAIgBUAEEAUwBcACIALAAgAFwAIgBuAC8AYQBcACIALAAgADkAOQAuADEAMgAyACwAIAAwAC4AOAA3ADgAOwBcAG4AIAAgACAAIAAgACAAIAAgACAAIABcACIAVgBJAEMAXAAiACwAIABcACIAbgAvAGEAXAAiACwAIAA5ADgALgA4ADkANAAsACAAMQAuADEAMAA2ADsAXABuACAAIAAgACAAIAAgACAAIAAgACAAXAAiAFcAQQBcACIALAAgAFwAIgBTAG8AdQB0AGgAIABXAGUAcwB0AFwAIgAsACAAOQA5AC4ANgAyADIALAAgADAALgAzADcAOAA7AFwAbgAgACAAIAAgACAAIAAgACAAIAAgAFwAIgBXAEEAXAAiACwAIABcACIAUABpAGwAYgBhAHIAYQBcACIALAAgADkAOQAuADkAOQA5ACwAIAAwAC4AMAAwADEAOwBcAG4AIAAgACAAIAAgACAAIAAgACAAIABcACIAVwBBAFwAIgAsACAAXAAiAEsAaQBtAGIAZQByAGwAZQB5AFwAIgAsACAAOQA5AC4AOQA5ADkALAAgADAALgAwADAAMQA7AFwAbgAgACAAIAAgACAAIAAgACAAIAAgAFwAIgBOAFQAXAAiACwAIABcACIAQQBsAGkAYwBlACAAUwBwAHIAaQBuAGcAcwBcACIALAAgADkAOQAuADkAOQA5ACwAIAAwAC4AMAAwADEAOwBcAG4AIAAgACAAIAAgACAAIAAgACAAIABcACIATgBUAFwAIgAsACAAXAAiAEIAYQByAGsAbAB5AFwAIgAsACAAOQA5AC4AOQA5ADQALAAgADAALgAwADAANgA7AFwAbgAgACAAIAAgACAAIAAgACAAIAAgAFwAIgBOAFQAXAAiACwAIABcACIATgBvAHIAdABoAGUAcgBuAFwAIgAsACAAOQA5AC4AOQA5ADkALAAgADAALgAwADAAMQA7AFwAbgAgACAAIAAgACAAIAAgACAAIAAgAFwAIgBRAEwARABcACIALAAgAFwAIgBIAGkAZwBoAFwAIgAsACAAOQA5AC4ANwA3ADMALAAgADAALgAyADIANwA7AFwAbgAgACAAIAAgACAAIAAgACAAIAAgAFwAIgBRAEwARABcACIALAAgAFwAIgBNAG8AZABlAHIAYQB0AGUALwBIAGkAZwBoAFwAIgAsACAAOQA5AC4AOAA5ADgALAAgADAALgAxADAAMgA7AFwAbgAgACAAIAAgACAAIAAgACAAIAAgAFwAIgBRAEwARABcACIALAAgAFwAIgBNAG8AZABlAHIAYQB0AGUALwBMAG8AdwBcACIALAAgADkAOQAuADkANwA5ACwAIAAwAC4AMAAyADEAOwBcAG4AIAAgACAAIAAgACAAIAAgACAAIABcACIAUQBMAEQAXAAiACwAIABcACIATABvAHcAXAAiACwAIAA5ADkALgA5ADcANwAsACAAMAAuADAAMgAz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QBlAHQAaABhAG4AZQBDAG8AbgB2AGUAcgBzAGkAbwBuAEYAYQBjAHQAbwByAFAAZQByAFIAZQBnAGkAbwBuAFwAbgBUAGEAYgBsAGUAIABBAC4AMQAuADIALgAxADAAOgAgAEIAZQBlAGYAIABwAGEAcwB0AHUAcgBlACAAYwBhAHQAdABsAGUAIAAtACAATQBlAHQAaABhAG4AZQAgAGMAbwBuAHYAZQByAHMAaQBvAG4AIABmAGEAYwB0AG8AcgAgAHAAZQByACAAcgBlAGcAaQBvAG4AIAAoAGYAcgBhAGMAdABpAG8AbgApACAAKABNAEMARgBpAG0AKQBcAG4ALQAtAC0ALQAtAC0ALQAtAC0ALQAtAC0ALQAtAC0ALQAtAC0ALQAtAC0ALQAtAC0ALQAtAC0ALQAtAC0ALQAtAC0ALQAtAC0ALQAtAFwAbgAqAC8AXABuAFwAbgBTAG8AdQByAGMAZQBEAGEAdABhAF8AUABhAHMAdAB1AHIAZQBCAGUAZQBmAF8ATQBlAHQAaABhAG4AZQBDAG8AbgB2AGUAcgBzAGkAbwBuAEYAYQBjAHQAbwByAFAAZQByAFIAZQBnAGkAbwBuAF8AVABpAHQAbABlAFwAbgAgACAAPQBMAEEATQBCAEQAQQAoAFwAIgBCAGUAZQBmACAAcABhAHMAdAB1AHIAZQAgAGMAYQB0AHQAbABlACAALQAgAE0AZQB0AGgAYQBuAGUAIABjAG8AbgB2AGUAcgBzAGkAbwBuACAAZgBhAGMAdABvAHIAIABwAGUAcgAgAHIAZQBnAGkAbwBuACAAKABmAHIAYQBjAHQAaQBvAG4AKQAgACgATQBDAEYAaQBtACkAXAAiACkAOwBcAG4AXABuAFMAbwB1AHIAYwBlAEQAYQB0AGEAXwBQAGEAcwB0AHUAcgBlAEIAZQBlAGYAXwBNAGUAdABoAGEAbgBlAEMAbwBuAHYAZQByAHMAaQBvAG4ARgBhAGMAdABvAHIAUABlAHIAUgBlAGcAaQBvAG4AXwBWAGEAcgBpAGEAYgBsAGUAXABuACAAIAA9AEwAQQBNAEIARABBACgAXAAiAE0AQwBGAGkAbQBcACIAKQA7AFwAbgBcAG4AUwBvAHUAcgBjAGUARABhAHQAYQBfAFAAYQBzAHQAdQByAGUAQgBlAGUAZgBfAE0AZQB0AGgAYQBuAGUAQwBvAG4AdgBlAHIAcwBpAG8AbgBGAGEAYwB0AG8AcgBQAGUAcgBSAGUAZwBpAG8AbgBfAFUAbgBpAHQAXABuACAAIAA9AEwAQQBNAEIARABBACgAXAAiAGYAcgBhAGMAdABpAG8AbgBcACIAKQA7AFwAbgBcAG4AUwBvAHUAcgBjAGUARABhAHQAYQBfAFAAYQBzAHQAdQByAGUAQgBlAGUAZgBfAE0AZQB0AGgAYQBuAGUAQwBvAG4AdgBlAHIAcwBpAG8AbgBGAGEAYwB0AG8AcgBQAGUAcgBSAGUAZwBpAG8AbgBfAFMAbwB1AHIAYwBlAFwAbgAgACAAPQBMAEEATQBCAEQAQQAoAFwAIgBWAEUARQBSAEcAIAAyADAAMgA2ADoAIABUAGEAYgBsAGUAIABBAC4AMQAuADIALgAxADAAXAAiACkAOwBcAG4AXABuAFMAbwB1AHIAYwBlAEQAYQB0AGEAXwBQAGEAcwB0AHUAcgBlAEIAZQBlAGYAXwBNAGUAdABoAGEAbgBlAEMAbwBuAHYAZQByAHMAaQBvAG4ARgBhAGMAdABvAHIAUABlAHIAUgBlAGcAaQBvAG4AXwBWAGEAcgBpAGEAdABpAG8AbgBcAG4AIAAgAD0ATABBAE0AQgBEAEEAKABcACIAVgBBAFIASQBBAFQASQBPAE4AIABPAE4AIABTAE8AVQBSAEMARQA6ACAAUgBlAG0AbwB2AGUAZAAgAGMAbwBtAG0AYQAgAGYAcgBvAG0AIAAnAFAAYQBzAHQAdQByAGUAIAByAGEAbgBnAGUAIABhAG4AZAAgAHAAYQBkAGQAbwBjAGsAJwAgAHQAbwAgAGEAaQBkACAAbABvAG8AawB1AHAAXAAiACkAOwBcAG4AXABuAFMAbwB1AHIAYwBlAEQAYQB0AGEAXwBQAGEAcwB0AHUAcgBlAEIAZQBlAGYAXwBNAGUAdABoAGEAbgBlAEMAbwBuAHYAZQByAHMAaQBvAG4ARgBhAGMAdABvAHIAUABlAHIAUgBlAGcAaQBvAG4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wAC4AMAAwADQANwAsACAAMAAuADcAMQA7AFwAbgAgACAAIAAgACAAIAAgACAAIAAgAFwAIgBOAFMAVwBcACIALAAgAFwAIgBuAC8AYQBcACIALAAgADAALgAwADAANAA3ACwAIAAwAC4ANwA1ADsAXABuACAAIAAgACAAIAAgACAAIAAgACAAXAAiAFMAQQBcACIALAAgAFwAIgBuAC8AYQBcACIALAAgADAALgAwADAANAA3ACwAIAAwAC4ANwA0ADsAXABuACAAIAAgACAAIAAgACAAIAAgACAAXAAiAFQAQQBTAFwAIgAsACAAXAAiAG4ALwBhAFwAIgAsACAAMAAuADAAMAA0ADcALAAgADAALgA3ADsAXABuACAAIAAgACAAIAAgACAAIAAgACAAXAAiAFYASQBDAFwAIgAsACAAXAAiAG4ALwBhAFwAIgAsACAAMAAuADAAMAA0ADcALAAgADAALgA3ADQAOwBcAG4AIAAgACAAIAAgACAAIAAgACAAIABcACIAVwBBAFwAIgAsACAAXAAiAFMAbwB1AHQAaAAgAFcAZQBzAHQAXAAiACwAIAAwAC4AMAAwADQANwAsACAAMAAuADcANgA7AFwAbgAgACAAIAAgACAAIAAgACAAIAAgAFwAIgBXAEEAXAAiACwAIABcACIAUABpAGwAYgBhAHIAYQBcACIALAAgADAALgAwADAANAA3ACwAIAAwAC4ANwA2ADsAXABuACAAIAAgACAAIAAgACAAIAAgACAAXAAiAFcAQQBcACIALAAgAFwAIgBLAGkAbQBiAGUAcgBsAGUAeQBcACIALAAgADAALgAwADAANAA3ACwAIAAwAC4ANwA2ADsAXABuACAAIAAgACAAIAAgACAAIAAgACAAXAAiAE4AVABcACIALAAgAFwAIgBBAGwAaQBjAGUAIABTAHAAcgBpAG4AZwBzAFwAIgAsACAAMAAuADAAMAA0ADcALAAgADAALgA4ADsAXABuACAAIAAgACAAIAAgACAAIAAgACAAXAAiAE4AVABcACIALAAgAFwAIgBCAGEAcgBrAGwAeQBcACIALAAgADAALgAwADAANAA3ACwAIAAwAC4AOAA7AFwAbgAgACAAIAAgACAAIAAgACAAIAAgAFwAIgBOAFQAXAAiACwAIABcACIATgBvAHIAdABoAGUAcgBuAFwAIgAsACAAMAAuADAAMAA0ADcALAAgADAALgA4ADsAXABuACAAIAAgACAAIAAgACAAIAAgACAAXAAiAFEATABEAFwAIgAsACAAXAAiAEgAaQBnAGgAXAAiACwAIAAwAC4AMAAwADQANwAsACAAMAAuADcAOAA7AFwAbgAgACAAIAAgACAAIAAgACAAIAAgAFwAIgBRAEwARABcACIALAAgAFwAIgBNAG8AZABlAHIAYQB0AGUALwBIAGkAZwBoAFwAIgAsACAAMAAuADAAMAA0ADcALAAgADAALgA3ADgAOwBcAG4AIAAgACAAIAAgACAAIAAgACAAIABcACIAUQBMAEQAXAAiACwAIABcACIATQBvAGQAZQByAGEAdABlAC8ATABvAHcAXAAiACwAIAAwAC4AMAAwADQANwAsACAAMAAuADcAOAA7AFwAbgAgACAAIAAgACAAIAAgACAAIAAgAFwAIgBRAEwARABcACIALAAgAFwAIgBMAG8AdwBcACIALAAgADAALgAwADAANAA3ACwAIAAwAC4ANwA4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EAcwB0AHUAcgBlAEIAZQBlAGYAXwBBAHMAaABDAG8AbgB0AGUAbgB0AE8AZgBGAGUAZQBkAEkAbgB0AGEAawBlAFwAbgBWAEUARQBSAEcAIAAyADAAMgA2ADoAIAA0AC4AMgAuADIALgAzACAAQwBPAE4AUwBUAEEATgBUAFMAXABuAC0ALQAtAC0ALQAtAC0ALQAtAC0ALQAtAC0ALQAtAC0ALQAtAC0ALQAtAC0ALQAtAC0ALQAtAC0ALQAtAC0ALQAtAC0ALQAtAC0ALQBcAG4AKgAvAFwAbgBcAG4AUwBvAHUAcgBjAGUARABhAHQAYQBfAFAAYQBzAHQAdQByAGUAQgBlAGUAZgBfAEEAcwBoAEMAbwBuAHQAZQBuAHQATwBmAEYAZQBlAGQASQBuAHQAYQBrAGUAXwBUAGkAdABsAGUAXABuACAAIAA9AEwAQQBNAEIARABBACgAXAAiAEEAcwBoACAAYwBvAG4AdABlAG4AdAAgAG8AZgAgAGYAZQBlAGQAIABpAG4AdABhAGsAZQBcACIAKQA7AFwAbgBcAG4AUwBvAHUAcgBjAGUARABhAHQAYQBfAFAAYQBzAHQAdQByAGUAQgBlAGUAZgBfAEEAcwBoAEMAbwBuAHQAZQBuAHQATwBmAEYAZQBlAGQASQBuAHQAYQBrAGUAXwBWAGEAcgBpAGEAYgBsAGUAXABuACAAIAA9AEwAQQBNAEIARABBACgAXAAiAEEAXAAiACkAOwBcAG4AXABuAFMAbwB1AHIAYwBlAEQAYQB0AGEAXwBQAGEAcwB0AHUAcgBlAEIAZQBlAGYAXwBBAHMAaABDAG8AbgB0AGUAbgB0AE8AZgBGAGUAZQBkAEkAbgB0AGEAawBlAF8AVQBuAGkAdABcAG4AIAAgAD0ATABBAE0AQgBEAEEAKABcACIAZgByAGEAYwB0AGkAbwBuAFwAIgApADsAXABuAFwAbgBTAG8AdQByAGMAZQBEAGEAdABhAF8AUABhAHMAdAB1AHIAZQBCAGUAZQBmAF8AQQBzAGgAQwBvAG4AdABlAG4AdABPAGYARgBlAGUAZABJAG4AdABhAGsAZQBfAFMAbwB1AHIAYwBlAFwAbgAgACAAPQBMAEEATQBCAEQAQQAoAFwAIgBWAEUARQBSAEcAIAAyADAAMgA2ADoAIAA0AC4AMgAuADIALgAzACAAQwBPAE4AUwBUAEEATgBUAFMAXAAiACkAOwBcAG4AXABuAFMAbwB1AHIAYwBlAEQAYQB0AGEAXwBQAGEAcwB0AHUAcgBlAEIAZQBlAGYAXwBBAHMAaABDAG8AbgB0AGUAbgB0AE8AZgBGAGUAZQBkAEkAbgB0AGEAawBlAF8AVgBhAHIAaQBhAHQAaQBvAG4AXABuACAAIAA9AEwAQQBNAEIARABBACgAXAAiAFwAIgApADsAXABuAFwAbgBTAG8AdQByAGMAZQBEAGEAdABhAF8AUABhAHMAdAB1AHIAZQBCAGUAZQBmAF8AQQBzAGgAQwBvAG4AdABlAG4AdABPAGYARgBlAGUAZABJAG4AdABhAGsAZQBfAEQAYQB0AGEAXABuACAAIAA9AEwAQQBNAEIARABBACgAMAAuADAAOAApADsAXABuAFwAbgAvACoAIABcAG4ALQAtAC0ALQAtAC0ALQAtAC0ALQAtAC0ALQAtAC0ALQAtAC0ALQAtAC0ALQAtAC0ALQAtAC0ALQAtAC0ALQAtAC0ALQAtAC0ALQAtAFwAbgBTAG8AdQByAGMAZQBEAGEAdABhAF8AUABhAHMAdAB1AHIAZQBCAGUAZQBm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UABhAHMAdAB1AHIAZQBCAGUAZQBmAF8ATQBlAHQAaABhAG4AZQBFAG0AaQBzAHMAaQBvAG4AcwBQAG8AdABlAG4AdABpAGEAbABfAFQAaQB0AGwAZQBcAG4AIAAgAD0ATABBAE0AQgBEAEEAKABcACIATQBlAHQAaABhAG4AZQAgAGUAbQBpAHMAcwBpAG8AbgBzACAAcABvAHQAZQBuAHQAaQBhAGwAXAAiACkAOwBcAG4AXABuAFMAbwB1AHIAYwBlAEQAYQB0AGEAXwBQAGEAcwB0AHUAcgBlAEIAZQBlAGYAXwBNAGUAdABoAGEAbgBlAEUAbQBpAHMAcwBpAG8AbgBzAFAAbwB0AGUAbgB0AGkAYQBsAF8AVgBhAHIAaQBhAGIAbABlAFwAbgAgACAAPQBMAEEATQBCAEQAQQAoAFwAIgBCADAAXAAiACkAOwBcAG4AXABuAFMAbwB1AHIAYwBlAEQAYQB0AGEAXwBQAGEAcwB0AHUAcgBlAEIAZQBlAGYAXwBNAGUAdABoAGEAbgBlAEUAbQBpAHMAcwBpAG8AbgBzAFAAbwB0AGUAbgB0AGkAYQBsAF8AVQBuAGkAdABcAG4AIAAgAD0ATABBAE0AQgBEAEEAKABcACIAbQAzACAAQwBIADQAIAAvACAAawBnACAAVgBTAFwAIgApADsAXABuAFwAbgBTAG8AdQByAGMAZQBEAGEAdABhAF8AUABhAHMAdAB1AHIAZQBCAGUAZQBmAF8ATQBlAHQAaABhAG4AZQBFAG0AaQBzAHMAaQBvAG4AcwBQAG8AdABlAG4AdABpAGEAbABfAFMAbwB1AHIAYwBlAFwAbgAgACAAPQBMAEEATQBCAEQAQQAoAFwAIgBWAEUARQBSAEcAIAAyADAAMgA2ADoAIAA0AC4AMgAuADIALgAzACAAQwBPAE4AUwBUAEEATgBUAFMAXAAiACkAOwBcAG4AXABuAFMAbwB1AHIAYwBlAEQAYQB0AGEAXwBQAGEAcwB0AHUAcgBlAEIAZQBlAGYAXwBNAGUAdABoAGEAbgBlAEUAbQBpAHMAcwBpAG8AbgBzAFAAbwB0AGUAbgB0AGkAYQBsAF8AVgBhAHIAaQBhAHQAaQBvAG4AXABuACAAIAA9AEwAQQBNAEIARABBACgAXAAiAFwAIgApADsAXABuAFwAbgBTAG8AdQByAGMAZQBEAGEAdABhAF8AUABhAHMAdAB1AHIAZQBCAGUAZQBmAF8ATQBlAHQAaABhAG4AZQBFAG0AaQBzAHMAaQBvAG4AcwBQAG8AdABlAG4AdABpAGEAbABfAEQAYQB0AGEAXABuACAAIAA9AEwAQQBNAEIARABBACgAMAAuADEAOQApADsAXABuAFwAbgAvACoAIABcAG4ALQAtAC0ALQAtAC0ALQAtAC0ALQAtAC0ALQAtAC0ALQAtAC0ALQAtAC0ALQAtAC0ALQAtAC0ALQAtAC0ALQAtAC0ALQAtAC0ALQAtAFwAbgBTAG8AdQByAGMAZQBEAGEAdABhAF8AUABhAHMAdAB1AHIAZQBCAGUAZQBm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EAcwB0AHUAcgBlAEIAZQBlAGY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EAcwB0AHUAcgBlAEIAZQBlAGYAXwBGAHIAYQBjAEcAQQBTAE0AUwBvAGkAbABfAFYAYQByAGkAYQBiAGwAZQBcAG4AIAAgAD0ATABBAE0AQgBEAEEAKABcACIARgByAGEAYwBHAEEAUwBNAFMAbwBpAGwAXAAiACkAOwBcAG4AXABuAFMAbwB1AHIAYwBlAEQAYQB0AGEAXwBQAGEAcwB0AHUAcgBlAEIAZQBlAGYAXwBGAHIAYQBjAEcAQQBTAE0AUwBvAGkAbABfAFUAbgBpAHQAXABuACAAIAA9AEwAQQBNAEIARABBACgAXAAiAGYAcgBhAGMAdABpAG8AbgBcACIAKQA7AFwAbgBcAG4AUwBvAHUAcgBjAGUARABhAHQAYQBfAFAAYQBzAHQAdQByAGUAQgBlAGUAZgBfAEYAcgBhAGMARwBBAFMATQBTAG8AaQBsAF8AUwBvAHUAcgBjAGUAXABuACAAIAA9AEwAQQBNAEIARABBACgAXAAiAFYARQBFAFIARwAgADIAMAAyADYAOgAgADQALgAyAC4AMgAuADMAIABDAE8ATgBTAFQAQQBOAFQAUwBcACIAKQA7AFwAbgBcAG4AUwBvAHUAcgBjAGUARABhAHQAYQBfAFAAYQBzAHQAdQByAGUAQgBlAGUAZgBfAEYAcgBhAGMARwBBAFMATQBTAG8AaQBsAF8AVgBhAHIAaQBhAHQAaQBvAG4AXABuACAAIAA9AEwAQQBNAEIARABBACgAXAAiAFwAIgApADsAXABuAFwAbgBTAG8AdQByAGMAZQBEAGEAdABhAF8AUABhAHMAdAB1AHIAZQBCAGUAZQBmAF8ARgByAGEAYwBHAEEAUwBNAFMAbwBpAGwAXwBEAGEAdABhAFwAbgAgACAAPQBMAEEATQBCAEQAQQAoADAALgAyADEAKQA7AFwAbgBcAG4ALwAqACAAXABuAC0ALQAtAC0ALQAtAC0ALQAtAC0ALQAtAC0ALQAtAC0ALQAtAC0ALQAtAC0ALQAtAC0ALQAtAC0ALQAtAC0ALQAtAC0ALQAtAC0ALQBcAG4AUwBvAHUAcgBjAGUARABhAHQAYQBfAFAAYQBzAHQAdQByAGUAQgBlAGUAZgBfAEYAcgBhAGMATABFAEEAQwBIAFwAbgBEAGUAZgBhAHUAbAB0ACAAZgByAGEAYwB0AGkAbwBuACAAbwBmACAATgAgAHQAaABhAHQAIABpAHMAIABsAG8AcwB0ACAAdABoAHIAbwB1AGcAaAAgAGwAZQBhAGMAaABpAG4AZwAgAGEAbgBkACAAcgB1AG4AbwBmAGYAXABuAC0ALQAtAC0ALQAtAC0ALQAtAC0ALQAtAC0ALQAtAC0ALQAtAC0ALQAtAC0ALQAtAC0ALQAtAC0ALQAtAC0ALQAtAC0ALQAtAC0ALQBcAG4AKgAvAFwAbgBcAG4AUwBvAHUAcgBjAGUARABhAHQAYQBfAFAAYQBzAHQAdQByAGUAQgBlAGUAZgBfAEYAcgBhAGMATABFAEEAQwBIAF8AVABpAHQAbABlAFwAbgAgACAAPQBMAEEATQBCAEQAQQAoAFwAIgBEAGUAZgBhAHUAbAB0ACAAZgByAGEAYwB0AGkAbwBuACAAbwBmACAATgAgAHQAaABhAHQAIABpAHMAIABsAG8AcwB0ACAAdABoAHIAbwB1AGcAaAAgAGwAZQBhAGMAaABpAG4AZwAgAGEAbgBkACAAcgB1AG4AbwBmAGYAXAAiACkAOwBcAG4AXABuAFMAbwB1AHIAYwBlAEQAYQB0AGEAXwBQAGEAcwB0AHUAcgBlAEIAZQBlAGYAXwBGAHIAYQBjAEwARQBBAEMASABfAFYAYQByAGkAYQBiAGwAZQBcAG4AIAAgAD0ATABBAE0AQgBEAEEAKABcACIARgByAGEAYwBMAEUAQQBDAEgAXAAiACkAOwBcAG4AXABuAFMAbwB1AHIAYwBlAEQAYQB0AGEAXwBQAGEAcwB0AHUAcgBlAEIAZQBlAGYAXwBGAHIAYQBjAEwARQBBAEMASABfAFUAbgBpAHQAXABuACAAIAA9AEwAQQBNAEIARABBACgAXAAiAGYAcgBhAGMAdABpAG8AbgBcACIAKQA7AFwAbgBcAG4AUwBvAHUAcgBjAGUARABhAHQAYQBfAFAAYQBzAHQAdQByAGUAQgBlAGUAZgBfAEYAcgBhAGMATABFAEEAQwBIAF8AUwBvAHUAcgBjAGUAXABuACAAIAA9AEwAQQBNAEIARABBACgAXAAiAFYARQBFAFIARwAgADIAMAAyADYAOgAgADQALgAyAC4AMgAuADMAIABDAE8ATgBTAFQAQQBOAFQAUwBcACIAKQA7AFwAbgBcAG4AUwBvAHUAcgBjAGUARABhAHQAYQBfAFAAYQBzAHQAdQByAGUAQgBlAGUAZgBfAEYAcgBhAGMATABFAEEAQwBIAF8AVgBhAHIAaQBhAHQAaQBvAG4AXABuACAAIAA9AEwAQQBNAEIARABBACgAXAAiAFwAIgApADsAXABuAFwAbgBTAG8AdQByAGMAZQBEAGEAdABhAF8AUABhAHMAdAB1AHIAZQBCAGUAZQBmAF8ARgByAGEAYwBMAEUAQQBDAEgAXwBEAGEAdABhAFwAbgAgACAAPQBMAEEATQBCAEQAQQAoADAALgAyADQAKQA7ACIAfQAsAHsAIgBwAGEAdABoACIAOgAiAC8AcAByAG8AagBlAGMAdABzAC8ASQBuAHAAdQB0AEYAdQBuAGMAdABpAG8AbgBzAF8AUABhAHMAdAB1AHIAZQBCAGUAZQBmACIALAAiAHQAZQB4AHQAIgA6ACIATABvAG8AawB1AHAATABpAHYAZQB3AGUAaQBnAGgAdABGAHIAbwBtAFMAZQBhAHMAbwBuAFwAbgA9AEwAQQBNAEIARABBACgAXABuACAAIAAgACAAUwB0AGEAdABlACwAIABSAGUAZwBpAG8AbgAsACAAUwBlAGEAcwBvAG4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ABlAH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wAbwBvAGsAdQBwAEwAaQB2AGUAdwBlAGkAZwBoAHQARgByAG8AbQBNAG8AbgB0AGgAXABuAD0ATABBAE0AQgBEAEEAKABcAG4AIAAgACAAIABTAHQAYQB0AGUALAAgAFIAZQBnAGkAbwBuACwAIABNAG8AbgB0AGg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QBvAG4AdABoAEEAcgByAGEAeQAsACAATQBvAG4AdABoAFQAbwBTAGUAYQBzAG8AbgBBAHIAcgBhAHkALABcAG4AIAAgACAAIABMAGUAdAAoAFwAbgAgACAAIAAgACAAIAAgACAATQBvAG4AdABoACwAIABUAEUAWABUACgATQBvAG4AdABoACwAIABcACIAbQBtAG0AbQBcACIAKQAsAFwAbgAgACAAIAAgACAAIAAgACAAUwB0AGEAdABlACwAIABYAEwATwBPAEsAVQBQACgAUwB0AGEAdABlACwAIABTAHQAYQB0AGUAQwBvAG0AbQBvAG4ATgBhAG0AZQBBAHIAcgBhAHkALAAgAFMAdABhAHQAZQBBAGIAYgByAGUAdgBpAGEAdABpAG8AbgBBAHIAcgBhAHkAKQAsAFwAbgAgACAAIAAgACAAIAAgACAAUwBlAGEAcwBvAG4ALAAgAFgATABPAE8ASwBVAFAAKABNAG8AbgB0AGgALAAgAE0AbwBuAHQAaABBAHIAcgBhAHkALAAgAE0AbwBuAHQAaABUAG8AUwBlAGEAcw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MAbwBuAHYAZQByAHQATQBvAG4AdABoAGwAeQBDAGEAbAB2AGkAbgBnAFQAbwBTAGUAYQBzAG8AbgBcAG4AXABuAD0AIABMAEEATQBCAEQAQQAoAFwAbgAgACAAIAAgAFMAZQBhAHMAbwBuACwAIABTAHUAbQBBAHIAcgBhAHkALAAgAEMAYQBsAHYAaQBuAGcATQBvAG4AdABoAEEAcgByAGEAeQAsACAATQBvAG4AdABoAEEAcgByAGEAeQAsACAATQBvAG4AdABoAFQAbwBTAGUAYQBzAG8AbgBBAHIAcgBhAHkALABcAG4AIAAgACAAIABMAEUAVAAoAFwAbgAgACAAIAAgACAAIAAgACAATQBvAG4AdABoAFQAZQB4AHQALAAgAFQARQBYAFQAKABDAGEAbAB2AGkAbgBnAE0AbwBuAHQAaABBAHIAcgBhAHkALAAgAFwAIgBtAG0AbQBtAFwAIgApACwAXABuACAAIAAgACAAIAAgACAAIABTAGUAYQBzAG8AbgBQAGUAcgBSAG8AdwAsACAAWABMAE8ATwBLAFUAUAAoAE0AbwBuAHQAaABUAGUAeAB0ACwAIABNAG8AbgB0AGgAQQByAHIAYQB5ACwAIABNAG8AbgB0AGgAVABvAFMAZQBhAHMAbwBuAEEAcgByAGEAeQAsACAAXAAiAFwAIgAsACAAMAApACwAXABuACAAIAAgACAAIAAgACAAIABTAFUATQAoAFMAdQBtAEEAcgByAGEAeQAgACoAIAAoAFMAZQBhAHMAbwBuAFAAZQByAFIAbwB3AD0AUwBlAGEAcwBvAG4AKQApAFwAbgAgACAAIAAgACkAXABuACkAOwBcAG4AXABuAEwAbwBvAGsAdQBwAFYAYQBsAHUAZQBGAHIAbwBtAFMAdABhAHQAZQBSAGUAZwBpAG8AbgBTAGUAYQBzAG8AbgBcAG4APQBMAEEATQBCAEQAQQAoAFwAbgAgACAAIAAgAFMAdABhAHQAZQAsACAAUgBlAGcAaQBvAG4ALAAgAFMAZQBhAHMAbwBuACwAXABuACAAIAAgACAAUwB0AGEAdABlAEEAcgByAGEAeQAsACAAUgBlAGcAaQBvAG4AQQByAHIAYQB5ACwAIABTAGUAYQBzAG8AbgBBAHIAcgBhAHkALABcAG4AIAAgACAAIABSAGUAdAB1AHIAbgBBAHIAcgBhAHkALABcAG4AIAAgACAAIABTAHQAYQB0AGUAQwBvAG0AbQBvAG4ATgBhAG0AZQBBAHIAcgBhAHkALAAgAFMAdABhAHQAZQBBAGIAYgByAGUAdgBpAGEAdABp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FwAbgBcAG4ATABvAG8AawB1AHAAVgBhAGwAdQBlAEYAcgBvAG0AUwB0AGEAdABlAFIAZQBnAGkAbwBuAE0AbwBuAHQAaABcAG4APQBMAEEATQBCAEQAQQAoAFwAbgAgACAAIAAgAFMAdABhAHQAZQAsACAAUgBlAGcAaQBvAG4ALAAgAE0AbwBuAHQAaA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IABNAG8AbgB0AGgAQQByAHIAYQB5ACwAIABNAG8AbgB0AGgAVABvAFMAZQBhAHMAbwBuAEEAcgByAGEAeQAsAFwAbgAgACAAIAAgAEwARQBUACgAXABuACAAIAAgACAAIAAgACAAIABTAHQAYQB0AGUALAAgAFgATABPAE8ASwBVAFAAKABTAHQAYQB0AGUALAAgAFMAdABhAHQAZQBDAG8AbQBtAG8AbgBOAGEAbQBlAEEAcgByAGEAeQAsACAAUwB0AGEAdABlAEEAYgBiAHIAZQB2AGkAYQB0AGkAbwBuAEEAcgByAGEAeQApACwAXABuACAAIAAgACAAIAAgACAAIABTAGUAYQBzAG8AbgAsACAAWABMAE8ATwBLAFUAUAAoAFQARQBYAFQAKABNAG8AbgB0AGgALAAgAFwAIgBtAG0AbQBtAFwAIgApACwAIABNAG8AbgB0AGgAQQByAHIAYQB5ACwAIABNAG8AbgB0AGgAVABvAFMAZQBhAHMAbwBuAEEAcgByAGEAeQApACwAXABuACAAIAAgACAAIAAgACAAIABYAEwATwBPAEsAVQBQACgAXABuACAAIAAgACAAIAAgACAAIAAgACAAIAAgADEALAAgACgAUwB0AGEAdABlAEEAcgByAGEAeQA9AFMAdABhAHQAZQApACoAXABuACAAIAAgACAAIAAgACAAIAAgACAAIAAgACgAUgBlAGcAaQBvAG4AQQByAHIAYQB5AD0AUgBlAGcAaQBvAG4AKQAsAFwAbgAgACAAIAAgACAAIAAgACAAIAAgACAAIABYAEwATwBPAEsAVQBQACgAXABuACAAIAAgACAAIAAgACAAIAAgACAAIAAgACAAIAAgACAAUwBlAGEAcwBvAG4ALAAgAFMAZQBhAHMAbwBuAEEAcgByAGEAeQAsACAAUgBlAHQAdQByAG4AQQByAHIAYQB5AFwAbgAgACAAIAAgACAAIAAgACAAIAAgACAAIAApAFwAbgAgACAAIAAgACAAIAAgACAAKQBcAG4AIAAgACAAIAApAFwAbgApADsAIgB9ACwAewAiAHAAYQB0AGgAIgA6ACIALwBwAHIAbwBqAGUAYwB0AHMALwBNAE0AUwBfAFAAYQBzAHQAdQByAGUAQgBlAGUAZg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MAIABNAGUAdABoAG8AZAAgADEAIAAtACAAUwBvAGkAbAAgAEQAaQByAGUAYwB0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MAXwBfADEAXwBEAGkAcgBlAGMAdABOAGkAdAByAG8AdQBzAE8AeABpAGQAZQBFAG0AaQBzAHMAaQBvAG4AcwBPAG4AUABhAHMAdAB1AHIAZQBcAG4AVABvAHQAYQBsACAAYQBuAG4AdQBhAGwAIABkAGkAcgBlAGMAdAAgAG4AaQB0AHIAbwB1AHMAIABvAHgAaQBkAGUAIABlAG0AaQBzAHMAaQBvAG4AcwAgAGYAcgBvAG0AIABhAGcAcgBpAGMAdQBsAHQAdQByAGEAbAAgAHMAbwBpAGwAcwAgAGYAcgBvAG0AIABkAGUAcABvAHMAaQB0AGkAbwBuACAAbwBmACAAdQByAGkAbgBlACAAYQBuAGQAIABkAHUAbgBnAFwAbgBFAF8ATgAyAE8AZABpAHIAXABuAHQAIABOADIATwBcAG4ARQBfAHsATgAyAE8ALABkAGkAcgB9AD0AQQBFAFwAXAB0AGkAbQBlAHMAIABFAEYAXwB7AFAAUgBQAH0AXABcAHQAaQBtAGUAcwAgAEMAXwB7AE4AMgBPAH0AXABcAHQAaQBtAGUAcwAgADEAMABeAHsALQAzAH0AXABuAEEARQAgAD0AIAB0AG8AdABhAGwAIABtAGEAcwBzACAAbwBmACAAbgBpAHQAcgBvAGcAZQBuACAAZQB4AGMAcgBlAHQAZQBkACAAbwBuACAAUABSAFAAIABmAG8AcgAgAGIAZQBlAGYAIABjAGEAdAB0AGwAZQAgACgAawBnACAATgApAFwAbgBFAEYAXwBQAFIAUAAgAD0AIABlAG0AaQBzAHMAaQBvAG4AIABmAGEAYwB0AG8AcgAgAGYAbwByACAAbgBpAHQAcgBvAHUAcwAgAG8AeABpAGQAZQAgAGYAcgBvAG0AIAB1AHIAaQBuAGUAIABhAG4AZAAgAGQAdQBuAGcAIABkAGUAcABvAHMAaQB0AGUAZAAgAHQAbwAgAHMAbwBpAGwAIAAoAGsAZwAgAE4AMgBPAC0ATgAvAGsAZwAgAE4AIABkAGUAcABvAHMAaQB0AGUAZAApAFwAbgBDAF8ATgAyAE8AIAA9ACAAZgBhAGMAdABvAHIAIAB0AG8AIABjAG8AbgB2AGUAcgB0ACAAZQBsAGUAbQBlAG4AdABhAGwAIABtAGEAcwBzACAAbwBmACAAbgBpAHQAcgBvAHUAcwAgAG8AeABpAGQAZQAgAHQAbwAgAG0AbwBsAGUAYwB1AGwAYQByACAAbQBhAHMAcwBcAG4ALQAtAC0ALQAtAC0ALQAtAC0ALQAtAC0ALQAtAC0ALQAtAC0ALQAtAC0ALQAtAC0ALQAtAC0ALQAtAC0ALQAtAC0ALQAtAC0ALQAtAFwAbgAqAC8AXABuAFwAbgBWAEUARQBSAEcAXwA0AF8AMgBfADEAXwAzAF8AXwAxAF8ARABpAHIAZQBjAHQATgBpAHQAcgBvAHUAcwBPAHgAaQBkAGUARQBtAGkAcwBzAGkAbwBuAHMATwBuAFAAYQBzAHQAdQByAGUAXABuACAAIAA9AEwAQQBNAEIARABBACgAXABuACAAIAAgACAAQQBFACwAIABFAEYAXwBQAFIAUAAsACAAQwBfAE4AMgBPACwAXABuACAAIAAgACAAQQBFACAAKgAgAEUARgBfAFAAUgBQACAAKgAgAEMAXwBOADIATwAgACoAIAAxADAAIABeACAALQAzAFwAbgAgACAAKQA7AFwAbgBcAG4AVgBFAEUAUgBHAF8ANABfADIAXwAxAF8AMwBfAF8AMQBfAEQAaQByAGUAYwB0AE4AaQB0AHIAbwB1AHMATwB4AGkAZABlAEUAbQBpAHMAcwBpAG8AbgBzAE8AbgBQAGEAcwB0AHUAcgBlAF8AVABpAHQAbABlAFwAbgAgACAAPQBMAEEATQBCAEQAQQAoAFwAIgBUAG8AdABhAGwAIABhAG4AbgB1AGEAbAAgAGQAaQByAGUAYwB0ACAAbgBpAHQAcgBvAHUAcwAgAG8AeABpAGQAZQAgAGUAbQBpAHMAcwBpAG8AbgBzACAAZgByAG8AbQAgAGEAZwByAGkAYwB1AGwAdAB1AHIAYQBsACAAcwBvAGkAbABzACAAZgByAG8AbQAgAGQAZQBwAG8AcwBpAHQAaQBvAG4AIABvAGYAIAB1AHIAaQBuAGUAIABhAG4AZAAgAGQAdQBuAGcAXAAiACkAOwBcAG4AXABuAFYARQBFAFIARwBfADQAXwAyAF8AMQBfADMAXwBfADEAXwBEAGkAcgBlAGMAdABOAGkAdAByAG8AdQBzAE8AeABpAGQAZQBFAG0AaQBzAHMAaQBvAG4AcwBPAG4AUABhAHMAdAB1AHIAZQBfAFYAYQByAGkAYQBiAGwAZQBcAG4AIAAgAD0ATABBAE0AQgBEAEEAKABcACIARQBfAE4AMgBPAGQAaQByAFwAIgApADsAXABuAFwAbgBWAEUARQBSAEcAXwA0AF8AMgBfADEAXwAzAF8AXwAxAF8ARABpAHIAZQBjAHQATgBpAHQAcgBvAHUAcwBPAHgAaQBkAGUARQBtAGkAcwBzAGkAbwBuAHMATwBuAFAAYQBzAHQAdQByAGUAXwBVAG4AaQB0AFwAbgAgACAAPQBMAEEATQBCAEQAQQAoAFwAIgB0ACAATgAyAE8AXAAiACkAOwBcAG4AXABuAFYARQBFAFIARwBfADQAXwAyAF8AMQBfADMAXwBfADEAXwBEAGkAcgBlAGMAdABOAGkAdAByAG8AdQBzAE8AeABpAGQAZQBFAG0AaQBzAHMAaQBvAG4AcwBPAG4AUABhAHMAdAB1AHIAZQBfAFMAbwB1AHIAYwBlAFwAbgAgACAAPQBMAEEATQBCAEQAQQAoAFwAIgBWAEUARQBSAEcAIAAyADAAMgA2ADoAIAA0AC4AMgAuADEALgAzACwAIABFAHEAdQBhAHQAaQBvAG4AIAAoADEAKQBcACIAKQA7AFwAbgBcAG4AVgBFAEUAUgBHAF8ANABfADIAXwAxAF8AMwBfAF8AMQBfAEQAaQByAGUAYwB0AE4AaQB0AHIAbwB1AHMATwB4AGkAZABlAEUAbQBpAHMAcwBpAG8AbgBzAE8AbgBQAGEAcwB0AHUAcgBlAF8ATgBJAFIAUgBlAGYAZQByAGUAbgBjAGUAXABuACAAIAA9AEwAQQBNAEIARABBACgAXAAiAFwAIgApADsAXABuAFwAbgBWAEUARQBSAEcAXwA0AF8AMgBfADEAXwAzAF8AXwAxAF8ARABpAHIAZQBjAHQATgBpAHQAcgBvAHUAcwBPAHgAaQBkAGUARQBtAGkAcwBzAGkAbwBuAHMATwBuAFAAYQBzAHQAdQByAGUAXwBMAGEAdABlAHgARQBxAHUAYQB0AGkAbwBuAFwAbgAgACAAPQBMAEEATQBCAEQAQQAoAFwAIgBFAF8AewBOADIATwAsAGQAaQByAH0APQBBAEUAXABcAHQAaQBtAGUAcwAgAEUARgBfAHsAUABSAFAAfQBcAFwAdABpAG0AZQBzACAAQwBfAHsATgAyAE8AfQBcAFwAdABpAG0AZQBzACAAMQAwAF4AewAtADMAfQBcACIAKQA7AFwAbgBcAG4AVgBFAEUAUgBHAF8ANABfADIAXwAxAF8AMw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FAEYAXwBQAFIAUABcACIALAAgAFwAIgBlAG0AaQBzAHMAaQBvAG4AIABmAGEAYwB0AG8AcgAgAGYAbwByACAAbgBpAHQAcgBvAHUAcwAgAG8AeABpAGQAZQAgAGYAcgBvAG0AIAB1AHIAaQBuAGUAIABhAG4AZAAgAGQAdQBuAGcAIABkAGUAcABvAHMAaQB0AGUAZAAgAHQAbwAgAHMAbwBpAGw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6AFwAIgAsACAAXAAiAHcAZQB0ACAAbwByACAAZAByAHkAIABjAGwAaQBtAGEAdABl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MgBfAFQAbwB0AGEAbABOAGkAdAByAG8AZwBlAG4ARQB4AGMAcgBlAHQAZQBkAFQAbwBQAGEAcwB0AHUAcgBlAFIAYQBuAGcAZQBBAG4AZABQAGEAZABkAG8AYwBrAFwAbgBUAG8AdABhAGwAIABuAGkAdAByAG8AZwBlAG4AIABlAHgAYwByAGUAdABlAGQAIAB0AG8AIABwAGEAcwB0AHUAcgBlACwAIAByAGEAbgBnAGUAIABhAG4AZAAgAHAAYQBkAGQAbwBjAGsAXABuAEEARQBcAG4AawBnACAATgBcAG4AQQBFAD0AXABcAHMAdQBtAF8AewBqAH0AXABcAHMAdQBtAF8AewBrAH0AXABcAHMAdQBtAF8AewBsAH0AKABOAF8AewBqAGsAbAB9AFwAXAB0AGkAbQBlAHMAIABOAEUAXwB7AGoAawBsAH0AXABcAHQAaQBtAGUAcwAgAEQAXwBqACkAXABuAE4AXwBqAGsAbAAgAD0AIABuAHUAbQBiAGUAcgAgAG8AZgAgAGIAZQBlAGYAIABjAGEAdAB0AGwAZQAgAGIAeQAgAHQAaQBtAGUALQBwAGUAcgBpAG8AZAAsACAAYwBsAGEAcwBzACAAYQBuAGQAIABzAHUAYgBjAGwAYQBzAHMAIAAoAGgAZQBhAGQAKQBcAG4ATgBFAF8AagBrAGwAIAA9ACAAbgBpAHQAcgBvAGcAZQBuACAAZQB4AGMAcgBlAHQAZQBkACAAaQBuACAAZQBhAGMAaAAgAHQAaQBtAGUALQBwAGUAcgBpAG8AZAAsACAAYgB5ACAAZQBhAGMAaAAgAGMAbABhAHMAcwAgAGEAbgBkACAAcwB1AGIAYwBsAGEAcwBzACAAKABrAGcAIABOAC8AaABlAGEAZAAvAGQAYQB5ACkAXABuAEQAXwBqACAAPQAgAG4AdQBtAGIAZQByACAAbwBmACAAZABhAHkAcwAgAGkAbgAgAGUAYQBjAGgAIAB0AGkAbQBlAC0AcABlAHIAaQBvAGQAIAAoAGQAYQB5AHMAKQBcAG4ALQAtAC0ALQAtAC0ALQAtAC0ALQAtAC0ALQAtAC0ALQAtAC0ALQAtAC0ALQAtAC0ALQAtAC0ALQAtAC0ALQAtAC0ALQAtAC0ALQAtAFwAbgAqAC8AXABuAFwAbgBWAEUARQBSAEcAXwA0AF8AMgBfADEAXwAzAF8AXwAyAF8AVABvAHQAYQBsAE4AaQB0AHIAbwBnAGUAbgBFAHgAYwByAGUAdABlAGQAVABvAFAAYQBzAHQAdQByAGUAUgBhAG4AZwBlAEEAbgBkAFAAYQBkAGQAbwBjAGsAXABuACAAIAA9AEwAQQBNAEIARABBACgAXABuACAAIAAgACAATgBfAGoAawBsACwAIABOAEUAXwBqAGsAbAAsACAARABfAGoALABcAG4AIAAgACAAIABTAFUATQAoACgATgBfAGoAawBsACAAKgAgAE4ARQBfAGoAawBsACkAIAAqACAARABfAGoAKQBcAG4AIAAgACkAOwBcAG4AXABuAFYARQBFAFIARwBfADQAXwAyAF8AMQBfADMAXwBfADIAXwBUAG8AdABhAGwATgBpAHQAcgBvAGcAZQBuAEUAeABjAHIAZQB0AGUAZABUAG8AUABhAHMAdAB1AHIAZQBSAGEAbgBnAGUAQQBuAGQAUABhAGQAZABvAGMAawBfAFQAaQB0AGwAZQBcAG4AIAAgAD0ATABBAE0AQgBEAEEAKABcACIAVABvAHQAYQBsACAAbgBpAHQAcgBvAGcAZQBuACAAZQB4AGMAcgBlAHQAZQBkACAAdABvACAAcABhAHMAdAB1AHIAZQAsACAAcgBhAG4AZwBlACAAYQBuAGQAIABwAGEAZABkAG8AYwBrAFwAIgApADsAXABuAFwAbgBWAEUARQBSAEcAXwA0AF8AMgBfADEAXwAzAF8AXwAyAF8AVABvAHQAYQBsAE4AaQB0AHIAbwBnAGUAbgBFAHgAYwByAGUAdABlAGQAVABvAFAAYQBzAHQAdQByAGUAUgBhAG4AZwBlAEEAbgBkAFAAYQBkAGQAbwBjAGsAXwBWAGEAcgBpAGEAYgBsAGUAXABuACAAIAA9AEwAQQBNAEIARABBACgAXAAiAEEARQBcACIAKQA7AFwAbgBcAG4AVgBFAEUAUgBHAF8ANABfADIAXwAxAF8AMwBfAF8AMgBfAFQAbwB0AGEAbABOAGkAdAByAG8AZwBlAG4ARQB4AGMAcgBlAHQAZQBkAFQAbwBQAGEAcwB0AHUAcgBlAFIAYQBuAGcAZQBBAG4AZABQAGEAZABkAG8AYwBrAF8AVQBuAGkAdABcAG4AIAAgAD0ATABBAE0AQgBEAEEAKABcACIAawBnACAATgBcACIAKQA7AFwAbgBcAG4AVgBFAEUAUgBHAF8ANABfADIAXwAxAF8AMwBfAF8AMgBfAFQAbwB0AGEAbABOAGkAdAByAG8AZwBlAG4ARQB4AGMAcgBlAHQAZQBkAFQAbwBQAGEAcwB0AHUAcgBlAFIAYQBuAGcAZQBBAG4AZABQAGEAZABkAG8AYwBrAF8AUwBvAHUAcgBjAGUAXABuACAAIAA9AEwAQQBNAEIARABBACgAXAAiAFYARQBFAFIARwAgADIAMAAyADYAOgAgADQALgAyAC4AMQAuADMALAAgAEUAcQB1AGEAdABpAG8AbgAgACgAMgApAFwAIgApADsAXABuAFwAbgBWAEUARQBSAEcAXwA0AF8AMgBfADEAXwAzAF8AXwAyAF8AVABvAHQAYQBsAE4AaQB0AHIAbwBnAGUAbgBFAHgAYwByAGUAdABlAGQAVABvAFAAYQBzAHQAdQByAGUAUgBhAG4AZwBlAEEAbgBkAFAAYQBkAGQAbwBjAGsAXwBOAEkAUgBSAGUAZgBlAHIAZQBuAGMAZQBcAG4AIAAgAD0ATABBAE0AQgBEAEEAKABcACIAXAAiACkAOwBcAG4AXABuAFYARQBFAFIARwBfADQAXwAyAF8AMQBfADMAXwBfADIAXwBUAG8AdABhAGwATgBpAHQAcgBvAGcAZQBuAEUAeABjAHIAZQB0AGUAZABUAG8AUABhAHMAdAB1AHIAZQBSAGEAbgBnAGUAQQBuAGQAUABhAGQAZABvAGMAawBfAEwAYQB0AGUAeABFAHEAdQBhAHQAaQBvAG4AXABuACAAIAA9AEwAQQBNAEIARABBACgAXAAiAEEARQA9AFwAXABzAHUAbQBfAHsAagB9AFwAXABzAHUAbQBfAHsAawB9AFwAXABzAHUAbQBfAHsAbAB9ACgATgBfAHsAagBrAGwAfQBcAFwAdABpAG0AZQBzACAATgBFAF8AewBqAGsAbAB9AFwAXAB0AGkAbQBlAHMAIABEAF8AagApAFwAIgApADsAXABuAFwAbgBWAEUARQBSAEcAXwA0AF8AMgBfADEAXwAzAF8AXwAyAF8AVABvAHQAYQBsAE4AaQB0AHIAbwBnAGUAbgBFAHgAYwByAGUAdABlAGQAVABvAFAAYQBzAHQAdQByAGUAUgBhAG4AZwBlAEEAbgBkAFAAYQBkAGQAbwBjAGs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YgB5ACAAdABpAG0AZQAtAHAAZQByAGkAbwBkACwAIABjAGwAYQBzAHMAIABhAG4AZAAgAHMAdQBiAGMAbABhAHMAcwBcACIALAAgAFwAIgBoAGUAYQBkAFwAIgAsACAAXAAiAEkAbgBwAHUAdABcACIAOwBcAG4AIAAgACAAIAAgACAAIAAgACAAIABcACIATgBFAF8AagBrAGwAXAAiACwAIABcACIAbgBpAHQAcgBvAGcAZQBuACAAZQB4AGMAcgBlAHQAZQBkACAAaQBuACAAZQBhAGMAaAAgAHQAaQBtAGUALQBwAGUAcgBpAG8AZAAsACAAYgB5ACAAZQBhAGMAaAAgAGMAbABhAHMAcwAgAGEAbgBkACAAcwB1AGIAYwBsAGEAcwBzAFwAIgAsACAAXAAiAGsAZwAgAE4ALwBoAGUAYQBkAC8AZABhAHkAXAAiACwAIABcACIAQwBhAGwAYwB1AGwAYQB0AGUAZAAgAGYAcgBvAG0AIAA0AC4AMgAuADEALgAzACAAKAAzACkAXAAiADsAXABuACAAIAAgACAAIAAgACAAIAAgACAAXAAiAEQAXwBqAFwAIgAsACAAXAAiAG4AdQBtAGIAZQByACAAbwBmACAAZABhAHkAcwAgAGkAbgAgAGUAYQBjAGgAIAB0AGkAbQBlAC0AcABlAHIAaQBvAGQAIAAoAGQAYQB5AHMAKQ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LAAgAFwAIgBrAGcAIABEAE0ALwBoAGUAYQBkAC8AZABhAHkAXAAiACwAIABcACIAQwBhAGwAYwB1AGwAYQB0AGUAZAAgAGYAcgBvAG0AIAAzAC4AMgAuADEALgAxACAAKAAzACkAXAAiADsAXABuACAAIAAgACAAIAAgACAAIAAgACAAXAAiAEMAUABfAGoAXAAiACwAIABcACIAYwByAHUAZABlACAAcAByAG8AdABlAGkAbgAgAGMAbwBuAHQAZQBuAHQAIABvAGYAIABkAHIAeQAgAG0AYQB0AHQAZQByACAAaQBuAHQAYQBrAGUAXAAiACwAIABcACIAZgByAGEAYwB0AGkAbwBuAFwAIgAsACAAXAAiAEkAbgBwAHUAdABcACIAOwBcAG4AIAAgACAAIAAgACAAIAAgACAAIABcACIATQBDAF8AagBrADEAMwA2AFwAIgAsACAAXAAiAG0AaQBsAGsAIABpAG4AdABhAGsAZQAgACgAawBnAC8AaABlAGEAZAAvAGQAYQB5ACkAXAAiACwAIABcACIAawBnAC8AaABlAGEAZAAvAGQAYQB5AFwAIgAsACAAXAAiAEMAbwBuAHMAdABhAG4AdABcACIAOwBcAG4AIAAgACAAIAAgACAAIAAgACAAIABcACIATgBSAF8AagBrAGwAXAAiACwAIABcACIAdABoAGUAIABhAG0AbwB1AG4AdAAgAG8AZgAgAG4AaQB0AHIAbwBnAGUAbgAgAHIAZQB0AGEAaQBuAGUAZAAgAGIAeQAgAHQAaABlACAAYgBvAGQAeQAgACgAawBnACAATgAvAGgAZQBhAGQALwBkAGEAeQApAFwAIgAsACAAXAAiAGsAZwAgAE4ALwBoAGUAYQBkAC8AZABhAHkAXAAiACwAIABcACIAQwBhAGwAYwB1AGwAYQB0AGUAZAAgAGYAcgBvAG0AIAA0AC4AMgAuADEALgAzACAAKAA0ACkAXAAiADsAXABuACAAIAAgACAAIAAgACAAIAAgACAAXAAiAFcAXwBqAGsAbABcACIALAAgAFwAIgBsAGkAdgBlAHcAZQBpAGcAaAB0ACAAKABrAGcALwBoAGUAYQBkACkAXAAiACwAIABcACIAawBnAC8AaABlAGEAZABcACIALAAgAFwAIgBJAG4AcAB1AHQAXAAiADsAXABuACAAIAAgACAAIAAgACAAIAAgACAAXAAiAGIAXAAiACwAIABcACIAYgByAGUAZQBkACAAbwBmACAAYwBhAHQAdABsAGUAXAAiACwAIABcACIAXAAiACwAIABcACIASQBuAHAAdQB0AFwAIgA7AFwAbgAgACAAIAAgACAAIAAgACAAIAAgAFwAIgBzAFwAIgAsACAAXAAiAEMAYQBsAHYAaQBuAGcAIABzAGUAYQBz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NAAsAFwAbgAgACAAIAAgACAAIABMAEEATQBCAEQAQQAoAHIALABjACwAXABuACAAIAAgACAAIAAgACAAIABJAE4ARABFAFgAKAB7AFwAbgAgACAAIAAgACAAIAAgACAAIAAgAFwAIgBNAFAAXwBqAGsANQBcACIALAAgAFwAIgBtAGkAbABrACAAcAByAG8AZAB1AGMAdABpAG8AbgAgACgAawBnAC8AaABlAGEAZAAvAGQAYQB5ACkAXAAiACwAIABcACIAawBnAC8AaABlAGEAZAAvAGQAYQB5AFwAIgAsACAAXAAiAEMAYQBsAGMAdQBsAGEAdABlAGQAIABmAHIAbwBtACAANAAuADIALgAxAC4AMwAgACgANQApAFwAIgA7AFwAbgAgACAAIAAgACAAIAAgACAAIAAgAFwAIgBMAF8AagBrAGwAXAAiACwAIABcACIAaQBuAHQAYQBrAGUAIAByAGUAbABhAHQAaQB2AGUAIAB0AG8AIAB0AGgAYQB0ACAAbgBlAGUAZABlAGQAIABmAG8AcgAgAG0AYQBpAG4AdABlAG4AYQBuAGMAZQBcACIALAAgAFwAIgBcACIALAAgAFwAIgBDAGEAbABjAHUAbABhAHQAZQBkACAAZgByAG8AbQAgADQALgAyAC4AMQAuADMAIAAoADYAKQBcACIAOwBcAG4AIAAgACAAIAAgACAAIAAgACAAIABcACIAWgBfAGoAawBsAFwAIgAsACAAXAAiAHIAZQBsAGEAdABpAHYAZQAgAHMAaQB6AGUAXAAiACwAIABcACIAXAAiACwAIABcACIAQwBhAGwAYwB1AGwAYQB0AGUAZAAgAGYAcgBvAG0AIAA0AC4AMgAuADEALgAzACAAKAA3ACkAXAAiADsAXABuACAAIAAgACAAIAAgACAAIAAgACAAXAAiAEwAVwBHAF8AagBrAGwAXAAiACwAIABcACIAbABpAHYAZQB3AGUAaQBnAGgAdAAgAGcAYQBpAG4AIAAoAGsAZwAvAGgAZQBhAGQALwBkAGEAeQApAFwAIgAsACAAXAAiAGsAZwAvAGgAZQBhAGQALwBkAGEAeQ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NA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sACAAXAAiAGYAcgBhAGMAdABpAG8AbgBcACIALAAgAFwAIgBJAG4AcAB1AHQAXAAiADsAXABuACAAIAAgACAAIAAgACAAIAAgACAAXAAiAEQATQBQAF8AagBrADUAXAAiACwAIABcACIAZABhAGkAbAB5ACAAbQBpAGwAawAgAHAAcgBvAGQAdQBjAHQAaQBvAG4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QQByAGcAdQBtAGUAbgB0AHMAVgBhAHIAaQBhAHQAaQBvAG4AXABuACAAIAA9AEwAQQBNAEIARABBACgAXABuACAAIAAgACAATQBBAEsARQBBAFIAUgBBAFkAKAA1ACwAIAA0ACwAXABuACAAIAAgACAAIAAgAEwAQQBNAEIARABBACgAcgAsAGMALABcAG4AIAAgACAAIAAgACAAIAAgAEkATgBEAEUAWAAoAHsAXABuACAAIAAgACAAIAAgACAAIAAgACAAXAAiAEwAQwBfAGoAawA1AGMAdQByAHIAXAAiACwAIABcACIAcAByAG8AcABvAHIAdABpAG8AbgAgAG8AZgAgAGMAbwB3AHMAIABnAHIAZQBhAHQAZQByACAAdABoAGEAbgAgADIAIAB5AGUAYQByAHMAIABsAGEAYwB0AGEAdABpAG4AZwAgAGYAbwByACAAdABoAGUAIABzAGUAYQBzAG8AbgAgAG8AZgAgAGMAYQBsAHYAaQBuAGcAXAAiACwAIABcACIAZgByAGEAYwB0AGkAbwBuAFwAIgAsACAAXAAiAEkAbgBwAHUAdABcACIAOwBcAG4AIAAgACAAIAAgACAAIAAgACAAIABcACIATABDAF8AagBrADUAcAByAGUAdgBcACIALAAgAFwAIgBwAHIAbwBwAG8AcgB0AGkAbwBuACAAbwBmACAAYwBvAHcAcwAgAGcAcgBlAGEAdABlAHIAIAB0AGgAYQBuACAAMgAgAHkAZQBhAHIAcwAgAGwAYQBjAHQAYQB0AGkAbgBnACAAZgBvAHIAIAB0AGgAZQAgAHMAZQBhAHMAbwBuACAAYQBmAHQAZQByACAAYwBhAGwAdgBpAG4AZwBcACIALAAgAFwAIgBmAHIAYQBjAHQAaQBvAG4AXAAiACwAIABcACIASQBuAHAAdQB0AFwAIgA7AFwAbgAgACAAIAAgACAAIAAgACAAIAAgAFwAIgBEAE0AUABfAGoAawA1AGMAYQBsAHYAXAAiACwAIABcACIAZABhAGkAbAB5ACAAbQBpAGwAawAgAHAAcgBvAGQAdQBjAHQAaQBvAG4AIABmAG8AcgAgAHQAaABlACAAcwBlAGEAcwBvAG4AIABvAGYAIABjAGEAbAB2AGkAbgBnACAAKABrAGcALwBoAGUAYQBkAC8AZABhAHkAKQBcACIALAAgAFwAIgBrAGcALwBoAGUAYQBkAC8AZABhAHkAXAAiACwAIABcACIAQwBvAG4AcwB0AGEAbgB0AFwAIgA7AFwAbgAgACAAIAAgACAAIAAgACAAIAAgAFwAIgBEAE0AUABfAGoAawA1AGEAZgB0AGUAcgBcACIALAAgAFwAIgBkAGEAaQBsAHkAIABtAGkAbABrACAAcAByAG8AZAB1AGMAdABpAG8AbgAgAGYAbwByACAAdABoAGUAIABzAGUAYQBzAG8AbgAgAGEAZgB0AGUAcgAgAGMAYQBsAHYAaQBuAGc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VgBhAHIAaQBhAHQAaQBvAG4AXABuAD0ATABBAE0AQgBEAEEAKABcACIAVgBBAFIASQBBAFQASQBPAE4AIABPAE4AIABTAE8AVQBSAEMARQA6ACAAUwBwAGwAaQB0ACAATABDACAAYQBuAGQAIABEAE0AUAAgAGkAbgB0AG8AIABjAGEAbAB2AGkAbgBnACAAcwBlAGEAcwBvAG4AIABhAG4AZAAgAGEAZgB0AGUAcgAgAGMAYQBsAHYAaQBuAGcAIABzAGUAYQBzAG8AbgAgAHYAYQBsAHUAZQBzAC4AXAAiACkAOwBcAG4AXABuAC8AKgBcAG4ALQAtAC0ALQAtAC0ALQAtAC0ALQAtAC0ALQAtAC0ALQAtAC0ALQAtAC0ALQAtAC0ALQAtAC0ALQAtAC0ALQAtAC0ALQAtAC0ALQAtAFwAbgBWAEUARQBSAEcAXwA0AF8AMgBfADEAXwAzAF8AXwA2AF8ASQBuAHQAYQBrAGUAUgBlAGwAYQB0AGkAdgBlAFQAbwBNAGEAaQBuAHQAZQBuAGEAbgBjAGUAXABuAEkAbgB0AGEAawBlACAAcgBlAGwAYQB0AGkAdgBlACAAdABvACAAdABoAGEAdAAgAG4AZQBlAGQAZQBkACAAZgBvAHIAIABtAGEAaQBuAHQAZQBuAGEAbgBjAGUAXABuAEwAXwBqAGsAbABcAG4AcgBhAHQAaQBvAFwAbgBMAF8AewBqAGsAbAB9AD0AXABcAGYAcgBhAGMAewBJAF8AewBqAGsAbAB9AH0AewAoADEALgAxADgANQArADAALgAwADAANAA1ADQAXABcAHQAaQBtAGUAcwAgAFcAXwB7AGoAawBsAH0ALQAwAC4AMAAwADAAMAAwADIANgBcAFwAdABpAG0AZQBzACAAVwBfAHsAagBrAGwAfQBeAHsAMgB9ACkAXgB7ADIAfQB9AFwAbgBJAF8AagBrAGwAIAA9ACAAZAByAHkAIABtAGEAdAB0AGUAcgAgAGkAbgB0AGEAawBlACAAYQBzACAAYwBhAGwAYwB1AGwAYQB0AGUAZAAgAGkAbgAgAEMAaABhAHAAdABlAHIAIAAzACAAUwBlAGMAdABpAG8AbgAgADMALgAyAC4AMQAgACgAawBnACAARABNAC8AaABlAGEAZAAvAGQAYQB5ACkAXABuAFcAXwBqAGsAbAAgAD0AIABsAGkAdgBlAHcAZQBpAGcAaAB0ACAAKABrAGcALwBoAGUAYQBkACkAXABuAC0ALQAtAC0ALQAtAC0ALQAtAC0ALQAtAC0ALQAtAC0ALQAtAC0ALQAtAC0ALQAtAC0ALQAtAC0ALQAtAC0ALQAtAC0ALQAtAC0ALQBcAG4AKgAvAFwAbgBcAG4AVgBFAEUAUgBHAF8ANABfADIAXwAxAF8AMwBfAF8ANgBfAEkAbgB0AGEAawBlAFIAZQBsAGEAdABpAHYAZQBUAG8ATQBhAGkAbgB0AGUAbgBhAG4AYwBlAFwAbgAgACAAPQBMAEEATQBCAEQAQQAoAFwAbgAgACAAIAAgAEkAXwBqAGsAbAAsACAAVwBfAGoAawBsACwAXABuACAAIAAgACAASQBfAGoAawBsACAALwAgACgAKAAxAC4AMQA4ADUAIAArACAAMAAuADAAMAA0ADUANAAgACoAIABXAF8AagBrAGwAIAAtACAAMAAuADAAMAAwADAAMAAyADYAIAAqACAAVwBfAGoAawBsACAAXgAgADIAKQAgAF4AIAAyACkAXABuACAAIAApADsAXABuAFwAbgBWAEUARQBSAEcAXwA0AF8AMgBfADEAXwAzAF8AXwA2AF8ASQBuAHQAYQBrAGUAUgBlAGwAYQB0AGkAdgBlAFQAbwBNAGEAaQBuAHQAZQBuAGEAbgBjAGUAXwBUAGkAdABsAGUAXABuACAAIAA9AEwAQQBNAEIARABBACgAXAAiAEkAbgB0AGEAawBlACAAcgBlAGwAYQB0AGkAdgBlACAAdABvACAAdABoAGEAdAAgAG4AZQBlAGQAZQBkACAAZgBvAHIAIABtAGEAaQBuAHQAZQBuAGEAbgBjAGUAXAAiACkAOwBcAG4AXABuAFYARQBFAFIARwBfADQAXwAyAF8AMQBfADMAXwBfADYAXwBJAG4AdABhAGsAZQBSAGUAbABhAHQAaQB2AGUAVABvAE0AYQBpAG4AdABlAG4AYQBuAGMAZQBfAFYAYQByAGkAYQBiAGwAZQBcAG4AIAAgAD0ATABBAE0AQgBEAEEAKABcACIATABfAGoAawBsAFwAIgApADsAXABuAFwAbgBWAEUARQBSAEcAXwA0AF8AMgBfADEAXwAzAF8AXwA2AF8ASQBuAHQAYQBrAGUAUgBlAGwAYQB0AGkAdgBlAFQAbwBNAGEAaQBuAHQAZQBuAGEAbgBjAGUAXwBVAG4AaQB0AFwAbgAgACAAPQBMAEEATQBCAEQAQQAoAFwAIgByAGEAdABpAG8AXAAiACkAOwBcAG4AXABuAFYARQBFAFIARwBfADQAXwAyAF8AMQBfADMAXwBfADYAXwBJAG4AdABhAGsAZQBSAGUAbABhAHQAaQB2AGUAVABvAE0AYQBpAG4AdABlAG4AYQBuAGMAZQBfAFMAbwB1AHIAYwBlAFwAbgAgACAAPQBMAEEATQBCAEQAQQAoAFwAIgBWAEUARQBSAEcAIAAyADAAMgA2ADoAIAA0AC4AMgAuADEALgAzACwAIABFAHEAdQBhAHQAaQBvAG4AIAAoADYAKQBcACIAKQA7AFwAbgBcAG4AVgBFAEUAUgBHAF8ANABfADIAXwAxAF8AMwBfAF8ANgBfAEkAbgB0AGEAawBlAFIAZQBsAGEAdABpAHYAZQBUAG8ATQBhAGkAbgB0AGUAbgBhAG4AYwBlAF8ATgBJAFIAUgBlAGYAZQByAGUAbgBjAGUAXABuACAAIAA9AEwAQQBNAEIARABBACgAXAAiAFwAIgApADsAXABuAFwAbgBWAEUARQBSAEcAXwA0AF8AMgBfADEAXwAzAF8AXwA2AF8ASQBuAHQAYQBrAGUAUgBlAGwAYQB0AGkAdgBlAFQAbwBNAGEAaQBuAHQAZQBuAGEAbgBjAGUAXwBMAGEAdABlAHgARQBxAHUAYQB0AGkAbwBuAFwAbgAgACAAPQBMAEEATQBCAEQAQQAoAFwAIgBMAF8AewBqAGsAbAB9AD0AXABcAGYAcgBhAGMAewBJAF8AewBqAGsAbAB9AH0AewAoADEALgAxADgANQArADAALgAwADAANAA1ADQAXABcAHQAaQBtAGUAcwAgAFcAXwB7AGoAawBsAH0ALQAwAC4AMAAwADAAMAAwADIANgBcAFwAdABpAG0AZQBzACAAVwBfAHsAagBrAGwAfQBeAHsAMgB9ACkAXgB7ADIAfQB9AFwAIgApADsAXABuAFwAbgBWAEUARQBSAEcAXwA0AF8AMgBfADEAXwAzAF8AXwA2AF8ASQBuAHQAYQBrAGUAUgBlAGwAYQB0AGkAdgBlAFQAbwBNAGEAaQBuAHQAZQBuAGEAbgBjAGUAXwBBAHIAZwB1AG0AZQBuAHQAcwBcAG4AIAAgAD0ATABBAE0AQgBEAEEAKABcAG4AIAAgACAAIABNAEEASwBFAEEAUgBSAEEAWQAoADIALAAgADQALABcAG4AIAAgACAAIAAgACAATABBAE0AQgBEAEEAKAByACwAYwAsAFwAbgAgACAAIAAgACAAIAAgACAASQBOAEQARQBYACgAewBcAG4AIAAgACAAIAAgACAAIAAgACAAIABcACIASQBfAGoAawBsAFwAIgAsACAAXAAiAGQAcgB5ACAAbQBhAHQAdABlAHIAIABpAG4AdABhAGsAZQAgAGEAcwAgAGMAYQBsAGMAdQBsAGEAdABlAGQAIABpAG4AIABDAGgAYQBwAHQAZQByACAAMwAgAFMAZQBjAHQAaQBvAG4AIAAzAC4AMgAuADEAIAAoAGsAZwAgAEQATQAvAGgAZQBhAGQALwBkAGEAeQApAFwAIgAsACAAXAAiAGsAZwAgAEQATQAvAGgAZQBhAGQALwBkAGEAeQBcACIALAAgAFwAIgBDAGEAbABjAHUAbABhAHQAZQBkACAAZgByAG8AbQAgADMALgAyAC4AMQAuADEAIAAoADMAKQBcACIAOwBcAG4AIAAgACAAIAAgACAAIAAgACAAIABcACIAVwBfAGoAawBsAFwAIgAsACAAXAAiAGwAaQB2AGUAdwBlAGkAZwBoAHQAIAAoAGsAZwAvAGgAZQBhAGQAKQBcACIALAAgAFwAIgBrAGcALw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UwBSAFcAXwBrAFwAIgAsACAAXAAiAHMAdABhAG4AZABhAHIAZAAgAHIAZQBmAGUAcgBlAG4AYwBlACAAdwBlAGkAZwBoAHQAIAAoAGsAZwApAFwAIgAsACAAXAAiAGsAZwBcACIALAAgAFwAIgBDAG8AbgBzAHQAYQBuAHQAXAAiADsAXABuACAAIAAgACAAIAAgACAAIAAgACAAXAAiAGkAXAAiACwAIABcACIAcwB0AGEAdABlAFwAIgAsACAAXAAiAFwAIgAsACAAXAAiAEkAbgBwAHUAdABcACIAXABuACAAIAAgACAAIAAgACAAIAB9ACwAIAByACwAIABjACkAXABuACAAIAAgACAAIAAgACkAXABuACAAIAAgACAAKQBcAG4AIAAgACkAOwBcAG4AIgB9ACwAewAiAHAAYQB0AGgAIgA6ACIALwBwAHIAbwBqAGUAYwB0AHMALwBNAE0AUwBfAFAAYQBzAHQAdQByAGUAQgBlAGUAZgBfAFMAbwBpAGw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UAIABNAGUAdABoAG8AZAAgADEAIAAtACAAUwBvAGkAbAAgAEEAdABtAG8AcwBwAGgAZQByAGkAYwAgAEQAZQBwAG8AcwBpAHQAaQBvAG4AIABOADIAT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IAXwAxAF8ANQBfAF8AMQBfAEEAdABtAG8AcwBwAGgAZQByAGkAYwBEAGUAcABvAHMAaQB0AGkAbwBuAEUAbQBpAHMAcwBpAG8AbgBzAEYAcgBvAG0AVQByAGkAbgBlAEEAbgBkAEQAdQBuAGcATwBuAFAAYQBzAHQAdQByAGUAXABuAEEAdABtAG8AcwBwAGgAZQByAGkAYwAgAGQAZQBwAG8AcwBpAHQAaQBvAG4AIABlAG0AaQBzAHMAaQBvAG4AcwAgAGYAcgBvAG0AIAB1AHIAaQBuAGUAIABhAG4AZAAgAGQAdQBuAGcAIABkAGUAcABvAHMAaQB0AGUAZAAgAG8AbgAgAHAAYQBzAHQAdQByAGUAXABuAEUAXwBOADIATwBhAGQAXABuAHQAIABOADIATwBcAG4ARQBfAHsATgAyAE8ALABhAGQAfQA9AE0AXwB7AHYAbwBsAH0AXABcAHQAaQBtAGUAcwAgAEUARgBfAHsATgAyAE8AfQBcAFwAdABpAG0AZQBzACAAQwBfAHsATgAyAE8AfQBcAFwAdABpAG0AZQBzACAAMQAwAF4AewAtADMAfQBcAG4ATQBfAHYAbwBsACAAPQAgAG0AYQBzAHMAIABvAGYAIABuAGkAdAByAG8AZwBlAG4AIAB2AG8AbABhAHQAaQBsAGkAcwBlAGQAIABmAHIAbwBtACAAdQByAGkAbgBlACAAYQBuAGQAIABmAGEAZQBjAGUAcwAgAGQAZQBwAG8AcwBpAHQAZQBkACAAbwBuACAAcABhAHMAdAB1AHIAZQ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yAF8AMQBfADUAXwBfADEAXwBBAHQAbQBvAHMAcABoAGUAcgBpAGMARABlAHAAbwBzAGkAdABpAG8AbgBFAG0AaQBzAHMAaQBvAG4AcwBGAHIAbwBtAFUAcgBpAG4AZQBBAG4AZABEAHUAbgBnAE8AbgBQAGEAcwB0AHUAcgBlAFwAbgAgACAAPQBMAEEATQBCAEQAQQAoAFwAbgAgACAAIAAgAE0AXwB2AG8AbAAsACAARQBGAF8ATgAyAE8ALAAgAEMAXwBOADIATwAsAFwAbgAgACAAIAAgAE0AXwB2AG8AbAAgACoAIABFAEYAXwBOADIATwAgACoAIABDAF8ATgAyAE8AIAAqACAAMQAwACAAXgAgAC0AMwBcAG4AIAAgACkAOwBcAG4AXABuAFYARQBFAFIARwBfADQAXwAyAF8AMQBfADUAXwBfADEAXwBBAHQAbQBvAHMAcABoAGUAcgBpAGMARABlAHAAbwBzAGkAdABpAG8AbgBFAG0AaQBzAHMAaQBvAG4AcwBGAHIAbwBtAFUAcgBpAG4AZQBBAG4AZABEAHUAbgBnAE8AbgBQAGEAcwB0AHUAcgBlAF8AVABpAHQAbABlAFwAbgAgACAAPQBMAEEATQBCAEQAQQAoAFwAIgBBAHQAbQBvAHMAcABoAGUAcgBpAGMAIABkAGUAcABvAHMAaQB0AGkAbwBuACAAZQBtAGkAcwBzAGkAbwBuAHMAIABmAHIAbwBtACAAdQByAGkAbgBlACAAYQBuAGQAIABkAHUAbgBnACAAZABlAHAAbwBzAGkAdABlAGQAIABvAG4AIABwAGEAcwB0AHUAcgBlAFwAIgApADsAXABuAFwAbgBWAEUARQBSAEcAXwA0AF8AMgBfADEAXwA1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IAXwAxAF8ANQBfAF8AMQBfAEEAdABtAG8AcwBwAGgAZQByAGkAYwBEAGUAcABvAHMAaQB0AGkAbwBuAEUAbQBpAHMAcwBpAG8AbgBzAEYAcgBvAG0AVQByAGkAbgBlAEEAbgBkAEQAdQBuAGcATwBuAFAAYQBzAHQAdQByAGUAXwBVAG4AaQB0AFwAbgAgACAAPQBMAEEATQBCAEQAQQAoAFwAIgB0ACAATgAyAE8AXAAiACkAOwBcAG4AXABuAFYARQBFAFIARwBfADQAXwAyAF8AMQBfADUAXwBfADEAXwBBAHQAbQBvAHMAcABoAGUAcgBpAGMARABlAHAAbwBzAGkAdABpAG8AbgBFAG0AaQBzAHMAaQBvAG4AcwBGAHIAbwBtAFUAcgBpAG4AZQBBAG4AZABEAHUAbgBnAE8AbgBQAGEAcwB0AHUAcgBlAF8AUwBvAHUAcgBjAGUAXABuACAAIAA9AEwAQQBNAEIARABBACgAXAAiAFYARQBFAFIARwAgADIAMAAyADYAOgAgADQALgAyAC4AMQAuADUALAAgAEUAcQB1AGEAdABpAG8AbgAgACgAMQApAFwAIgApADsAXABuAFwAbgBWAEUARQBSAEcAXwA0AF8AMgBfADEAXwA1AF8AXwAxAF8AQQB0AG0AbwBzAHAAaABlAHIAaQBjAEQAZQBwAG8AcwBpAHQAaQBvAG4ARQBtAGkAcwBzAGkAbwBuAHMARgByAG8AbQBVAHIAaQBuAGUAQQBuAGQARAB1AG4AZwBPAG4AUABhAHMAdAB1AHIAZQBfAE4ASQBSAFIAZQBmAGUAcgBlAG4AYwBlAFwAbgAgACAAPQBMAEEATQBCAEQAQQAoAFwAIgBcACIAKQA7AFwAbgBcAG4AVgBFAEUAUgBHAF8ANABfADIAXwAxAF8ANQBfAF8AMQBfAEEAdABtAG8AcwBwAGgAZQByAGkAYwBEAGUAcABvAHMAaQB0AGkAbwBuAEUAbQBpAHMAcwBpAG8AbgBzAEYAcgBvAG0AVQByAGkAbgBlAEEAbgBkAEQAdQBuAGcATwBuAFAAYQBzAHQAdQByAGUAXwBMAGEAdABlAHgARQBxAHUAYQB0AGkAbwBuAFwAbgAgACAAPQBMAEEATQBCAEQAQQAoAFwAIgBFAF8AewBOADIATwAsAGEAZAB9AD0ATQBfAHsAdgBvAGwAfQBcAFwAdABpAG0AZQBzACAARQBGAF8AewBOADIATwB9AFwAXAB0AGkAbQBlAHMAIABDAF8AewBOADIATwB9AFwAXAB0AGkAbQBlAHMAIAAxADAAXgB7AC0AMwB9AFwAIgApADsAXABuAFwAbgBWAEUARQBSAEcAXwA0AF8AMgBfADEAXwA1AF8AXwAxAF8AQQB0AG0AbwBzAHAAaABlAHIAaQBjAEQAZQBwAG8AcwBpAHQAaQBvAG4ARQBtAGkAcwBzAGkAbwBuAHMARgByAG8AbQBVAHIAaQBuAGUAQQBuAGQARAB1AG4AZwBPAG4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gAuADEALgA1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FwAIgAsACAAXAAiAGkAcgByAGkAZwBhAHQAaQBvAG4AIABtAGUAdABoAG8AZABcACIALAAgAFwAIgBcACIALAAgAFwAIgBJAG4AcAB1AHQAXAAiADsAXABuACAAIAAgACAAIAAgACAAIAAgACAAXAAiAHIAXAAiACwAIABcACIAcgBhAGkAbgBmAGEAbABs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NQBfAF8AMgBfAE0AYQBzAHMATwBmAE4AaQB0AHIAbwBnAGUAbgBWAG8AbABhAHQAaQBsAGkAcwBlAGQATwBuAFAAYQBzAHQAdQByAGUAXABuAE0AYQBzAHMAIABvAGYAIABuAGkAdAByAG8AZwBlAG4AIAB2AG8AbABhAHQAaQBsAGkAcwBlAGQAXABuAE0AXwB2AG8AbABcAG4AawBnACAATgBcAG4ATQBfAHsAdgBvAGwAfQA9AEEARQBcAFwAdABpAG0AZQBzACAARgByAGEAYwBHAEEAUwBNAHMAbwBpAGwAXABuAEEARQAgAD0AIAB0AG8AdABhAGwAIABtAGEAcwBzACAAbwBmACAAbgBpAHQAcgBvAGcAZQBuACAAZQB4AGMAcgBlAHQAZQBkACAAbwBuACAAUABSAFAAIABmAG8AcgAgAGIAZQBlAGYAIABjAGEAdAB0AGwAZQAgACgAawBnACAATgApAFwAbgBGAHIAYQBjAEcAQQBTAE0AcwBvAGkAbAAgAD0AIABmAHIAYQBjAHQAaQBvAG4AIABvAGYAIABuAGkAdAByAG8AZwBlAG4AIAB2AG8AbABhAHQAaQBsAGkAcwBlAGQAIABmAHIAbwBtACAAdQByAGkAbgBlACAAYQBuAGQAIABmAGEAZQBjAGUAcwAgAGQAZQBwAG8AcwBpAHQAZQBkACAAbwBuACAAcABhAHMAdAB1AHIAZQAgACgAKABrAGcAIABOAEgAMwAtAE4AIAArACAATgBPAHgALQBOACkALwBrAGcAIABOACkAXABuAC0ALQAtAC0ALQAtAC0ALQAtAC0ALQAtAC0ALQAtAC0ALQAtAC0ALQAtAC0ALQAtAC0ALQAtAC0ALQAtAC0ALQAtAC0ALQAtAC0ALQBcAG4AKgAvAFwAbgBcAG4AVgBFAEUAUgBHAF8ANABfADIAXwAxAF8ANQBfAF8AMgBfAE0AYQBzAHMATwBmAE4AaQB0AHIAbwBnAGUAbgBWAG8AbABhAHQAaQBsAGkAcwBlAGQATwBuAFAAYQBzAHQAdQByAGUAXABuACAAIAA9AEwAQQBNAEIARABBACgAXABuACAAIAAgACAAQQBFACwAIABGAHIAYQBjAEcAQQBTAE0AcwBvAGkAbAAsAFwAbgAgACAAIAAgAEEARQAgACoAIABGAHIAYQBjAEcAQQBTAE0AcwBvAGkAbABcAG4AIAAgACkAOwBcAG4AXABuAFYARQBFAFIARwBfADQAXwAyAF8AMQBfADUAXwBfADIAXwBNAGEAcwBzAE8AZgBOAGkAdAByAG8AZwBlAG4AVgBvAGwAYQB0AGkAbABpAHMAZQBkAE8AbgBQAGEAcwB0AHUAcgBlAF8AVABpAHQAbABlAFwAbgAgACAAPQBMAEEATQBCAEQAQQAoAFwAIgBNAGEAcwBzACAAbwBmACAAbgBpAHQAcgBvAGcAZQBuACAAdgBvAGwAYQB0AGkAbABpAHMAZQBkAFwAIgApADsAXABuAFwAbgBWAEUARQBSAEcAXwA0AF8AMgBfADEAXwA1AF8AXwAyAF8ATQBhAHMAcwBPAGYATgBpAHQAcgBvAGcAZQBuAFYAbwBsAGEAdABpAGwAaQBzAGUAZABPAG4AUABhAHMAdAB1AHIAZQBfAFYAYQByAGkAYQBiAGwAZQBcAG4AIAAgAD0ATABBAE0AQgBEAEEAKABcACIATQBfAHYAbwBsAFwAIgApADsAXABuAFwAbgBWAEUARQBSAEcAXwA0AF8AMgBfADEAXwA1AF8AXwAyAF8ATQBhAHMAcwBPAGYATgBpAHQAcgBvAGcAZQBuAFYAbwBsAGEAdABpAGwAaQBzAGUAZABPAG4AUABhAHMAdAB1AHIAZQBfAFUAbgBpAHQAXABuACAAIAA9AEwAQQBNAEIARABBACgAXAAiAGsAZwAgAE4AXAAiACkAOwBcAG4AXABuAFYARQBFAFIARwBfADQAXwAyAF8AMQBfADUAXwBfADIAXwBNAGEAcwBzAE8AZgBOAGkAdAByAG8AZwBlAG4AVgBvAGwAYQB0AGkAbABpAHMAZQBkAE8AbgBQAGEAcwB0AHUAcgBlAF8AUwBvAHUAcgBjAGUAXABuACAAIAA9AEwAQQBNAEIARABBACgAXAAiAFYARQBFAFIARwAgADIAMAAyADYAOgAgADQALgAyAC4AMQAuADUALAAgAEUAcQB1AGEAdABpAG8AbgAgACgAMgApAFwAIgApADsAXABuAFwAbgBWAEUARQBSAEcAXwA0AF8AMgBfADEAXwA1AF8AXwAyAF8ATQBhAHMAcwBPAGYATgBpAHQAcgBvAGcAZQBuAFYAbwBsAGEAdABpAGwAaQBzAGUAZABPAG4AUABhAHMAdAB1AHIAZQBfAE4ASQBSAFIAZQBmAGUAcgBlAG4AYwBlAFwAbgAgACAAPQBMAEEATQBCAEQAQQAoAFwAIgBcACIAKQA7AFwAbgBcAG4AVgBFAEUAUgBHAF8ANABfADIAXwAxAF8ANQBfAF8AMgBfAE0AYQBzAHMATwBmAE4AaQB0AHIAbwBnAGUAbgBWAG8AbABhAHQAaQBsAGkAcwBlAGQATwBuAFAAYQBzAHQAdQByAGUAXwBMAGEAdABlAHgARQBxAHUAYQB0AGkAbwBuAFwAbgAgACAAPQBMAEEATQBCAEQAQQAoAFwAIgBNAF8AewB2AG8AbAB9AD0AQQBFAFwAXAB0AGkAbQBlAHMAIABGAHIAYQBjAEcAQQBTAE0AcwBvAGkAbABcACIAKQA7AFwAbgBcAG4AVgBFAEUAUgBHAF8ANABfADIAXwAxAF8ANQ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QQBFAFwAIgAsACAAXAAiAHQAbwB0AGEAbAAgAG0AYQBzAHMAIABvAGYAIABuAGkAdAByAG8AZwBlAG4AIABlAHgAYwByAGUAdABlAGQAIABvAG4AIABQAFIAUAAgAGYAbwByACAAYgBlAGUAZgAgAGMAYQB0AHQAbABlAFwAIgAsACAAXAAiAGsAZwAgAE4AXAAiACwAIABcACIAQwBhAGwAYwB1AGwAYQB0AGUAZAAgAGYAcgBvAG0AIAA0AC4AMg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CAAKAAoAGsAZwAgAE4ASAAzAC0ATgAgACsAIABOAE8AeAAtAE4AKQAvAGsAZwAgAE4AKQBcACIALAAgAFwAIgBmAHIAYQBjAHQAaQBvAG4AXAAiACwAIABcACIAQwBvAG4AcwB0AGEAbgB0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XAAiACwAIABcACIAawBnACAATgBcACIALAAgAFwAIgBDAGEAbABjAHUAbABhAHQAZQBkACAAZgByAG8AbQAgADQALgAyAC4AMQAuADcAIAAoADIAKQBcACIAOwBcAG4AIAAgACAAIAAgACAAIAAgACAAIABcACIARQBGAF8AbABlAGEAYwBoAFwAIgAsACAAXAAi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yAF8AMQBfADcAXwBfADIAXwBNAGEAcwBzAE8AZgBOAGkAdAByAG8AZwBlAG4ATABvAHMAdABUAG8ATABlAGEAYwBoAGkAbgBnAEEAbgBkAFIAdQBuAG8AZgBmAE8AbgBQAGEAcwB0AHUAcgBlAFwAbgBNAGEAcwBzACAAbwBmACAAbgBpAHQAcgBvAGcAZQBuACAAbABvAHMAdAAgAHQAbwAgAGwAZQBhAGMAaABpAG4AZwAgAGEAbgBkACAAcgB1AG4AbwBmAGYAXABuAE0AXwBsAGUAYQBjAGgAXABuAGsAZwAgAE4AXABuAE0AXwB7AGwAZQBhAGMAaAB9AD0AQQBFAFwAXAB0AGkAbQBlAHMAIABGAHIAYQBjAFcAZQB0AFwAXAB0AGkAbQBlAHMAIABGAHIAYQBjAEwARQBBAEMASABcAG4AQQBFACAAPQAgAHQAbwB0AGEAbAAgAG0AYQBzAHMAIABvAGYAIABuAGkAdAByAG8AZwBlAG4AIABlAHgAYwByAGUAdABlAGQAIABvAG4AIABQAFIAUAAgAGYAbwByACAAYgBlAGUAZgAgAGMAYQB0AHQAbABlACAAKABrAGcAIABOACkAXABuAEYAcgBhAGMAVwBlAHQAIAA9ACAAZgByAGEAYwB0AGkAbwBuACAAbwBmACAATgAgAGEAdgBhAGkAbABhAGIAbABlACAAZgBvAHIAIABsAGUAYQBjAGgAaQBuAGcAIABhAG4AZAAgAHIAdQBuAG8AZgBmAFwAbgBGAHIAYQBjAEwARQBBAEMASAAgAD0AIABmAHIAYQBjAHQAaQBvAG4AIABvAGYAIABhAGwAbAAgAE4AIAB0AGgAYQB0ACAAaQBzACAAbABvAHMAdAAgAHQAaAByAG8AdQBnAGgAIABsAGUAYQBjAGgAaQBuAGcAIABhAG4AZAAgAHIAdQBuAG8AZgBmAFwAbgAtAC0ALQAtAC0ALQAtAC0ALQAtAC0ALQAtAC0ALQAtAC0ALQAtAC0ALQAtAC0ALQAtAC0ALQAtAC0ALQAtAC0ALQAtAC0ALQAtAC0AXABuACoALwBcAG4AXABuAFYARQBFAFIARwBfADQAXwAyAF8AMQBfADcAXwBfADIAXwBNAGEAcwBzAE8AZgBOAGkAdAByAG8AZwBlAG4ATABvAHMAdABUAG8ATABlAGEAYwBoAGkAbgBnAEEAbgBkAFIAdQBuAG8AZgBmAE8AbgBQAGEAcwB0AHUAcgBlAFwAbgAgACAAPQBMAEEATQBCAEQAQQAoAFwAbgAgACAAIAAgAEEARQAsACAARgByAGEAYwBXAGUAdAAsACAARgByAGEAYwBMAEUAQQBDAEgALABcAG4AIAAgACAAIABBAEUAIAAqACAARgByAGEAYwBXAGUAdAAgACoAIABGAHIAYQBjAEwARQBBAEMASABcAG4AIAAgACkAOwBcAG4AXABuAFYARQBFAFIARwBfADQAXwAyAF8AMQBfADcAXwBfADIAXwBNAGEAcwBzAE8AZgBOAGkAdAByAG8AZwBlAG4ATABvAHMAdABUAG8ATABlAGEAYwBoAGkAbgBnAEEAbgBkAFIAdQBuAG8AZgBmAE8AbgBQAGEAcwB0AHUAcgBlAF8AVABpAHQAbABlAFwAbgAgACAAPQBMAEEATQBCAEQAQQAoAFwAIgBNAGEAcwBzACAAbwBmACAAbgBpAHQAcgBvAGcAZQBuACAAbABvAHMAdAAgAHQAbwAgAGwAZQBhAGMAaABpAG4AZwAgAGEAbgBkACAAcgB1AG4AbwBmAGYAXAAiACkAOwBcAG4AXABuAFYARQBFAFIARwBfADQAXwAyAF8AMQBfADcAXwBfADIAXwBNAGEAcwBzAE8AZgBOAGkAdAByAG8AZwBlAG4ATABvAHMAdABUAG8ATABlAGEAYwBoAGkAbgBnAEEAbgBkAFIAdQBuAG8AZgBmAE8AbgBQAGEAcwB0AHUAcgBlAF8AVgBhAHIAaQBhAGIAbABlAFwAbgAgACAAPQBMAEEATQBCAEQAQQAoAFwAIgBNAF8AbABlAGEAYwBoAFwAIgApADsAXABuAFwAbgBWAEUARQBSAEcAXwA0AF8AMgBfADEAXwA3AF8AXwAyAF8ATQBhAHMAcwBPAGYATgBpAHQAcgBvAGcAZQBuAEwAbwBzAHQAVABvAEwAZQBhAGMAaABpAG4AZwBBAG4AZABSAHUAbgBvAGYAZgBPAG4AUABhAHMAdAB1AHIAZQBfAFUAbgBpAHQAXABuACAAIAA9AEwAQQBNAEIARABBACgAXAAiAGsAZwAgAE4AXAAiACkAOwBcAG4AXABuAFYARQBFAFIARwBfADQAXwAyAF8AMQBfADcAXwBfADIAXwBNAGEAcwBzAE8AZgBOAGkAdAByAG8AZwBlAG4ATABvAHMAdABUAG8ATABlAGEAYwBoAGkAbgBnAEEAbgBkAFIAdQBuAG8AZgBmAE8AbgBQAGEAcwB0AHUAcgBlAF8AUwBvAHUAcgBjAGUAXABuACAAIAA9AEwAQQBNAEIARABBACgAXAAiAFYARQBFAFIARwAgADIAMAAyADYAOgAgADQALgAyAC4AMQAuADcALAAgAEUAcQB1AGEAdABpAG8AbgAgACgAMgApAFwAIgApADsAXABuAFwAbgBWAEUARQBSAEcAXwA0AF8AMgBfADEAXwA3AF8AXwAyAF8ATQBhAHMAcwBPAGYATgBpAHQAcgBvAGcAZQBuAEwAbwBzAHQAVABvAEwAZQBhAGMAaABpAG4AZwBBAG4AZABSAHUAbgBvAGYAZgBPAG4AUABhAHMAdAB1AHIAZQBfAE4ASQBSAFIAZQBmAGUAcgBlAG4AYwBlAFwAbgAgACAAPQBMAEEATQBCAEQAQQAoAFwAIgBcACIAKQA7AFwAbgBcAG4AVgBFAEUAUgBHAF8ANABfADIAXwAxAF8ANwBfAF8AMgBfAE0AYQBzAHMATwBmAE4AaQB0AHIAbwBnAGUAbgBMAG8AcwB0AFQAbwBMAGUAYQBjAGgAaQBuAGcAQQBuAGQAUgB1AG4AbwBmAGYATwBuAFAAYQBzAHQAdQByAGUAXwBMAGEAdABlAHgARQBxAHUAYQB0AGkAbwBuAFwAbgAgACAAPQBMAEEATQBCAEQAQQAoAFwAIgBNAF8AewBsAGUAYQBjAGgAfQA9AEEARQBcAFwAdABpAG0AZQBzACAARgByAGEAYwBXAGUAdABcAFwAdABpAG0AZQBzACAARgByAGEAYwBMAEUAQQBDAEgAXAAiACkAOwBcAG4AXABuAFYARQBFAFIARwBfADQAXwAyAF8AMQBfADcAXwBfADIAXwBNAGEAcwBzAE8AZgBOAGkAdAByAG8AZwBlAG4ATABvAHMAdABUAG8ATABlAGEAYwBoAGkAbgBnAEEAbgBkAFIAdQBuAG8AZgBmAE8AbgBQAGEAcwB0AHUAcgBlAF8AQQByAGcAdQBtAGUAbgB0AHMAXABuACAAIAA9AEwAQQBNAEIARABBACgAXABuACAAIAAgACAATQBBAEsARQBBAFIAUgBBAFkAKAA2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GAHIAYQBjAFcAZQB0AFwAIgAsACAAXAAiAGYAcgBhAGMAdABpAG8AbgAgAG8AZgAgAE4AIABhAHYAYQBpAGwAYQBiAGwAZQAgAGYAbwByACAAbABlAGEAYwBoAGkAbgBnACAAYQBuAGQAIAByAHUAbgBvAGYAZgBcACIALAAgAFwAIgBmAHIAYQBjAHQAaQBvAG4AXAAiACwAIABcACIAQwBvAG4AcwB0AGEAbgB0AFwAIgA7AFwAbgAgACAAIAAgACAAIAAgACAAIAAgAFwAIgBGAHIAYQBjAEwARQBBAEMASABcACIALAAgAFwAIgBmAHIAYQBjAHQAaQBvAG4AIABvAGYAIABhAGwAbAAgAE4AIAB0AGgAYQB0ACAAaQBz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EwAaQB2AGUAcwB0AG8AYwBrAF8AUwBvAHUAcgBjAGUARABhAHQAYQAuAFMAbwB1AHIAYwBlAEQAYQB0AGEAXwBMAGkAdgBlAHMAdABvAGMAawBfAFAAcgBvAGQAdQBjAHQAXwBCAGUAZQBmAEMAYQB0AHQAbABlAF8AVABpAHQAbABlACIALAAiAEMAbwBtAG0AbwBuAEwAaQB2AGUAcwB0AG8AYwBrAF8AUwBvAHUAcgBjAGUARABhAHQAYQAuAFMAbwB1AHIAYwBlAEQAYQB0AGEAXwBMAGkAdgBlAHMAdABvAGMAawBfAFAAcgBvAGQAdQBjAHQAXwBCAGUAZQBmAEMAYQB0AHQAbABlAF8AVgBhAGkAcgBhAGIAbABlACIALAAiAEMAbwBtAG0AbwBuAEwAaQB2AGUAcwB0AG8AYwBrAF8AUwBvAHUAcgBjAGUARABhAHQAYQAuAFMAbwB1AHIAYwBlAEQAYQB0AGEAXwBMAGkAdgBlAHMAdABvAGMAawBfAFAAcgBvAGQAdQBjAHQAXwBCAGUAZQBmAEMAYQB0AHQAbABlAF8AVQBuAGkAdAAiACwAIgBDAG8AbQBtAG8AbgBMAGkAdgBlAHMAdABvAGMAawBfAFMAbwB1AHIAYwBlAEQAYQB0AGEALgBTAG8AdQByAGMAZQBEAGEAdABhAF8ATABpAHYAZQBzAHQAbwBjAGsAXwBQAHIAbwBkAHUAYwB0AF8AQgBlAGUAZgBDAGEAdAB0AGwAZQBfAFMAbwB1AHIAYwBlACIALAAiAEMAbwBtAG0AbwBuAEwAaQB2AGUAcwB0AG8AYwBrAF8AUwBvAHUAcgBjAGUARABhAHQAYQAuAFMAbwB1AHIAYwBlAEQAYQB0AGEAXwBMAGkAdgBlAHMAdABvAGMAawBfAFAAcgBvAGQAdQBjAHQAXwBCAGUAZQBmAEMAYQB0AHQAbABlAF8ARABhAHQAYQAiACwAIgBDAG8AbQBtAG8AbgBMAGkAdgBlAHMAdABvAGMAawBfAFMAbwB1AHIAYwBlAEQAYQB0AGEALgBTAG8AdQByAGMAZQBEAGEAdABhAF8ATABpAHYAZQBzAHQAbwBjAGsAXwBQAHIAbwBkAHUAYwB0AF8AQwBoAGkAYwBrAGUAbgBzAF8AVABpAHQAbABlACIALAAiAEMAbwBtAG0AbwBuAEwAaQB2AGUAcwB0AG8AYwBrAF8AUwBvAHUAcgBjAGUARABhAHQAYQAuAFMAbwB1AHIAYwBlAEQAYQB0AGEAXwBMAGkAdgBlAHMAdABvAGMAawBfAFAAcgBvAGQAdQBjAHQAXwBDAGgAaQBjAGsAZQBuAHMAXwBWAGEAaQByAGEAYgBsAGUAIgAsACIAQwBvAG0AbQBvAG4ATABpAHYAZQBzAHQAbwBjAGsAXwBTAG8AdQByAGMAZQBEAGEAdABhAC4AUwBvAHUAcgBjAGUARABhAHQAYQBfAEwAaQB2AGUAcwB0AG8AYwBrAF8AUAByAG8AZAB1AGMAdABfAEMAaABpAGMAawBlAG4AcwBfAFUAbgBpAHQAIgAsACIAQwBvAG0AbQBvAG4ATABpAHYAZQBzAHQAbwBjAGsAXwBTAG8AdQByAGMAZQBEAGEAdABhAC4AUwBvAHUAcgBjAGUARABhAHQAYQBfAEwAaQB2AGUAcwB0AG8AYwBrAF8AUAByAG8AZAB1AGMAdABfAEMAaABpAGMAawBlAG4AcwBfAFMAbwB1AHIAYwBlACIALAAiAEMAbwBtAG0AbwBuAEwAaQB2AGUAcwB0AG8AYwBrAF8AUwBvAHUAcgBjAGUARABhAHQAYQAuAFMAbwB1AHIAYwBlAEQAYQB0AGEAXwBMAGkAdgBlAHMAdABvAGMAawBfAFAAcgBvAGQAdQBjAHQAXwBDAGgAaQBjAGsAZQBuAHMAXwBEAGEAdABhACIALAAiAEMAbwBtAG0AbwBuAEwAaQB2AGUAcwB0AG8AYwBrAF8AUwBvAHUAcgBjAGUARABhAHQAYQAuAFMAbwB1AHIAYwBlAEQAYQB0AGEAXwBMAGkAdgBlAHMAdABvAGMAawBfAFAAcgBvAGQAdQBjAHQAXwBEAGEAaQByAHkAYwBhAHQAdABsAGUAXwBUAGkAdABsAGUAIgAsACIAQwBvAG0AbQBvAG4ATABpAHYAZQBzAHQAbwBjAGsAXwBTAG8AdQByAGMAZQBEAGEAdABhAC4AUwBvAHUAcgBjAGUARABhAHQAYQBfAEwAaQB2AGUAcwB0AG8AYwBrAF8AUAByAG8AZAB1AGMAdABfAEQAYQBpAHIAeQBjAGEAdAB0AGwAZQBfAFYAYQBpAHIAYQBiAGwAZQAiACwAIgBDAG8AbQBtAG8AbgBMAGkAdgBlAHMAdABvAGMAawBfAFMAbwB1AHIAYwBlAEQAYQB0AGEALgBTAG8AdQByAGMAZQBEAGEAdABhAF8ATABpAHYAZQBzAHQAbwBjAGsAXwBQAHIAbwBkAHUAYwB0AF8ARABhAGkAcgB5AGMAYQB0AHQAbABlAF8AVQBuAGkAdAAiACwAIgBDAG8AbQBtAG8AbgBMAGkAdgBlAHMAdABvAGMAawBfAFMAbwB1AHIAYwBlAEQAYQB0AGEALgBTAG8AdQByAGMAZQBEAGEAdABhAF8ATABpAHYAZQBzAHQAbwBjAGsAXwBQAHIAbwBkAHUAYwB0AF8ARABhAGkAcgB5AGMAYQB0AHQAbABlAF8AUwBvAHUAcgBjAGUAIgAsACIAQwBvAG0AbQBvAG4ATABpAHYAZQBzAHQAbwBjAGsAXwBTAG8AdQByAGMAZQBEAGEAdABhAC4AUwBvAHUAcgBjAGUARABhAHQAYQBfAEwAaQB2AGUAcwB0AG8AYwBrAF8AUAByAG8AZAB1AGMAdABfAEQAYQBpAHIAeQBjAGEAdAB0AGwAZQBfAEQAYQB0AGEAIgAsACIAQwBvAG0AbQBvAG4ATABpAHYAZQBzAHQAbwBjAGsAXwBTAG8AdQByAGMAZQBEAGEAdABhAC4AUwBvAHUAcgBjAGUARABhAHQAYQBfAEwAaQB2AGUAcwB0AG8AYwBrAF8AUAByAG8AZAB1AGMAdABfAFAAaQBnAHMAXwBUAGkAdABsAGUAIgAsACIAQwBvAG0AbQBvAG4ATABpAHYAZQBzAHQAbwBjAGsAXwBTAG8AdQByAGMAZQBEAGEAdABhAC4AUwBvAHUAcgBjAGUARABhAHQAYQBfAEwAaQB2AGUAcwB0AG8AYwBrAF8AUAByAG8AZAB1AGMAdABfAFAAaQBnAHMAXwBWAGEAaQByAGEAYgBsAGUAIgAsACIAQwBvAG0AbQBvAG4ATABpAHYAZQBzAHQAbwBjAGsAXwBTAG8AdQByAGMAZQBEAGEAdABhAC4AUwBvAHUAcgBjAGUARABhAHQAYQBfAEwAaQB2AGUAcwB0AG8AYwBrAF8AUAByAG8AZAB1AGMAdABfAFAAaQBnAHMAXwBVAG4AaQB0ACIALAAiAEMAbwBtAG0AbwBuAEwAaQB2AGUAcwB0AG8AYwBrAF8AUwBvAHUAcgBjAGUARABhAHQAYQAuAFMAbwB1AHIAYwBlAEQAYQB0AGEAXwBMAGkAdgBlAHMAdABvAGMAawBfAFAAcgBvAGQAdQBjAHQAXwBQAGkAZwBzAF8AUwBvAHUAcgBjAGUAIgAsACIAQwBvAG0AbQBvAG4ATABpAHYAZQBzAHQAbwBjAGsAXwBTAG8AdQByAGMAZQBEAGEAdABhAC4AUwBvAHUAcgBjAGUARABhAHQAYQBfAEwAaQB2AGUAcwB0AG8AYwBrAF8AUAByAG8AZAB1AGMAdABfAFAAaQBnAHMAXwBEAGEAdABhACIALAAiAEMAbwBtAG0AbwBuAEwAaQB2AGUAcwB0AG8AYwBrAF8AUwBvAHUAcgBjAGUARABhAHQAYQAuAFMAbwB1AHIAYwBlAEQAYQB0AGEAXwBMAGkAdgBlAHMAdABvAGMAawBfAFAAcgBvAGQAdQBjAHQAXwBTAGgAZQBlAHAAXwBUAGkAdABsAGUAIgAsACIAQwBvAG0AbQBvAG4ATABpAHYAZQBzAHQAbwBjAGsAXwBTAG8AdQByAGMAZQBEAGEAdABhAC4AUwBvAHUAcgBjAGUARABhAHQAYQBfAEwAaQB2AGUAcwB0AG8AYwBrAF8AUAByAG8AZAB1AGMAdABfAFMAaABlAGUAcABfAFYAYQBpAHIAYQBiAGwAZQAiACwAIgBDAG8AbQBtAG8AbgBMAGkAdgBlAHMAdABvAGMAawBfAFMAbwB1AHIAYwBlAEQAYQB0AGEALgBTAG8AdQByAGMAZQBEAGEAdABhAF8ATABpAHYAZQBzAHQAbwBjAGsAXwBQAHIAbwBkAHUAYwB0AF8AUwBoAGUAZQBwAF8AVQBuAGkAdAAiACwAIgBDAG8AbQBtAG8AbgBMAGkAdgBlAHMAdABvAGMAawBfAFMAbwB1AHIAYwBlAEQAYQB0AGEALgBTAG8AdQByAGMAZQBEAGEAdABhAF8ATABpAHYAZQBzAHQAbwBjAGsAXwBQAHIAbwBkAHUAYwB0AF8AUwBoAGUAZQBwAF8AUwBvAHUAcgBjAGUAIgAsACIAQwBvAG0AbQBvAG4ATABpAHYAZQBzAHQAbwBjAGsAXwBTAG8AdQByAGMAZQBEAGEAdABhAC4AUwBvAHUAcgBjAGUARABhAHQAYQBfAEwAaQB2AGUAcwB0AG8AYwBrAF8AUAByAG8AZAB1AGMAdABfAFMAaABlAGUAc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RABpAGYAZgBlAHIAZQBuAHQAUwBoAGUAZQB0ACIALAAiAEMAbwBtAG0AbwBuAF8ASQBuAHAAdQB0AEYAdQBuAGMAdABpAG8AbgBzAC4AVQB0AGkAbABpAHQAeQBfAFIAZQBzAHUAbAB0AHMASQB0AGUAbQBGAHIAbwBtAEUAcQB1AGEAdABpAG8AbgBUAGkAdABsAGUAQQBuAGQAUwBvAHUAcgBj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TQBNAFMAXwBQAGEAcwB0AHUAcgBlAEIAZQBlAGYAXwBNAGUAdABoAGEAbgBlAF8ARQBxAHUAYQB0AGkAbwBuAHMALgBWAEUARQBSAEcAXwA0AF8AMgBfADEAXwAxAF8AXwAxAF8AVABvAHQAYQBsAEEAbgBuAHUAYQBsAE0AZQB0AGgAYQBuAGUAUAByAG8AZAB1AGMAdABpAG8AbgBGAHIAbwBtAE0AYQBuAHUAcgBlAE0AYQBuAGEAZwBlAG0AZQBuAHQAIgAsACIATQBNAFMAXwBQAGEAcwB0AHUAcgBlAEIAZQBlAGYAXwBNAGUAdABoAGEAbgBlAF8ARQBxAHUAYQB0AGkAbwBuAHMALgBWAEUARQBSAEcAXwA0AF8AMgBfADEAXwAxAF8AXwAxAF8AVABvAHQAYQBsAEEAbgBuAHUAYQBsAE0AZQB0AGgAYQBuAGUAUAByAG8AZAB1AGMAdABpAG8AbgBGAHIAbwBtAE0AYQBuAHUAcgBlAE0AYQBuAGEAZwBlAG0AZQBuAHQAXwBUAGkAdABsAGUAIgAsACIATQBNAFMAXwBQAGEAcwB0AHUAcgBlAEIAZQBlAGYAXwBNAGUAdABoAGEAbgBlAF8ARQBxAHUAYQB0AGkAbwBuAHMALgBWAEUARQBSAEcAXwA0AF8AMgBfADEAXwAxAF8AXwAxAF8AVABvAHQAYQBsAEEAbgBuAHUAYQBsAE0AZQB0AGgAYQBuAGUAUAByAG8AZAB1AGMAdABpAG8AbgBGAHIAbwBtAE0AYQBuAHUAcgBlAE0AYQBuAGEAZwBlAG0AZQBuAHQAXwBWAGEAcgBpAGEAYgBsAGUAIgAsACIATQBNAFMAXwBQAGEAcwB0AHUAcgBlAEIAZQBlAGYAXwBNAGUAdABoAGEAbgBlAF8ARQBxAHUAYQB0AGkAbwBuAHMALgBWAEUARQBSAEcAXwA0AF8AMgBfADEAXwAxAF8AXwAxAF8AVABvAHQAYQBsAEEAbgBuAHUAYQBsAE0AZQB0AGgAYQBuAGUAUAByAG8AZAB1AGMAdABpAG8AbgBGAHIAbwBtAE0AYQBuAHUAcgBlAE0AYQBuAGEAZwBlAG0AZQBuAHQAXwBVAG4AaQB0ACIALAAiAE0ATQBTAF8AUABhAHMAdAB1AHIAZQBCAGUAZQBmAF8ATQBlAHQAaABhAG4AZQBfAEUAcQB1AGEAdABpAG8AbgBzAC4AVgBFAEUAUgBHAF8ANABfADIAXwAxAF8AMQBfAF8AMQBfAFQAbwB0AGEAbABBAG4AbgB1AGEAbABNAGUAdABoAGEAbgBlAFAAcgBvAGQAdQBjAHQAaQBvAG4ARgByAG8AbQBNAGEAbgB1AHIAZQBNAGEAbgBhAGcAZQBtAGUAbgB0AF8AUwBvAHUAc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OAEkAUgBSAGUAZgBlAHIAZQBuAGMAZQAiACwAIgBNAE0AUwBfAFAAYQBzAHQAdQByAGUAQgBlAGUAZgBfAE0AZQB0AGgAYQBuAGUAXwBFAHEAdQBhAHQAaQBvAG4AcwAuAFYARQBFAFIARwBfADQAXwAyAF8AMQBfADEAXwBfADEAXwBUAG8AdABhAGwAQQBuAG4AdQBhAGwATQBlAHQAaABhAG4AZQBQAHIAbwBkAHUAYwB0AGkAbwBuAEYAcgBvAG0ATQBhAG4AdQByAGUATQBhAG4AYQBnAGUAbQBlAG4AdABfAEwAYQB0AGUAeABFAHEAdQBhAHQAaQBvAG4AIgAsACIATQBNAFMAXwBQAGEAcwB0AHUAcgBlAEIAZQBlAGYAXwBNAGUAdABoAGEAbgBlAF8ARQBxAHUAYQB0AGkAbwBuAHMALgBWAEUARQBSAEcAXwA0AF8AMgBfADEAXwAxAF8AXwAxAF8AVABvAHQAYQBsAEEAbgBuAHUAYQBsAE0AZQB0AGgAYQBuAGUAUAByAG8AZAB1AGMAdABpAG8AbgBGAHIAbwBtAE0AYQBuAHUAcgBlAE0AYQBuAGEAZwBlAG0AZQBuAHQAXwBBAHIAZwB1AG0AZQBuAHQAcwAiACwAIgBNAE0AUwBfAFAAYQBzAHQAdQByAGUAQgBlAGUAZgBfAE0AZQB0AGgAYQBuAGUAXwBFAHEAdQBhAHQAaQBvAG4AcwAuAFYARQBFAFIARwBfADQAXwAyAF8AMQBfADEAXwBfADIAXwBNAGUAdABoAGEAbgBlAFAAcgBvAGQAdQBjAHQAaQBvAG4ARgByAG8AbQBNAGEAbgB1AHIAZQAiACwAIgBNAE0AUwBfAFAAYQBzAHQAdQByAGUAQgBlAGUAZgBfAE0AZQB0AGgAYQBuAGUAXwBFAHEAdQBhAHQAaQBvAG4AcwAuAFYARQBFAFIARwBfADQAXwAyAF8AMQBfADEAXwBfADIAXwBNAGUAdABoAGEAbgBlAFAAcgBvAGQAdQBjAHQAaQBvAG4ARgByAG8AbQBNAGEAbgB1AHIAZQBfAFQAaQB0AGwAZQAiACwAIgBNAE0AUwBfAFAAYQBzAHQAdQByAGUAQgBlAGUAZgBfAE0AZQB0AGgAYQBuAGUAXwBFAHEAdQBhAHQAaQBvAG4AcwAuAFYARQBFAFIARwBfADQAXwAyAF8AMQBfADEAXwBfADIAXwBNAGUAdABoAGEAbgBlAFAAcgBvAGQAdQBjAHQAaQBvAG4ARgByAG8AbQBNAGEAbgB1AHIAZQBfAFYAYQByAGkAYQBiAGwAZQAiACwAIgBNAE0AUwBfAFAAYQBzAHQAdQByAGUAQgBlAGUAZgBfAE0AZQB0AGgAYQBuAGUAXwBFAHEAdQBhAHQAaQBvAG4AcwAuAFYARQBFAFIARwBfADQAXwAyAF8AMQBfADEAXwBfADIAXwBNAGUAdABoAGEAbgBlAFAAcgBvAGQAdQBjAHQAaQBvAG4ARgByAG8AbQBNAGEAbgB1AHIAZQBfAFUAbgBpAHQAIgAsACIATQBNAFMAXwBQAGEAcwB0AHUAcgBlAEIAZQBlAGYAXwBNAGUAdABoAGEAbgBlAF8ARQBxAHUAYQB0AGkAbwBuAHMALgBWAEUARQBSAEcAXwA0AF8AMgBfADEAXwAxAF8AXwAyAF8ATQBlAHQAaABhAG4AZQBQAHIAbwBkAHUAYwB0AGkAbwBuAEYAcgBvAG0ATQBhAG4AdQByAGUAXwBTAG8AdQByAGMAZQAiACwAIgBNAE0AUwBfAFAAYQBzAHQAdQByAGUAQgBlAGUAZgBfAE0AZQB0AGgAYQBuAGUAXwBFAHEAdQBhAHQAaQBvAG4AcwAuAFYARQBFAFIARwBfADQAXwAyAF8AMQBfADEAXwBfADIAXwBNAGUAdABoAGEAbgBlAFAAcgBvAGQAdQBjAHQAaQBvAG4ARgByAG8AbQBNAGEAbgB1AHIAZQBfAE4ASQBSAFIAZQBmAGUAcgBlAG4AYwBlACIALAAiAE0ATQBTAF8AUABhAHMAdAB1AHIAZQBCAGUAZQBmAF8ATQBlAHQAaABhAG4AZQBfAEUAcQB1AGEAdABpAG8AbgBzAC4AVgBFAEUAUgBHAF8ANABfADIAXwAxAF8AMQBfAF8AMgBfAE0AZQB0AGgAYQBuAGUAUAByAG8AZAB1AGMAdABpAG8AbgBGAHIAbwBtAE0AYQBuAHUAcgBlAF8ATABhAHQAZQB4AEUAcQB1AGEAdABpAG8AbgAiACwAIgBNAE0AUwBfAFAAYQBzAHQAdQByAGUAQgBlAGUAZgBfAE0AZQB0AGgAYQBuAGUAXwBFAHEAdQBhAHQAaQBvAG4AcwAuAFYARQBFAFIARwBfADQAXwAyAF8AMQBfADEAXwBfADIAXwBNAGUAdABoAGEAbgBlAFAAcgBvAGQAdQBjAHQAaQBvAG4ARgByAG8AbQBNAGEAbgB1AHIAZQBfAEEAcgBnAHUAbQBlAG4AdABzACIALAAiAE0ATQBTAF8AUABhAHMAdAB1AHIAZQBCAGUAZQBmAF8ATQBlAHQAaABhAG4AZQBfAEUAcQB1AGEAdABpAG8AbgBzAC4AVgBFAEUAUgBHAF8ANABfADIAXwAxAF8AMQBfAF8AMgBfAE0AZQB0AGgAYQBuAGUAUAByAG8AZAB1AGMAdABpAG8AbgBGAHIAbwBtAE0AYQBuAHUAcgBlAF8AQQByAGcAdQBtAGUAbgB0AHMAXwBNAGUAdABoAG8AZAAyACIALAAiAE0ATQBTAF8AUABhAHMAdAB1AHIAZQBCAGUAZQBmAF8ATQBlAHQAaABhAG4AZQBfAEUAcQB1AGEAdABpAG8AbgBzAC4AVgBFAEUAUgBHAF8ANABfADIAXwAxAF8AMQBfAF8AMwBfAFYAbwBsAGEAdABpAGwAZQBTAG8AbABpAGQAUAByAG8AZAB1AGMAdABpAG8AbgBGAHIAbwBtAEcAcgBhAHoAaQBuAGcAQgBlAGUAZgAiACwAIgBNAE0AUwBfAFAAYQBzAHQAdQByAGUAQgBlAGUAZgBfAE0AZQB0AGgAYQBuAGUAXwBFAHEAdQBhAHQAaQBvAG4AcwAuAFYARQBFAFIARwBfADQAXwAyAF8AMQBfADEAXwBfADMAXwBWAG8AbABhAHQAaQBsAGUAUwBvAGwAaQBkAFAAcgBvAGQAdQBjAHQAaQBvAG4ARgByAG8AbQBHAHIAYQB6AGkAbgBnAEIAZQBlAGYAXwBUAGkAdABsAGUAIgAsACIATQBNAFMAXwBQAGEAcwB0AHUAcgBlAEIAZQBlAGYAXwBNAGUAdABoAGEAbgBlAF8ARQBxAHUAYQB0AGkAbwBuAHMALgBWAEUARQBSAEcAXwA0AF8AMgBfADEAXwAxAF8AXwAzAF8AVgBvAGwAYQB0AGkAbABlAFMAbwBsAGkAZABQAHIAbwBkAHUAYwB0AGkAbwBuAEYAcgBvAG0ARwByAGEAegBpAG4AZwBCAGUAZQBmAF8AVgBhAHIAaQBhAGIAbABlACIALAAiAE0ATQBTAF8AUABhAHMAdAB1AHIAZQBCAGUAZQBmAF8ATQBlAHQAaABhAG4AZQBfAEUAcQB1AGEAdABpAG8AbgBzAC4AVgBFAEUAUgBHAF8ANABfADIAXwAxAF8AMQBfAF8AMwBfAFYAbwBsAGEAdABpAGwAZQBTAG8AbABpAGQAUAByAG8AZAB1AGMAdABpAG8AbgBGAHIAbwBtAEcAcgBhAHoAaQBuAGcAQgBlAGUAZgBfAFUAbgBpAHQAIgAsACIATQBNAFMAXwBQAGEAcwB0AHUAcgBlAEIAZQBlAGYAXwBNAGUAdABoAGEAbgBlAF8ARQBxAHUAYQB0AGkAbwBuAHMALgBWAEUARQBSAEcAXwA0AF8AMgBfADEAXwAxAF8AXwAzAF8AVgBvAGwAYQB0AGkAbABlAFMAbwBsAGkAZABQAHIAbwBkAHUAYwB0AGkAbwBuAEYAcgBvAG0ARwByAGEAegBpAG4AZwBCAGUAZQBmAF8AUwBvAHUAcgBjAGUAIgAsACIATQBNAFMAXwBQAGEAcwB0AHUAcgBlAEIAZQBlAGYAXwBNAGUAdABoAGEAbgBlAF8ARQBxAHUAYQB0AGkAbwBuAHMALgBWAEUARQBSAEcAXwA0AF8AMgBfADEAXwAxAF8AXwAzAF8AVgBvAGwAYQB0AGkAbABlAFMAbwBsAGkAZABQAHIAbwBkAHUAYwB0AGkAbwBuAEYAcgBvAG0ARwByAGEAegBpAG4AZwBCAGUAZQBmAF8ATgBJAFIAUgBlAGYAZQByAGUAbgBjAGUAIgAsACIATQBNAFMAXwBQAGEAcwB0AHUAcgBlAEIAZQBlAGYAXwBNAGUAdABoAGEAbgBlAF8ARQBxAHUAYQB0AGkAbwBuAHMALgBWAEUARQBSAEcAXwA0AF8AMgBfADEAXwAxAF8AXwAzAF8AVgBvAGwAYQB0AGkAbABlAFMAbwBsAGkAZABQAHIAbwBkAHUAYwB0AGkAbwBuAEYAcgBvAG0ARwByAGEAegBpAG4AZwBCAGUAZQBmAF8ATABhAHQAZQB4AEUAcQB1AGEAdABpAG8AbgAiACwAIgBNAE0AUwBfAFAAYQBzAHQAdQByAGUAQgBlAGUAZgBfAE0AZQB0AGgAYQBuAGUAXwBFAHEAdQBhAHQAaQBvAG4AcwAuAFYARQBFAFIARwBfADQAXwAyAF8AMQBfADEAXwBfADMAXwBWAG8AbABhAHQAaQBsAGUAUwBvAGwAaQBkAFAAcgBvAGQAdQBjAHQAaQBvAG4ARgByAG8AbQBHAHIAYQB6AGkAbgBnAEIAZQBlAGYAXwBBAHIAZwB1AG0AZQBuAHQAcwAiACwAIgBFAG4AdABlAHIAaQBjAE0AZQB0AGgAYQBuAGUAXwBQAGEAcwB0AHUAcgBlAEIAZQBlAGYAXwBFAHEAdQBhAHQAaQBvAG4AcwAuAFYARQBFAFIARwBfADMAXwAyAF8AMQBfADEAXwBfADEAXwBUAG8AdABhAGwAQQBuAG4AdQBhAGwATQBlAHQAaABhAG4AZQBGAHIAbwBtAEUAbgB0AGUAcgBpAGMARgBlAHIAbQBlAG4AdABhAHQAaQBvAG4AIgAsACIARQBuAHQAZQByAGkAYwBNAGUAdABoAGEAbgBlAF8AUABhAHMAdAB1AHIAZQBCAGUAZQBmAF8ARQBxAHUAYQB0AGkAbwBuAHMALgBWAEUARQBSAEcAXwAzAF8AMgBfADEAXwAxAF8AXwAxAF8AVABvAHQAYQBsAEEAbgBuAHUAYQBsAE0AZQB0AGgAYQBuAGUARgByAG8AbQBFAG4AdABlAHIAaQBjAEYAZQByAG0AZQBuAHQAYQB0AGkAbwBuAF8AVABpAHQAbABlACIALAAiAEUAbgB0AGUAcgBpAGMATQBlAHQAaABhAG4AZQBfAFAAYQBzAHQAdQByAGUAQgBlAGUAZgBfAEUAcQB1AGEAdABpAG8AbgBzAC4AVgBFAEUAUgBHAF8AMwBfADIAXwAxAF8AMQBfAF8AMQBfAFQAbwB0AGEAbABBAG4AbgB1AGEAbABNAGUAdABoAGEAbgBlAEYAcgBvAG0ARQBuAHQAZQByAGkAYwBGAGUAcgBtAGUAbgB0AGEAdABpAG8AbgBfAFYAYQByAGkAYQBiAGwAZQAiACwAIgBFAG4AdABlAHIAaQBjAE0AZQB0AGgAYQBuAGUAXwBQAGEAcwB0AHUAcgBlAEIAZQBlAGYAXwBFAHEAdQBhAHQAaQBvAG4AcwAuAFYARQBFAFIARwBfADMAXwAyAF8AMQBfADEAXwBfADEAXwBUAG8AdABhAGwAQQBuAG4AdQBhAGwATQBlAHQAaABhAG4AZQBGAHIAbwBtAEUAbgB0AGUAcgBpAGMARgBlAHIAbQBlAG4AdABhAHQAaQBvAG4AXwBVAG4AaQB0ACIALAAiAEUAbgB0AGUAcgBpAGMATQBlAHQAaABhAG4AZQBfAFAAYQBzAHQAdQByAGUAQgBlAGUAZgBfAEUAcQB1AGEAdABpAG8AbgBzAC4AVgBFAEUAUgBHAF8AMwBfADIAXwAxAF8AMQBfAF8AMQBfAFQAbwB0AGEAbABBAG4AbgB1AGEAbABNAGUAdABoAGEAbgBlAEYAcgBvAG0ARQBuAHQAZQByAGkAYwBGAGUAcgBtAGUAbgB0AGEAdABpAG8AbgBfAFMAbwB1AHIAYwBlACIALAAiAEUAbgB0AGUAcgBpAGMATQBlAHQAaABhAG4AZQBfAFAAYQBzAHQAdQByAGUAQgBlAGUAZgBfAEUAcQB1AGEAdABpAG8AbgBzAC4AVgBFAEUAUgBHAF8AMwBfADIAXwAxAF8AMQBfAF8AMQBfAFQAbwB0AGEAbABBAG4AbgB1AGEAbABNAGUAdABoAGEAbgBlAEYAcgBvAG0ARQBuAHQAZQByAGkAYwBGAGUAcgBtAGUAbgB0AGEAdABpAG8AbgBfAE4ASQBSAFIAZQBmAGUAcgBlAG4AYwBlACIALAAiAEUAbgB0AGUAcgBpAGMATQBlAHQAaABhAG4AZQBfAFAAYQBzAHQAdQByAGUAQgBlAGUAZgBfAEUAcQB1AGEAdABpAG8AbgBzAC4AVgBFAEUAUgBHAF8AMwBfADIAXwAxAF8AMQBfAF8AMQBfAFQAbwB0AGEAbABBAG4AbgB1AGEAbABNAGUAdABoAGEAbgBlAEYAcgBvAG0ARQBuAHQAZQByAGkAYwBGAGUAcgBtAGUAbgB0AGEAdABpAG8AbgBfAEwAYQB0AGUAeABFAHEAdQBhAHQAaQBvAG4AIgAsACIARQBuAHQAZQByAGkAYwBNAGUAdABoAGEAbgBlAF8AUABhAHMAdAB1AHIAZQBCAGUAZQBmAF8ARQBxAHUAYQB0AGkAbwBuAHMALgBWAEUARQBSAEcAXwAzAF8AMgBfADEAXwAxAF8AXwAxAF8AVABvAHQAYQBsAEEAbgBuAHUAYQBsAE0AZQB0AGgAYQBuAGUARgByAG8AbQBFAG4AdABlAHIAaQBjAEYAZQByAG0AZQBuAHQAYQB0AGkAbwBuAF8AQQByAGcAdQBtAGUAbgB0AHMAIgAsACIARQBuAHQAZQByAGkAYwBNAGUAdABoAGEAbgBlAF8AUABhAHMAdAB1AHIAZQBCAGUAZQBmAF8ARQBxAHUAYQB0AGkAbwBuAHMALgBWAEUARQBSAEcAXwAzAF8AMgBfADEAXwAxAF8AXwAyAF8ARABhAGkAbAB5AEUAbgB0AGUAcgBpAGMATQBlAHQAaABhAG4AZQBQAHIAbwBkAHUAYwB0AGkAbwBuACIALAAiAEUAbgB0AGUAcgBpAGMATQBlAHQAaABhAG4AZQBfAFAAYQBzAHQAdQByAGUAQgBlAGUAZgBfAEUAcQB1AGEAdABpAG8AbgBzAC4AVgBFAEUAUgBHAF8AMwBfADIAXwAxAF8AMQBfAF8AMgBfAEQAYQBpAGwAeQBFAG4AdABlAHIAaQBjAE0AZQB0AGgAYQBuAGUAUAByAG8AZAB1AGMAdABpAG8AbgBfAFQAaQB0AGwAZQAiACwAIgBFAG4AdABlAHIAaQBjAE0AZQB0AGgAYQBuAGUAXwBQAGEAcwB0AHUAcgBlAEIAZQBlAGYAXwBFAHEAdQBhAHQAaQBvAG4AcwAuAFYARQBFAFIARwBfADMAXwAyAF8AMQBfADEAXwBfADIAXwBEAGEAaQBsAHkARQBuAHQAZQByAGkAYwBNAGUAdABoAGEAbgBlAFAAcgBvAGQAdQBjAHQAaQBvAG4AXwBWAGEAcgBpAGEAYgBsAGUAIgAsACIARQBuAHQAZQByAGkAYwBNAGUAdABoAGEAbgBlAF8AUABhAHMAdAB1AHIAZQBCAGUAZQBmAF8ARQBxAHUAYQB0AGkAbwBuAHMALgBWAEUARQBSAEcAXwAzAF8AMgBfADEAXwAxAF8AXwAyAF8ARABhAGkAbAB5AEUAbgB0AGUAcgBpAGMATQBlAHQAaABhAG4AZQBQAHIAbwBkAHUAYwB0AGkAbwBuAF8AVQBuAGkAdAAiACwAIgBFAG4AdABlAHIAaQBjAE0AZQB0AGgAYQBuAGUAXwBQAGEAcwB0AHUAcgBlAEIAZQBlAGYAXwBFAHEAdQBhAHQAaQBvAG4AcwAuAFYARQBFAFIARwBfADMAXwAyAF8AMQBfADEAXwBfADIAXwBEAGEAaQBsAHkARQBuAHQAZQByAGkAYwBNAGUAdABoAGEAbgBlAFAAcgBvAGQAdQBjAHQAaQBvAG4AXwBTAG8AdQByAGMAZQAiACwAIgBFAG4AdABlAHIAaQBjAE0AZQB0AGgAYQBuAGUAXwBQAGEAcwB0AHUAcgBlAEIAZQBlAGYAXwBFAHEAdQBhAHQAaQBvAG4AcwAuAFYARQBFAFIARwBfADMAXwAyAF8AMQBfADEAXwBfADIAXwBEAGEAaQBsAHkARQBuAHQAZQByAGkAYwBNAGUAdABoAGEAbgBlAFAAcgBvAGQAdQBjAHQAaQBvAG4AXwBOAEkAUgBSAGUAZgBlAHIAZQBuAGMAZQAiACwAIgBFAG4AdABlAHIAaQBjAE0AZQB0AGgAYQBuAGUAXwBQAGEAcwB0AHUAcgBlAEIAZQBlAGYAXwBFAHEAdQBhAHQAaQBvAG4AcwAuAFYARQBFAFIARwBfADMAXwAyAF8AMQBfADEAXwBfADIAXwBEAGEAaQBsAHkARQBuAHQAZQByAGkAYwBNAGUAdABoAGEAbgBlAFAAcgBvAGQAdQBjAHQAaQBvAG4AXwBMAGEAdABlAHgARQBxAHUAYQB0AGkAbwBuACIALAAiAEUAbgB0AGUAcgBpAGMATQBlAHQAaABhAG4AZQBfAFAAYQBzAHQAdQByAGUAQgBlAGUAZgBfAEUAcQB1AGEAdABpAG8AbgBzAC4AVgBFAEUAUgBHAF8AMwBfADIAXwAxAF8AMQBfAF8AMgBfAEQAYQBpAGwAeQBFAG4AdABlAHIAaQBjAE0AZQB0AGgAYQBuAGUAUAByAG8AZAB1AGMAdABpAG8AbgBfAEEAcgBnAHUAbQBlAG4AdABzACIALAAiAEUAbgB0AGUAcgBpAGMATQBlAHQAaABhAG4AZQBfAFAAYQBzAHQAdQByAGUAQgBlAGUAZgBfAEUAcQB1AGEAdABpAG8AbgBzAC4AVgBFAEUAUgBHAF8AMwBfADIAXwAxAF8AMQBfAF8AMwBfAEYAZQBlAGQASQBuAHQAYQBrAGUARgBvAHIARwByAGEAegBpAG4AZwBCAGUAZQBmACIALAAiAEUAbgB0AGUAcgBpAGMATQBlAHQAaABhAG4AZQBfAFAAYQBzAHQAdQByAGUAQgBlAGUAZgBfAEUAcQB1AGEAdABpAG8AbgBzAC4AVgBFAEUAUgBHAF8AMwBfADIAXwAxAF8AMQBfAF8AMwBfAEYAZQBlAGQASQBuAHQAYQBrAGUARgBvAHIARwByAGEAegBpAG4AZwBCAGUAZQBmAF8AVABpAHQAbABlACIALAAiAEUAbgB0AGUAcgBpAGMATQBlAHQAaABhAG4AZQBfAFAAYQBzAHQAdQByAGUAQgBlAGUAZgBfAEUAcQB1AGEAdABpAG8AbgBzAC4AVgBFAEUAUgBHAF8AMwBfADIAXwAxAF8AMQBfAF8AMwBfAEYAZQBlAGQASQBuAHQAYQBrAGUARgBvAHIARwByAGEAegBpAG4AZwBCAGUAZQBmAF8AVgBhAHIAaQBhAGIAbABlACIALAAiAEUAbgB0AGUAcgBpAGMATQBlAHQAaABhAG4AZQBfAFAAYQBzAHQAdQByAGUAQgBlAGUAZgBfAEUAcQB1AGEAdABpAG8AbgBzAC4AVgBFAEUAUgBHAF8AMwBfADIAXwAxAF8AMQBfAF8AMwBfAEYAZQBlAGQASQBuAHQAYQBrAGUARgBvAHIARwByAGEAegBpAG4AZwBCAGUAZQBmAF8AVQBuAGkAdAAiACwAIgBFAG4AdABlAHIAaQBjAE0AZQB0AGgAYQBuAGUAXwBQAGEAcwB0AHUAcgBlAEIAZQBlAGYAXwBFAHEAdQBhAHQAaQBvAG4AcwAuAFYARQBFAFIARwBfADMAXwAyAF8AMQBfADEAXwBfADMAXwBGAGUAZQBkAEkAbgB0AGEAawBlAEYAbwByAEcAcgBhAHoAaQBuAGcAQgBlAGUAZgBfAFMAbwB1AHIAYwBlACIALAAiAEUAbgB0AGUAcgBpAGMATQBlAHQAaABhAG4AZQBfAFAAYQBzAHQAdQByAGUAQgBlAGUAZgBfAEUAcQB1AGEAdABpAG8AbgBzAC4AVgBFAEUAUgBHAF8AMwBfADIAXwAxAF8AMQBfAF8AMwBfAEYAZQBlAGQASQBuAHQAYQBrAGUARgBvAHIARwByAGEAegBpAG4AZwBCAGUAZQBmAF8ATgBJAFIAUgBlAGYAZQByAGUAbgBjAGUAIgAsACIARQBuAHQAZQByAGkAYwBNAGUAdABoAGEAbgBlAF8AUABhAHMAdAB1AHIAZQBCAGUAZQBmAF8ARQBxAHUAYQB0AGkAbwBuAHMALgBWAEUARQBSAEcAXwAzAF8AMgBfADEAXwAxAF8AXwAzAF8ARgBlAGUAZABJAG4AdABhAGsAZQBGAG8AcgBHAHIAYQB6AGkAbgBnAEIAZQBlAGYAXwBMAGEAdABlAHgARQBxAHUAYQB0AGkAbwBuACIALAAiAEUAbgB0AGUAcgBpAGMATQBlAHQAaABhAG4AZQBfAFAAYQBzAHQAdQByAGUAQgBlAGUAZgBfAEUAcQB1AGEAdABpAG8AbgBzAC4AVgBFAEUAUgBHAF8AMwBfADIAXwAxAF8AMQBfAF8AMwBfAEYAZQBlAGQASQBuAHQAYQBrAGUARgBvAHIARwByAGEAegBpAG4AZwBCAGUAZQBmAF8AQQByAGcAdQBtAGUAbgB0AHMAIgAsACIARQBuAHQAZQByAGkAYwBNAGUAdABoAGEAbgBlAF8AUABhAHMAdAB1AHIAZQBCAGUAZQBmAF8ARQBxAHUAYQB0AGkAbwBuAHMALgBWAEUARQBSAEcAXwAzAF8AMgBfADEAXwAxAF8AXwA0AF8AQQBkAGQAaQB0AGkAbwBuAGEAbABJAG4AdABhAGsAZQBGAG8AcgBNAGkAbABrAFAAcgBvAGQAdQBjAHQAaQBvAG4AIgAsACIARQBuAHQAZQByAGkAYwBNAGUAdABoAGEAbgBlAF8AUABhAHMAdAB1AHIAZQBCAGUAZQBmAF8ARQBxAHUAYQB0AGkAbwBuAHMALgBWAEUARQBSAEcAXwAzAF8AMgBfADEAXwAxAF8AXwA0AF8AQQBkAGQAaQB0AGkAbwBuAGEAbABJAG4AdABhAGsAZQBGAG8AcgBNAGkAbABrAFAAcgBvAGQAdQBjAHQAaQBvAG4AVgBhAHIAaQBhAHQAaQBvAG4AIgAsACIARQBuAHQAZQByAGkAYwBNAGUAdABoAGEAbgBlAF8AUABhAHMAdAB1AHIAZQBCAGUAZQBmAF8ARQBxAHUAYQB0AGkAbwBuAHMALgBWAEUARQBSAEcAXwAzAF8AMgBfADEAXwAxAF8AXwA0AF8AQQBkAGQAaQB0AGkAbwBuAGEAbABJAG4AdABhAGsAZQBGAG8AcgBNAGkAbABrAFAAcgBvAGQAdQBjAHQAaQBvAG4AXwBUAGkAdABsAGUAIgAsACIARQBuAHQAZQByAGkAYwBNAGUAdABoAGEAbgBlAF8AUABhAHMAdAB1AHIAZQBCAGUAZQBmAF8ARQBxAHUAYQB0AGkAbwBuAHMALgBWAEUARQBSAEcAXwAzAF8AMgBfADEAXwAxAF8AXwA0AF8AQQBkAGQAaQB0AGkAbwBuAGEAbABJAG4AdABhAGsAZQBGAG8AcgBNAGkAbABrAFAAcgBvAGQAdQBjAHQAaQBvAG4AXwBWAGEAcgBpAGEAYgBsAGUAIgAsACIARQBuAHQAZQByAGkAYwBNAGUAdABoAGEAbgBlAF8AUABhAHMAdAB1AHIAZQBCAGUAZQBmAF8ARQBxAHUAYQB0AGkAbwBuAHMALgBWAEUARQBSAEcAXwAzAF8AMgBfADEAXwAxAF8AXwA0AF8AQQBkAGQAaQB0AGkAbwBuAGEAbABJAG4AdABhAGsAZQBGAG8AcgBNAGkAbABrAFAAcgBvAGQAdQBjAHQAaQBvAG4AXwBVAG4AaQB0ACIALAAiAEUAbgB0AGUAcgBpAGMATQBlAHQAaABhAG4AZQBfAFAAYQBzAHQAdQByAGUAQgBlAGUAZgBfAEUAcQB1AGEAdABpAG8AbgBzAC4AVgBFAEUAUgBHAF8AMwBfADIAXwAxAF8AMQBfAF8ANABfAEEAZABkAGkAdABpAG8AbgBhAGwASQBuAHQAYQBrAGUARgBvAHIATQBpAGwAawBQAHIAbwBkAHUAYwB0AGkAbwBuAF8AUwBvAHUAcgBjAGUAIgAsACIARQBuAHQAZQByAGkAYwBNAGUAdABoAGEAbgBlAF8AUABhAHMAdAB1AHIAZQBCAGUAZQBmAF8ARQBxAHUAYQB0AGkAbwBuAHMALgBWAEUARQBSAEcAXwAzAF8AMgBfADEAXwAxAF8AXwA0AF8AQQBkAGQAaQB0AGkAbwBuAGEAbABJAG4AdABhAGsAZQBGAG8AcgBNAGkAbABrAFAAcgBvAGQAdQBjAHQAaQBvAG4AXwBOAEkAUgBSAGUAZgBlAHIAZQBuAGMAZQAiACwAIgBFAG4AdABlAHIAaQBjAE0AZQB0AGgAYQBuAGUAXwBQAGEAcwB0AHUAcgBlAEIAZQBlAGYAXwBFAHEAdQBhAHQAaQBvAG4AcwAuAFYARQBFAFIARwBfADMAXwAyAF8AMQBfADEAXwBfADQAXwBBAGQAZABpAHQAaQBvAG4AYQBsAEkAbgB0AGEAawBlAEYAbwByAE0AaQBsAGsAUAByAG8AZAB1AGMAdABpAG8AbgBfAEwAYQB0AGUAeABFAHEAdQBhAHQAaQBvAG4AIgAsACIARQBuAHQAZQByAGkAYwBNAGUAdABoAGEAbgBlAF8AUABhAHMAdAB1AHIAZQBCAGUAZQBmAF8ARQBxAHUAYQB0AGkAbwBuAHMALgBWAEUARQBSAEcAXwAzAF8AMgBfADEAXwAxAF8AXwA0AF8AQQBkAGQAaQB0AGkAbwBuAGEAbABJAG4AdABhAGsAZQBGAG8AcgBNAGkAbABrAFAAcgBvAGQAdQBjAHQAaQBvAG4AXwBMAGEAdABlAHgARQBxAHUAYQB0AGkAbwBuAFYAYQByAGkAYQB0AGkAbwBuACIALAAiAEUAbgB0AGUAcgBpAGMATQBlAHQAaABhAG4AZQBfAFAAYQBzAHQAdQByAGUAQgBlAGUAZgBfAEUAcQB1AGEAdABpAG8AbgBzAC4AVgBFAEUAUgBHAF8AMwBfADIAXwAxAF8AMQBfAF8ANABfAEEAZABkAGkAdABpAG8AbgBhAGwASQBuAHQAYQBrAGUARgBvAHIATQBpAGwAawBQAHIAbwBkAHUAYwB0AGkAbwBuAF8AQQByAGcAdQBtAGUAbgB0AHMAIgAsACIARQBuAHQAZQByAGkAYwBNAGUAdABoAGEAbgBlAF8AUABhAHMAdAB1AHIAZQBCAGUAZQBmAF8ARQBxAHUAYQB0AGkAbwBuAHMALgBWAEUARQBSAEcAXwAzAF8AMgBfADEAXwAxAF8AXwA0AF8AQQBkAGQAaQB0AGkAbwBuAGEAbABJAG4AdABhAGsAZQBGAG8AcgBNAGkAbABrAFAAcgBvAGQAdQBjAHQAaQBvAG4AXwBBAHIAZwB1AG0AZQBuAHQAcwBWAGEAcgBpAGEAdABpAG8AbgAiACwAIgBFAG4AdABlAHIAaQBjAE0AZQB0AGgAYQBuAGUAXwBQAGEAcwB0AHUAcgBlAEIAZQBlAGYAXwBFAHEAdQBhAHQAaQBvAG4AcwAuAFYARQBFAFIARwBfADMAXwAyAF8AMQBfADEAXwBfADQAXwBBAGQAZABpAHQAaQBvAG4AYQBsAEkAbgB0AGEAawBlAEYAbwByAE0AaQBsAGsAUAByAG8AZAB1AGMAdABpAG8AbgBfAFYAYQByAGkAYQB0AGkAbwBuACIALAAiAFMAbwB1AHIAYwBlAEQAYQB0AGEAXwBQAGEAcwB0AHUAcgBlAEIAZQBlAGYALgBTAG8AdQByAGMAZQBEAGEAdABhAF8AUABhAHMAdAB1AHIAZQBCAGUAZQBmAF8ATABpAHYAZQB3AGUAaQBnAGgAdABfAFQAaQB0AGwAZQAiACwAIgBTAG8AdQByAGMAZQBEAGEAdABhAF8AUABhAHMAdAB1AHIAZQBCAGUAZQBmAC4AUwBvAHUAcgBjAGUARABhAHQAYQBfAFAAYQBzAHQAdQByAGUAQgBlAGUAZgBfAEwAaQB2AGUAdwBlAGkAZwBoAHQAXwBWAGEAcgBpAGEAYgBsAGUAIgAsACIAUwBvAHUAcgBjAGUARABhAHQAYQBfAFAAYQBzAHQAdQByAGUAQgBlAGUAZgAuAFMAbwB1AHIAYwBlAEQAYQB0AGEAXwBQAGEAcwB0AHUAcgBlAEIAZQBlAGYAXwBMAGkAdgBlAHcAZQBpAGcAaAB0AF8AVQBuAGkAdAAiACwAIgBTAG8AdQByAGMAZQBEAGEAdABhAF8AUABhAHMAdAB1AHIAZQBCAGUAZQBmAC4AUwBvAHUAcgBjAGUARABhAHQAYQBfAFAAYQBzAHQAdQByAGUAQgBlAGUAZgBfAEwAaQB2AGUAdwBlAGkAZwBoAHQAXwBTAG8AdQByAGMAZQAiACwAIgBTAG8AdQByAGMAZQBEAGEAdABhAF8AUABhAHMAdAB1AHIAZQBCAGUAZQBmAC4AUwBvAHUAcgBjAGUARABhAHQAYQBfAFAAYQBzAHQAdQByAGUAQgBlAGUAZgBfAEwAaQB2AGUAdwBlAGkAZwBoAHQAXwBWAGEAcgBpAGEAdABpAG8AbgAiACwAIgBTAG8AdQByAGMAZQBEAGEAdABhAF8AUABhAHMAdAB1AHIAZQBCAGUAZQBmAC4AUwBvAHUAcgBjAGUARABhAHQAYQBfAFAAYQBzAHQAdQByAGUAQgBlAGUAZgBfAEwAaQB2AGUAdwBlAGkAZwBoAHQAXwBEAGEAdABhACIALAAiAFMAbwB1AHIAYwBlAEQAYQB0AGEAXwBQAGEAcwB0AHUAcgBlAEIAZQBlAGYALgBTAG8AdQByAGMAZQBEAGEAdABhAF8AUABhAHMAdAB1AHIAZQBCAGUAZQBmAF8ATABpAHYAZQB3AGUAaQBnAGgAdABOAFQAUQBMAEQAXwBUAGkAdABsAGUAIgAsACIAUwBvAHUAcgBjAGUARABhAHQAYQBfAFAAYQBzAHQAdQByAGUAQgBlAGUAZgAuAFMAbwB1AHIAYwBlAEQAYQB0AGEAXwBQAGEAcwB0AHUAcgBlAEIAZQBlAGYAXwBMAGkAdgBlAHcAZQBpAGcAaAB0AE4AVABRAEwARABfAFYAYQByAGkAYQBiAGwAZQAiACwAIgBTAG8AdQByAGMAZQBEAGEAdABhAF8AUABhAHMAdAB1AHIAZQBCAGUAZQBmAC4AUwBvAHUAcgBjAGUARABhAHQAYQBfAFAAYQBzAHQAdQByAGUAQgBlAGUAZgBfAEwAaQB2AGUAdwBlAGkAZwBoAHQATgBUAFEATABEAF8AVQBuAGkAdAAiACwAIgBTAG8AdQByAGMAZQBEAGEAdABhAF8AUABhAHMAdAB1AHIAZQBCAGUAZQBmAC4AUwBvAHUAcgBjAGUARABhAHQAYQBfAFAAYQBzAHQAdQByAGUAQgBlAGUAZgBfAEwAaQB2AGUAdwBlAGkAZwBoAHQATgBUAFEATABEAF8AUwBvAHUAcgBjAGUAIgAsACIAUwBvAHUAcgBjAGUARABhAHQAYQBfAFAAYQBzAHQAdQByAGUAQgBlAGUAZgAuAFMAbwB1AHIAYwBlAEQAYQB0AGEAXwBQAGEAcwB0AHUAcgBlAEIAZQBlAGYAXwBMAGkAdgBlAHcAZQBpAGcAaAB0AE4AVABRAEwARABfAFYAYQByAGkAYQB0AGkAbwBuACIALAAiAFMAbwB1AHIAYwBlAEQAYQB0AGEAXwBQAGEAcwB0AHUAcgBlAEIAZQBlAGYALgBTAG8AdQByAGMAZQBEAGEAdABhAF8AUABhAHMAdAB1AHIAZQBCAGUAZQBmAF8ATABpAHYAZQB3AGUAaQBnAGgAdABOAFQAUQBMAEQAXwBEAGEAdABhACIALAAiAFMAbwB1AHIAYwBlAEQAYQB0AGEAXwBQAGEAcwB0AHUAcgBlAEIAZQBlAGYALgBTAG8AdQByAGMAZQBEAGEAdABhAF8AUABhAHMAdAB1AHIAZQBCAGUAZQBmAF8ATABpAHYAZQB3AGUAaQBnAGgAdABHAGEAaQBuAF8AVABpAHQAbABlACIALAAiAFMAbwB1AHIAYwBlAEQAYQB0AGEAXwBQAGEAcwB0AHUAcgBlAEIAZQBlAGYALgBTAG8AdQByAGMAZQBEAGEAdABhAF8AUABhAHMAdAB1AHIAZQBCAGUAZQBmAF8ATABpAHYAZQB3AGUAaQBnAGgAdABHAGEAaQBuAF8AVgBhAHIAaQBhAGIAbABlACIALAAiAFMAbwB1AHIAYwBlAEQAYQB0AGEAXwBQAGEAcwB0AHUAcgBlAEIAZQBlAGYALgBTAG8AdQByAGMAZQBEAGEAdABhAF8AUABhAHMAdAB1AHIAZQBCAGUAZQBmAF8ATABpAHYAZQB3AGUAaQBnAGgAdABHAGEAaQBuAF8AVQBuAGkAdAAiACwAIgBTAG8AdQByAGMAZQBEAGEAdABhAF8AUABhAHMAdAB1AHIAZQBCAGUAZQBmAC4AUwBvAHUAcgBjAGUARABhAHQAYQBfAFAAYQBzAHQAdQByAGUAQgBlAGUAZgBfAEwAaQB2AGUAdwBlAGkAZwBoAHQARwBhAGkAbgBfAFMAbwB1AHIAYwBlACIALAAiAFMAbwB1AHIAYwBlAEQAYQB0AGEAXwBQAGEAcwB0AHUAcgBlAEIAZQBlAGYALgBTAG8AdQByAGMAZQBEAGEAdABhAF8AUABhAHMAdAB1AHIAZQBCAGUAZQBmAF8ATABpAHYAZQB3AGUAaQBnAGgAdABHAGEAaQBuAF8AVgBhAHIAaQBhAHQAaQBvAG4AIgAsACIAUwBvAHUAcgBjAGUARABhAHQAYQBfAFAAYQBzAHQAdQByAGUAQgBlAGUAZgAuAFMAbwB1AHIAYwBlAEQAYQB0AGEAXwBQAGEAcwB0AHUAcgBlAEIAZQBlAGYAXwBMAGkAdgBlAHcAZQBpAGcAaAB0AEcAYQBpAG4AXwBEAGEAdABhACIALAAiAFMAbwB1AHIAYwBlAEQAYQB0AGEAXwBQAGEAcwB0AHUAcgBlAEIAZQBlAGYALgBTAG8AdQByAGMAZQBEAGEAdABhAF8AUABhAHMAdAB1AHIAZQBCAGUAZQBmAF8ATABpAHYAZQB3AGUAaQBnAGgAdABHAGEAaQBuAE4AVABRAEwARABfAFQAaQB0AGwAZQAiACwAIgBTAG8AdQByAGMAZQBEAGEAdABhAF8AUABhAHMAdAB1AHIAZQBCAGUAZQBmAC4AUwBvAHUAcgBjAGUARABhAHQAYQBfAFAAYQBzAHQAdQByAGUAQgBlAGUAZgBfAEwAaQB2AGUAdwBlAGkAZwBoAHQARwBhAGkAbgBOAFQAUQBMAEQAXwBWAGEAcgBpAGEAYgBsAGUAIgAsACIAUwBvAHUAcgBjAGUARABhAHQAYQBfAFAAYQBzAHQAdQByAGUAQgBlAGUAZgAuAFMAbwB1AHIAYwBlAEQAYQB0AGEAXwBQAGEAcwB0AHUAcgBlAEIAZQBlAGYAXwBMAGkAdgBlAHcAZQBpAGcAaAB0AEcAYQBpAG4ATgBUAFEATABEAF8AVQBuAGkAdAAiACwAIgBTAG8AdQByAGMAZQBEAGEAdABhAF8AUABhAHMAdAB1AHIAZQBCAGUAZQBmAC4AUwBvAHUAcgBjAGUARABhAHQAYQBfAFAAYQBzAHQAdQByAGUAQgBlAGUAZgBfAEwAaQB2AGUAdwBlAGkAZwBoAHQARwBhAGkAbgBOAFQAUQBMAEQAXwBTAG8AdQByAGMAZQAiACwAIgBTAG8AdQByAGMAZQBEAGEAdABhAF8AUABhAHMAdAB1AHIAZQBCAGUAZQBmAC4AUwBvAHUAcgBjAGUARABhAHQAYQBfAFAAYQBzAHQAdQByAGUAQgBlAGUAZgBfAEwAaQB2AGUAdwBlAGkAZwBoAHQARwBhAGkAbgBOAFQAUQBMAEQAXwBWAGEAcgBpAGEAdABpAG8AbgAiACwAIgBTAG8AdQByAGMAZQBEAGEAdABhAF8AUABhAHMAdAB1AHIAZQBCAGUAZQBmAC4AUwBvAHUAcgBjAGUARABhAHQAYQBfAFAAYQBzAHQAdQByAGUAQgBlAGUAZgBfAEwAaQB2AGUAdwBlAGkAZwBoAHQARwBhAGkAbgBOAFQAUQBMAEQAXwBEAGEAdABhACIALAAiAFMAbwB1AHIAYwBlAEQAYQB0AGEAXwBQAGEAcwB0AHUAcgBlAEIAZQBlAGYALgBTAG8AdQByAGMAZQBEAGEAdABhAF8AUABhAHMAdAB1AHIAZQBCAGUAZQBmAF8ARAByAHkATQBhAHQAdABlAHIARABpAGcAZQBzAHQAaQBiAGkAbABpAHQAeQBfAFQAaQB0AGwAZQAiACwAIgBTAG8AdQByAGMAZQBEAGEAdABhAF8AUABhAHMAdAB1AHIAZQBCAGUAZQBmAC4AUwBvAHUAcgBjAGUARABhAHQAYQBfAFAAYQBzAHQAdQByAGUAQgBlAGUAZgBfAEQAcgB5AE0AYQB0AHQAZQByAEQAaQBnAGUAcwB0AGkAYgBpAGwAaQB0AHkAXwBWAGEAcgBpAGEAYgBsAGUAIgAsACIAUwBvAHUAcgBjAGUARABhAHQAYQBfAFAAYQBzAHQAdQByAGUAQgBlAGUAZgAuAFMAbwB1AHIAYwBlAEQAYQB0AGEAXwBQAGEAcwB0AHUAcgBlAEIAZQBlAGYAXwBEAHIAeQBNAGEAdAB0AGUAcgBEAGkAZwBlAHMAdABpAGIAaQBsAGkAdAB5AF8AVQBuAGkAdAAiACwAIgBTAG8AdQByAGMAZQBEAGEAdABhAF8AUABhAHMAdAB1AHIAZQBCAGUAZQBmAC4AUwBvAHUAcgBjAGUARABhAHQAYQBfAFAAYQBzAHQAdQByAGUAQgBlAGUAZgBfAEQAcgB5AE0AYQB0AHQAZQByAEQAaQBnAGUAcwB0AGkAYgBpAGwAaQB0AHkAXwBTAG8AdQByAGMAZQAiACwAIgBTAG8AdQByAGMAZQBEAGEAdABhAF8AUABhAHMAdAB1AHIAZQBCAGUAZQBmAC4AUwBvAHUAcgBjAGUARABhAHQAYQBfAFAAYQBzAHQAdQByAGUAQgBlAGUAZgBfAEQAcgB5AE0AYQB0AHQAZQByAEQAaQBnAGUAcwB0AGkAYgBpAGwAaQB0AHkAXwBWAGEAcgBpAGEAdABpAG8AbgAiACwAIgBTAG8AdQByAGMAZQBEAGEAdABhAF8AUABhAHMAdAB1AHIAZQBCAGUAZQBmAC4AUwBvAHUAcgBjAGUARABhAHQAYQBfAFAAYQBzAHQAdQByAGUAQgBlAGUAZgBfAEQAcgB5AE0AYQB0AHQAZQByAEQAaQBnAGUAcwB0AGkAYgBpAGwAaQB0AHkAXwBEAGEAdABhACIALAAiAFMAbwB1AHIAYwBlAEQAYQB0AGEAXwBQAGEAcwB0AHUAcgBlAEIAZQBlAGYALgBTAG8AdQByAGMAZQBEAGEAdABhAF8AUABhAHMAdAB1AHIAZQBCAGUAZQBmAF8AQwByAHUAZABlAFAAcgBvAHQAZQBpAG4AQwBvAG4AdABlAG4AdABfAFQAaQB0AGwAZQAiACwAIgBTAG8AdQByAGMAZQBEAGEAdABhAF8AUABhAHMAdAB1AHIAZQBCAGUAZQBmAC4AUwBvAHUAcgBjAGUARABhAHQAYQBfAFAAYQBzAHQAdQByAGUAQgBlAGUAZgBfAEMAcgB1AGQAZQBQAHIAbwB0AGUAaQBuAEMAbwBuAHQAZQBuAHQAXwBWAGEAcgBpAGEAYgBsAGUAIgAsACIAUwBvAHUAcgBjAGUARABhAHQAYQBfAFAAYQBzAHQAdQByAGUAQgBlAGUAZgAuAFMAbwB1AHIAYwBlAEQAYQB0AGEAXwBQAGEAcwB0AHUAcgBlAEIAZQBlAGYAXwBDAHIAdQBkAGUAUAByAG8AdABlAGkAbgBDAG8AbgB0AGUAbgB0AF8AVQBuAGkAdAAiACwAIgBTAG8AdQByAGMAZQBEAGEAdABhAF8AUABhAHMAdAB1AHIAZQBCAGUAZQBmAC4AUwBvAHUAcgBjAGUARABhAHQAYQBfAFAAYQBzAHQAdQByAGUAQgBlAGUAZgBfAEMAcgB1AGQAZQBQAHIAbwB0AGUAaQBuAEMAbwBuAHQAZQBuAHQAXwBTAG8AdQByAGMAZQAiACwAIgBTAG8AdQByAGMAZQBEAGEAdABhAF8AUABhAHMAdAB1AHIAZQBCAGUAZQBmAC4AUwBvAHUAcgBjAGUARABhAHQAYQBfAFAAYQBzAHQAdQByAGUAQgBlAGUAZgBfAEMAcgB1AGQAZQBQAHIAbwB0AGUAaQBuAEMAbwBuAHQAZQBuAHQAXwBWAGEAcgBpAGEAdABpAG8AbgAiACwAIgBTAG8AdQByAGMAZQBEAGEAdABhAF8AUABhAHMAdAB1AHIAZQBCAGUAZQBmAC4AUwBvAHUAcgBjAGUARABhAHQAYQBfAFAAYQBzAHQAdQByAGUAQgBlAGUAZgBfAEMAcgB1AGQAZQBQAHIAbwB0AGUAaQBuAEMAbwBuAHQAZQBuAHQAXwBEAGEAdABhACIALAAiAFMAbwB1AHIAYwBlAEQAYQB0AGEAXwBQAGEAcwB0AHUAcgBlAEIAZQBlAGYALgBTAG8AdQByAGMAZQBEAGEAdABhAF8AUABhAHMAdAB1AHIAZQBCAGUAZQBmAF8ARgBlAGUAZABBAGQAagB1AHMAdABtAGUAbgB0AEEAbgBkAE0AaQBsAGsAUAByAG8AZAB1AGMAdABpAG8AbgBfAFQAaQB0AGwAZQAiACwAIgBTAG8AdQByAGMAZQBEAGEAdABhAF8AUABhAHMAdAB1AHIAZQBCAGUAZQBmAC4AUwBvAHUAcgBjAGUARABhAHQAYQBfAFAAYQBzAHQAdQByAGUAQgBlAGUAZgBfAEYAZQBlAGQAQQBkAGoAdQBzAHQAbQBlAG4AdABBAG4AZABNAGkAbABrAFAAcgBvAGQAdQBjAHQAaQBvAG4AXwBWAGEAcgBpAGEAYgBsAGUAIgAsACIAUwBvAHUAcgBjAGUARABhAHQAYQBfAFAAYQBzAHQAdQByAGUAQgBlAGUAZgAuAFMAbwB1AHIAYwBlAEQAYQB0AGEAXwBQAGEAcwB0AHUAcgBlAEIAZQBlAGYAXwBGAGUAZQBkAEEAZABqAHUAcwB0AG0AZQBuAHQAQQBuAGQATQBpAGwAawBQAHIAbwBkAHUAYwB0AGkAbwBuAF8AVQBuAGkAdAAiACwAIgBTAG8AdQByAGMAZQBEAGEAdABhAF8AUABhAHMAdAB1AHIAZQBCAGUAZQBmAC4AUwBvAHUAcgBjAGUARABhAHQAYQBfAFAAYQBzAHQAdQByAGUAQgBlAGUAZgBfAEYAZQBlAGQAQQBkAGoAdQBzAHQAbQBlAG4AdABBAG4AZABNAGkAbABrAFAAcgBvAGQAdQBjAHQAaQBvAG4AXwBTAG8AdQByAGMAZQAiACwAIgBTAG8AdQByAGMAZQBEAGEAdABhAF8AUABhAHMAdAB1AHIAZQBCAGUAZQBmAC4AUwBvAHUAcgBjAGUARABhAHQAYQBfAFAAYQBzAHQAdQByAGUAQgBlAGUAZgBfAEYAZQBlAGQAQQBkAGoAdQBzAHQAbQBlAG4AdABBAG4AZABNAGkAbABrAFAAcgBvAGQAdQBjAHQAaQBvAG4AXwBWAGEAcgBpAGEAdABpAG8AbgAiACwAIgBTAG8AdQByAGMAZQBEAGEAdABhAF8AUABhAHMAdAB1AHIAZQBCAGUAZQBmAC4AUwBvAHUAcgBjAGUARABhAHQAYQBfAFAAYQBzAHQAdQByAGUAQgBlAGUAZgBfAEYAZQBlAGQAQQBkAGoAdQBzAHQAbQBlAG4AdABBAG4AZABNAGkAbABrAFAAcgBvAGQAdQBjAHQAaQBvAG4AXwBEAGEAdABhACIALAAiAFMAbwB1AHIAYwBlAEQAYQB0AGEAXwBQAGEAcwB0AHUAcgBlAEIAZQBlAGYALgBTAG8AdQByAGMAZQBEAGEAdABhAF8AUABhAHMAdAB1AHIAZQBCAGUAZQBmAF8AUwB0AGEAbgBkAGEAcgBkAFIAZQBmAGUAcgBlAG4AYwBlAFcAZQBpAGcAaAB0AHMAXwBUAGkAdABsAGUAIgAsACIAUwBvAHUAcgBjAGUARABhAHQAYQBfAFAAYQBzAHQAdQByAGUAQgBlAGUAZgAuAFMAbwB1AHIAYwBlAEQAYQB0AGEAXwBQAGEAcwB0AHUAcgBlAEIAZQBlAGYAXwBTAHQAYQBuAGQAYQByAGQAUgBlAGYAZQByAGUAbgBjAGUAVwBlAGkAZwBoAHQAcwBfAFYAYQByAGkAYQBiAGwAZQAiACwAIgBTAG8AdQByAGMAZQBEAGEAdABhAF8AUABhAHMAdAB1AHIAZQBCAGUAZQBmAC4AUwBvAHUAcgBjAGUARABhAHQAYQBfAFAAYQBzAHQAdQByAGUAQgBlAGUAZgBfAFMAdABhAG4AZABhAHIAZABSAGUAZgBlAHIAZQBuAGMAZQBXAGUAaQBnAGgAdABzAF8AVQBuAGkAdAAiACwAIgBTAG8AdQByAGMAZQBEAGEAdABhAF8AUABhAHMAdAB1AHIAZQBCAGUAZQBmAC4AUwBvAHUAcgBjAGUARABhAHQAYQBfAFAAYQBzAHQAdQByAGUAQgBlAGUAZgBfAFMAdABhAG4AZABhAHIAZABSAGUAZgBlAHIAZQBuAGMAZQBXAGUAaQBnAGgAdABzAF8AUwBvAHUAcgBjAGUAIgAsACIAUwBvAHUAcgBjAGUARABhAHQAYQBfAFAAYQBzAHQAdQByAGUAQgBlAGUAZgAuAFMAbwB1AHIAYwBlAEQAYQB0AGEAXwBQAGEAcwB0AHUAcgBlAEIAZQBlAGYAXwBTAHQAYQBuAGQAYQByAGQAUgBlAGYAZQByAGUAbgBjAGUAVwBlAGkAZwBoAHQAcwBfAFYAYQByAGkAYQB0AGkAbwBuACIALAAiAFMAbwB1AHIAYwBlAEQAYQB0AGEAXwBQAGEAcwB0AHUAcgBlAEIAZQBlAGYALgBTAG8AdQByAGMAZQBEAGEAdABhAF8AUABhAHMAdAB1AHIAZQBCAGUAZQBmAF8AUwB0AGEAbgBkAGEAcgBkAFIAZQBmAGUAcgBlAG4AYwBlAFcAZQBpAGcAaAB0AHMAXwBEAGEAdABhACIALAAiAFMAbwB1AHIAYwBlAEQAYQB0AGEAXwBQAGEAcwB0AHUAcgBlAEIAZQBlAGYALgBTAG8AdQByAGMAZQBEAGEAdABhAF8AUABhAHMAdAB1AHIAZQBCAGUAZQBmAF8ARgByAGEAYwB0AGkAbwBuAE8AZgBNAGEAbgB1AHIAZQBUAG8ATQBNAFMAXwBUAGkAdABsAGUAIgAsACIAUwBvAHUAcgBjAGUARABhAHQAYQBfAFAAYQBzAHQAdQByAGUAQgBlAGUAZgAuAFMAbwB1AHIAYwBlAEQAYQB0AGEAXwBQAGEAcwB0AHUAcgBlAEIAZQBlAGYAXwBGAHIAYQBjAHQAaQBvAG4ATwBmAE0AYQBuAHUAcgBlAFQAbwBNAE0AUwBfAFYAYQByAGkAYQBiAGwAZQAiACwAIgBTAG8AdQByAGMAZQBEAGEAdABhAF8AUABhAHMAdAB1AHIAZQBCAGUAZQBmAC4AUwBvAHUAcgBjAGUARABhAHQAYQBfAFAAYQBzAHQAdQByAGUAQgBlAGUAZgBfAEYAcgBhAGMAdABpAG8AbgBPAGYATQBhAG4AdQByAGUAVABvAE0ATQBTAF8AVQBuAGkAdAAiACwAIgBTAG8AdQByAGMAZQBEAGEAdABhAF8AUABhAHMAdAB1AHIAZQBCAGUAZQBmAC4AUwBvAHUAcgBjAGUARABhAHQAYQBfAFAAYQBzAHQAdQByAGUAQgBlAGUAZgBfAEYAcgBhAGMAdABpAG8AbgBPAGYATQBhAG4AdQByAGUAVABvAE0ATQBTAF8AUwBvAHUAcgBjAGUAIgAsACIAUwBvAHUAcgBjAGUARABhAHQAYQBfAFAAYQBzAHQAdQByAGUAQgBlAGUAZgAuAFMAbwB1AHIAYwBlAEQAYQB0AGEAXwBQAGEAcwB0AHUAcgBlAEIAZQBlAGYAXwBGAHIAYQBjAHQAaQBvAG4ATwBmAE0AYQBuAHUAcgBlAFQAbwBNAE0AUwBfAFYAYQByAGkAYQB0AGkAbwBuACIALAAiAFMAbwB1AHIAYwBlAEQAYQB0AGEAXwBQAGEAcwB0AHUAcgBlAEIAZQBlAGYALgBTAG8AdQByAGMAZQBEAGEAdABhAF8AUABhAHMAdAB1AHIAZQBCAGUAZQBmAF8ARgByAGEAYwB0AGkAbwBuAE8AZgBNAGEAbgB1AHIAZQBUAG8ATQBNAFMAXwBEAGEAdABhACIALAAiAFMAbwB1AHIAYwBlAEQAYQB0AGEAXwBQAGEAcwB0AHUAcgBlAEIAZQBlAGYALgBTAG8AdQByAGMAZQBEAGEAdABhAF8AUABhAHMAdAB1AHIAZQBCAGUAZQBmAF8ATQBlAHQAaABhAG4AZQBDAG8AbgB2AGUAcgBzAGkAbwBuAEYAYQBjAHQAbwByAFAAZQByAFIAZQBnAGkAbwBuAF8AVABpAHQAbABlACIALAAiAFMAbwB1AHIAYwBlAEQAYQB0AGEAXwBQAGEAcwB0AHUAcgBlAEIAZQBlAGYALgBTAG8AdQByAGMAZQBEAGEAdABhAF8AUABhAHMAdAB1AHIAZQBCAGUAZQBmAF8ATQBlAHQAaABhAG4AZQBDAG8AbgB2AGUAcgBzAGkAbwBuAEYAYQBjAHQAbwByAFAAZQByAFIAZQBnAGkAbwBuAF8AVgBhAHIAaQBhAGIAbABlACIALAAiAFMAbwB1AHIAYwBlAEQAYQB0AGEAXwBQAGEAcwB0AHUAcgBlAEIAZQBlAGYALgBTAG8AdQByAGMAZQBEAGEAdABhAF8AUABhAHMAdAB1AHIAZQBCAGUAZQBmAF8ATQBlAHQAaABhAG4AZQBDAG8AbgB2AGUAcgBzAGkAbwBuAEYAYQBjAHQAbwByAFAAZQByAFIAZQBnAGkAbwBuAF8AVQBuAGkAdAAiACwAIgBTAG8AdQByAGMAZQBEAGEAdABhAF8AUABhAHMAdAB1AHIAZQBCAGUAZQBmAC4AUwBvAHUAcgBjAGUARABhAHQAYQBfAFAAYQBzAHQAdQByAGUAQgBlAGUAZgBfAE0AZQB0AGgAYQBuAGUAQwBvAG4AdgBlAHIAcwBpAG8AbgBGAGEAYwB0AG8AcgBQAGUAcgBSAGUAZwBpAG8AbgBfAFMAbwB1AHIAYwBlACIALAAiAFMAbwB1AHIAYwBlAEQAYQB0AGEAXwBQAGEAcwB0AHUAcgBlAEIAZQBlAGYALgBTAG8AdQByAGMAZQBEAGEAdABhAF8AUABhAHMAdAB1AHIAZQBCAGUAZQBmAF8ATQBlAHQAaABhAG4AZQBDAG8AbgB2AGUAcgBzAGkAbwBuAEYAYQBjAHQAbwByAFAAZQByAFIAZQBnAGkAbwBuAF8AVgBhAHIAaQBhAHQAaQBvAG4AIgAsACIAUwBvAHUAcgBjAGUARABhAHQAYQBfAFAAYQBzAHQAdQByAGUAQgBlAGUAZgAuAFMAbwB1AHIAYwBlAEQAYQB0AGEAXwBQAGEAcwB0AHUAcgBlAEIAZQBlAGYAXwBNAGUAdABoAGEAbgBlAEMAbwBuAHYAZQByAHMAaQBvAG4ARgBhAGMAdABvAHIAUABlAHIAUgBlAGcAaQBvAG4AXwBEAGEAdABhACIALAAiAFMAbwB1AHIAYwBlAEQAYQB0AGEAXwBQAGEAcwB0AHUAcgBlAEIAZQBlAGYALgBTAG8AdQByAGMAZQBEAGEAdABhAF8AUABhAHMAdAB1AHIAZQBCAGUAZQBmAF8AQQBzAGgAQwBvAG4AdABlAG4AdABPAGYARgBlAGUAZABJAG4AdABhAGsAZQBfAFQAaQB0AGwAZQAiACwAIgBTAG8AdQByAGMAZQBEAGEAdABhAF8AUABhAHMAdAB1AHIAZQBCAGUAZQBmAC4AUwBvAHUAcgBjAGUARABhAHQAYQBfAFAAYQBzAHQAdQByAGUAQgBlAGUAZgBfAEEAcwBoAEMAbwBuAHQAZQBuAHQATwBmAEYAZQBlAGQASQBuAHQAYQBrAGUAXwBWAGEAcgBpAGEAYgBsAGUAIgAsACIAUwBvAHUAcgBjAGUARABhAHQAYQBfAFAAYQBzAHQAdQByAGUAQgBlAGUAZgAuAFMAbwB1AHIAYwBlAEQAYQB0AGEAXwBQAGEAcwB0AHUAcgBlAEIAZQBlAGYAXwBBAHMAaABDAG8AbgB0AGUAbgB0AE8AZgBGAGUAZQBkAEkAbgB0AGEAawBlAF8AVQBuAGkAdAAiACwAIgBTAG8AdQByAGMAZQBEAGEAdABhAF8AUABhAHMAdAB1AHIAZQBCAGUAZQBmAC4AUwBvAHUAcgBjAGUARABhAHQAYQBfAFAAYQBzAHQAdQByAGUAQgBlAGUAZgBfAEEAcwBoAEMAbwBuAHQAZQBuAHQATwBmAEYAZQBlAGQASQBuAHQAYQBrAGUAXwBTAG8AdQByAGMAZQAiACwAIgBTAG8AdQByAGMAZQBEAGEAdABhAF8AUABhAHMAdAB1AHIAZQBCAGUAZQBmAC4AUwBvAHUAcgBjAGUARABhAHQAYQBfAFAAYQBzAHQAdQByAGUAQgBlAGUAZgBfAEEAcwBoAEMAbwBuAHQAZQBuAHQATwBmAEYAZQBlAGQASQBuAHQAYQBrAGUAXwBWAGEAcgBpAGEAdABpAG8AbgAiACwAIgBTAG8AdQByAGMAZQBEAGEAdABhAF8AUABhAHMAdAB1AHIAZQBCAGUAZQBmAC4AUwBvAHUAcgBjAGUARABhAHQAYQBfAFAAYQBzAHQAdQByAGUAQgBlAGUAZgBfAEEAcwBoAEMAbwBuAHQAZQBuAHQATwBmAEYAZQBlAGQASQBuAHQAYQBrAGUAXwBEAGEAdABhACIALAAiAFMAbwB1AHIAYwBlAEQAYQB0AGEAXwBQAGEAcwB0AHUAcgBlAEIAZQBlAGYALgBTAG8AdQByAGMAZQBEAGEAdABhAF8AUABhAHMAdAB1AHIAZQBCAGUAZQBmAF8ATQBlAHQAaABhAG4AZQBFAG0AaQBzAHMAaQBvAG4AcwBQAG8AdABlAG4AdABpAGEAbABfAFQAaQB0AGwAZQAiACwAIgBTAG8AdQByAGMAZQBEAGEAdABhAF8AUABhAHMAdAB1AHIAZQBCAGUAZQBmAC4AUwBvAHUAcgBjAGUARABhAHQAYQBfAFAAYQBzAHQAdQByAGUAQgBlAGUAZgBfAE0AZQB0AGgAYQBuAGUARQBtAGkAcwBzAGkAbwBuAHMAUABvAHQAZQBuAHQAaQBhAGwAXwBWAGEAcgBpAGEAYgBsAGUAIgAsACIAUwBvAHUAcgBjAGUARABhAHQAYQBfAFAAYQBzAHQAdQByAGUAQgBlAGUAZgAuAFMAbwB1AHIAYwBlAEQAYQB0AGEAXwBQAGEAcwB0AHUAcgBlAEIAZQBlAGYAXwBNAGUAdABoAGEAbgBlAEUAbQBpAHMAcwBpAG8AbgBzAFAAbwB0AGUAbgB0AGkAYQBsAF8AVQBuAGkAdAAiACwAIgBTAG8AdQByAGMAZQBEAGEAdABhAF8AUABhAHMAdAB1AHIAZQBCAGUAZQBmAC4AUwBvAHUAcgBjAGUARABhAHQAYQBfAFAAYQBzAHQAdQByAGUAQgBlAGUAZgBfAE0AZQB0AGgAYQBuAGUARQBtAGkAcwBzAGkAbwBuAHMAUABvAHQAZQBuAHQAaQBhAGwAXwBTAG8AdQByAGMAZQAiACwAIgBTAG8AdQByAGMAZQBEAGEAdABhAF8AUABhAHMAdAB1AHIAZQBCAGUAZQBmAC4AUwBvAHUAcgBjAGUARABhAHQAYQBfAFAAYQBzAHQAdQByAGUAQgBlAGUAZgBfAE0AZQB0AGgAYQBuAGUARQBtAGkAcwBzAGkAbwBuAHMAUABvAHQAZQBuAHQAaQBhAGwAXwBWAGEAcgBpAGEAdABpAG8AbgAiACwAIgBTAG8AdQByAGMAZQBEAGEAdABhAF8AUABhAHMAdAB1AHIAZQBCAGUAZQBmAC4AUwBvAHUAcgBjAGUARABhAHQAYQBfAFAAYQBzAHQAdQByAGUAQgBlAGUAZgBfAE0AZQB0AGgAYQBuAGUARQBtAGkAcwBzAGkAbwBuAHMAUABvAHQAZQBuAHQAaQBhAGwAXwBEAGEAdABhACIALAAiAFMAbwB1AHIAYwBlAEQAYQB0AGEAXwBQAGEAcwB0AHUAcgBlAEIAZQBlAGYALgBTAG8AdQByAGMAZQBEAGEAdABhAF8AUABhAHMAdAB1AHIAZQBCAGUAZQBmAF8ARgByAGEAYwBHAEEAUwBNAFMAbwBpAGwAXwBUAGkAdABsAGUAIgAsACIAUwBvAHUAcgBjAGUARABhAHQAYQBfAFAAYQBzAHQAdQByAGUAQgBlAGUAZgAuAFMAbwB1AHIAYwBlAEQAYQB0AGEAXwBQAGEAcwB0AHUAcgBlAEIAZQBlAGYAXwBGAHIAYQBjAEcAQQBTAE0AUwBvAGkAbABfAFYAYQByAGkAYQBiAGwAZQAiACwAIgBTAG8AdQByAGMAZQBEAGEAdABhAF8AUABhAHMAdAB1AHIAZQBCAGUAZQBmAC4AUwBvAHUAcgBjAGUARABhAHQAYQBfAFAAYQBzAHQAdQByAGUAQgBlAGUAZgBfAEYAcgBhAGMARwBBAFMATQBTAG8AaQBsAF8AVQBuAGkAdAAiACwAIgBTAG8AdQByAGMAZQBEAGEAdABhAF8AUABhAHMAdAB1AHIAZQBCAGUAZQBmAC4AUwBvAHUAcgBjAGUARABhAHQAYQBfAFAAYQBzAHQAdQByAGUAQgBlAGUAZgBfAEYAcgBhAGMARwBBAFMATQBTAG8AaQBsAF8AUwBvAHUAcgBjAGUAIgAsACIAUwBvAHUAcgBjAGUARABhAHQAYQBfAFAAYQBzAHQAdQByAGUAQgBlAGUAZgAuAFMAbwB1AHIAYwBlAEQAYQB0AGEAXwBQAGEAcwB0AHUAcgBlAEIAZQBlAGYAXwBGAHIAYQBjAEcAQQBTAE0AUwBvAGkAbABfAFYAYQByAGkAYQB0AGkAbwBuACIALAAiAFMAbwB1AHIAYwBlAEQAYQB0AGEAXwBQAGEAcwB0AHUAcgBlAEIAZQBlAGYALgBTAG8AdQByAGMAZQBEAGEAdABhAF8AUABhAHMAdAB1AHIAZQBCAGUAZQBmAF8ARgByAGEAYwBHAEEAUwBNAFMAbwBpAGwAXwBEAGEAdABhACIALAAiAFMAbwB1AHIAYwBlAEQAYQB0AGEAXwBQAGEAcwB0AHUAcgBlAEIAZQBlAGYALgBTAG8AdQByAGMAZQBEAGEAdABhAF8AUABhAHMAdAB1AHIAZQBCAGUAZQBmAF8ARgByAGEAYwBMAEUAQQBDAEgAXwBUAGkAdABsAGUAIgAsACIAUwBvAHUAcgBjAGUARABhAHQAYQBfAFAAYQBzAHQAdQByAGUAQgBlAGUAZgAuAFMAbwB1AHIAYwBlAEQAYQB0AGEAXwBQAGEAcwB0AHUAcgBlAEIAZQBlAGYAXwBGAHIAYQBjAEwARQBBAEMASABfAFYAYQByAGkAYQBiAGwAZQAiACwAIgBTAG8AdQByAGMAZQBEAGEAdABhAF8AUABhAHMAdAB1AHIAZQBCAGUAZQBmAC4AUwBvAHUAcgBjAGUARABhAHQAYQBfAFAAYQBzAHQAdQByAGUAQgBlAGUAZgBfAEYAcgBhAGMATABFAEEAQwBIAF8AVQBuAGkAdAAiACwAIgBTAG8AdQByAGMAZQBEAGEAdABhAF8AUABhAHMAdAB1AHIAZQBCAGUAZQBmAC4AUwBvAHUAcgBjAGUARABhAHQAYQBfAFAAYQBzAHQAdQByAGUAQgBlAGUAZgBfAEYAcgBhAGMATABFAEEAQwBIAF8AUwBvAHUAcgBjAGUAIgAsACIAUwBvAHUAcgBjAGUARABhAHQAYQBfAFAAYQBzAHQAdQByAGUAQgBlAGUAZgAuAFMAbwB1AHIAYwBlAEQAYQB0AGEAXwBQAGEAcwB0AHUAcgBlAEIAZQBlAGYAXwBGAHIAYQBjAEwARQBBAEMASABfAFYAYQByAGkAYQB0AGkAbwBuACIALAAiAFMAbwB1AHIAYwBlAEQAYQB0AGEAXwBQAGEAcwB0AHUAcgBlAEIAZQBlAGYALgBTAG8AdQByAGMAZQBEAGEAdABhAF8AUABhAHMAdAB1AHIAZQBCAGUAZQBmAF8ARgByAGEAYwBMAEUAQQBDAEgAXwBEAGEAdABhACIALAAiAEkAbgBwAHUAdABGAHUAbgBjAHQAaQBvAG4AcwBfAFAAYQBzAHQAdQByAGUAQgBlAGUAZgAuAEwAbwBvAGsAdQBwAEwAaQB2AGUAdwBlAGkAZwBoAHQARgByAG8AbQBTAGUAYQBzAG8AbgAiACwAIgBJAG4AcAB1AHQARgB1AG4AYwB0AGkAbwBuAHMAXwBQAGEAcwB0AHUAcgBlAEIAZQBlAGYALgBMAG8AbwBrAHUAcABMAGkAdgBlAHcAZQBpAGcAaAB0AEYAcgBvAG0ATQBvAG4AdABoACIALAAiAEkAbgBwAHUAdABGAHUAbgBjAHQAaQBvAG4AcwBfAFAAYQBzAHQAdQByAGUAQgBlAGUAZgAuAEMAbwBuAHYAZQByAHQATQBvAG4AdABoAGwAeQBDAGEAbAB2AGkAbgBnAFQAbwBTAGUAYQBzAG8AbgAiACwAIgBJAG4AcAB1AHQARgB1AG4AYwB0AGkAbwBuAHMAXwBQAGEAcwB0AHUAcgBlAEIAZQBlAGYALgBMAG8AbwBrAHUAcABWAGEAbAB1AGUARgByAG8AbQBTAHQAYQB0AGUAUgBlAGcAaQBvAG4AUwBlAGEAcwBvAG4AIgAsACIASQBuAHAAdQB0AEYAdQBuAGMAdABpAG8AbgBzAF8AUABhAHMAdAB1AHIAZQBCAGUAZQBmAC4ATABvAG8AawB1AHAAVgBhAGwAdQBlAEYAcgBvAG0AUwB0AGEAdABlAFIAZQBnAGkAbwBuAE0AbwBuAHQAaAAiACwAIgBNAE0AUwBfAFAAYQBzAHQAdQByAGUAQgBlAGUAZgBfAFMAbwBpAGwAXwBOADIATwBEAGkAcgBlAGMAdABfAEUAcQB1AGEAdABpAG8AbgBzAC4AVgBFAEUAUgBHAF8ANABfADIAXwAxAF8AMwBfAF8AMQBfAEQAaQByAGUAYwB0AE4AaQB0AHIAbwB1AHMATwB4AGkAZABlAEUAbQBpAHMAcwBpAG8AbgBzAE8AbgBQAGEAcwB0AHUAcgBlACIALAAiAE0ATQBTAF8AUABhAHMAdAB1AHIAZQBCAGUAZQBmAF8AUwBvAGkAbABfAE4AMgBPAEQAaQByAGUAYwB0AF8ARQBxAHUAYQB0AGkAbwBuAHMALgBWAEUARQBSAEcAXwA0AF8AMgBfADEAXwAzAF8AXwAxAF8ARABpAHIAZQBjAHQATgBpAHQAcgBvAHUAcwBPAHgAaQBkAGUARQBtAGkAcwBzAGkAbwBuAHMATwBuAFAAYQBzAHQAdQByAGUAXwBUAGkAdABsAGUAIgAsACIATQBNAFMAXwBQAGEAcwB0AHUAcgBlAEIAZQBlAGYAXwBTAG8AaQBsAF8ATgAyAE8ARABpAHIAZQBjAHQAXwBFAHEAdQBhAHQAaQBvAG4AcwAuAFYARQBFAFIARwBfADQAXwAyAF8AMQBfADMAXwBfADEAXwBEAGkAcgBlAGMAdABOAGkAdAByAG8AdQBzAE8AeABpAGQAZQBFAG0AaQBzAHMAaQBvAG4AcwBPAG4AUABhAHMAdAB1AHIAZQBfAFYAYQByAGkAYQBiAGwAZQAiACwAIgBNAE0AUwBfAFAAYQBzAHQAdQByAGUAQgBlAGUAZgBfAFMAbwBpAGwAXwBOADIATwBEAGkAcgBlAGMAdABfAEUAcQB1AGEAdABpAG8AbgBzAC4AVgBFAEUAUgBHAF8ANABfADIAXwAxAF8AMwBfAF8AMQBfAEQAaQByAGUAYwB0AE4AaQB0AHIAbwB1AHMATwB4AGkAZABlAEUAbQBpAHMAcwBpAG8AbgBzAE8AbgBQAGEAcwB0AHUAcgBlAF8AVQBuAGkAdAAiACwAIgBNAE0AUwBfAFAAYQBzAHQAdQByAGUAQgBlAGUAZgBfAFMAbwBpAGwAXwBOADIATwBEAGkAcgBlAGMAdABfAEUAcQB1AGEAdABpAG8AbgBzAC4AVgBFAEUAUgBHAF8ANABfADIAXwAxAF8AMwBfAF8AMQBfAEQAaQByAGUAYwB0AE4AaQB0AHIAbwB1AHMATwB4AGkAZABlAEUAbQBpAHMAcwBpAG8AbgBzAE8AbgBQAGEAcwB0AHUAcgBlAF8AUwBvAHUAcgBjAGUAIgAsACIATQBNAFMAXwBQAGEAcwB0AHUAcgBlAEIAZQBlAGYAXwBTAG8AaQBsAF8ATgAyAE8ARABpAHIAZQBjAHQAXwBFAHEAdQBhAHQAaQBvAG4AcwAuAFYARQBFAFIARwBfADQAXwAyAF8AMQBfADMAXwBfADEAXwBEAGkAcgBlAGMAdABOAGkAdAByAG8AdQBzAE8AeABpAGQAZQBFAG0AaQBzAHMAaQBvAG4AcwBPAG4AUABhAHMAdAB1AHIAZQBfAE4ASQBSAFIAZQBmAGUAcgBlAG4AYwBlACIALAAiAE0ATQBTAF8AUABhAHMAdAB1AHIAZQBCAGUAZQBmAF8AUwBvAGkAbABfAE4AMgBPAEQAaQByAGUAYwB0AF8ARQBxAHUAYQB0AGkAbwBuAHMALgBWAEUARQBSAEcAXwA0AF8AMgBfADEAXwAzAF8AXwAxAF8ARABpAHIAZQBjAHQATgBpAHQAcgBvAHUAcwBPAHgAaQBkAGUARQBtAGkAcwBzAGkAbwBuAHMATwBuAFAAYQBzAHQAdQByAGUAXwBMAGEAdABlAHgARQBxAHUAYQB0AGkAbwBuACIALAAiAE0ATQBTAF8AUABhAHMAdAB1AHIAZQBCAGUAZQBmAF8AUwBvAGkAbABfAE4AMgBPAEQAaQByAGUAYwB0AF8ARQBxAHUAYQB0AGkAbwBuAHMALgBWAEUARQBSAEcAXwA0AF8AMgBfADEAXwAzAF8AXwAxAF8ARABpAHIAZQBjAHQATgBpAHQAcgBvAHUAcwBPAHgAaQBkAGUARQBtAGkAcwBzAGkAbwBuAHMATwBuAFAAYQBzAHQAdQByAGUAXwBBAHIAZwB1AG0AZQBuAHQAc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UAGkAdA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YAYQByAGkAYQBiAGw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QBuAGkAdA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UwBvAHUAcgBj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E4ASQBSAFIAZQBmAGUAcgBlAG4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MAGEAdABlAHgARQBxAHUAYQB0AGkAbwBu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BAHIAZwB1AG0AZQBuAHQAcwAiACwAIgBNAE0AUwBfAFAAYQBzAHQAdQByAGUAQgBlAGUAZgBfAFMAbwBpAGwAXwBOADIATwBEAGkAcgBlAGMAdABfAEUAcQB1AGEAdABpAG8AbgBzAC4AVgBFAEUAUgBHAF8ANABfADIAXwAxAF8AMwBfAF8AMwBfAE4AaQB0AHIAbwBnAGUAbgBFAHgAYwByAGUAdABlAGQAIgAsACIATQBNAFMAXwBQAGEAcwB0AHUAcgBlAEIAZQBlAGYAXwBTAG8AaQBsAF8ATgAyAE8ARABpAHIAZQBjAHQAXwBFAHEAdQBhAHQAaQBvAG4AcwAuAFYARQBFAFIARwBfADQAXwAyAF8AMQBfADMAXwBfADMAXwBOAGkAdAByAG8AZwBlAG4ARQB4AGMAcgBlAHQAZQBkAF8AVABpAHQAbABlACIALAAiAE0ATQBTAF8AUABhAHMAdAB1AHIAZQBCAGUAZQBmAF8AUwBvAGkAbABfAE4AMgBPAEQAaQByAGUAYwB0AF8ARQBxAHUAYQB0AGkAbwBuAHMALgBWAEUARQBSAEcAXwA0AF8AMgBfADEAXwAzAF8AXwAzAF8ATgBpAHQAcgBvAGcAZQBuAEUAeABjAHIAZQB0AGUAZABfAFYAYQByAGkAYQBiAGwAZQAiACwAIgBNAE0AUwBfAFAAYQBzAHQAdQByAGUAQgBlAGUAZgBfAFMAbwBpAGwAXwBOADIATwBEAGkAcgBlAGMAdABfAEUAcQB1AGEAdABpAG8AbgBzAC4AVgBFAEUAUgBHAF8ANABfADIAXwAxAF8AMwBfAF8AMwBfAE4AaQB0AHIAbwBnAGUAbgBFAHgAYwByAGUAdABlAGQAXwBVAG4AaQB0ACIALAAiAE0ATQBTAF8AUABhAHMAdAB1AHIAZQBCAGUAZQBmAF8AUwBvAGkAbABfAE4AMgBPAEQAaQByAGUAYwB0AF8ARQBxAHUAYQB0AGkAbwBuAHMALgBWAEUARQBSAEcAXwA0AF8AMgBfADEAXwAzAF8AXwAzAF8ATgBpAHQAcgBvAGcAZQBuAEUAeABjAHIAZQB0AGUAZABfAFMAbwB1AHIAYwBlACIALAAiAE0ATQBTAF8AUABhAHMAdAB1AHIAZQBCAGUAZQBmAF8AUwBvAGkAbABfAE4AMgBPAEQAaQByAGUAYwB0AF8ARQBxAHUAYQB0AGkAbwBuAHMALgBWAEUARQBSAEcAXwA0AF8AMgBfADEAXwAzAF8AXwAzAF8ATgBpAHQAcgBvAGcAZQBuAEUAeABjAHIAZQB0AGUAZABfAE4ASQBSAFIAZQBmAGUAcgBlAG4AYwBlACIALAAiAE0ATQBTAF8AUABhAHMAdAB1AHIAZQBCAGUAZQBmAF8AUwBvAGkAbABfAE4AMgBPAEQAaQByAGUAYwB0AF8ARQBxAHUAYQB0AGkAbwBuAHMALgBWAEUARQBSAEcAXwA0AF8AMgBfADEAXwAzAF8AXwAzAF8ATgBpAHQAcgBvAGcAZQBuAEUAeABjAHIAZQB0AGUAZABfAEwAYQB0AGUAeABFAHEAdQBhAHQAaQBvAG4AIgAsACIATQBNAFMAXwBQAGEAcwB0AHUAcgBlAEIAZQBlAGYAXwBTAG8AaQBsAF8ATgAyAE8ARABpAHIAZQBjAHQAXwBFAHEAdQBhAHQAaQBvAG4AcwAuAFYARQBFAFIARwBfADQAXwAyAF8AMQBfADMAXwBfADMAXwBOAGkAdAByAG8AZwBlAG4ARQB4AGMAcgBlAHQAZQBkAF8AQQByAGcAdQBtAGUAbgB0AHMAIgAsACIATQBNAFMAXwBQAGEAcwB0AHUAcgBlAEIAZQBlAGYAXwBTAG8AaQBsAF8ATgAyAE8ARABpAHIAZQBjAHQAXwBFAHEAdQBhAHQAaQBvAG4AcwAuAFYARQBFAFIARwBfADQAXwAyAF8AMQBfADMAXwBfADQAXwBOAGkAdAByAG8AZwBlAG4AUgBlAHQAYQBpAG4AZQBkAEIAeQBCAG8AZAB5ACIALAAiAE0ATQBTAF8AUABhAHMAdAB1AHIAZQBCAGUAZQBmAF8AUwBvAGkAbABfAE4AMgBPAEQAaQByAGUAYwB0AF8ARQBxAHUAYQB0AGkAbwBuAHMALgBWAEUARQBSAEcAXwA0AF8AMgBfADEAXwAzAF8AXwA0AF8ATgBpAHQAcgBvAGcAZQBuAFIAZQB0AGEAaQBuAGUAZABCAHkAQgBvAGQAeQBfAFQAaQB0AGwAZQAiACwAIgBNAE0AUwBfAFAAYQBzAHQAdQByAGUAQgBlAGUAZgBfAFMAbwBpAGwAXwBOADIATwBEAGkAcgBlAGMAdABfAEUAcQB1AGEAdABpAG8AbgBzAC4AVgBFAEUAUgBHAF8ANABfADIAXwAxAF8AMwBfAF8ANABfAE4AaQB0AHIAbwBnAGUAbgBSAGUAdABhAGkAbgBlAGQAQgB5AEIAbwBkAHkAXwBWAGEAcgBpAGEAYgBsAGUAIgAsACIATQBNAFMAXwBQAGEAcwB0AHUAcgBlAEIAZQBlAGYAXwBTAG8AaQBsAF8ATgAyAE8ARABpAHIAZQBjAHQAXwBFAHEAdQBhAHQAaQBvAG4AcwAuAFYARQBFAFIARwBfADQAXwAyAF8AMQBfADMAXwBfADQAXwBOAGkAdAByAG8AZwBlAG4AUgBlAHQAYQBpAG4AZQBkAEIAeQBCAG8AZAB5AF8AVQBuAGkAdAAiACwAIgBNAE0AUwBfAFAAYQBzAHQAdQByAGUAQgBlAGUAZgBfAFMAbwBpAGwAXwBOADIATwBEAGkAcgBlAGMAdABfAEUAcQB1AGEAdABpAG8AbgBzAC4AVgBFAEUAUgBHAF8ANABfADIAXwAxAF8AMwBfAF8ANABfAE4AaQB0AHIAbwBnAGUAbgBSAGUAdABhAGkAbgBlAGQAQgB5AEIAbwBkAHkAXwBTAG8AdQByAGMAZQAiACwAIgBNAE0AUwBfAFAAYQBzAHQAdQByAGUAQgBlAGUAZgBfAFMAbwBpAGwAXwBOADIATwBEAGkAcgBlAGMAdABfAEUAcQB1AGEAdABpAG8AbgBzAC4AVgBFAEUAUgBHAF8ANABfADIAXwAxAF8AMwBfAF8ANABfAE4AaQB0AHIAbwBnAGUAbgBSAGUAdABhAGkAbgBlAGQAQgB5AEIAbwBkAHkAXwBOAEkAUgBSAGUAZgBlAHIAZQBuAGMAZQAiACwAIgBNAE0AUwBfAFAAYQBzAHQAdQByAGUAQgBlAGUAZgBfAFMAbwBpAGwAXwBOADIATwBEAGkAcgBlAGMAdABfAEUAcQB1AGEAdABpAG8AbgBzAC4AVgBFAEUAUgBHAF8ANABfADIAXwAxAF8AMwBfAF8ANABfAE4AaQB0AHIAbwBnAGUAbgBSAGUAdABhAGkAbgBlAGQAQgB5AEIAbwBkAHkAXwBMAGEAdABlAHgARQBxAHUAYQB0AGkAbwBuACIALAAiAE0ATQBTAF8AUABhAHMAdAB1AHIAZQBCAGUAZQBmAF8AUwBvAGkAbABfAE4AMgBPAEQAaQByAGUAYwB0AF8ARQBxAHUAYQB0AGkAbwBuAHMALgBWAEUARQBSAEcAXwA0AF8AMgBfADEAXwAzAF8AXwA0AF8ATgBpAHQAcgBvAGcAZQBuAFIAZQB0AGEAaQBuAGUAZABCAHkAQgBvAGQAeQBfAEEAcgBnAHUAbQBlAG4AdABzACIALAAiAE0ATQBTAF8AUABhAHMAdAB1AHIAZQBCAGUAZQBmAF8AUwBvAGkAbABfAE4AMgBPAEQAaQByAGUAYwB0AF8ARQBxAHUAYQB0AGkAbwBuAHMALgBWAEUARQBSAEcAXwA0AF8AMgBfADEAXwAzAF8AXwA1AF8ATQBpAGwAawBQAHIAbwBkAHUAYwB0AGkAbwBuAEYAbwByAEMAYQBsAHYAaQBuAGcAUwBlAGEAcwBvAG4AIgAsACIATQBNAFMAXwBQAGEAcwB0AHUAcgBlAEIAZQBlAGYAXwBTAG8AaQBsAF8ATgAyAE8ARABpAHIAZQBjAHQAXwBFAHEAdQBhAHQAaQBvAG4AcwAuAFYARQBFAFIARwBfADQAXwAyAF8AMQBfADMAXwBfADUAXwBNAGkAbABrAFAAcgBvAGQAdQBjAHQAaQBvAG4ARgBvAHIAQwBhAGwAdgBpAG4AZwBTAGUAYQBzAG8AbgBWAGEAcgBpAGEAdABpAG8AbgAiACwAIgBNAE0AUwBfAFAAYQBzAHQAdQByAGUAQgBlAGUAZgBfAFMAbwBpAGwAXwBOADIATwBEAGkAcgBlAGMAdABfAEUAcQB1AGEAdABpAG8AbgBzAC4AVgBFAEUAUgBHAF8ANABfADIAXwAxAF8AMwBfAF8ANQBfAE0AaQBsAGsAUAByAG8AZAB1AGMAdABpAG8AbgBGAG8AcgBDAGEAbAB2AGkAbgBnAFMAZQBhAHMAbwBuAF8AVABpAHQAbABlACIALAAiAE0ATQBTAF8AUABhAHMAdAB1AHIAZQBCAGUAZQBmAF8AUwBvAGkAbABfAE4AMgBPAEQAaQByAGUAYwB0AF8ARQBxAHUAYQB0AGkAbwBuAHMALgBWAEUARQBSAEcAXwA0AF8AMgBfADEAXwAzAF8AXwA1AF8ATQBpAGwAawBQAHIAbwBkAHUAYwB0AGkAbwBuAEYAbwByAEMAYQBsAHYAaQBuAGcAUwBlAGEAcwBvAG4AXwBWAGEAcgBpAGEAYgBsAGUAIgAsACIATQBNAFMAXwBQAGEAcwB0AHUAcgBlAEIAZQBlAGYAXwBTAG8AaQBsAF8ATgAyAE8ARABpAHIAZQBjAHQAXwBFAHEAdQBhAHQAaQBvAG4AcwAuAFYARQBFAFIARwBfADQAXwAyAF8AMQBfADMAXwBfADUAXwBNAGkAbABrAFAAcgBvAGQAdQBjAHQAaQBvAG4ARgBvAHIAQwBhAGwAdgBpAG4AZwBTAGUAYQBzAG8AbgBfAFUAbgBpAHQAIgAsACIATQBNAFMAXwBQAGEAcwB0AHUAcgBlAEIAZQBlAGYAXwBTAG8AaQBsAF8ATgAyAE8ARABpAHIAZQBjAHQAXwBFAHEAdQBhAHQAaQBvAG4AcwAuAFYARQBFAFIARwBfADQAXwAyAF8AMQBfADMAXwBfADUAXwBNAGkAbABrAFAAcgBvAGQAdQBjAHQAaQBvAG4ARgBvAHIAQwBhAGwAdgBpAG4AZwBTAGUAYQBzAG8AbgBfAFMAbwB1AHIAYwBlACIALAAiAE0ATQBTAF8AUABhAHMAdAB1AHIAZQBCAGUAZQBmAF8AUwBvAGkAbABfAE4AMgBPAEQAaQByAGUAYwB0AF8ARQBxAHUAYQB0AGkAbwBuAHMALgBWAEUARQBSAEcAXwA0AF8AMgBfADEAXwAzAF8AXwA1AF8ATQBpAGwAawBQAHIAbwBkAHUAYwB0AGkAbwBuAEYAbwByAEMAYQBsAHYAaQBuAGcAUwBlAGEAcwBvAG4AXwBOAEkAUgBSAGUAZgBlAHIAZQBuAGMAZQAiACwAIgBNAE0AUwBfAFAAYQBzAHQAdQByAGUAQgBlAGUAZgBfAFMAbwBpAGwAXwBOADIATwBEAGkAcgBlAGMAdABfAEUAcQB1AGEAdABpAG8AbgBzAC4AVgBFAEUAUgBHAF8ANABfADIAXwAxAF8AMwBfAF8ANQBfAE0AaQBsAGsAUAByAG8AZAB1AGMAdABpAG8AbgBGAG8AcgBDAGEAbAB2AGkAbgBnAFMAZQBhAHMAbwBuAF8ATABhAHQAZQB4AEUAcQB1AGEAdABpAG8AbgAiACwAIgBNAE0AUwBfAFAAYQBzAHQAdQByAGUAQgBlAGUAZgBfAFMAbwBpAGwAXwBOADIATwBEAGkAcgBlAGMAdABfAEUAcQB1AGEAdABpAG8AbgBzAC4AVgBFAEUAUgBHAF8ANABfADIAXwAxAF8AMwBfAF8ANQBfAE0AaQBsAGsAUAByAG8AZAB1AGMAdABpAG8AbgBGAG8AcgBDAGEAbAB2AGkAbgBnAFMAZQBhAHMAbwBuAF8ATABhAHQAZQB4AEUAcQB1AGEAdABpAG8AbgBWAGEAcgBpAGEAdABpAG8AbgAiACwAIgBNAE0AUwBfAFAAYQBzAHQAdQByAGUAQgBlAGUAZgBfAFMAbwBpAGwAXwBOADIATwBEAGkAcgBlAGMAdABfAEUAcQB1AGEAdABpAG8AbgBzAC4AVgBFAEUAUgBHAF8ANABfADIAXwAxAF8AMwBfAF8ANQBfAE0AaQBsAGsAUAByAG8AZAB1AGMAdABpAG8AbgBGAG8AcgBDAGEAbAB2AGkAbgBnAFMAZQBhAHMAbwBuAF8AQQByAGcAdQBtAGUAbgB0AHMAIgAsACIATQBNAFMAXwBQAGEAcwB0AHUAcgBlAEIAZQBlAGYAXwBTAG8AaQBsAF8ATgAyAE8ARABpAHIAZQBjAHQAXwBFAHEAdQBhAHQAaQBvAG4AcwAuAFYARQBFAFIARwBfADQAXwAyAF8AMQBfADMAXwBfADUAXwBNAGkAbABrAFAAcgBvAGQAdQBjAHQAaQBvAG4ARgBvAHIAQwBhAGwAdgBpAG4AZwBTAGUAYQBzAG8AbgBfAEEAcgBnAHUAbQBlAG4AdABzAFYAYQByAGkAYQB0AGkAbwBuACIALAAiAE0ATQBTAF8AUABhAHMAdAB1AHIAZQBCAGUAZQBmAF8AUwBvAGkAbABfAE4AMgBPAEQAaQByAGUAYwB0AF8ARQBxAHUAYQB0AGkAbwBuAHMALgBWAEUARQBSAEcAXwA0AF8AMgBfADEAXwAzAF8AXwA1AF8ATQBpAGwAawBQAHIAbwBkAHUAYwB0AGkAbwBuAEYAbwByAEMAYQBsAHYAaQBuAGcAUwBlAGEAcwBvAG4AXwBWAGEAcgBpAGEAdABpAG8AbgAiACwAIgBNAE0AUwBfAFAAYQBzAHQAdQByAGUAQgBlAGUAZgBfAFMAbwBpAGwAXwBOADIATwBEAGkAcgBlAGMAdABfAEUAcQB1AGEAdABpAG8AbgBzAC4AVgBFAEUAUgBHAF8ANABfADIAXwAxAF8AMwBfAF8ANgBfAEkAbgB0AGEAawBlAFIAZQBsAGEAdABpAHYAZQBUAG8ATQBhAGkAbgB0AGUAbgBhAG4AYwBlACIALAAiAE0ATQBTAF8AUABhAHMAdAB1AHIAZQBCAGUAZQBmAF8AUwBvAGkAbABfAE4AMgBPAEQAaQByAGUAYwB0AF8ARQBxAHUAYQB0AGkAbwBuAHMALgBWAEUARQBSAEcAXwA0AF8AMgBfADEAXwAzAF8AXwA2AF8ASQBuAHQAYQBrAGUAUgBlAGwAYQB0AGkAdgBlAFQAbwBNAGEAaQBuAHQAZQBuAGEAbgBjAGUAXwBUAGkAdABsAGUAIgAsACIATQBNAFMAXwBQAGEAcwB0AHUAcgBlAEIAZQBlAGYAXwBTAG8AaQBsAF8ATgAyAE8ARABpAHIAZQBjAHQAXwBFAHEAdQBhAHQAaQBvAG4AcwAuAFYARQBFAFIARwBfADQAXwAyAF8AMQBfADMAXwBfADYAXwBJAG4AdABhAGsAZQBSAGUAbABhAHQAaQB2AGUAVABvAE0AYQBpAG4AdABlAG4AYQBuAGMAZQBfAFYAYQByAGkAYQBiAGwAZQAiACwAIgBNAE0AUwBfAFAAYQBzAHQAdQByAGUAQgBlAGUAZgBfAFMAbwBpAGwAXwBOADIATwBEAGkAcgBlAGMAdABfAEUAcQB1AGEAdABpAG8AbgBzAC4AVgBFAEUAUgBHAF8ANABfADIAXwAxAF8AMwBfAF8ANgBfAEkAbgB0AGEAawBlAFIAZQBsAGEAdABpAHYAZQBUAG8ATQBhAGkAbgB0AGUAbgBhAG4AYwBlAF8AVQBuAGkAdAAiACwAIgBNAE0AUwBfAFAAYQBzAHQAdQByAGUAQgBlAGUAZgBfAFMAbwBpAGwAXwBOADIATwBEAGkAcgBlAGMAdABfAEUAcQB1AGEAdABpAG8AbgBzAC4AVgBFAEUAUgBHAF8ANABfADIAXwAxAF8AMwBfAF8ANgBfAEkAbgB0AGEAawBlAFIAZQBsAGEAdABpAHYAZQBUAG8ATQBhAGkAbgB0AGUAbgBhAG4AYwBlAF8AUwBvAHUAcgBjAGUAIgAsACIATQBNAFMAXwBQAGEAcwB0AHUAcgBlAEIAZQBlAGYAXwBTAG8AaQBsAF8ATgAyAE8ARABpAHIAZQBjAHQAXwBFAHEAdQBhAHQAaQBvAG4AcwAuAFYARQBFAFIARwBfADQAXwAyAF8AMQBfADMAXwBfADYAXwBJAG4AdABhAGsAZQBSAGUAbABhAHQAaQB2AGUAVABvAE0AYQBpAG4AdABlAG4AYQBuAGMAZQBfAE4ASQBSAFIAZQBmAGUAcgBlAG4AYwBlACIALAAiAE0ATQBTAF8AUABhAHMAdAB1AHIAZQBCAGUAZQBmAF8AUwBvAGkAbABfAE4AMgBPAEQAaQByAGUAYwB0AF8ARQBxAHUAYQB0AGkAbwBuAHMALgBWAEUARQBSAEcAXwA0AF8AMgBfADEAXwAzAF8AXwA2AF8ASQBuAHQAYQBrAGUAUgBlAGwAYQB0AGkAdgBlAFQAbwBNAGEAaQBuAHQAZQBuAGEAbgBjAGUAXwBMAGEAdABlAHgARQBxAHUAYQB0AGkAbwBuACIALAAiAE0ATQBTAF8AUABhAHMAdAB1AHIAZQBCAGUAZQBmAF8AUwBvAGkAbABfAE4AMgBPAEQAaQByAGUAYwB0AF8ARQBxAHUAYQB0AGkAbwBuAHMALgBWAEUARQBSAEcAXwA0AF8AMgBfADEAXwAzAF8AXwA2AF8ASQBuAHQAYQBrAGUAUgBlAGwAYQB0AGkAdgBlAFQAbwBNAGEAaQBuAHQAZQBuAGEAbgBjAGUAXwBBAHIAZwB1AG0AZQBuAHQAcwAiACwAIgBNAE0AUwBfAFAAYQBzAHQAdQByAGUAQgBlAGUAZgBfAFMAbwBpAGwAXwBOADIATwBEAGkAcgBlAGMAdABfAEUAcQB1AGEAdABpAG8AbgBzAC4AVgBFAEUAUgBHAF8ANABfADIAXwAxAF8AMwBfAF8ANwBfAFIAZQBsAGEAdABpAHYAZQBTAGkAegBlACIALAAiAE0ATQBTAF8AUABhAHMAdAB1AHIAZQBCAGUAZQBmAF8AUwBvAGkAbABfAE4AMgBPAEQAaQByAGUAYwB0AF8ARQBxAHUAYQB0AGkAbwBuAHMALgBWAEUARQBSAEcAXwA0AF8AMgBfADEAXwAzAF8AXwA3AF8AUgBlAGwAYQB0AGkAdgBlAFMAaQB6AGUAXwBUAGkAdABsAGUAIgAsACIATQBNAFMAXwBQAGEAcwB0AHUAcgBlAEIAZQBlAGYAXwBTAG8AaQBsAF8ATgAyAE8ARABpAHIAZQBjAHQAXwBFAHEAdQBhAHQAaQBvAG4AcwAuAFYARQBFAFIARwBfADQAXwAyAF8AMQBfADMAXwBfADcAXwBSAGUAbABhAHQAaQB2AGUAUwBpAHoAZQBfAFYAYQByAGkAYQBiAGwAZQAiACwAIgBNAE0AUwBfAFAAYQBzAHQAdQByAGUAQgBlAGUAZgBfAFMAbwBpAGwAXwBOADIATwBEAGkAcgBlAGMAdABfAEUAcQB1AGEAdABpAG8AbgBzAC4AVgBFAEUAUgBHAF8ANABfADIAXwAxAF8AMwBfAF8ANwBfAFIAZQBsAGEAdABpAHYAZQBTAGkAegBlAF8AVQBuAGkAdAAiACwAIgBNAE0AUwBfAFAAYQBzAHQAdQByAGUAQgBlAGUAZgBfAFMAbwBpAGwAXwBOADIATwBEAGkAcgBlAGMAdABfAEUAcQB1AGEAdABpAG8AbgBzAC4AVgBFAEUAUgBHAF8ANABfADIAXwAxAF8AMwBfAF8ANwBfAFIAZQBsAGEAdABpAHYAZQBTAGkAegBlAF8AUwBvAHUAcgBjAGUAIgAsACIATQBNAFMAXwBQAGEAcwB0AHUAcgBlAEIAZQBlAGYAXwBTAG8AaQBsAF8ATgAyAE8ARABpAHIAZQBjAHQAXwBFAHEAdQBhAHQAaQBvAG4AcwAuAFYARQBFAFIARwBfADQAXwAyAF8AMQBfADMAXwBfADcAXwBSAGUAbABhAHQAaQB2AGUAUwBpAHoAZQBfAE4ASQBSAFIAZQBmAGUAcgBlAG4AYwBlACIALAAiAE0ATQBTAF8AUABhAHMAdAB1AHIAZQBCAGUAZQBmAF8AUwBvAGkAbABfAE4AMgBPAEQAaQByAGUAYwB0AF8ARQBxAHUAYQB0AGkAbwBuAHMALgBWAEUARQBSAEcAXwA0AF8AMgBfADEAXwAzAF8AXwA3AF8AUgBlAGwAYQB0AGkAdgBlAFMAaQB6AGUAXwBMAGEAdABlAHgARQBxAHUAYQB0AGkAbwBuACIALAAiAE0ATQBTAF8AUABhAHMAdAB1AHIAZQBCAGUAZQBmAF8AUwBvAGkAbABfAE4AMgBPAEQAaQByAGUAYwB0AF8ARQBxAHUAYQB0AGkAbwBuAHMALgBWAEUARQBSAEcAXwA0AF8AMgBfADEAXwAzAF8AXwA3AF8AUgBlAGwAYQB0AGkAdgBlAFMAaQB6AGUAXwBBAHIAZwB1AG0AZQBuAHQAcw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ABpAHQAbA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YAYQByAGkAYQBi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VAG4AaQB0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MAbwB1AHIAYw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4ASQBSAFIAZQBmAGUAcgBlAG4AYw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wAYQB0AGUAeABFAHEAdQBhAHQAaQBvAG4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QQByAGcAdQBtAGUAbgB0AHM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QAaQB0AGw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WAGEAcgBpAGEAYg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QBuAGkAdA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TAG8AdQByAGM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OAEkAUgBSAGUAZgBlAHIAZQBuAGM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MAGEAdABlAHgARQBxAHUAYQB0AGkAbwBu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EEAcgBnAHUAbQBlAG4AdABz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UAGkAdABs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gBhAHIAaQBhAGI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UAbgBpAHQ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UwBvAHUAcgBj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TgBJAFIAUgBlAGYAZQByAGUAbgBj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TABhAHQAZQB4AEUAcQB1AGEAdABpAG8Abg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BAHIAZwB1AG0AZQBuAHQAcw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QAaQB0AGw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YAYQByAGkAYQBiAGw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UAbgBpAHQ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TAG8AdQBy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4ASQBSAFIAZQBmAGUAcgBlAG4AYwBl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TABhAHQAZQB4AEUAcQB1AGEAdABpAG8Abg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95</vt:i4>
      </vt:variant>
    </vt:vector>
  </HeadingPairs>
  <TitlesOfParts>
    <vt:vector size="108" baseType="lpstr">
      <vt:lpstr>Home</vt:lpstr>
      <vt:lpstr>Results</vt:lpstr>
      <vt:lpstr>Input - Site</vt:lpstr>
      <vt:lpstr>Input - Pasture Beef</vt:lpstr>
      <vt:lpstr>4.2.1.1-2 Methane</vt:lpstr>
      <vt:lpstr>4.2.1.3-4 Soil direct N20</vt:lpstr>
      <vt:lpstr>4.2.1.5-6 Soil Atmos Dep</vt:lpstr>
      <vt:lpstr>4.2.1.7-8 Soil leach runoff</vt:lpstr>
      <vt:lpstr>Constants - Pature Beef</vt:lpstr>
      <vt:lpstr>Constants - Common</vt:lpstr>
      <vt:lpstr>Constants - Livestock</vt:lpstr>
      <vt:lpstr>Acknowledgements</vt:lpstr>
      <vt:lpstr>Tab template</vt:lpstr>
      <vt:lpstr>M1_Table_AE</vt:lpstr>
      <vt:lpstr>M1_Table_CP_j</vt:lpstr>
      <vt:lpstr>M1_Table_D_j</vt:lpstr>
      <vt:lpstr>M1_Table_D_j_Consumer_1</vt:lpstr>
      <vt:lpstr>M1_Table_DMD_j_k_l</vt:lpstr>
      <vt:lpstr>M1_Table_E_CH4</vt:lpstr>
      <vt:lpstr>M1_Table_I_j_k_l</vt:lpstr>
      <vt:lpstr>M1_Table_I_j_k_l_Consumer_1</vt:lpstr>
      <vt:lpstr>M1_Table_L_j_k_l</vt:lpstr>
      <vt:lpstr>M1_Table_LC_j_k45</vt:lpstr>
      <vt:lpstr>M1_Table_LC_j_k45_Consumer_1</vt:lpstr>
      <vt:lpstr>M1_Table_LWG_j_k_l</vt:lpstr>
      <vt:lpstr>M1_Table_LWG_j_k_l_Consumer_1</vt:lpstr>
      <vt:lpstr>M1_Table_M_j_k_l_m</vt:lpstr>
      <vt:lpstr>M1_Table_MA_j_k45</vt:lpstr>
      <vt:lpstr>M1_Table_MC_j_k_136</vt:lpstr>
      <vt:lpstr>M1_Table_MCF_i_m</vt:lpstr>
      <vt:lpstr>M1_Table_MP_j_k45</vt:lpstr>
      <vt:lpstr>M1_Table_N_j_k_l</vt:lpstr>
      <vt:lpstr>M1_Table_N_j_k_l_Consumer_1</vt:lpstr>
      <vt:lpstr>M1_Table_NE_j_k_l</vt:lpstr>
      <vt:lpstr>M1_Table_NR_j_k_l</vt:lpstr>
      <vt:lpstr>M1_Table_VS_j_k_l</vt:lpstr>
      <vt:lpstr>M1_Table_W_j_k_l</vt:lpstr>
      <vt:lpstr>M1_Table_W_j_k_l_Consumer_1</vt:lpstr>
      <vt:lpstr>M1_Table_Z_j_k_l</vt:lpstr>
      <vt:lpstr>M2_Table_AE</vt:lpstr>
      <vt:lpstr>M2_Table_CP_j</vt:lpstr>
      <vt:lpstr>M2_Table_D_j</vt:lpstr>
      <vt:lpstr>M2_Table_D_j_Consumer_1</vt:lpstr>
      <vt:lpstr>M2_Table_DMD_j_k_l</vt:lpstr>
      <vt:lpstr>M2_Table_E_CH4</vt:lpstr>
      <vt:lpstr>M2_Table_I_j_k_l</vt:lpstr>
      <vt:lpstr>M2_Table_I_j_k_l_Consumer_1</vt:lpstr>
      <vt:lpstr>M2_Table_L_j_k_l</vt:lpstr>
      <vt:lpstr>M2_Table_LC_j_k45</vt:lpstr>
      <vt:lpstr>M2_Table_LC_j_k45_Consumer_1</vt:lpstr>
      <vt:lpstr>M2_Table_LW_j_k_l</vt:lpstr>
      <vt:lpstr>M2_Table_LWG_j_k_l</vt:lpstr>
      <vt:lpstr>M2_Table_LWG_j_k_l_Consumer_1</vt:lpstr>
      <vt:lpstr>M2_Table_M_j_k_l_m</vt:lpstr>
      <vt:lpstr>M2_Table_MA_j_k45</vt:lpstr>
      <vt:lpstr>M2_Table_MC_j_k_136</vt:lpstr>
      <vt:lpstr>M2_Table_MCF_i_m</vt:lpstr>
      <vt:lpstr>M2_Table_MP_j_k45</vt:lpstr>
      <vt:lpstr>M2_Table_N_j_k_l</vt:lpstr>
      <vt:lpstr>M2_Table_N_j_k_l_Consumer_1</vt:lpstr>
      <vt:lpstr>M2_Table_NE_j_k_l</vt:lpstr>
      <vt:lpstr>M2_Table_NR_j_k_l</vt:lpstr>
      <vt:lpstr>M2_Table_VS_j_k_l</vt:lpstr>
      <vt:lpstr>M2_Table_W_j_k_l</vt:lpstr>
      <vt:lpstr>M2_Table_Z_j_k_l</vt:lpstr>
      <vt:lpstr>Table_MMS_m</vt:lpstr>
      <vt:lpstr>Table_SRW_k</vt:lpstr>
      <vt:lpstr>VEERG_4_2_1_1__1_TotalAnnualMethaneProductionFromManureManagement_Result_Method1</vt:lpstr>
      <vt:lpstr>VEERG_4_2_1_1__1_TotalAnnualMethaneProductionFromManureManagement_Result_Method2</vt:lpstr>
      <vt:lpstr>VEERG_4_2_1_3__1_DirectNitrousOxideEmissionsOnPasture_Result_Method1</vt:lpstr>
      <vt:lpstr>VEERG_4_2_1_3__1_DirectNitrousOxideEmissionsOnPasture_Result_Method2</vt:lpstr>
      <vt:lpstr>VEERG_4_2_1_5__1_AtmosphericDepositionEmissionsFromUrineAndDungOnPasture_Result_Method1</vt:lpstr>
      <vt:lpstr>VEERG_4_2_1_5__1_AtmosphericDepositionEmissionsFromUrineAndDungOnPasture_Result_Method2</vt:lpstr>
      <vt:lpstr>VEERG_4_2_1_7__1_LeachingAndRunoffEmissionsFromUrineAndDungOnPasture_Result_Method1</vt:lpstr>
      <vt:lpstr>VEERG_4_2_1_7__1_LeachingAndRunoffEmissionsFromUrineAndDungOnPasture_Result_Method2</vt:lpstr>
      <vt:lpstr>X_Cell_PastureBeef_Breed</vt:lpstr>
      <vt:lpstr>X_Cell_PastureBeef_FencedWater</vt:lpstr>
      <vt:lpstr>X_Cell_PastureBeef_GrazingIrrigationMethod</vt:lpstr>
      <vt:lpstr>X_Cell_PastureBeef_GrazingProductionSystem</vt:lpstr>
      <vt:lpstr>X_Cell_PastureBeef_ProductionRegion</vt:lpstr>
      <vt:lpstr>X_Cell_Site_AverageTemperature</vt:lpstr>
      <vt:lpstr>X_Cell_Site_ClimateZone</vt:lpstr>
      <vt:lpstr>X_Cell_Site_Elevation</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2026-07-08T07:46:23Z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