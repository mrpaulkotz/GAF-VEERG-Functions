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B9A8E046-131B-4B4C-923D-F2087A37579C}" xr6:coauthVersionLast="47" xr6:coauthVersionMax="47" xr10:uidLastSave="{00000000-0000-0000-0000-000000000000}"/>
  <bookViews>
    <workbookView xWindow="1020" yWindow="0" windowWidth="37140" windowHeight="20475" firstSheet="5" activeTab="9"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generated","dimensionless","Input";"M_B","mass of each bale","kg","Input";"P_c","annual production of crop c","kg","Input";"R_AGc","residue to crop ratio for crop c","dimensionless","Input";"c","Crop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c","dimensionless","Constant";"EF_CH4","emission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burning","dimensionless","Constant";"DM_c","dry matter content of crop type c","kg dry weight/kg crop residue","Constant";"Z_c","burning efficiency (ratio of fuel burnt to fuel load) of crop type c","dimensionless","Constant";"F_c","fraction of the annual production of crop type c that is burnt","dimensionless","Constant";"c","Crop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ir","dimensionless","Constant";"FracLEACH","fraction of N that is lost through leaching and runoff","dimensionless","Constant";"z","Location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Result_Method1">'6.3.1.1-2 Leaching and runoff'!$E$48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13" l="1"/>
  <c r="J37" i="113"/>
  <c r="J15" i="113"/>
  <c r="E30" i="15"/>
  <c r="E33" i="15"/>
  <c r="I59" i="114"/>
  <c r="I36" i="114"/>
  <c r="J38" i="113"/>
  <c r="J35" i="74"/>
  <c r="R73" i="69"/>
  <c r="I38" i="69"/>
  <c r="H65" i="114"/>
  <c r="H42" i="114"/>
  <c r="Q51" i="113"/>
  <c r="G51" i="113"/>
  <c r="Q43" i="74"/>
  <c r="G43" i="74"/>
  <c r="P80" i="69"/>
  <c r="G45" i="69"/>
  <c r="I22"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H54" i="121"/>
  <c r="H52" i="121"/>
  <c r="F17" i="70"/>
  <c r="D26" i="70"/>
  <c r="D25" i="70"/>
  <c r="D24" i="70"/>
  <c r="D17" i="70"/>
  <c r="F22" i="70"/>
  <c r="D26" i="114" l="1" a="1"/>
  <c r="D26" i="114" s="1"/>
  <c r="D49" i="114" a="1"/>
  <c r="D49" i="114" s="1"/>
  <c r="I60" i="114"/>
  <c r="I37" i="114"/>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I18" i="114"/>
  <c r="I19" i="114"/>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G25" i="113"/>
  <c r="H25" i="113" s="1"/>
  <c r="G24" i="113"/>
  <c r="H24" i="113" s="1"/>
  <c r="F25" i="113"/>
  <c r="F24" i="113"/>
  <c r="J40" i="113"/>
  <c r="J36" i="113" a="1"/>
  <c r="J36" i="113" s="1"/>
  <c r="J19" i="113" a="1"/>
  <c r="J19" i="113" s="1"/>
  <c r="J16" i="113" a="1"/>
  <c r="J16" i="113" s="1"/>
  <c r="J14" i="113" a="1"/>
  <c r="J14" i="113" s="1"/>
  <c r="J13" i="113" a="1"/>
  <c r="J13" i="113" s="1"/>
  <c r="J18" i="113"/>
  <c r="J17" i="113"/>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I39" i="69"/>
  <c r="J36" i="74"/>
  <c r="J19" i="74"/>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30" i="113" a="1"/>
  <c r="E7" i="113" a="1"/>
  <c r="E27" i="114" a="1"/>
  <c r="E7" i="114" a="1"/>
  <c r="E50" i="114"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J13" i="74"/>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I16" i="69"/>
  <c r="I13" i="69"/>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S34" i="69"/>
  <c r="Q16" i="69"/>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21" i="69"/>
  <c r="I15" i="69" s="1" a="1"/>
  <c r="I15" i="69" s="1"/>
  <c r="F47" i="69" a="1"/>
  <c r="F47" i="69" s="1"/>
  <c r="D44" i="69" a="1"/>
  <c r="D44" i="69" s="1"/>
  <c r="D30" i="70"/>
  <c r="E22" i="70"/>
  <c r="I13" i="114" s="1"/>
  <c r="E30" i="69" a="1"/>
  <c r="E27" i="74" a="1"/>
  <c r="N42" i="69" a="1"/>
  <c r="E7" i="74" a="1"/>
  <c r="N8" i="69" a="1"/>
  <c r="E7" i="69" a="1"/>
  <c r="N65" i="69" a="1"/>
  <c r="O27" i="74" a="1"/>
  <c r="J16" i="74" l="1" a="1"/>
  <c r="J16" i="74" s="1"/>
  <c r="J17" i="74" a="1"/>
  <c r="J17" i="74" s="1"/>
  <c r="J18" i="74" a="1"/>
  <c r="J18" i="74" s="1"/>
  <c r="Q17" i="69"/>
  <c r="O27" i="74"/>
  <c r="J14" i="74" a="1"/>
  <c r="J14" i="74" s="1"/>
  <c r="J15" i="74" a="1"/>
  <c r="J15" i="74" s="1"/>
  <c r="E18" i="70" a="1"/>
  <c r="E18" i="70" s="1"/>
  <c r="E27" i="74"/>
  <c r="E7" i="74"/>
  <c r="O77" i="69"/>
  <c r="O59" i="69"/>
  <c r="N65" i="69"/>
  <c r="N42" i="69"/>
  <c r="I19" i="69" a="1"/>
  <c r="I19" i="69" s="1"/>
  <c r="I18" i="69" a="1"/>
  <c r="I18" i="69" s="1"/>
  <c r="I20" i="69" a="1"/>
  <c r="I20" i="69" s="1"/>
  <c r="E30" i="69"/>
  <c r="N8" i="69"/>
  <c r="E7" i="69"/>
  <c r="T14" i="74" l="1"/>
  <c r="O21" i="74" s="1" a="1"/>
  <c r="O21" i="74" s="1"/>
  <c r="E20" i="120"/>
  <c r="E19" i="70"/>
  <c r="E20" i="70" s="1"/>
  <c r="I14" i="114"/>
  <c r="E21" i="114" s="1" a="1"/>
  <c r="E21" i="114" s="1"/>
  <c r="E21" i="74" a="1"/>
  <c r="E21" i="74" s="1"/>
  <c r="E25" i="113" s="1"/>
  <c r="Q18" i="69"/>
  <c r="I14" i="69"/>
  <c r="E30" i="70"/>
  <c r="E44" i="70" s="1"/>
  <c r="T33" i="74" l="1"/>
  <c r="O25" i="113"/>
  <c r="I33" i="114"/>
  <c r="I56" i="114"/>
  <c r="J33" i="74"/>
  <c r="E36" i="70"/>
  <c r="Q15" i="69" s="1"/>
  <c r="N21" i="69" s="1" a="1"/>
  <c r="N21" i="69" s="1"/>
  <c r="S33" i="69" s="1"/>
  <c r="N36" i="69" s="1" a="1"/>
  <c r="N36" i="69" s="1"/>
  <c r="R52" i="69" s="1"/>
  <c r="N59" i="69" s="1" a="1"/>
  <c r="N59" i="69" s="1"/>
  <c r="E40" i="70"/>
  <c r="R71" i="69" l="1"/>
  <c r="O24" i="113"/>
  <c r="E46" i="70"/>
  <c r="A20" i="118"/>
  <c r="A8" i="118"/>
  <c r="A5" i="118"/>
  <c r="A4" i="118"/>
  <c r="A3" i="118"/>
  <c r="A67" i="114" l="1"/>
  <c r="A46" i="114"/>
  <c r="A44" i="70"/>
  <c r="A83" i="69"/>
  <c r="A76" i="74"/>
  <c r="A45" i="74"/>
  <c r="A34" i="113"/>
  <c r="A55" i="113"/>
  <c r="I17" i="69" l="1" a="1"/>
  <c r="I17" i="69" s="1"/>
  <c r="E24" i="69" s="1" a="1"/>
  <c r="E24" i="69" s="1"/>
  <c r="E24" i="113" s="1"/>
  <c r="S24" i="113" a="1"/>
  <c r="S24" i="113" s="1"/>
  <c r="N45" i="113" s="1"/>
  <c r="E62" i="114" a="1"/>
  <c r="E62" i="114" s="1"/>
  <c r="I24" i="113" l="1" a="1"/>
  <c r="I24" i="113" s="1"/>
  <c r="D45" i="113" s="1"/>
  <c r="H64" i="114"/>
  <c r="E67" i="114" s="1" a="1"/>
  <c r="E67" i="114" s="1"/>
  <c r="H13" i="13" s="1"/>
  <c r="I13" i="13" s="1"/>
  <c r="E13" i="13"/>
  <c r="F13" i="13" s="1"/>
  <c r="E39" i="114" a="1"/>
  <c r="E39" i="114"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E12" i="13"/>
  <c r="F12" i="13" s="1"/>
  <c r="E29" i="15"/>
  <c r="E31" i="15" l="1"/>
  <c r="E32" i="15" s="1"/>
  <c r="J37" i="74" s="1"/>
  <c r="J34" i="74" s="1" a="1"/>
  <c r="J34" i="74" s="1"/>
  <c r="O48" i="113"/>
  <c r="Q50" i="113" s="1"/>
  <c r="O53" i="113" s="1" a="1"/>
  <c r="O53" i="113" s="1"/>
  <c r="I11" i="13" s="1"/>
  <c r="E48" i="113"/>
  <c r="E11" i="13" s="1"/>
  <c r="E13" i="15"/>
  <c r="F11" i="13" l="1"/>
  <c r="E40" i="74" a="1"/>
  <c r="E40" i="74" s="1"/>
  <c r="G42" i="74" s="1"/>
  <c r="E45" i="74" s="1" a="1"/>
  <c r="E45" i="74" s="1"/>
  <c r="H10" i="13" s="1"/>
  <c r="O40" i="74" a="1"/>
  <c r="O40" i="74" s="1"/>
  <c r="Q42" i="74" s="1"/>
  <c r="O45" i="74" s="1" a="1"/>
  <c r="O45" i="74" s="1"/>
  <c r="I10" i="13" s="1"/>
  <c r="R75" i="69"/>
  <c r="R72" i="69" s="1" a="1"/>
  <c r="R72" i="69" s="1"/>
  <c r="N77" i="69" s="1" a="1"/>
  <c r="N77" i="69" s="1"/>
  <c r="P79" i="69" s="1"/>
  <c r="N82" i="69" s="1" a="1"/>
  <c r="N82" i="69" s="1"/>
  <c r="I9" i="13" s="1"/>
  <c r="I40" i="69"/>
  <c r="I37" i="69" s="1" a="1"/>
  <c r="I37" i="69" s="1"/>
  <c r="E42" i="69" s="1" a="1"/>
  <c r="E42" i="69" s="1"/>
  <c r="G44" i="69" s="1"/>
  <c r="E47" i="69" s="1" a="1"/>
  <c r="E47" i="69" s="1"/>
  <c r="H9" i="13" s="1"/>
  <c r="G50" i="113"/>
  <c r="E53" i="113" s="1" a="1"/>
  <c r="E53" i="113" s="1"/>
  <c r="H11" i="13" s="1"/>
  <c r="E10" i="13" l="1"/>
  <c r="F10" i="13"/>
  <c r="F9" i="13"/>
  <c r="E9"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<sst xmlns="http://schemas.openxmlformats.org/spreadsheetml/2006/main" count="385" uniqueCount="234">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</sst>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8.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125</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123</v>
      </c>
      <c r="E5" s="85"/>
      <c r="F5" s="85"/>
      <c r="G5" s="85"/>
      <c r="H5" s="85"/>
      <c r="I5" s="85"/>
      <c r="J5" s="85"/>
      <c r="K5" s="85"/>
      <c r="L5" s="85"/>
      <c r="M5" s="85"/>
      <c r="N5" s="85"/>
      <c r="O5" s="81"/>
    </row>
    <row r="6" spans="1:42" ht="20.100000000000001" customHeight="1" x14ac:dyDescent="0.25">
      <c r="A6" s="16"/>
      <c r="D6" s="130" t="s">
        <v>124</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67</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7" sqref="E17"/>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126</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120</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80</v>
      </c>
      <c r="E8" s="102" t="s">
        <v>92</v>
      </c>
      <c r="F8" s="102" t="s">
        <v>93</v>
      </c>
      <c r="G8" s="102" t="s">
        <v>86</v>
      </c>
      <c r="H8" s="102" t="s">
        <v>94</v>
      </c>
      <c r="I8" s="102" t="s">
        <v>95</v>
      </c>
      <c r="J8" s="102" t="s">
        <v>87</v>
      </c>
      <c r="K8" s="22"/>
    </row>
    <row r="9" spans="1:11" ht="20.100000000000001" customHeight="1" x14ac:dyDescent="0.25">
      <c r="A9" s="17" t="str">
        <f>HYPERLINK("#'Input - Crop'!A1", "Crop")</f>
        <v>Crop</v>
      </c>
      <c r="C9" s="22"/>
      <c r="D9" s="1" t="s">
        <v>215</v>
      </c>
      <c r="E9" s="125">
        <f>'6.1.1.1-2 Crop residue N2O'!E42</f>
        <v>6.6792000000000012E-4</v>
      </c>
      <c r="F9" s="125">
        <f>'6.1.1.1-2 Crop residue N2O'!N77</f>
        <v>6.6792000000000012E-4</v>
      </c>
      <c r="G9" s="52" t="s">
        <v>98</v>
      </c>
      <c r="H9" s="100">
        <f>'6.1.1.1-2 Crop residue N2O'!E47</f>
        <v>0.17699880000000004</v>
      </c>
      <c r="I9" s="100">
        <f>'6.1.1.1-2 Crop residue N2O'!N82</f>
        <v>0.17699880000000004</v>
      </c>
      <c r="J9" s="52" t="s">
        <v>90</v>
      </c>
      <c r="K9" s="22"/>
    </row>
    <row r="10" spans="1:11" ht="20.100000000000001" customHeight="1" x14ac:dyDescent="0.25">
      <c r="A10" s="17" t="str">
        <f>HYPERLINK("#'Input - Pasture'!A1", "Pasture")</f>
        <v>Pasture</v>
      </c>
      <c r="C10" s="22"/>
      <c r="D10" s="1" t="s">
        <v>216</v>
      </c>
      <c r="E10" s="144">
        <f>'6.2.1.1-2 Pasture residue N2O'!E40</f>
        <v>5.8320428571428569E-7</v>
      </c>
      <c r="F10" s="144">
        <f>'6.2.1.1-2 Pasture residue N2O'!O40</f>
        <v>5.8320428571428569E-7</v>
      </c>
      <c r="G10" s="52" t="s">
        <v>98</v>
      </c>
      <c r="H10" s="100">
        <f>'6.2.1.1-2 Pasture residue N2O'!E45</f>
        <v>1.545491357142857E-4</v>
      </c>
      <c r="I10" s="100">
        <f>'6.2.1.1-2 Pasture residue N2O'!O45</f>
        <v>1.545491357142857E-4</v>
      </c>
      <c r="J10" s="52" t="s">
        <v>90</v>
      </c>
      <c r="K10" s="22"/>
    </row>
    <row r="11" spans="1:11" ht="20.100000000000001" customHeight="1" x14ac:dyDescent="0.25">
      <c r="C11" s="22"/>
      <c r="D11" s="1" t="s">
        <v>217</v>
      </c>
      <c r="E11" s="125">
        <f>'6.3.1.1-2 Leaching and runoff'!E48</f>
        <v>3.5296969186285711E-4</v>
      </c>
      <c r="F11" s="125">
        <f>'6.3.1.1-2 Leaching and runoff'!O48</f>
        <v>3.5296969186285711E-4</v>
      </c>
      <c r="G11" s="52" t="s">
        <v>98</v>
      </c>
      <c r="H11" s="100">
        <f>'6.3.1.1-2 Leaching and runoff'!E53</f>
        <v>9.3536968343657129E-2</v>
      </c>
      <c r="I11" s="100">
        <f>'6.3.1.1-2 Leaching and runoff'!O53</f>
        <v>9.3536968343657129E-2</v>
      </c>
      <c r="J11" s="52" t="s">
        <v>90</v>
      </c>
      <c r="K11" s="22"/>
    </row>
    <row r="12" spans="1:11" ht="20.100000000000001" customHeight="1" x14ac:dyDescent="0.25">
      <c r="A12" s="19" t="s">
        <v>67</v>
      </c>
      <c r="C12" s="22"/>
      <c r="D12" s="1" t="s">
        <v>218</v>
      </c>
      <c r="E12" s="125">
        <f>'6.4.1.1-2 Residue burning'!E39</f>
        <v>1.276930285714286E-4</v>
      </c>
      <c r="F12" s="125">
        <f>E12</f>
        <v>1.276930285714286E-4</v>
      </c>
      <c r="G12" s="52" t="s">
        <v>98</v>
      </c>
      <c r="H12" s="100">
        <f>'6.4.1.1-2 Residue burning'!E44</f>
        <v>3.3838652571428582E-2</v>
      </c>
      <c r="I12" s="100">
        <f>H12</f>
        <v>3.3838652571428582E-2</v>
      </c>
      <c r="J12" s="52" t="s">
        <v>90</v>
      </c>
      <c r="K12" s="22"/>
    </row>
    <row r="13" spans="1:11" ht="20.100000000000001" customHeight="1" x14ac:dyDescent="0.25">
      <c r="A13" s="17" t="str">
        <f>HYPERLINK("#'6.1.1.1-2 Crop residue N2O'!A1", "6.1.1.1-2 Crop residue N2O")</f>
        <v>6.1.1.1-2 Crop residue N2O</v>
      </c>
      <c r="C13" s="22"/>
      <c r="D13" s="1" t="s">
        <v>218</v>
      </c>
      <c r="E13" s="125">
        <f>'6.4.1.1-2 Residue burning'!E62</f>
        <v>3.3264000000000002E-3</v>
      </c>
      <c r="F13" s="125">
        <f>E13</f>
        <v>3.3264000000000002E-3</v>
      </c>
      <c r="G13" s="52" t="s">
        <v>219</v>
      </c>
      <c r="H13" s="100">
        <f>'6.4.1.1-2 Residue burning'!E67</f>
        <v>9.3139200000000005E-2</v>
      </c>
      <c r="I13" s="100">
        <f>H13</f>
        <v>9.3139200000000005E-2</v>
      </c>
      <c r="J13" s="52" t="s">
        <v>90</v>
      </c>
      <c r="K13" s="22"/>
    </row>
    <row r="14" spans="1:11" ht="20.100000000000001" customHeight="1" x14ac:dyDescent="0.3">
      <c r="A14" s="17" t="str">
        <f>HYPERLINK("#'6.2.1.1-2 Pasture residue N2O'!A1", "6.2.1.1-2 Pasture residue N2O")</f>
        <v>6.2.1.1-2 Pasture residue N2O</v>
      </c>
      <c r="C14" s="22"/>
      <c r="D14" s="29" t="s">
        <v>85</v>
      </c>
      <c r="E14" s="23"/>
      <c r="F14" s="23"/>
      <c r="G14" s="29"/>
      <c r="H14" s="101">
        <f>SUM(H9:H13)</f>
        <v>0.39766817005080002</v>
      </c>
      <c r="I14" s="101">
        <f>SUM(I9:I13)</f>
        <v>0.39766817005080002</v>
      </c>
      <c r="J14" s="97" t="s">
        <v>90</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231</v>
      </c>
      <c r="F7" s="2"/>
    </row>
    <row r="8" spans="1:24" ht="20.100000000000001" customHeight="1" x14ac:dyDescent="0.25">
      <c r="A8" s="106" t="str">
        <f>HYPERLINK("#'Input - Site'!A1", "Site")</f>
        <v>Site</v>
      </c>
      <c r="D8" s="10" t="s">
        <v>66</v>
      </c>
      <c r="E8" s="33" t="s">
        <v>232</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69</v>
      </c>
      <c r="E10" s="86"/>
      <c r="F10" s="89"/>
      <c r="G10" s="83"/>
      <c r="N10" s="42"/>
    </row>
    <row r="11" spans="1:24" ht="20.100000000000001" customHeight="1" x14ac:dyDescent="0.25">
      <c r="A11"/>
      <c r="N11" s="43"/>
    </row>
    <row r="12" spans="1:24" ht="20.100000000000001" customHeight="1" x14ac:dyDescent="0.25">
      <c r="A12" s="19" t="s">
        <v>67</v>
      </c>
      <c r="D12" s="10" t="s">
        <v>75</v>
      </c>
      <c r="E12" s="60">
        <v>45658</v>
      </c>
      <c r="F12" s="2" t="s">
        <v>64</v>
      </c>
    </row>
    <row r="13" spans="1:24" ht="20.100000000000001" customHeight="1" x14ac:dyDescent="0.25">
      <c r="A13" s="17" t="str">
        <f>HYPERLINK("#'6.1.1.1-2 Crop residue N2O'!A1", "6.1.1.1-2 Crop residue N2O")</f>
        <v>6.1.1.1-2 Crop residue N2O</v>
      </c>
      <c r="D13" s="10" t="s">
        <v>76</v>
      </c>
      <c r="E13" s="64">
        <f>DATE(YEAR(E12)+1,MONTH(E12),DAY(E12))-1</f>
        <v>46022</v>
      </c>
      <c r="F13" s="2" t="s">
        <v>14</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11</v>
      </c>
      <c r="N16" s="38"/>
      <c r="O16" s="38"/>
    </row>
    <row r="17" spans="1:25" ht="20.100000000000001" customHeight="1" x14ac:dyDescent="0.25">
      <c r="A17" s="17"/>
    </row>
    <row r="18" spans="1:25" ht="20.100000000000001" customHeight="1" x14ac:dyDescent="0.25">
      <c r="A18" s="18" t="s">
        <v>2</v>
      </c>
      <c r="D18" s="90" t="s">
        <v>13</v>
      </c>
      <c r="E18" s="85"/>
      <c r="F18" s="85"/>
      <c r="G18" s="81"/>
    </row>
    <row r="19" spans="1:25" ht="20.100000000000001" customHeight="1" x14ac:dyDescent="0.25">
      <c r="A19" s="17" t="str">
        <f>HYPERLINK("#'Constants - Ag Residue'!A1", "Constants - Ag Residue")</f>
        <v>Constants - Ag Residue</v>
      </c>
      <c r="D19" s="87" t="s">
        <v>65</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5</v>
      </c>
      <c r="E21" s="39" t="s">
        <v>97</v>
      </c>
      <c r="F21" s="2" t="s">
        <v>8</v>
      </c>
    </row>
    <row r="22" spans="1:25" ht="20.100000000000001" customHeight="1" x14ac:dyDescent="0.25">
      <c r="A22"/>
      <c r="D22" s="1" t="s">
        <v>20</v>
      </c>
      <c r="E22" s="39" t="s">
        <v>29</v>
      </c>
      <c r="F22" s="2" t="s">
        <v>8</v>
      </c>
      <c r="G22" s="1"/>
    </row>
    <row r="23" spans="1:25" ht="20.100000000000001" customHeight="1" x14ac:dyDescent="0.25">
      <c r="A23"/>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2" zoomScale="85" zoomScaleNormal="85" workbookViewId="0">
      <selection activeCell="E43" sqref="E43"/>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128</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129</v>
      </c>
    </row>
    <row r="6" spans="1:8" ht="20.100000000000001" customHeight="1" x14ac:dyDescent="0.25">
      <c r="A6" s="16"/>
    </row>
    <row r="7" spans="1:8" ht="20.100000000000001" customHeight="1" x14ac:dyDescent="0.25">
      <c r="A7" s="20" t="s">
        <v>1</v>
      </c>
      <c r="D7" s="88" t="s">
        <v>130</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108</v>
      </c>
      <c r="E9" s="39" t="s">
        <v>131</v>
      </c>
      <c r="F9" s="2" t="s">
        <v>132</v>
      </c>
    </row>
    <row r="10" spans="1:8" ht="20.100000000000001" customHeight="1" x14ac:dyDescent="0.25">
      <c r="A10" s="17" t="str">
        <f>HYPERLINK("#'Input - Pasture'!A1", "Pasture")</f>
        <v>Pasture</v>
      </c>
      <c r="D10" s="1" t="s">
        <v>133</v>
      </c>
      <c r="E10" s="39" t="s">
        <v>172</v>
      </c>
      <c r="F10" s="2" t="s">
        <v>132</v>
      </c>
    </row>
    <row r="11" spans="1:8" ht="20.100000000000001" customHeight="1" x14ac:dyDescent="0.25">
      <c r="D11" s="10" t="s">
        <v>84</v>
      </c>
      <c r="E11" s="39" t="s">
        <v>233</v>
      </c>
      <c r="F11" s="2" t="s">
        <v>132</v>
      </c>
    </row>
    <row r="12" spans="1:8" ht="20.100000000000001" customHeight="1" x14ac:dyDescent="0.25">
      <c r="A12" s="19" t="s">
        <v>67</v>
      </c>
    </row>
    <row r="13" spans="1:8" ht="20.100000000000001" customHeight="1" x14ac:dyDescent="0.25">
      <c r="A13" s="17" t="str">
        <f>HYPERLINK("#'6.1.1.1-2 Crop residue N2O'!A1", "6.1.1.1-2 Crop residue N2O")</f>
        <v>6.1.1.1-2 Crop residue N2O</v>
      </c>
      <c r="D13" s="1" t="s">
        <v>109</v>
      </c>
      <c r="E13" s="133">
        <v>1000</v>
      </c>
      <c r="F13" s="2" t="s">
        <v>134</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135</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10</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229</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138</v>
      </c>
      <c r="E19" s="50">
        <f>E17*E18</f>
        <v>15</v>
      </c>
      <c r="F19" s="2" t="s">
        <v>137</v>
      </c>
    </row>
    <row r="20" spans="1:6" ht="20.100000000000001" customHeight="1" x14ac:dyDescent="0.25">
      <c r="A20" s="17" t="str">
        <f>HYPERLINK("#'Constants - Common'!A1", "Constants - Common")</f>
        <v>Constants - Common</v>
      </c>
      <c r="D20" s="1" t="s">
        <v>136</v>
      </c>
      <c r="E20" s="50">
        <f>E17+E19</f>
        <v>25</v>
      </c>
      <c r="F20" s="2" t="s">
        <v>137</v>
      </c>
    </row>
    <row r="21" spans="1:6" ht="20.100000000000001" customHeight="1" x14ac:dyDescent="0.25"/>
    <row r="22" spans="1:6" ht="20.100000000000001" customHeight="1" x14ac:dyDescent="0.25">
      <c r="D22" s="51" t="s">
        <v>230</v>
      </c>
      <c r="E22" s="50">
        <f>E17*E13</f>
        <v>10000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139</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15000</v>
      </c>
      <c r="F30" s="2" t="s">
        <v>140</v>
      </c>
    </row>
    <row r="31" spans="1:6" ht="20.100000000000001" customHeight="1" x14ac:dyDescent="0.25">
      <c r="A31" s="61"/>
    </row>
    <row r="32" spans="1:6" ht="20.100000000000001" customHeight="1" x14ac:dyDescent="0.25">
      <c r="A32" s="61"/>
      <c r="D32" s="46" t="s">
        <v>141</v>
      </c>
    </row>
    <row r="33" spans="1:8" ht="20.100000000000001" customHeight="1" x14ac:dyDescent="0.25">
      <c r="A33" s="17"/>
      <c r="D33" s="1" t="s">
        <v>142</v>
      </c>
      <c r="E33" s="124">
        <v>0.1</v>
      </c>
      <c r="F33" s="2" t="s">
        <v>143</v>
      </c>
    </row>
    <row r="34" spans="1:8" ht="20.100000000000001" customHeight="1" x14ac:dyDescent="0.25">
      <c r="D34" s="1" t="s">
        <v>144</v>
      </c>
      <c r="E34" s="114">
        <v>60</v>
      </c>
      <c r="F34" s="2" t="s">
        <v>145</v>
      </c>
    </row>
    <row r="35" spans="1:8" ht="20.100000000000001" customHeight="1" x14ac:dyDescent="0.25">
      <c r="D35" s="51" t="s">
        <v>146</v>
      </c>
      <c r="E35" s="135">
        <v>25000</v>
      </c>
      <c r="F35" s="2" t="s">
        <v>147</v>
      </c>
    </row>
    <row r="36" spans="1:8" ht="20.100000000000001" customHeight="1" x14ac:dyDescent="0.25">
      <c r="D36" s="51" t="s">
        <v>148</v>
      </c>
      <c r="E36" s="50">
        <f>E30*E33</f>
        <v>1500</v>
      </c>
      <c r="F36" s="2" t="s">
        <v>140</v>
      </c>
    </row>
    <row r="37" spans="1:8" ht="20.100000000000001" customHeight="1" x14ac:dyDescent="0.25">
      <c r="C37" s="112"/>
    </row>
    <row r="38" spans="1:8" ht="20.100000000000001" customHeight="1" x14ac:dyDescent="0.25">
      <c r="C38" s="112"/>
      <c r="D38" s="46" t="s">
        <v>149</v>
      </c>
    </row>
    <row r="39" spans="1:8" ht="20.100000000000001" customHeight="1" x14ac:dyDescent="0.25">
      <c r="A39" s="17"/>
      <c r="D39" s="1" t="s">
        <v>150</v>
      </c>
      <c r="E39" s="124">
        <v>0.01</v>
      </c>
      <c r="F39" s="2" t="s">
        <v>143</v>
      </c>
    </row>
    <row r="40" spans="1:8" s="113" customFormat="1" ht="20.100000000000001" customHeight="1" x14ac:dyDescent="0.25">
      <c r="C40" s="1"/>
      <c r="D40" s="1" t="s">
        <v>151</v>
      </c>
      <c r="E40" s="50">
        <f>E30*E39</f>
        <v>150</v>
      </c>
      <c r="F40" s="2" t="s">
        <v>140</v>
      </c>
      <c r="G40" s="1"/>
      <c r="H40" s="1"/>
    </row>
    <row r="41" spans="1:8" s="113" customFormat="1" ht="20.100000000000001" customHeight="1" x14ac:dyDescent="0.25">
      <c r="A41" s="115"/>
      <c r="C41" s="1"/>
      <c r="D41" s="1"/>
      <c r="E41" s="1"/>
      <c r="F41" s="1"/>
      <c r="G41" s="1"/>
      <c r="H41" s="1"/>
    </row>
    <row r="42" spans="1:8" ht="20.100000000000001" customHeight="1" x14ac:dyDescent="0.25">
      <c r="D42" s="46" t="s">
        <v>152</v>
      </c>
    </row>
    <row r="43" spans="1:8" ht="20.100000000000001" customHeight="1" x14ac:dyDescent="0.25">
      <c r="D43" s="1" t="s">
        <v>153</v>
      </c>
      <c r="E43" s="124">
        <v>0.3</v>
      </c>
      <c r="F43" s="2" t="s">
        <v>143</v>
      </c>
    </row>
    <row r="44" spans="1:8" ht="20.100000000000001" customHeight="1" x14ac:dyDescent="0.25">
      <c r="A44" s="123" t="str">
        <f>HYPERLINK("#A1", "▲ Back to top")</f>
        <v>▲ Back to top</v>
      </c>
      <c r="D44" s="1" t="s">
        <v>154</v>
      </c>
      <c r="E44" s="50">
        <f>E30*E43</f>
        <v>4500</v>
      </c>
      <c r="F44" s="2" t="s">
        <v>140</v>
      </c>
    </row>
    <row r="45" spans="1:8" ht="20.100000000000001" customHeight="1" x14ac:dyDescent="0.25"/>
    <row r="46" spans="1:8" ht="20.100000000000001" customHeight="1" x14ac:dyDescent="0.25">
      <c r="D46" s="1" t="s">
        <v>155</v>
      </c>
      <c r="E46" s="50">
        <f>E30-E36-E40-E44</f>
        <v>8850</v>
      </c>
      <c r="F46" s="2" t="s">
        <v>140</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topLeftCell="A5" workbookViewId="0">
      <selection activeCell="E9" sqref="E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195</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129</v>
      </c>
    </row>
    <row r="6" spans="1:7" ht="20.100000000000001" customHeight="1" x14ac:dyDescent="0.25">
      <c r="A6" s="16"/>
    </row>
    <row r="7" spans="1:7" ht="20.100000000000001" customHeight="1" x14ac:dyDescent="0.25">
      <c r="A7" s="20" t="s">
        <v>1</v>
      </c>
      <c r="D7" s="21" t="s">
        <v>130</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179</v>
      </c>
      <c r="E9" s="39" t="s">
        <v>220</v>
      </c>
      <c r="F9" s="2" t="s">
        <v>194</v>
      </c>
    </row>
    <row r="10" spans="1:7" ht="20.100000000000001" customHeight="1" x14ac:dyDescent="0.25">
      <c r="A10" s="106" t="str">
        <f>HYPERLINK("#'Input - Pasture'!A1", "Pasture")</f>
        <v>Pasture</v>
      </c>
      <c r="D10" s="1" t="s">
        <v>84</v>
      </c>
      <c r="E10" s="39" t="s">
        <v>224</v>
      </c>
      <c r="F10" s="2" t="s">
        <v>194</v>
      </c>
    </row>
    <row r="11" spans="1:7" ht="20.100000000000001" customHeight="1" x14ac:dyDescent="0.25"/>
    <row r="12" spans="1:7" ht="20.100000000000001" customHeight="1" x14ac:dyDescent="0.25">
      <c r="A12" s="19" t="s">
        <v>67</v>
      </c>
      <c r="D12" s="1" t="s">
        <v>187</v>
      </c>
      <c r="E12" s="114">
        <v>1000</v>
      </c>
      <c r="F12" s="2" t="s">
        <v>134</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135</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188</v>
      </c>
      <c r="E16" s="85"/>
      <c r="F16" s="81"/>
    </row>
    <row r="17" spans="1:6" ht="20.100000000000001" customHeight="1" x14ac:dyDescent="0.25">
      <c r="A17" s="17"/>
      <c r="D17" s="87" t="s">
        <v>189</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190</v>
      </c>
      <c r="E19" s="114">
        <v>8.34</v>
      </c>
      <c r="F19" s="2" t="s">
        <v>191</v>
      </c>
    </row>
    <row r="20" spans="1:6" ht="20.100000000000001" customHeight="1" x14ac:dyDescent="0.25">
      <c r="A20" s="17" t="str">
        <f>HYPERLINK("#'Constants - Common'!A1", "Constants - Common")</f>
        <v>Constants - Common</v>
      </c>
      <c r="D20" s="1" t="s">
        <v>192</v>
      </c>
      <c r="E20" s="50">
        <f>E12*E19</f>
        <v>8340</v>
      </c>
      <c r="F20" s="2" t="s">
        <v>140</v>
      </c>
    </row>
    <row r="21" spans="1:6" ht="20.100000000000001" customHeight="1" x14ac:dyDescent="0.25"/>
    <row r="22" spans="1:6" ht="20.100000000000001" customHeight="1" x14ac:dyDescent="0.25"/>
    <row r="23" spans="1:6" ht="20.100000000000001" customHeight="1" x14ac:dyDescent="0.25">
      <c r="D23" s="6" t="s">
        <v>139</v>
      </c>
    </row>
    <row r="24" spans="1:6" ht="20.100000000000001" customHeight="1" x14ac:dyDescent="0.25"/>
    <row r="25" spans="1:6" ht="20.100000000000001" customHeight="1" x14ac:dyDescent="0.25">
      <c r="D25" s="1" t="s">
        <v>193</v>
      </c>
      <c r="E25" s="114">
        <v>500</v>
      </c>
      <c r="F25" s="2" t="s">
        <v>134</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A15" zoomScaleNormal="100" workbookViewId="0">
      <selection activeCell="E54" sqref="E5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127</v>
      </c>
      <c r="K1"/>
    </row>
    <row r="2" spans="1:20" s="9" customFormat="1" ht="20.100000000000001" customHeight="1" x14ac:dyDescent="0.25">
      <c r="K2"/>
    </row>
    <row r="3" spans="1:20" ht="20.100000000000001" customHeight="1" x14ac:dyDescent="0.25">
      <c r="A3" s="17" t="str">
        <f>HYPERLINK("#'Home'!A1", "Home")</f>
        <v>Home</v>
      </c>
      <c r="C3" s="4"/>
      <c r="D3" s="4" t="s">
        <v>78</v>
      </c>
      <c r="E3" s="4"/>
      <c r="F3" s="4"/>
      <c r="G3" s="4"/>
      <c r="H3" s="4"/>
      <c r="I3" s="4"/>
      <c r="J3" s="4"/>
      <c r="L3" s="4"/>
      <c r="M3" s="4" t="s">
        <v>79</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21</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21</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24</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15</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67</v>
      </c>
      <c r="D12" s="22"/>
      <c r="E12" s="22"/>
      <c r="F12" s="22"/>
      <c r="G12" s="22"/>
      <c r="J12" s="22"/>
      <c r="L12" s="22"/>
      <c r="M12" s="51" t="s">
        <v>24</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'Input - Crop'!$E$17*10^3</f>
        <v>10000</v>
      </c>
      <c r="J13" s="22"/>
      <c r="L13" s="22"/>
      <c r="M13" s="51" t="s">
        <v>15</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dimensionless</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dimensionless</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dimensionless</v>
      </c>
      <c r="P15" s="111" t="str">
        <v>Input</v>
      </c>
      <c r="Q15" s="139">
        <f>'Input - Crop'!$E$35</f>
        <v>25000</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dimensionless</v>
      </c>
      <c r="H16" s="111" t="str">
        <v>Input</v>
      </c>
      <c r="I16" s="117">
        <f>'Input - Crop'!$E$43</f>
        <v>0.3</v>
      </c>
      <c r="L16" s="22"/>
      <c r="M16" s="117" t="str">
        <v>M_B</v>
      </c>
      <c r="N16" s="117" t="str">
        <v>mass of each bale</v>
      </c>
      <c r="O16" s="117" t="str">
        <v>kg</v>
      </c>
      <c r="P16" s="111" t="str">
        <v>Input</v>
      </c>
      <c r="Q16" s="117">
        <f>'Input - Crop'!$E$34</f>
        <v>60</v>
      </c>
    </row>
    <row r="17" spans="1:17" ht="20.100000000000001" customHeight="1" x14ac:dyDescent="0.25">
      <c r="A17" s="17"/>
      <c r="D17" s="117" t="str">
        <v>FFOD_c</v>
      </c>
      <c r="E17" s="121" t="str">
        <v>fraction of the crop residue that is removed for crop c</v>
      </c>
      <c r="F17" s="120"/>
      <c r="G17" s="117" t="str">
        <v>dimensionless</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'Input - Crop'!$E$22*10^3</f>
        <v>10000000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dimensionless</v>
      </c>
      <c r="P18" s="111" t="str">
        <v>Input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
        <v>131</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'Input - Crop'!$E$9</f>
        <v>Wheat</v>
      </c>
      <c r="L21" s="22"/>
      <c r="M21" s="118" t="s">
        <v>173</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Common_InputFunctions.Utility_ConvertStateCommonNameToAbbreviation('Input - Site'!$E$21,Table_AustralianStates[Common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175</v>
      </c>
      <c r="E24" s="138" cm="1">
        <f t="array" ref="E24">AgResidue_Equations_CropResidue.VEERG_6_1_1_1__2__MassOfNitrogenInCropResidues(I13,I14,I16,I17,I18,I19,I15,I20)</f>
        <v>85.00800000000001</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21</v>
      </c>
      <c r="E30" s="13" t="str" cm="1">
        <f t="array" aca="1" ref="E30" ca="1">Common_InputFunctions.Utility_DisplayFunctionName(E42)</f>
        <v>=AgResidue_Equations_CropResidue.VEERG_6_1_1_1__1__NitrousOxideEmissionsFromCropResidues</v>
      </c>
      <c r="F30" s="22"/>
      <c r="G30" s="22"/>
      <c r="H30" s="22"/>
      <c r="L30" s="22"/>
      <c r="M30" s="51" t="s">
        <v>24</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15</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24</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15</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85.00800000000001</v>
      </c>
      <c r="J36" s="22"/>
      <c r="M36" s="118" t="s">
        <v>174</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'Input - Crop'!$E$9</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'Input - Site'!$E$32</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107</v>
      </c>
      <c r="E42" s="94" cm="1">
        <f t="array" ref="E42">AgResidue_Equations_CropResidue.VEERG_6_1_1_1__1__NitrousOxideEmissionsFromCropResidues(I36,I37,I38)</f>
        <v>6.6792000000000012E-4</v>
      </c>
      <c r="F42" s="95" t="str">
        <f>$E$34</f>
        <v>t N2O</v>
      </c>
      <c r="H42" s="22"/>
      <c r="L42" s="22"/>
      <c r="M42" s="13" t="s">
        <v>21</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6.6792000000000012E-4</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24</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15</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77</v>
      </c>
      <c r="E47" s="44" cm="1">
        <f t="array" ref="E47">Common_Equations.Common_ConvertN2OToCO2e(G44,G45)</f>
        <v>0.17699880000000004</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dimensionless</v>
      </c>
      <c r="Q49" s="110" t="str">
        <v>Constant</v>
      </c>
      <c r="R49" s="117"/>
    </row>
    <row r="50" spans="10:20" ht="20.100000000000001" customHeight="1" x14ac:dyDescent="0.25">
      <c r="J50" s="22"/>
      <c r="M50" s="117" t="str">
        <v>R_BGc</v>
      </c>
      <c r="N50" s="121" t="str">
        <v>below ground-residue to above ground residue ratio for crop c</v>
      </c>
      <c r="O50" s="120"/>
      <c r="P50" s="117" t="str">
        <v>dimensionless</v>
      </c>
      <c r="Q50" s="110" t="str">
        <v>Constant</v>
      </c>
      <c r="R50" s="117"/>
    </row>
    <row r="51" spans="10:20" ht="20.100000000000001" customHeight="1" x14ac:dyDescent="0.25">
      <c r="J51" s="22"/>
      <c r="M51" s="117" t="str">
        <v>F_c</v>
      </c>
      <c r="N51" s="121" t="str">
        <v>fraction of crop residue that is burnt for crop c</v>
      </c>
      <c r="O51" s="120"/>
      <c r="P51" s="117" t="str">
        <v>dimensionless</v>
      </c>
      <c r="Q51" s="111" t="str">
        <v>Input</v>
      </c>
      <c r="R51" s="117"/>
    </row>
    <row r="52" spans="10:20" ht="20.100000000000001" customHeight="1" x14ac:dyDescent="0.25">
      <c r="J52" s="22"/>
      <c r="M52" s="117" t="str">
        <v>FFOD_c</v>
      </c>
      <c r="N52" s="121" t="str">
        <v>fraction of the crop residue that is removed for crop c</v>
      </c>
      <c r="O52" s="120"/>
      <c r="P52" s="117" t="str">
        <v>dimensionless</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175</v>
      </c>
      <c r="N59" s="138" cm="1">
        <f t="array" ref="N59">AgResidue_Equations_CropResidue.VEERG_6_1_1_1__2__MassOfNitrogenInCropResidues(I13,I14,I16,R52,I18,I19,I15,I20)</f>
        <v>85.00800000000001</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21</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24</v>
      </c>
      <c r="N68" s="1" t="str" cm="1">
        <f t="array" ref="N68">AgResidue_Equations_CropResidue.VEERG_6_1_1_1__1__NitrousOxideEmissionsFromCropResidues_Variable()</f>
        <v>E</v>
      </c>
      <c r="O68" s="22"/>
      <c r="P68" s="22"/>
      <c r="Q68" s="22"/>
    </row>
    <row r="69" spans="12:18" ht="20.100000000000001" customHeight="1" x14ac:dyDescent="0.25">
      <c r="L69" s="22"/>
      <c r="M69" s="51" t="s">
        <v>15</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85.00800000000001</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
        <v>131</v>
      </c>
    </row>
    <row r="75" spans="12:18" ht="20.100000000000001" customHeight="1" x14ac:dyDescent="0.25">
      <c r="L75" s="22"/>
      <c r="M75" s="117" t="str">
        <v>i</v>
      </c>
      <c r="N75" s="121" t="str">
        <v>Wet or dry climate zone</v>
      </c>
      <c r="O75" s="120"/>
      <c r="P75" s="117" t="str">
        <v/>
      </c>
      <c r="Q75" s="111" t="str">
        <v>Input</v>
      </c>
      <c r="R75" s="117"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107</v>
      </c>
      <c r="N77" s="94" cm="1">
        <f t="array" ref="N77">AgResidue_Equations_CropResidue.VEERG_6_1_1_1__1__NitrousOxideEmissionsFromCropResidues(R71,R72,R73)</f>
        <v>6.6792000000000012E-4</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6.6792000000000012E-4</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77</v>
      </c>
      <c r="N82" s="44" cm="1">
        <f t="array" ref="N82">Common_Equations.Common_ConvertN2OToCO2e(P79,P80)</f>
        <v>0.17699880000000004</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15" zoomScaleNormal="100" workbookViewId="0">
      <selection activeCell="O40" sqref="O4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178</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M3" s="4"/>
      <c r="N3" s="4" t="s">
        <v>79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21</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24</v>
      </c>
      <c r="E10" s="1" t="str" cm="1">
        <f t="array" ref="E10">AgResidue_Equations_PastureResidue.VEERG_6_2_1_1__2__MassOfNitrogenInPastureResidues_Variable()</f>
        <v>Mp</v>
      </c>
    </row>
    <row r="11" spans="1:21" ht="20.100000000000001" customHeight="1" x14ac:dyDescent="0.25">
      <c r="D11" s="3" t="s">
        <v>15</v>
      </c>
      <c r="E11" s="52" t="str" cm="1">
        <f t="array" ref="E11">AgResidue_Equations_PastureResidue.VEERG_6_2_1_1__2__MassOfNitrogenInPastureResidues_Unit()</f>
        <v>kg N</v>
      </c>
    </row>
    <row r="12" spans="1:21" ht="20.100000000000001" customHeight="1" x14ac:dyDescent="0.25">
      <c r="A12" s="19" t="s">
        <v>67</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'Input - Pasture'!$E$25</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'Input - Pasture'!$E$19</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dimensionless</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dimensionless</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dimensionless</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dimensionless</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'Input - Pasture'!$E$9</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185</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185</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21</v>
      </c>
      <c r="E27" s="13" t="str" cm="1">
        <f t="array" aca="1" ref="E27" ca="1">Common_InputFunctions.Utility_DisplayFunctionName(E40)</f>
        <v>=AgResidue_Equations_PastureResidue.VEERG_6_2_1_1__1__NitrousOxideEmissionsFromPastureResidues</v>
      </c>
      <c r="N27" s="13" t="s">
        <v>21</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24</v>
      </c>
      <c r="E30" s="1" t="str" cm="1">
        <f t="array" ref="E30">AgResidue_Equations_PastureResidue.VEERG_6_2_1_1__1__NitrousOxideEmissionsFromPastureResidues_Variable()</f>
        <v>EN2O</v>
      </c>
      <c r="N30" s="3" t="s">
        <v>24</v>
      </c>
      <c r="O30" s="1" t="str" cm="1">
        <f t="array" ref="O30">AgResidue_Equations_PastureResidue.VEERG_6_2_1_1__1__NitrousOxideEmissionsFromPastureResidues_Variable()</f>
        <v>EN2O</v>
      </c>
    </row>
    <row r="31" spans="1:21" ht="20.100000000000001" customHeight="1" x14ac:dyDescent="0.25">
      <c r="D31" s="3" t="s">
        <v>15</v>
      </c>
      <c r="E31" s="52" t="str" cm="1">
        <f t="array" ref="E31">AgResidue_Equations_PastureResidue.VEERG_6_2_1_1__1__NitrousOxideEmissionsFromPastureResidues_Unit()</f>
        <v>t N2O</v>
      </c>
      <c r="N31" s="3" t="s">
        <v>15</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'Input - Pasture'!$E$9</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'Input - Site'!$E$32</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107</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107</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186</v>
      </c>
      <c r="E45" s="1" cm="1">
        <f t="array" ref="E45">Common_Equations.Common_ConvertN2OToCO2e(G42,G43)</f>
        <v>1.545491357142857E-4</v>
      </c>
      <c r="F45" s="52" t="str" cm="1">
        <f t="array" ref="F45">Common_Equations.Common_ConvertN2OToCO2e_Unit()</f>
        <v>t CO2e</v>
      </c>
      <c r="N45" s="1" t="s">
        <v>186</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B23" workbookViewId="0">
      <selection activeCell="E48" sqref="E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196</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21</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24</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15</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67</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dimensionless</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dimensionless</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'Input - Crop'!$E$9</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'Input - Pasture'!$E$9</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206</v>
      </c>
      <c r="E21" s="22"/>
      <c r="F21" s="22"/>
      <c r="G21" s="22"/>
      <c r="H21" s="22"/>
      <c r="I21" s="22"/>
      <c r="J21" s="22"/>
      <c r="K21" s="22"/>
      <c r="N21" s="92" t="s">
        <v>206</v>
      </c>
      <c r="O21" s="22"/>
      <c r="P21" s="22"/>
      <c r="Q21" s="22"/>
      <c r="R21" s="22"/>
      <c r="S21" s="22"/>
    </row>
    <row r="22" spans="1:20" ht="20.100000000000001" customHeight="1" x14ac:dyDescent="0.25">
      <c r="C22" s="22"/>
      <c r="D22" s="91" t="s">
        <v>207</v>
      </c>
      <c r="E22" s="22"/>
      <c r="F22" s="22"/>
      <c r="G22" s="22"/>
      <c r="H22" s="22"/>
      <c r="I22" s="22"/>
      <c r="J22" s="22"/>
      <c r="K22" s="22"/>
      <c r="N22" s="91" t="s">
        <v>207</v>
      </c>
      <c r="O22" s="22"/>
      <c r="P22" s="22"/>
      <c r="Q22" s="22"/>
      <c r="R22" s="22"/>
      <c r="S22" s="22"/>
    </row>
    <row r="23" spans="1:20" ht="20.100000000000001" customHeight="1" x14ac:dyDescent="0.25">
      <c r="A23" s="17"/>
      <c r="C23" s="22"/>
      <c r="D23" s="109" t="s">
        <v>200</v>
      </c>
      <c r="E23" s="49" t="s">
        <v>202</v>
      </c>
      <c r="F23" s="109" t="s">
        <v>204</v>
      </c>
      <c r="G23" s="109" t="s">
        <v>6</v>
      </c>
      <c r="H23" s="49" t="s">
        <v>201</v>
      </c>
      <c r="I23" s="49" t="s">
        <v>203</v>
      </c>
      <c r="J23" s="22"/>
      <c r="K23" s="22"/>
      <c r="N23" s="109" t="s">
        <v>200</v>
      </c>
      <c r="O23" s="49" t="s">
        <v>202</v>
      </c>
      <c r="P23" s="109" t="s">
        <v>204</v>
      </c>
      <c r="Q23" s="109" t="s">
        <v>6</v>
      </c>
      <c r="R23" s="49" t="s">
        <v>201</v>
      </c>
      <c r="S23" s="49" t="s">
        <v>203</v>
      </c>
    </row>
    <row r="24" spans="1:20" ht="20.100000000000001" customHeight="1" x14ac:dyDescent="0.25">
      <c r="D24" s="50" t="s">
        <v>198</v>
      </c>
      <c r="E24" s="50">
        <f>'6.1.1.1-2 Crop residue N2O'!$E$24</f>
        <v>85.00800000000001</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20.40192</v>
      </c>
      <c r="N24" s="50"/>
      <c r="O24" s="50">
        <f>'6.1.1.1-2 Crop residue N2O'!$N$59</f>
        <v>85.00800000000001</v>
      </c>
      <c r="P24" s="50"/>
      <c r="Q24" s="50"/>
      <c r="R24" s="50"/>
      <c r="S24" s="50" cm="1">
        <f t="array" ref="S24">AgResidue_Equations_Leaching.VEERG_6_3_1_1__2__MassOfNitrogenLostThroughLeachingAndRunoff(O24,H24,$J$15)</f>
        <v>20.40192</v>
      </c>
    </row>
    <row r="25" spans="1:20" ht="20.100000000000001" customHeight="1" x14ac:dyDescent="0.25">
      <c r="D25" s="50" t="s">
        <v>199</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21</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24</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15</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'Input - Crop'!E9</f>
        <v>Wheat</v>
      </c>
      <c r="K39" s="22"/>
    </row>
    <row r="40" spans="1:17" ht="20.100000000000001" customHeight="1" x14ac:dyDescent="0.25">
      <c r="C40" s="22"/>
      <c r="D40" s="117" t="str">
        <v>p</v>
      </c>
      <c r="E40" s="121" t="str">
        <v>Pasture residue type</v>
      </c>
      <c r="F40" s="122"/>
      <c r="G40" s="120"/>
      <c r="H40" s="117" t="str">
        <v/>
      </c>
      <c r="I40" s="111" t="str">
        <v>Input</v>
      </c>
      <c r="J40" s="117" t="str">
        <f>'Input - Pasture'!$E$9</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208</v>
      </c>
      <c r="E42" s="22"/>
      <c r="F42" s="22"/>
      <c r="G42" s="22"/>
      <c r="H42" s="22"/>
      <c r="I42" s="22"/>
      <c r="J42" s="22"/>
      <c r="K42" s="22"/>
      <c r="N42" s="92" t="s">
        <v>208</v>
      </c>
      <c r="O42" s="22"/>
      <c r="P42" s="22"/>
      <c r="Q42" s="22"/>
    </row>
    <row r="43" spans="1:17" ht="20.100000000000001" customHeight="1" x14ac:dyDescent="0.25">
      <c r="C43" s="22"/>
      <c r="D43" s="91" t="s">
        <v>209</v>
      </c>
      <c r="E43" s="22"/>
      <c r="F43" s="22"/>
      <c r="G43" s="22"/>
      <c r="H43" s="22"/>
      <c r="I43" s="22"/>
      <c r="J43" s="22"/>
      <c r="K43" s="22"/>
      <c r="N43" s="91" t="s">
        <v>209</v>
      </c>
      <c r="O43" s="22"/>
      <c r="P43" s="22"/>
      <c r="Q43" s="22"/>
    </row>
    <row r="44" spans="1:17" ht="20.100000000000001" customHeight="1" x14ac:dyDescent="0.25">
      <c r="C44" s="22"/>
      <c r="D44" s="49" t="s">
        <v>203</v>
      </c>
      <c r="E44" s="49" t="s">
        <v>205</v>
      </c>
      <c r="F44" s="22"/>
      <c r="G44" s="22"/>
      <c r="H44" s="22"/>
      <c r="I44" s="22"/>
      <c r="J44" s="22"/>
      <c r="K44" s="22"/>
      <c r="N44" s="49" t="s">
        <v>203</v>
      </c>
      <c r="O44" s="49" t="s">
        <v>205</v>
      </c>
      <c r="P44" s="22"/>
      <c r="Q44" s="22"/>
    </row>
    <row r="45" spans="1:17" ht="20.100000000000001" customHeight="1" x14ac:dyDescent="0.25">
      <c r="C45" s="22"/>
      <c r="D45" s="50">
        <f>I24</f>
        <v>20.40192</v>
      </c>
      <c r="E45" s="50" cm="1">
        <f t="array" ref="E45">AgResidue_Equations_Leaching.VEERG_6_3_1_1__1__LeachingAndRunoffEmissionsCropAndPastureResidue(D45,$J$37,$J$38)</f>
        <v>3.5266175999999999E-4</v>
      </c>
      <c r="F45" s="22"/>
      <c r="G45" s="22"/>
      <c r="H45" s="22"/>
      <c r="I45" s="22"/>
      <c r="J45" s="22"/>
      <c r="K45" s="22"/>
      <c r="N45" s="50">
        <f>S24</f>
        <v>20.40192</v>
      </c>
      <c r="O45" s="50" cm="1">
        <f t="array" ref="O45">AgResidue_Equations_Leaching.VEERG_6_3_1_1__1__LeachingAndRunoffEmissionsCropAndPastureResidue(N45,$J$37,$J$38)</f>
        <v>3.5266175999999999E-4</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197</v>
      </c>
      <c r="E48" s="143">
        <f>SUM(E45:E46)</f>
        <v>3.5296969186285711E-4</v>
      </c>
      <c r="F48" s="95" t="str">
        <f>$E$34</f>
        <v>t N2O</v>
      </c>
      <c r="G48" s="22"/>
      <c r="H48" s="22"/>
      <c r="I48" s="22"/>
      <c r="J48" s="22"/>
      <c r="K48" s="22"/>
      <c r="N48" s="142" t="s">
        <v>197</v>
      </c>
      <c r="O48" s="143">
        <f>SUM(O45:O46)</f>
        <v>3.5296969186285711E-4</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3.5296969186285711E-4</v>
      </c>
      <c r="N50" s="54" t="str" cm="1">
        <f t="array" ref="N50:O51">Common_Equations.Common_ConvertN2OToCO2e_Arguments()</f>
        <v>EN2O</v>
      </c>
      <c r="O50" s="55" t="str">
        <v>Nitrous oxide emissions (t N2O)</v>
      </c>
      <c r="P50" s="96"/>
      <c r="Q50" s="50">
        <f>O48</f>
        <v>3.5296969186285711E-4</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77</v>
      </c>
      <c r="E53" s="44" cm="1">
        <f t="array" ref="E53">Common_Equations.Common_ConvertN2OToCO2e(G50,G51)</f>
        <v>9.3536968343657129E-2</v>
      </c>
      <c r="F53" s="97" t="str" cm="1">
        <f t="array" ref="F53">Common_Equations.Common_ConvertN2OToCO2e_Unit()</f>
        <v>t CO2e</v>
      </c>
      <c r="I53" s="22"/>
      <c r="N53" s="44" t="s">
        <v>77</v>
      </c>
      <c r="O53" s="44" cm="1">
        <f t="array" ref="O53">Common_Equations.Common_ConvertN2OToCO2e(Q50,Q51)</f>
        <v>9.3536968343657129E-2</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abSelected="1" topLeftCell="A31" workbookViewId="0">
      <selection activeCell="E39" sqref="E3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210</v>
      </c>
    </row>
    <row r="2" spans="1:19" s="9" customFormat="1" ht="20.100000000000001" customHeight="1" x14ac:dyDescent="0.25">
      <c r="A2"/>
    </row>
    <row r="3" spans="1:19" ht="20.100000000000001" customHeight="1" x14ac:dyDescent="0.25">
      <c r="A3" s="17" t="str">
        <f>HYPERLINK("#'Home'!A1", "Home")</f>
        <v>Home</v>
      </c>
      <c r="C3" s="4"/>
      <c r="D3" s="4" t="s">
        <v>78</v>
      </c>
      <c r="E3" s="4"/>
      <c r="F3" s="4"/>
      <c r="G3" s="4"/>
      <c r="H3" s="4"/>
      <c r="I3" s="4"/>
      <c r="J3" s="4"/>
      <c r="L3" s="4"/>
      <c r="M3" s="4" t="s">
        <v>79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21</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24</v>
      </c>
      <c r="E10" s="1" t="str" cm="1">
        <f t="array" ref="E10">AgResidue_Equations_FieldBurning.VEERG_6_4_1_1__3__MassOfCropResidueBurnt_Variable()</f>
        <v>M_burnc</v>
      </c>
    </row>
    <row r="11" spans="1:19" ht="20.100000000000001" customHeight="1" x14ac:dyDescent="0.25">
      <c r="D11" s="51" t="s">
        <v>15</v>
      </c>
      <c r="E11" s="52" t="str" cm="1">
        <f t="array" ref="E11">AgResidue_Equations_FieldBurning.VEERG_6_4_1_1__3__MassOfCropResidueBurnt_Unit()</f>
        <v>kg</v>
      </c>
    </row>
    <row r="12" spans="1:19" ht="20.100000000000001" customHeight="1" x14ac:dyDescent="0.25">
      <c r="A12" s="19" t="s">
        <v>67</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'Input - Crop'!$E$22</f>
        <v>10000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dimensionless</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dimensionless</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dimensionless</v>
      </c>
      <c r="H18" s="110" t="str">
        <v>Constant</v>
      </c>
      <c r="I18" s="117">
        <f>'Input - Crop'!$E$43</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'Input - Crop'!$E$9</f>
        <v>Wheat</v>
      </c>
    </row>
    <row r="20" spans="1:10" ht="20.100000000000001" customHeight="1" x14ac:dyDescent="0.25">
      <c r="A20" s="17" t="str">
        <f>HYPERLINK("#'Constants - Common'!A1", "Constants - Common")</f>
        <v>Constants - Common</v>
      </c>
    </row>
    <row r="21" spans="1:10" ht="20.100000000000001" customHeight="1" x14ac:dyDescent="0.25">
      <c r="D21" s="118" t="s">
        <v>211</v>
      </c>
      <c r="E21" s="44" cm="1">
        <f t="array" ref="E21">AgResidue_Equations_FieldBurning.VEERG_6_4_1_1__3__MassOfCropResidueBurnt(I13,I14,I15,I16,I17,I18)</f>
        <v>1782</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21</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24</v>
      </c>
      <c r="E30" s="1" t="str" cm="1">
        <f t="array" ref="E30">AgResidue_Equations_FieldBurning.VEERG_6_4_1_1__2__NitrousOxideEmissionsFromBurningOfCropResidues_Variable()</f>
        <v>EN2O</v>
      </c>
    </row>
    <row r="31" spans="1:10" ht="20.100000000000001" customHeight="1" x14ac:dyDescent="0.25">
      <c r="D31" s="51" t="s">
        <v>15</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1782</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'Input - Crop'!$E$9</f>
        <v>Wheat</v>
      </c>
    </row>
    <row r="38" spans="1:10" ht="20.100000000000001" customHeight="1" x14ac:dyDescent="0.25"/>
    <row r="39" spans="1:10" ht="20.100000000000001" customHeight="1" x14ac:dyDescent="0.25">
      <c r="D39" s="93" t="s">
        <v>107</v>
      </c>
      <c r="E39" s="94" cm="1">
        <f t="array" ref="E39">AgResidue_Equations_FieldBurning.VEERG_6_4_1_1__2__NitrousOxideEmissionsFromBurningOfCropResidues(I33,I34,I35,I36)</f>
        <v>1.276930285714286E-4</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1.276930285714286E-4</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77</v>
      </c>
      <c r="E44" s="44" cm="1">
        <f t="array" ref="E44">Common_Equations.Common_ConvertN2OToCO2e(H41,H42)</f>
        <v>3.3838652571428582E-2</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21</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24</v>
      </c>
      <c r="E53" s="1" t="str" cm="1">
        <f t="array" ref="E53">AgResidue_Equations_FieldBurning.VEERG_6_4_1_1__1__MethaneEmissionsFromBurningOfCropResidues_Variable()</f>
        <v>ECH4</v>
      </c>
      <c r="F53" s="5"/>
    </row>
    <row r="54" spans="4:9" ht="20.100000000000001" customHeight="1" x14ac:dyDescent="0.25">
      <c r="D54" s="51" t="s">
        <v>15</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1782</v>
      </c>
    </row>
    <row r="57" spans="4:9" ht="20.100000000000001" customHeight="1" x14ac:dyDescent="0.25">
      <c r="D57" s="117" t="str">
        <v>CC_c</v>
      </c>
      <c r="E57" s="121" t="str">
        <v>carbon mass fraction in the residues of crop type c</v>
      </c>
      <c r="F57" s="120"/>
      <c r="G57" s="117" t="str">
        <v>dimensionless</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'Input - Crop'!$E$9</f>
        <v>Wheat</v>
      </c>
    </row>
    <row r="61" spans="4:9" ht="20.100000000000001" customHeight="1" x14ac:dyDescent="0.25"/>
    <row r="62" spans="4:9" ht="20.100000000000001" customHeight="1" x14ac:dyDescent="0.25">
      <c r="D62" s="93" t="s">
        <v>107</v>
      </c>
      <c r="E62" s="94" cm="1">
        <f t="array" ref="E62">AgResidue_Equations_FieldBurning.VEERG_6_4_1_1__1__MethaneEmissionsFromBurningOfCropResidues(I56,I57,I58,I59)</f>
        <v>3.3264000000000002E-3</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3.3264000000000002E-3</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77</v>
      </c>
      <c r="E67" s="44" cm="1">
        <f t="array" ref="E67">Common_Equations.Common_ConvertCH4ToCO2e(H64,H65)</f>
        <v>9.3139200000000005E-2</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 zoomScaleNormal="100" workbookViewId="0">
      <selection activeCell="D6" sqref="D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156</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167</v>
      </c>
      <c r="E7" s="136" t="s">
        <v>168</v>
      </c>
      <c r="F7" s="136" t="s">
        <v>169</v>
      </c>
      <c r="G7" s="136" t="s">
        <v>170</v>
      </c>
      <c r="H7" s="136" t="s">
        <v>171</v>
      </c>
      <c r="I7" s="136" t="s">
        <v>226</v>
      </c>
      <c r="J7" s="136" t="s">
        <v>227</v>
      </c>
      <c r="K7" s="136" t="s">
        <v>228</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67</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108</v>
      </c>
      <c r="E19" t="s">
        <v>157</v>
      </c>
      <c r="F19" t="s">
        <v>158</v>
      </c>
      <c r="G19" t="s">
        <v>159</v>
      </c>
      <c r="H19" t="s">
        <v>160</v>
      </c>
      <c r="I19" t="s">
        <v>161</v>
      </c>
      <c r="J19" t="s">
        <v>162</v>
      </c>
      <c r="K19" t="s">
        <v>163</v>
      </c>
      <c r="L19" t="s">
        <v>164</v>
      </c>
      <c r="N19" s="6" t="s">
        <v>221</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84</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222</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223</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106</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224</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225</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176</v>
      </c>
      <c r="E43" s="108" t="s">
        <v>177</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179</v>
      </c>
      <c r="E51" s="37" t="s">
        <v>180</v>
      </c>
      <c r="F51" s="37" t="s">
        <v>181</v>
      </c>
      <c r="G51" s="37" t="s">
        <v>182</v>
      </c>
      <c r="H51" s="37" t="s">
        <v>183</v>
      </c>
      <c r="I51" s="37" t="s">
        <v>184</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212</v>
      </c>
      <c r="E62" s="37" t="s">
        <v>213</v>
      </c>
      <c r="F62" s="37" t="s">
        <v>214</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165</v>
      </c>
      <c r="E73" t="s">
        <v>5</v>
      </c>
      <c r="F73" t="s">
        <v>166</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165</v>
      </c>
      <c r="E92" t="s">
        <v>5</v>
      </c>
      <c r="F92" t="s">
        <v>166</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89</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88</v>
      </c>
      <c r="E212" s="37" t="s">
        <v>96</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110</v>
      </c>
      <c r="F231" s="36" t="s">
        <v>111</v>
      </c>
      <c r="G231" s="37" t="s">
        <v>102</v>
      </c>
      <c r="H231" s="37" t="s">
        <v>112</v>
      </c>
      <c r="I231" s="37" t="s">
        <v>113</v>
      </c>
      <c r="J231" s="37" t="s">
        <v>101</v>
      </c>
      <c r="K231" s="37" t="s">
        <v>100</v>
      </c>
      <c r="L231" s="37" t="s">
        <v>114</v>
      </c>
      <c r="M231" s="37" t="s">
        <v>115</v>
      </c>
      <c r="N231" s="37" t="s">
        <v>99</v>
      </c>
      <c r="O231" s="37" t="s">
        <v>116</v>
      </c>
      <c r="P231" s="37" t="s">
        <v>104</v>
      </c>
      <c r="Q231" s="37" t="s">
        <v>105</v>
      </c>
      <c r="R231" s="37" t="s">
        <v>103</v>
      </c>
      <c r="S231" s="37" t="s">
        <v>117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118</v>
      </c>
      <c r="E257" s="37" t="s">
        <v>119</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kAGkAbQBlAG4AcwBpAG8AbgBsAGUAcwBzAFwAIgAsACAAXAAiAEMAbwBuAHMAdABhAG4AdABcACIAOwBcAG4AIAAgACAAIAAgACAAIAAgACAAIABcACIARgBfAGMAXAAiACwAXAAiAGYAcgBhAGMAdABpAG8AbgAgAG8AZgAgAGMAcgBvAHAAIAByAGUAcwBpAGQAdQBlACAAdABoAGEAdAAgAGkAcwAgAGIAdQByAG4AdAAgAGYAbwByACAAYwByAG8AcAAgAGMAXAAiACwAIABcACIAZABpAG0AZQBuAHMAaQBvAG4AbABlAHMAcwBcACIALAAgAFwAIgBJAG4AcAB1AHQAXAAiADsAXABuACAAIAAgACAAIAAgACAAIAAgACAAXAAiAEYARgBPAEQAXwBjAFwAIgAsAFwAIgBmAHIAYQBjAHQAaQBvAG4AIABvAGYAIAB0AGgAZQAgAGMAcgBvAHAAIAByAGUAcwBpAGQAdQBlACAAdABoAGEAdAAgAGkAcwAgAHIAZQBtAG8AdgBlAGQAIABmAG8AcgAgAGMAcgBvAHAAIABjAFwAIgAsACAAXAAiAGQAaQBtAGUAbgBzAGkAbwBuAGwAZQBzAHM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kAGkAbQBlAG4AcwBpAG8AbgBsAGUAcwBz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GQAaQBtAGUAbgBzAGkAbwBuAGwAZQBzAHMAXAAiACwAIABcACIAQwBvAG4AcwB0AGEAbgB0AFwAIgA7AFwAbgAgACAAIAAgACAAIAAgACAAIAAgAFwAIgBGAF8AYwBcACIALABcACIAZgByAGEAYwB0AGkAbwBuACAAbwBmACAAYwByAG8AcAAgAHIAZQBzAGkAZAB1AGUAIAB0AGgAYQB0ACAAaQBzACAAYgB1AHIAbgB0ACAAZgBvAHIAIABjAHIAbwBwACAAYwBcACIALAAgAFwAIgBkAGkAbQBlAG4AcwBpAG8AbgBsAGUAcwBzAFwAIgAsACAAXAAiAEkAbgBwAHUAdABcACIAOwBcAG4AIAAgACAAIAAgACAAIAAgACAAIABcACIARgBGAE8ARABfAGMAXAAiACwAXAAiAGYAcgBhAGMAdABpAG8AbgAgAG8AZgAgAHQAaABlACAAYwByAG8AcAAgAHIAZQBzAGkAZAB1AGUAIAB0AGgAYQB0ACAAaQBzACAAcgBlAG0AbwB2AGUAZAAgAGYAbwByACAAYwByAG8AcAAgAGMAXAAiACwAIABcACIAZABpAG0AZQBuAHMAaQBvAG4AbABlAHMAcw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kAGkAbQBlAG4AcwBpAG8AbgBsAGUAcwBz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JAG4AcAB1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YAQQBSAEkAQQBUAEkATwBOACAARgBSAE8ATQAgAFMATwBVAFIAQwBFADoAIABBAGQAZABlAGQAIABcAHUAMAAwADIANwBiAGEAbABlAGQAXAB1ADAAMAAyAD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QAaQBtAGUAbgBzAGkAbwBuAGwAZQBzAHM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ABpAG0AZQBuAHMAaQBvAG4AbABlAHMAcw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ZABpAG0AZQBuAHMAaQBvAG4AbABlAHMAcw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ABpAG0AZQBuAHMAaQBvAG4AbABlAHMAcw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kAGkAbQBlAG4AcwBpAG8AbgBsAGUAcwBz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GQAaQBtAGUAbgBzAGkAbwBuAGwAZQBzAHM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kAGkAbQBlAG4AcwBpAG8AbgBsAGUAcwBz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ZABpAG0AZQBuAHMAaQBvAG4AbABlAHMAcw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QAaQBtAGUAbgBzAGkAbwBuAGwAZQBzAHM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34</vt:i4>
      </vt:variant>
    </vt:vector>
  </HeadingPairs>
  <TitlesOfParts>
    <vt:vector size="46"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VEERG_6_3_1_1__1__LeachingAndRunoffEmissionsCropAndPastureResidue_Result_Method1</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2026-06-17T06:02:22Z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