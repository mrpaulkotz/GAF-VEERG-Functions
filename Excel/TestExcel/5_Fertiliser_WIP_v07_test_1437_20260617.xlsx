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526DC46-9F23-40A2-B5EC-043006A84099}" xr6:coauthVersionLast="47" xr6:coauthVersionMax="47" xr10:uidLastSave="{00000000-0000-0000-0000-000000000000}"/>
  <bookViews>
    <workbookView xWindow="1020" yWindow="0" windowWidth="37140" windowHeight="20475" firstSheet="4"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70" l="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H52" i="119" l="1"/>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K38" i="70" l="1"/>
  <c r="K37" i="70"/>
  <c r="D38" i="110" a="1"/>
  <c r="D38" i="110" s="1"/>
  <c r="E38" i="110" a="1"/>
  <c r="E38" i="110" s="1"/>
  <c r="F38" i="110" a="1"/>
  <c r="F38" i="110" s="1"/>
  <c r="G38" i="110" a="1"/>
  <c r="G38" i="110" s="1"/>
  <c r="H38" i="110" a="1"/>
  <c r="H38" i="110" s="1"/>
  <c r="I38" i="110" a="1"/>
  <c r="I38" i="11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3" a="1"/>
  <c r="E43" i="115" a="1"/>
  <c r="E90" i="115" a="1"/>
  <c r="E38" i="113" a="1"/>
  <c r="E7" i="115" a="1"/>
  <c r="E7" i="114" a="1"/>
  <c r="E118"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E25" i="114" a="1"/>
  <c r="E25" i="114" s="1"/>
  <c r="Q54" i="69"/>
  <c r="Q53" i="69"/>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42" i="69" a="1"/>
  <c r="N60" i="69" a="1"/>
  <c r="E7" i="74" a="1"/>
  <c r="F58" i="74" l="1"/>
  <c r="F78" i="74"/>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D23" i="116" l="1" a="1"/>
  <c r="D23" i="116" s="1"/>
  <c r="D59" i="115" a="1"/>
  <c r="D59" i="115" s="1"/>
  <c r="D19" i="115" a="1"/>
  <c r="F37" i="115" s="1" a="1"/>
  <c r="F37" i="115" s="1"/>
  <c r="G37" i="115" s="1" a="1"/>
  <c r="G37" i="115" s="1"/>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<sst xmlns="http://schemas.openxmlformats.org/spreadsheetml/2006/main" count="564" uniqueCount="334">
  <si>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</si>
  <si>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</si>
  <si>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</si>
  <si>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</si>
  <si>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</si>
  <si>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</si>
  <si>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</si>
  <si>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</si>
  <si>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</si>
  <si>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</si>
  <si>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</si>
  <si>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</si>
  <si>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</si>
  <si>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</si>
  <si>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</si>
  <si>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</si>
  <si>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</si>
  <si>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</si>
  <si>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</si>
  <si>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</si>
  <si>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</si>
  <si>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</si>
  <si>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</si>
  <si>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</si>
  <si>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</si>
  <si>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</si>
  <si>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</si>
  <si>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</si>
  <si>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</si>
  <si>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</si>
  <si>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</si>
  <si>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</si>
  <si>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</si>
  <si>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</si>
  <si>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</si>
  <si>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</si>
  <si>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</si>
  <si>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</si>
  <si>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</si>
  <si>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</si>
  <si>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</si>
  <si>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</si>
  <si>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</si>
  <si>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</si>
  <si>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</si>
  <si>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</si>
  <si>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</si>
  <si>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</si>
  <si>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</si>
  <si>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</si>
  <si>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</si>
  <si>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</si>
  <si>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</si>
  <si>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</si>
  <si>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</si>
  <si>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</si>
  <si>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</si>
  <si>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</si>
  <si>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</si>
  <si>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</si>
  <si>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</si>
  <si>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</si>
  <si>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</si>
  <si>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</si>
  <si>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</si>
  <si>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</si>
  <si>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</si>
  <si>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</si>
  <si>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</si>
  <si>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</si>
  <si>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</si>
  <si>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</si>
  <si>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</si>
  <si>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</si>
  <si>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</si>
  <si>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</si>
  <si>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</si>
  <si>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</si>
  <si>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</si>
  <si>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</si>
  <si>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</si>
  <si>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</si>
  <si>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</si>
  <si>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</si>
  <si>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</si>
  <si>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</si>
  <si>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</si>
  <si>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</si>
  <si>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</si>
  <si>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</si>
  <si>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</si>
  <si>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</si>
  <si>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</si>
  <si>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</si>
  <si>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</si>
  <si>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</si>
  <si>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</si>
  <si>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</si>
  <si>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</si>
  <si>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</si>
  <si>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</si>
  <si>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</si>
  <si>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</si>
  <si>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</si>
  <si>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</si>
  <si>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</si>
  <si>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</si>
  <si>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</si>
  <si>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</si>
  <si>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</si>
  <si>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</si>
  <si>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</si>
  <si>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</si>
  <si>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</si>
  <si>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</si>
  <si>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</si>
  <si>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</si>
  <si>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</si>
  <si>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</si>
  <si>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</si>
  <si>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</si>
  <si>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</si>
  <si>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</si>
  <si>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</si>
  <si>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</si>
  <si>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</si>
  <si>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</si>
  <si>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</si>
  <si>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</si>
  <si>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</si>
  <si>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</si>
  <si>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</si>
  <si>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</si>
  <si>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</si>
  <si>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</si>
  <si>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</si>
  <si>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</si>
  <si>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</si>
  <si>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</si>
  <si>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</si>
  <si>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</si>
  <si>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</si>
  <si>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</si>
  <si>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</si>
  <si>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</si>
  <si>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</si>
  <si>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</si>
  <si>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</si>
  <si>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</si>
  <si>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</si>
  <si>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</si>
  <si>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</si>
  <si>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</si>
  <si>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</si>
  <si>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</si>
  <si>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</si>
  <si>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</si>
  <si>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</si>
  <si>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</si>
  <si>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</si>
  <si>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</si>
  <si>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</si>
  <si>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</si>
  <si>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</si>
  <si>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</si>
  <si>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</si>
  <si>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</si>
  <si>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</si>
  <si>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</si>
  <si>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</si>
  <si>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</si>
  <si>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</si>
  <si>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</si>
  <si>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</si>
  <si>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</si>
  <si>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</si>
  <si>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</si>
  <si>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</si>
  <si>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</si>
  <si>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</si>
  <si>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</si>
  <si>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</si>
  <si>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</si>
  <si>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</si>
  <si>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</si>
  <si>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</si>
  <si>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</si>
  <si>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</si>
  <si>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</si>
  <si>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</si>
  <si>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</si>
  <si>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</si>
  <si>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</si>
  <si>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</si>
  <si>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</si>
  <si>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</si>
  <si>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</si>
  <si>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</si>
  <si>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</si>
  <si>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</si>
  <si>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</si>
  <si>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</si>
  <si>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</si>
  <si>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</si>
  <si>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</si>
  <si>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</si>
  <si>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</si>
  <si>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</si>
  <si>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</si>
  <si>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</si>
  <si>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</si>
  <si>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</si>
  <si>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</si>
  <si>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</si>
  <si>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</si>
  <si>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</si>
  <si>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</si>
  <si>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</si>
  <si>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</si>
  <si>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</si>
  <si>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</si>
  <si>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</si>
  <si>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</si>
  <si>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</si>
  <si>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</si>
  <si>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</si>
  <si>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</si>
  <si>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</si>
  <si>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</si>
  <si>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</si>
  <si>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</si>
  <si>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</si>
  <si>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</si>
  <si>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</si>
  <si>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</si>
  <si>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</si>
  <si>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</si>
  <si>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</si>
  <si>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</si>
  <si>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</si>
  <si>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</si>
  <si>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</si>
  <si>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</si>
  <si>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</si>
  <si>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</si>
  <si>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</si>
  <si>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</si>
  <si>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</si>
  <si>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</si>
  <si>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</si>
  <si>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</si>
  <si>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</si>
  <si>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</si>
  <si>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</si>
  <si>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</si>
  <si>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</si>
  <si>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</si>
  <si>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</si>
  <si>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</si>
  <si>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</si>
  <si>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</si>
  <si>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</si>
  <si>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</si>
  <si>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</si>
  <si>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</si>
  <si>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</si>
  <si>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</si>
  <si>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</si>
  <si>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</si>
  <si>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</si>
  <si>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</si>
  <si>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</si>
  <si>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</si>
  <si>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</si>
  <si>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</si>
  <si>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</si>
  <si>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</si>
  <si>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</si>
  <si>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</si>
  <si>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</si>
  <si>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</si>
  <si>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</si>
  <si>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</si>
  <si>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</si>
  <si>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</si>
  <si>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</si>
  <si>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</si>
  <si>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</si>
  <si>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</si>
  <si>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</si>
  <si>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</si>
  <si>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</si>
  <si>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</si>
  <si>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</si>
  <si>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</si>
  <si>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</si>
  <si>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</si>
  <si>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</si>
  <si>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</si>
  <si>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</si>
  <si>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</si>
  <si>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</si>
  <si>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</si>
  <si>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</si>
  <si>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</si>
  <si>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</si>
  <si>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</si>
  <si>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</si>
  <si>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</si>
  <si>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</si>
  <si>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</si>
  <si>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</si>
  <si>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</si>
  <si>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</si>
  <si>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</si>
  <si>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</si>
  <si>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</si>
  <si>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</si>
  <si>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</si>
  <si>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</si>
  <si>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</si>
  <si>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</si>
  <si>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</si>
  <si>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</si>
  <si>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</si>
  <si>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</si>
  <si>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</si>
  <si>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</si>
  <si>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Drip Irrigation</t>
  </si>
  <si>
    <t>L</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</si>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</sst>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0</v>
      </c>
      <c r="F14" s="170">
        <f>E14</f>
        <v>0</v>
      </c>
      <c r="G14" s="52" t="s">
        <v>99</v>
      </c>
      <c r="H14" s="102">
        <f>'5.5.1.1-2 Leaching and runoff'!$E$99</f>
        <v>0</v>
      </c>
      <c r="I14" s="102">
        <f>H14</f>
        <v>0</v>
      </c>
      <c r="J14" s="52" t="s">
        <v>91</v>
      </c>
      <c r="K14" s="22"/>
    </row>
    <row r="15" spans="1:11" ht="20.100000000000001" customHeight="1" x14ac:dyDescent="0.3">
      <c r="A15" s="17" t="str">
        <f>HYPERLINK("#'5.3.1.1-2 Lime CO2'!A1", "5.3.1.1-2 Lime CO2")</f>
        <v>5.3.1.1-2 Lime CO2</v>
      </c>
      <c r="C15" s="22"/>
      <c r="D15" s="29" t="s">
        <v>86</v>
      </c>
      <c r="E15" s="23"/>
      <c r="F15" s="23"/>
      <c r="G15" s="29"/>
      <c r="H15" s="103">
        <f>SUM(H9:H14)</f>
        <v>126.7018900452381</v>
      </c>
      <c r="I15" s="103">
        <f>SUM(I9:I14)</f>
        <v>126.7018900452381</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16" zoomScale="85" zoomScaleNormal="85" workbookViewId="0">
      <selection activeCell="M38" sqref="M38"/>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
        <v>329</v>
      </c>
      <c r="G18" s="50">
        <v>1.26</v>
      </c>
      <c r="H18" s="123">
        <v>100</v>
      </c>
      <c r="I18" s="124">
        <v>12600</v>
      </c>
      <c r="J18" s="124" t="s">
        <v>155</v>
      </c>
      <c r="K18" s="124">
        <v>0.22500000000000001</v>
      </c>
      <c r="L18" s="124" t="s">
        <v>330</v>
      </c>
      <c r="M18" s="124">
        <v>0.04</v>
      </c>
      <c r="N18" s="124" t="s">
        <v>331</v>
      </c>
      <c r="O18" s="124">
        <v>2.5999999999999999E-2</v>
      </c>
      <c r="P18" s="124"/>
      <c r="Q18" s="124"/>
      <c r="R18" s="124"/>
      <c r="S18" s="124"/>
      <c r="T18" s="124"/>
      <c r="U18" s="124"/>
      <c r="V18" s="124">
        <v>3.2759999999999998</v>
      </c>
      <c r="W18" s="50"/>
      <c r="X18" s="50"/>
    </row>
    <row r="19" spans="1:24" ht="36" customHeight="1" x14ac:dyDescent="0.25">
      <c r="A19" s="18" t="s">
        <v>2</v>
      </c>
      <c r="D19" s="122" t="s">
        <v>319</v>
      </c>
      <c r="E19" s="123">
        <v>100</v>
      </c>
      <c r="F19" s="181" t="s">
        <v>329</v>
      </c>
      <c r="G19" s="181">
        <v>1.2849999999999999</v>
      </c>
      <c r="H19" s="123">
        <v>100</v>
      </c>
      <c r="I19" s="124">
        <v>12850</v>
      </c>
      <c r="J19" s="124" t="s">
        <v>330</v>
      </c>
      <c r="K19" s="124">
        <v>0.13500000000000001</v>
      </c>
      <c r="L19" s="124" t="s">
        <v>332</v>
      </c>
      <c r="M19" s="124">
        <v>0.04</v>
      </c>
      <c r="N19" s="124"/>
      <c r="O19" s="124"/>
      <c r="P19" s="124"/>
      <c r="Q19" s="124"/>
      <c r="R19" s="124"/>
      <c r="S19" s="124"/>
      <c r="T19" s="124"/>
      <c r="U19" s="124"/>
      <c r="V19" s="124">
        <v>0</v>
      </c>
      <c r="W19" s="124"/>
      <c r="X19" s="124"/>
    </row>
    <row r="20" spans="1:24" ht="36" customHeight="1" x14ac:dyDescent="0.25">
      <c r="A20" s="17" t="str">
        <f>HYPERLINK("#'Constants - Fertiliser'!A1", "Constants - Fertiliser")</f>
        <v>Constants - Fertiliser</v>
      </c>
      <c r="D20" s="122" t="s">
        <v>319</v>
      </c>
      <c r="E20" s="123">
        <v>100</v>
      </c>
      <c r="F20" s="181" t="s">
        <v>329</v>
      </c>
      <c r="G20" s="181">
        <v>1.2849999999999999</v>
      </c>
      <c r="H20" s="123">
        <v>100</v>
      </c>
      <c r="I20" s="124">
        <v>12850</v>
      </c>
      <c r="J20" s="124" t="s">
        <v>330</v>
      </c>
      <c r="K20" s="124">
        <v>0.13500000000000001</v>
      </c>
      <c r="L20" s="124" t="s">
        <v>332</v>
      </c>
      <c r="M20" s="124">
        <v>0.04</v>
      </c>
      <c r="N20" s="124"/>
      <c r="O20" s="124"/>
      <c r="P20" s="124"/>
      <c r="Q20" s="124"/>
      <c r="R20" s="124"/>
      <c r="S20" s="124"/>
      <c r="T20" s="124"/>
      <c r="U20" s="124"/>
      <c r="V20" s="124">
        <v>0</v>
      </c>
      <c r="W20" s="124"/>
      <c r="X20" s="124"/>
    </row>
    <row r="21" spans="1:24" ht="36" customHeight="1" x14ac:dyDescent="0.25">
      <c r="A21" s="17" t="str">
        <f>HYPERLINK("#'Constants - Common'!A1", "Constants - Common")</f>
        <v>Constants - Common</v>
      </c>
      <c r="D21" s="122" t="s">
        <v>321</v>
      </c>
      <c r="E21" s="123">
        <v>100</v>
      </c>
      <c r="F21" s="181" t="s">
        <v>329</v>
      </c>
      <c r="G21" s="181">
        <v>1.26</v>
      </c>
      <c r="H21" s="123">
        <v>100</v>
      </c>
      <c r="I21" s="124">
        <v>12600</v>
      </c>
      <c r="J21" s="124" t="s">
        <v>155</v>
      </c>
      <c r="K21" s="124">
        <v>0.105</v>
      </c>
      <c r="L21" s="124" t="s">
        <v>331</v>
      </c>
      <c r="M21" s="124">
        <v>9.6000000000000002E-2</v>
      </c>
      <c r="N21" s="124" t="s">
        <v>330</v>
      </c>
      <c r="O21" s="124">
        <v>0.05</v>
      </c>
      <c r="P21" s="124"/>
      <c r="Q21" s="124"/>
      <c r="R21" s="124"/>
      <c r="S21" s="124"/>
      <c r="T21" s="124"/>
      <c r="U21" s="124"/>
      <c r="V21" s="124">
        <v>12.096</v>
      </c>
      <c r="W21" s="124"/>
      <c r="X21" s="124"/>
    </row>
    <row r="22" spans="1:24" ht="36" customHeight="1" x14ac:dyDescent="0.25">
      <c r="D22" s="122" t="s">
        <v>320</v>
      </c>
      <c r="E22" s="123">
        <v>100</v>
      </c>
      <c r="F22" s="181" t="s">
        <v>329</v>
      </c>
      <c r="G22" s="181">
        <v>1.5</v>
      </c>
      <c r="H22" s="123">
        <v>100</v>
      </c>
      <c r="I22" s="124">
        <v>15000</v>
      </c>
      <c r="J22" s="124" t="s">
        <v>332</v>
      </c>
      <c r="K22" s="124">
        <v>0.16200000000000001</v>
      </c>
      <c r="L22" s="124" t="s">
        <v>333</v>
      </c>
      <c r="M22" s="124">
        <v>0.13200000000000001</v>
      </c>
      <c r="N22" s="124"/>
      <c r="O22" s="124"/>
      <c r="P22" s="124"/>
      <c r="Q22" s="124"/>
      <c r="R22" s="124"/>
      <c r="S22" s="124"/>
      <c r="T22" s="124"/>
      <c r="U22" s="124"/>
      <c r="V22" s="124">
        <v>19.8</v>
      </c>
      <c r="W22" s="124"/>
      <c r="X22" s="124"/>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v>100</v>
      </c>
      <c r="G26" s="124">
        <v>10000</v>
      </c>
      <c r="H26" s="134" t="s">
        <v>313</v>
      </c>
      <c r="I26" s="137">
        <v>0.5</v>
      </c>
      <c r="J26" s="134" t="s">
        <v>314</v>
      </c>
      <c r="K26" s="137">
        <v>0.2</v>
      </c>
      <c r="L26" s="134" t="s">
        <v>155</v>
      </c>
      <c r="M26" s="137">
        <v>0.2</v>
      </c>
      <c r="N26" s="135" t="s">
        <v>156</v>
      </c>
      <c r="O26" s="168">
        <v>0.1</v>
      </c>
      <c r="P26" s="124">
        <v>7.75</v>
      </c>
      <c r="Q26" s="39"/>
      <c r="R26" s="39"/>
      <c r="T26" s="51"/>
    </row>
    <row r="27" spans="1:24" ht="20.100000000000001" customHeight="1" x14ac:dyDescent="0.25">
      <c r="D27" s="33" t="s">
        <v>316</v>
      </c>
      <c r="E27" s="117">
        <v>100</v>
      </c>
      <c r="F27" s="180">
        <v>100</v>
      </c>
      <c r="G27" s="124">
        <v>10000</v>
      </c>
      <c r="H27" s="134" t="s">
        <v>317</v>
      </c>
      <c r="I27" s="169">
        <v>1</v>
      </c>
      <c r="J27" s="134"/>
      <c r="K27" s="169"/>
      <c r="L27" s="134"/>
      <c r="M27" s="169"/>
      <c r="N27" s="135"/>
      <c r="O27" s="168"/>
      <c r="P27" s="124">
        <v>46</v>
      </c>
      <c r="Q27" s="39"/>
      <c r="R27" s="39"/>
      <c r="W27" s="51"/>
    </row>
    <row r="28" spans="1:24" ht="20.100000000000001" customHeight="1" x14ac:dyDescent="0.25">
      <c r="D28" s="33" t="s">
        <v>323</v>
      </c>
      <c r="E28" s="117">
        <v>100</v>
      </c>
      <c r="F28" s="180">
        <v>100</v>
      </c>
      <c r="G28" s="124">
        <v>10000</v>
      </c>
      <c r="H28" s="134" t="s">
        <v>324</v>
      </c>
      <c r="I28" s="169">
        <v>0.5</v>
      </c>
      <c r="J28" s="134"/>
      <c r="K28" s="169"/>
      <c r="L28" s="134"/>
      <c r="M28" s="169"/>
      <c r="N28" s="135"/>
      <c r="O28" s="168"/>
      <c r="P28" s="124">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v>100</v>
      </c>
      <c r="G37" s="124">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v>100</v>
      </c>
      <c r="G38" s="124">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v>100</v>
      </c>
      <c r="G39" s="124">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v>3</v>
      </c>
      <c r="H48" s="123">
        <v>100</v>
      </c>
      <c r="I48" s="124">
        <v>1000</v>
      </c>
      <c r="J48" s="124">
        <v>300</v>
      </c>
      <c r="K48" s="132"/>
    </row>
    <row r="49" spans="4:10" ht="20.100000000000001" customHeight="1" x14ac:dyDescent="0.25">
      <c r="D49" s="122" t="s">
        <v>237</v>
      </c>
      <c r="E49" s="142">
        <v>0.25</v>
      </c>
      <c r="F49" s="123">
        <v>10</v>
      </c>
      <c r="G49" s="124">
        <v>2.5</v>
      </c>
      <c r="H49" s="123">
        <v>100</v>
      </c>
      <c r="I49" s="124">
        <v>1000</v>
      </c>
      <c r="J49" s="124">
        <v>250</v>
      </c>
    </row>
    <row r="50" spans="4:10" ht="20.100000000000001" customHeight="1" x14ac:dyDescent="0.25">
      <c r="D50" s="122" t="s">
        <v>240</v>
      </c>
      <c r="E50" s="142">
        <v>0.16</v>
      </c>
      <c r="F50" s="123">
        <v>10</v>
      </c>
      <c r="G50" s="124">
        <v>1.6</v>
      </c>
      <c r="H50" s="123">
        <v>100</v>
      </c>
      <c r="I50" s="124">
        <v>1000</v>
      </c>
      <c r="J50" s="124">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Drip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workbookViewId="0">
      <selection activeCell="E79" sqref="E7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workbookViewId="0">
      <selection activeCell="H58" sqref="H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E25" sqref="E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4">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66"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Drip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Drip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8"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0</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0</v>
      </c>
    </row>
    <row r="42" spans="1:11" ht="20.100000000000001" customHeight="1" x14ac:dyDescent="0.25"/>
    <row r="43" spans="1:11" ht="20.100000000000001" customHeight="1" x14ac:dyDescent="0.25">
      <c r="D43" s="149" t="s">
        <v>286</v>
      </c>
      <c r="E43" s="44">
        <f>SUM(F23:F41)</f>
        <v>0</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0</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Drip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0</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0</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0</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0</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0</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0</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0</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D85" zoomScaleNormal="100" workbookViewId="0">
      <selection activeCell="N99" sqref="E99:N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2026-06-17T04:38:02Z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